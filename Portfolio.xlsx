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160" tabRatio="600" firstSheet="4" activeTab="4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Portfolio DCF" sheetId="2" state="visible" r:id="rId2"/>
    <sheet xmlns:r="http://schemas.openxmlformats.org/officeDocument/2006/relationships" name="SpaceX DCF" sheetId="3" state="visible" r:id="rId3"/>
    <sheet xmlns:r="http://schemas.openxmlformats.org/officeDocument/2006/relationships" name="SpaceX WACC" sheetId="4" state="visible" r:id="rId4"/>
    <sheet xmlns:r="http://schemas.openxmlformats.org/officeDocument/2006/relationships" name="SpaceX IPO Compare" sheetId="5" state="visible" r:id="rId5"/>
    <sheet xmlns:r="http://schemas.openxmlformats.org/officeDocument/2006/relationships" name="DPZ Summary" sheetId="6" state="visible" r:id="rId6"/>
    <sheet xmlns:r="http://schemas.openxmlformats.org/officeDocument/2006/relationships" name="DPZ DCF" sheetId="7" state="visible" r:id="rId7"/>
    <sheet xmlns:r="http://schemas.openxmlformats.org/officeDocument/2006/relationships" name="Per-Share Model" sheetId="8" state="visible" r:id="rId8"/>
    <sheet xmlns:r="http://schemas.openxmlformats.org/officeDocument/2006/relationships" name="WACC" sheetId="9" state="visible" r:id="rId9"/>
    <sheet xmlns:r="http://schemas.openxmlformats.org/officeDocument/2006/relationships" name="Peer Comparison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Все компании" sheetId="12" state="visible" r:id="rId12"/>
    <sheet xmlns:r="http://schemas.openxmlformats.org/officeDocument/2006/relationships" name="Venture" sheetId="13" state="visible" r:id="rId13"/>
    <sheet xmlns:r="http://schemas.openxmlformats.org/officeDocument/2006/relationships" name="COVID" sheetId="14" state="visible" r:id="rId14"/>
    <sheet xmlns:r="http://schemas.openxmlformats.org/officeDocument/2006/relationships" name="NVScriptsProperties" sheetId="15" state="hidden" r:id="rId15"/>
    <sheet xmlns:r="http://schemas.openxmlformats.org/officeDocument/2006/relationships" name="S&amp;P 500" sheetId="16" state="visible" r:id="rId16"/>
    <sheet xmlns:r="http://schemas.openxmlformats.org/officeDocument/2006/relationships" name="Errors" sheetId="17" state="visible" r:id="rId17"/>
  </sheets>
  <definedNames>
    <definedName name="_xlnm._FilterDatabase" localSheetId="10" hidden="1">'Dashboard'!$A$5:$S$499</definedName>
    <definedName name="_xlnm._FilterDatabase" localSheetId="11" hidden="1">'Все компании'!$A$2:$M$25</definedName>
    <definedName name="_xlnm._FilterDatabase" localSheetId="15" hidden="1">'S&amp;P 500'!$B$6:$L$509</definedName>
  </definedNames>
  <calcPr calcId="191029" fullCalcOnLoad="1"/>
</workbook>
</file>

<file path=xl/styles.xml><?xml version="1.0" encoding="utf-8"?>
<styleSheet xmlns="http://schemas.openxmlformats.org/spreadsheetml/2006/main">
  <numFmts count="20">
    <numFmt numFmtId="164" formatCode="&quot;$&quot;#,##0.00"/>
    <numFmt numFmtId="165" formatCode="&quot;$&quot;#,##0"/>
    <numFmt numFmtId="166" formatCode="0.0"/>
    <numFmt numFmtId="167" formatCode="#,##0.0"/>
    <numFmt numFmtId="168" formatCode="0.0%"/>
    <numFmt numFmtId="169" formatCode="0.000"/>
    <numFmt numFmtId="170" formatCode="&quot;$&quot;#,##0;\(&quot;$&quot;#,##0\)"/>
    <numFmt numFmtId="171" formatCode="&quot;$&quot;#,##0.00;\(&quot;$&quot;#,##0.00\)"/>
    <numFmt numFmtId="172" formatCode="&quot;$&quot;#,##0.0"/>
    <numFmt numFmtId="173" formatCode="#,##0;\(#,##0\)"/>
    <numFmt numFmtId="174" formatCode="#,##0.00;\(#,##0.00\)"/>
    <numFmt numFmtId="175" formatCode="\$#,##0.00"/>
    <numFmt numFmtId="176" formatCode="&quot;$&quot;#,##0;\(&quot;$&quot;#,##0\);\-"/>
    <numFmt numFmtId="177" formatCode="&quot;$&quot;#,##0.0;\(&quot;$&quot;#,##0.0\)"/>
    <numFmt numFmtId="178" formatCode="0.0000"/>
    <numFmt numFmtId="179" formatCode="&quot;$&quot;#,##0.0;\(&quot;$&quot;#,##0.0\);\-"/>
    <numFmt numFmtId="180" formatCode="0.0%;\(0.0%\);\-"/>
    <numFmt numFmtId="181" formatCode="0.0&quot;x&quot;"/>
    <numFmt numFmtId="182" formatCode="0.0%;\(0.0%\)"/>
    <numFmt numFmtId="183" formatCode="$#,##0.00"/>
  </numFmts>
  <fonts count="54">
    <font>
      <name val="Arial"/>
      <color rgb="FF000000"/>
      <sz val="10"/>
      <scheme val="minor"/>
    </font>
    <font>
      <name val="Roboto"/>
      <color rgb="FF000000"/>
      <sz val="11"/>
    </font>
    <font>
      <name val="PT Sans"/>
      <color theme="1"/>
      <sz val="11"/>
    </font>
    <font>
      <name val="Roboto"/>
      <color rgb="FF000000"/>
      <sz val="11"/>
      <u val="single"/>
    </font>
    <font>
      <name val="Roboto"/>
      <color rgb="FF222222"/>
      <sz val="11"/>
    </font>
    <font>
      <name val="Roboto"/>
      <color theme="1"/>
      <sz val="11"/>
    </font>
    <font>
      <name val="PT Sans"/>
      <color rgb="FF000000"/>
      <sz val="11"/>
    </font>
    <font>
      <name val="Arial"/>
      <color theme="1"/>
      <sz val="10"/>
      <scheme val="minor"/>
    </font>
    <font>
      <name val="Arial"/>
      <color rgb="FF0000FF"/>
      <sz val="10"/>
      <u val="single"/>
    </font>
    <font>
      <name val="Arial"/>
      <b val="1"/>
      <color theme="1"/>
      <sz val="10"/>
      <scheme val="minor"/>
    </font>
    <font>
      <name val="Arial"/>
      <color rgb="FF0000FF"/>
      <sz val="12"/>
      <u val="single"/>
    </font>
    <font>
      <name val="Arial"/>
      <color theme="1"/>
      <sz val="12"/>
      <scheme val="minor"/>
    </font>
    <font>
      <name val="Arial"/>
      <b val="1"/>
      <color rgb="FFFFFFFF"/>
      <sz val="10"/>
    </font>
    <font>
      <name val="Arial"/>
      <color rgb="FF999999"/>
      <sz val="9"/>
    </font>
    <font>
      <name val="Arial"/>
      <b val="1"/>
      <color rgb="FF1F4E79"/>
      <sz val="9"/>
    </font>
    <font>
      <name val="Arial"/>
      <sz val="9"/>
    </font>
    <font>
      <name val="Arial"/>
      <color rgb="FF666666"/>
      <sz val="8"/>
    </font>
    <font>
      <name val="Arial"/>
      <family val="2"/>
      <b val="1"/>
      <color rgb="FFFFFFFF"/>
      <sz val="14"/>
      <scheme val="minor"/>
    </font>
    <font>
      <name val="Arial"/>
      <family val="2"/>
      <i val="1"/>
      <color rgb="FF595959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color rgb="FF0000FF"/>
      <sz val="10"/>
      <scheme val="minor"/>
    </font>
    <font>
      <name val="Arial"/>
      <family val="2"/>
      <b val="1"/>
      <color rgb="FF000000"/>
      <sz val="12"/>
      <scheme val="minor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Arial"/>
      <family val="2"/>
      <b val="1"/>
      <color rgb="FFFFFFFF"/>
      <sz val="10"/>
      <scheme val="minor"/>
    </font>
    <font>
      <name val="Arial"/>
      <family val="2"/>
      <color rgb="FF008000"/>
      <sz val="10"/>
      <scheme val="minor"/>
    </font>
    <font>
      <name val="Arial"/>
      <family val="2"/>
      <i val="1"/>
      <color rgb="FF000000"/>
      <sz val="10"/>
      <scheme val="minor"/>
    </font>
    <font>
      <name val="Arial"/>
      <family val="2"/>
      <i val="1"/>
      <color rgb="FF0000FF"/>
      <sz val="10"/>
      <scheme val="minor"/>
    </font>
    <font>
      <name val="Arial"/>
      <family val="2"/>
      <b val="1"/>
      <i val="1"/>
      <color rgb="FF000000"/>
      <sz val="10"/>
      <scheme val="minor"/>
    </font>
    <font>
      <name val="Arial"/>
      <family val="2"/>
      <b val="1"/>
      <color rgb="FF0000FF"/>
      <sz val="10"/>
      <scheme val="minor"/>
    </font>
    <font>
      <name val="Arial"/>
      <family val="2"/>
      <b val="1"/>
      <color rgb="FF000000"/>
      <sz val="14"/>
      <scheme val="minor"/>
    </font>
    <font>
      <name val="Arial"/>
      <family val="2"/>
      <b val="1"/>
      <color rgb="FFFFFFFF"/>
      <sz val="16"/>
      <scheme val="minor"/>
    </font>
    <font>
      <name val="Arial"/>
      <family val="2"/>
      <i val="1"/>
      <color rgb="FF595959"/>
      <sz val="11"/>
      <scheme val="minor"/>
    </font>
    <font>
      <name val="Arial"/>
      <family val="2"/>
      <b val="1"/>
      <color rgb="FFC00000"/>
      <sz val="10"/>
      <scheme val="minor"/>
    </font>
    <font>
      <name val="Arial"/>
      <family val="2"/>
      <b val="1"/>
      <color rgb="FF006100"/>
      <sz val="10"/>
      <scheme val="minor"/>
    </font>
    <font>
      <name val="Arial"/>
      <family val="2"/>
      <b val="1"/>
      <i val="1"/>
      <color rgb="FFFFFFFF"/>
      <sz val="10"/>
      <scheme val="minor"/>
    </font>
    <font>
      <name val="Arial"/>
      <family val="2"/>
      <b val="1"/>
      <i val="1"/>
      <color rgb="FFFFFF00"/>
      <sz val="10"/>
      <scheme val="minor"/>
    </font>
    <font>
      <name val="Arial"/>
      <family val="2"/>
      <b val="1"/>
      <color rgb="FF008000"/>
      <sz val="10"/>
      <scheme val="minor"/>
    </font>
    <font>
      <name val="Arial"/>
      <b val="1"/>
      <color rgb="FF006100"/>
      <sz val="9"/>
    </font>
    <font>
      <name val="Arial"/>
      <color rgb="FFCCCCCC"/>
      <sz val="9"/>
    </font>
    <font>
      <name val="Arial"/>
      <b val="1"/>
      <color rgb="FF9C0006"/>
      <sz val="9"/>
    </font>
    <font>
      <name val="Arial"/>
      <color rgb="FF666666"/>
      <sz val="10"/>
    </font>
    <font>
      <name val="Arial"/>
      <b val="1"/>
      <color rgb="FFFFFFFF"/>
      <sz val="10"/>
    </font>
    <font>
      <name val="Arial"/>
      <b val="1"/>
      <color rgb="FF1F4E79"/>
      <sz val="16"/>
    </font>
    <font>
      <name val="Arial"/>
      <i val="1"/>
      <color rgb="FF888888"/>
      <sz val="9"/>
    </font>
    <font>
      <name val="Arial"/>
      <b val="1"/>
      <color rgb="FFFFFFFF"/>
      <sz val="11"/>
    </font>
    <font>
      <name val="Arial"/>
      <i val="1"/>
      <color rgb="FF8B0000"/>
      <sz val="8"/>
    </font>
    <font>
      <name val="Arial"/>
      <family val="2"/>
      <i val="1"/>
      <color rgb="FF1F4E79"/>
      <sz val="10"/>
      <scheme val="minor"/>
    </font>
    <font>
      <name val="Arial"/>
      <family val="2"/>
      <color rgb="FF000000"/>
      <sz val="10"/>
      <scheme val="minor"/>
    </font>
    <font>
      <name val="Arial"/>
      <b val="1"/>
      <color rgb="00006100"/>
      <sz val="9"/>
    </font>
    <font>
      <name val="Arial"/>
      <color rgb="00CCCCCC"/>
      <sz val="9"/>
    </font>
    <font>
      <name val="Arial"/>
      <b val="1"/>
      <color rgb="009C0006"/>
      <sz val="9"/>
    </font>
    <font>
      <name val="Arial"/>
      <color rgb="00666666"/>
      <sz val="10"/>
    </font>
    <font>
      <name val="Arial"/>
      <b val="1"/>
      <color rgb="00FFFFFF"/>
      <sz val="10"/>
    </font>
  </fonts>
  <fills count="28">
    <fill>
      <patternFill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1F4E79"/>
      </patternFill>
    </fill>
    <fill>
      <patternFill patternType="solid">
        <fgColor rgb="FFF2F7FB"/>
      </patternFill>
    </fill>
    <fill>
      <patternFill patternType="solid">
        <fgColor rgb="FFFFFFFF"/>
      </patternFill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7FB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8B0000"/>
      </patternFill>
    </fill>
    <fill>
      <patternFill patternType="solid">
        <fgColor rgb="FF2E75B6"/>
      </patternFill>
    </fill>
    <fill>
      <patternFill patternType="solid">
        <fgColor rgb="00F2F7FB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C0000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1F4E79"/>
      </left>
      <right style="thin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8B0000"/>
      </left>
      <right style="thin">
        <color rgb="FF8B0000"/>
      </right>
      <top style="medium">
        <color rgb="FF8B0000"/>
      </top>
      <bottom style="medium">
        <color rgb="FF8B0000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1F4E79"/>
      </top>
      <bottom/>
      <diagonal/>
    </border>
    <border>
      <left/>
      <right style="medium">
        <color rgb="FF1F4E79"/>
      </right>
      <top style="medium">
        <color rgb="FF1F4E79"/>
      </top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1" fillId="0" borderId="2" applyAlignment="1" pivotButton="0" quotePrefix="0" xfId="0">
      <alignment wrapText="1"/>
    </xf>
    <xf numFmtId="0" fontId="3" fillId="0" borderId="2" applyAlignment="1" pivotButton="0" quotePrefix="0" xfId="0">
      <alignment wrapText="1"/>
    </xf>
    <xf numFmtId="164" fontId="1" fillId="3" borderId="2" pivotButton="0" quotePrefix="0" xfId="0"/>
    <xf numFmtId="9" fontId="1" fillId="3" borderId="2" applyAlignment="1" pivotButton="0" quotePrefix="0" xfId="0">
      <alignment horizontal="center"/>
    </xf>
    <xf numFmtId="165" fontId="1" fillId="3" borderId="2" applyAlignment="1" pivotButton="0" quotePrefix="0" xfId="0">
      <alignment horizontal="center"/>
    </xf>
    <xf numFmtId="1" fontId="1" fillId="3" borderId="2" applyAlignment="1" pivotButton="0" quotePrefix="0" xfId="0">
      <alignment horizontal="center"/>
    </xf>
    <xf numFmtId="166" fontId="1" fillId="3" borderId="2" applyAlignment="1" pivotButton="0" quotePrefix="0" xfId="0">
      <alignment horizontal="center"/>
    </xf>
    <xf numFmtId="166" fontId="1" fillId="3" borderId="0" applyAlignment="1" pivotButton="0" quotePrefix="0" xfId="0">
      <alignment horizontal="center"/>
    </xf>
    <xf numFmtId="0" fontId="1" fillId="4" borderId="2" applyAlignment="1" pivotButton="0" quotePrefix="0" xfId="0">
      <alignment wrapText="1"/>
    </xf>
    <xf numFmtId="0" fontId="4" fillId="3" borderId="2" pivotButton="0" quotePrefix="0" xfId="0"/>
    <xf numFmtId="0" fontId="1" fillId="3" borderId="2" pivotButton="0" quotePrefix="0" xfId="0"/>
    <xf numFmtId="0" fontId="1" fillId="0" borderId="2" pivotButton="0" quotePrefix="0" xfId="0"/>
    <xf numFmtId="0" fontId="5" fillId="0" borderId="2" pivotButton="0" quotePrefix="0" xfId="0"/>
    <xf numFmtId="0" fontId="1" fillId="5" borderId="2" applyAlignment="1" pivotButton="0" quotePrefix="0" xfId="0">
      <alignment wrapText="1"/>
    </xf>
    <xf numFmtId="0" fontId="5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/>
    </xf>
    <xf numFmtId="0" fontId="1" fillId="3" borderId="2" applyAlignment="1" pivotButton="0" quotePrefix="0" xfId="0">
      <alignment wrapText="1"/>
    </xf>
    <xf numFmtId="0" fontId="5" fillId="3" borderId="2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10" fontId="6" fillId="0" borderId="0" applyAlignment="1" pivotButton="0" quotePrefix="0" xfId="0">
      <alignment horizontal="center" wrapText="1"/>
    </xf>
    <xf numFmtId="0" fontId="7" fillId="0" borderId="0" pivotButton="0" quotePrefix="0" xfId="0"/>
    <xf numFmtId="1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/>
    </xf>
    <xf numFmtId="0" fontId="11" fillId="0" borderId="0" pivotButton="0" quotePrefix="0" xfId="0"/>
    <xf numFmtId="0" fontId="11" fillId="0" borderId="0" applyAlignment="1" pivotButton="0" quotePrefix="0" xfId="0">
      <alignment vertical="top"/>
    </xf>
    <xf numFmtId="0" fontId="7" fillId="0" borderId="4" applyAlignment="1" pivotButton="0" quotePrefix="0" xfId="0">
      <alignment vertical="top"/>
    </xf>
    <xf numFmtId="0" fontId="7" fillId="0" borderId="4" applyAlignment="1" pivotButton="0" quotePrefix="0" xfId="0">
      <alignment vertical="top" wrapText="1"/>
    </xf>
    <xf numFmtId="0" fontId="7" fillId="0" borderId="4" applyAlignment="1" pivotButton="0" quotePrefix="0" xfId="0">
      <alignment horizontal="center" vertical="top" wrapText="1"/>
    </xf>
    <xf numFmtId="0" fontId="7" fillId="0" borderId="5" applyAlignment="1" pivotButton="0" quotePrefix="0" xfId="0">
      <alignment vertical="top"/>
    </xf>
    <xf numFmtId="0" fontId="7" fillId="0" borderId="5" applyAlignment="1" pivotButton="0" quotePrefix="0" xfId="0">
      <alignment vertical="top" wrapText="1"/>
    </xf>
    <xf numFmtId="0" fontId="7" fillId="0" borderId="5" applyAlignment="1" pivotButton="0" quotePrefix="0" xfId="0">
      <alignment horizontal="center" vertical="center" wrapText="1"/>
    </xf>
    <xf numFmtId="1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vertical="top"/>
    </xf>
    <xf numFmtId="0" fontId="7" fillId="0" borderId="6" applyAlignment="1" pivotButton="0" quotePrefix="0" xfId="0">
      <alignment vertical="top" wrapText="1"/>
    </xf>
    <xf numFmtId="0" fontId="7" fillId="0" borderId="6" applyAlignment="1" pivotButton="0" quotePrefix="0" xfId="0">
      <alignment horizontal="center" vertical="center" wrapText="1"/>
    </xf>
    <xf numFmtId="10" fontId="7" fillId="0" borderId="6" applyAlignment="1" pivotButton="0" quotePrefix="0" xfId="0">
      <alignment horizontal="center" vertical="center" wrapText="1"/>
    </xf>
    <xf numFmtId="0" fontId="12" fillId="6" borderId="7" applyAlignment="1" pivotButton="0" quotePrefix="0" xfId="0">
      <alignment horizontal="center" vertical="center" wrapText="1"/>
    </xf>
    <xf numFmtId="0" fontId="13" fillId="7" borderId="8" applyAlignment="1" pivotButton="0" quotePrefix="0" xfId="0">
      <alignment horizontal="center"/>
    </xf>
    <xf numFmtId="0" fontId="14" fillId="7" borderId="8" applyAlignment="1" pivotButton="0" quotePrefix="0" xfId="0">
      <alignment horizontal="center"/>
    </xf>
    <xf numFmtId="0" fontId="15" fillId="7" borderId="8" applyAlignment="1" pivotButton="0" quotePrefix="0" xfId="0">
      <alignment horizontal="left"/>
    </xf>
    <xf numFmtId="0" fontId="16" fillId="7" borderId="8" applyAlignment="1" pivotButton="0" quotePrefix="0" xfId="0">
      <alignment horizontal="left"/>
    </xf>
    <xf numFmtId="0" fontId="13" fillId="8" borderId="8" applyAlignment="1" pivotButton="0" quotePrefix="0" xfId="0">
      <alignment horizontal="center"/>
    </xf>
    <xf numFmtId="0" fontId="14" fillId="8" borderId="8" applyAlignment="1" pivotButton="0" quotePrefix="0" xfId="0">
      <alignment horizontal="center"/>
    </xf>
    <xf numFmtId="0" fontId="15" fillId="8" borderId="8" applyAlignment="1" pivotButton="0" quotePrefix="0" xfId="0">
      <alignment horizontal="left"/>
    </xf>
    <xf numFmtId="0" fontId="16" fillId="8" borderId="8" applyAlignment="1" pivotButton="0" quotePrefix="0" xfId="0">
      <alignment horizontal="left"/>
    </xf>
    <xf numFmtId="0" fontId="17" fillId="9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19" fillId="10" borderId="0" pivotButton="0" quotePrefix="0" xfId="0"/>
    <xf numFmtId="0" fontId="0" fillId="10" borderId="0" pivotButton="0" quotePrefix="0" xfId="0"/>
    <xf numFmtId="10" fontId="20" fillId="0" borderId="0" pivotButton="0" quotePrefix="0" xfId="0"/>
    <xf numFmtId="2" fontId="20" fillId="0" borderId="0" pivotButton="0" quotePrefix="0" xfId="0"/>
    <xf numFmtId="10" fontId="0" fillId="0" borderId="0" pivotButton="0" quotePrefix="0" xfId="0"/>
    <xf numFmtId="10" fontId="19" fillId="0" borderId="0" pivotButton="0" quotePrefix="0" xfId="0"/>
    <xf numFmtId="10" fontId="19" fillId="11" borderId="0" pivotButton="0" quotePrefix="0" xfId="0"/>
    <xf numFmtId="164" fontId="20" fillId="0" borderId="0" pivotButton="0" quotePrefix="0" xfId="0"/>
    <xf numFmtId="167" fontId="2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20" fillId="0" borderId="0" pivotButton="0" quotePrefix="0" xfId="0"/>
    <xf numFmtId="165" fontId="19" fillId="0" borderId="0" pivotButton="0" quotePrefix="0" xfId="0"/>
    <xf numFmtId="168" fontId="0" fillId="0" borderId="0" pivotButton="0" quotePrefix="0" xfId="0"/>
    <xf numFmtId="0" fontId="21" fillId="0" borderId="0" pivotButton="0" quotePrefix="0" xfId="0"/>
    <xf numFmtId="10" fontId="21" fillId="11" borderId="0" pivotButton="0" quotePrefix="0" xfId="0"/>
    <xf numFmtId="0" fontId="24" fillId="9" borderId="0" pivotButton="0" quotePrefix="0" xfId="0"/>
    <xf numFmtId="0" fontId="0" fillId="9" borderId="0" pivotButton="0" quotePrefix="0" xfId="0"/>
    <xf numFmtId="164" fontId="25" fillId="0" borderId="0" pivotButton="0" quotePrefix="0" xfId="0"/>
    <xf numFmtId="167" fontId="25" fillId="0" borderId="0" pivotButton="0" quotePrefix="0" xfId="0"/>
    <xf numFmtId="165" fontId="25" fillId="0" borderId="0" pivotButton="0" quotePrefix="0" xfId="0"/>
    <xf numFmtId="0" fontId="19" fillId="10" borderId="0" applyAlignment="1" pivotButton="0" quotePrefix="0" xfId="0">
      <alignment horizontal="center"/>
    </xf>
    <xf numFmtId="0" fontId="26" fillId="0" borderId="0" pivotButton="0" quotePrefix="0" xfId="0"/>
    <xf numFmtId="168" fontId="18" fillId="0" borderId="0" pivotButton="0" quotePrefix="0" xfId="0"/>
    <xf numFmtId="168" fontId="27" fillId="0" borderId="0" pivotButton="0" quotePrefix="0" xfId="0"/>
    <xf numFmtId="165" fontId="27" fillId="0" borderId="0" pivotButton="0" quotePrefix="0" xfId="0"/>
    <xf numFmtId="0" fontId="28" fillId="0" borderId="0" pivotButton="0" quotePrefix="0" xfId="0"/>
    <xf numFmtId="168" fontId="26" fillId="0" borderId="0" pivotButton="0" quotePrefix="0" xfId="0"/>
    <xf numFmtId="168" fontId="20" fillId="0" borderId="0" pivotButton="0" quotePrefix="0" xfId="0"/>
    <xf numFmtId="10" fontId="25" fillId="0" borderId="0" pivotButton="0" quotePrefix="0" xfId="0"/>
    <xf numFmtId="0" fontId="29" fillId="12" borderId="0" pivotButton="0" quotePrefix="0" xfId="0"/>
    <xf numFmtId="0" fontId="19" fillId="11" borderId="0" pivotButton="0" quotePrefix="0" xfId="0"/>
    <xf numFmtId="0" fontId="26" fillId="0" borderId="0" applyAlignment="1" pivotButton="0" quotePrefix="0" xfId="0">
      <alignment horizontal="center"/>
    </xf>
    <xf numFmtId="166" fontId="0" fillId="0" borderId="0" pivotButton="0" quotePrefix="0" xfId="0"/>
    <xf numFmtId="169" fontId="0" fillId="0" borderId="0" pivotButton="0" quotePrefix="0" xfId="0"/>
    <xf numFmtId="0" fontId="19" fillId="13" borderId="0" pivotButton="0" quotePrefix="0" xfId="0"/>
    <xf numFmtId="165" fontId="19" fillId="13" borderId="0" pivotButton="0" quotePrefix="0" xfId="0"/>
    <xf numFmtId="165" fontId="21" fillId="11" borderId="0" pivotButton="0" quotePrefix="0" xfId="0"/>
    <xf numFmtId="170" fontId="0" fillId="0" borderId="0" pivotButton="0" quotePrefix="0" xfId="0"/>
    <xf numFmtId="165" fontId="19" fillId="11" borderId="0" pivotButton="0" quotePrefix="0" xfId="0"/>
    <xf numFmtId="167" fontId="0" fillId="0" borderId="0" pivotButton="0" quotePrefix="0" xfId="0"/>
    <xf numFmtId="164" fontId="21" fillId="11" borderId="0" pivotButton="0" quotePrefix="0" xfId="0"/>
    <xf numFmtId="168" fontId="19" fillId="0" borderId="0" pivotButton="0" quotePrefix="0" xfId="0"/>
    <xf numFmtId="164" fontId="19" fillId="11" borderId="0" pivotButton="0" quotePrefix="0" xfId="0"/>
    <xf numFmtId="10" fontId="18" fillId="0" borderId="0" pivotButton="0" quotePrefix="0" xfId="0"/>
    <xf numFmtId="164" fontId="19" fillId="0" borderId="0" pivotButton="0" quotePrefix="0" xfId="0"/>
    <xf numFmtId="164" fontId="19" fillId="13" borderId="0" pivotButton="0" quotePrefix="0" xfId="0"/>
    <xf numFmtId="168" fontId="25" fillId="0" borderId="0" pivotButton="0" quotePrefix="0" xfId="0"/>
    <xf numFmtId="171" fontId="0" fillId="0" borderId="0" pivotButton="0" quotePrefix="0" xfId="0"/>
    <xf numFmtId="0" fontId="30" fillId="0" borderId="0" pivotButton="0" quotePrefix="0" xfId="0"/>
    <xf numFmtId="164" fontId="30" fillId="11" borderId="0" pivotButton="0" quotePrefix="0" xfId="0"/>
    <xf numFmtId="168" fontId="19" fillId="11" borderId="0" pivotButton="0" quotePrefix="0" xfId="0"/>
    <xf numFmtId="0" fontId="31" fillId="9" borderId="0" pivotButton="0" quotePrefix="0" xfId="0"/>
    <xf numFmtId="0" fontId="32" fillId="0" borderId="0" pivotButton="0" quotePrefix="0" xfId="0"/>
    <xf numFmtId="168" fontId="33" fillId="0" borderId="0" pivotButton="0" quotePrefix="0" xfId="0"/>
    <xf numFmtId="0" fontId="34" fillId="0" borderId="0" pivotButton="0" quotePrefix="0" xfId="0"/>
    <xf numFmtId="168" fontId="34" fillId="0" borderId="0" pivotButton="0" quotePrefix="0" xfId="0"/>
    <xf numFmtId="0" fontId="19" fillId="14" borderId="0" pivotButton="0" quotePrefix="0" xfId="0"/>
    <xf numFmtId="172" fontId="20" fillId="0" borderId="0" pivotButton="0" quotePrefix="0" xfId="0"/>
    <xf numFmtId="168" fontId="19" fillId="10" borderId="0" pivotButton="0" quotePrefix="0" xfId="0"/>
    <xf numFmtId="0" fontId="19" fillId="10" borderId="0" applyAlignment="1" pivotButton="0" quotePrefix="0" xfId="0">
      <alignment horizontal="center" wrapText="1"/>
    </xf>
    <xf numFmtId="167" fontId="20" fillId="0" borderId="0" applyAlignment="1" pivotButton="0" quotePrefix="0" xfId="0">
      <alignment horizontal="right"/>
    </xf>
    <xf numFmtId="165" fontId="20" fillId="0" borderId="0" applyAlignment="1" pivotButton="0" quotePrefix="0" xfId="0">
      <alignment horizontal="right"/>
    </xf>
    <xf numFmtId="168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/>
    </xf>
    <xf numFmtId="0" fontId="29" fillId="13" borderId="0" applyAlignment="1" pivotButton="0" quotePrefix="0" xfId="0">
      <alignment horizontal="left"/>
    </xf>
    <xf numFmtId="167" fontId="29" fillId="13" borderId="0" applyAlignment="1" pivotButton="0" quotePrefix="0" xfId="0">
      <alignment horizontal="right"/>
    </xf>
    <xf numFmtId="165" fontId="29" fillId="13" borderId="0" applyAlignment="1" pivotButton="0" quotePrefix="0" xfId="0">
      <alignment horizontal="right"/>
    </xf>
    <xf numFmtId="168" fontId="19" fillId="13" borderId="0" applyAlignment="1" pivotButton="0" quotePrefix="0" xfId="0">
      <alignment horizontal="right"/>
    </xf>
    <xf numFmtId="164" fontId="19" fillId="13" borderId="0" applyAlignment="1" pivotButton="0" quotePrefix="0" xfId="0">
      <alignment horizontal="right"/>
    </xf>
    <xf numFmtId="0" fontId="24" fillId="9" borderId="0" applyAlignment="1" pivotButton="0" quotePrefix="0" xfId="0">
      <alignment horizontal="left"/>
    </xf>
    <xf numFmtId="168" fontId="20" fillId="14" borderId="0" pivotButton="0" quotePrefix="0" xfId="0"/>
    <xf numFmtId="0" fontId="0" fillId="14" borderId="0" pivotButton="0" quotePrefix="0" xfId="0"/>
    <xf numFmtId="0" fontId="0" fillId="0" borderId="0" applyAlignment="1" pivotButton="0" quotePrefix="0" xfId="0">
      <alignment horizontal="center"/>
    </xf>
    <xf numFmtId="0" fontId="35" fillId="9" borderId="0" pivotButton="0" quotePrefix="0" xfId="0"/>
    <xf numFmtId="0" fontId="28" fillId="10" borderId="0" pivotButton="0" quotePrefix="0" xfId="0"/>
    <xf numFmtId="168" fontId="20" fillId="0" borderId="0" applyAlignment="1" pivotButton="0" quotePrefix="0" xfId="0">
      <alignment horizontal="center"/>
    </xf>
    <xf numFmtId="168" fontId="29" fillId="11" borderId="0" applyAlignment="1" pivotButton="0" quotePrefix="0" xfId="0">
      <alignment horizontal="center"/>
    </xf>
    <xf numFmtId="9" fontId="20" fillId="0" borderId="0" applyAlignment="1" pivotButton="0" quotePrefix="0" xfId="0">
      <alignment horizontal="center"/>
    </xf>
    <xf numFmtId="9" fontId="29" fillId="0" borderId="0" applyAlignment="1" pivotButton="0" quotePrefix="0" xfId="0">
      <alignment horizontal="center"/>
    </xf>
    <xf numFmtId="9" fontId="19" fillId="0" borderId="0" applyAlignment="1" pivotButton="0" quotePrefix="0" xfId="0">
      <alignment horizontal="center"/>
    </xf>
    <xf numFmtId="0" fontId="24" fillId="9" borderId="0" applyAlignment="1" pivotButton="0" quotePrefix="0" xfId="0">
      <alignment horizontal="center"/>
    </xf>
    <xf numFmtId="4" fontId="20" fillId="0" borderId="0" pivotButton="0" quotePrefix="0" xfId="0"/>
    <xf numFmtId="3" fontId="20" fillId="0" borderId="0" pivotButton="0" quotePrefix="0" xfId="0"/>
    <xf numFmtId="3" fontId="0" fillId="0" borderId="0" pivotButton="0" quotePrefix="0" xfId="0"/>
    <xf numFmtId="173" fontId="20" fillId="0" borderId="0" pivotButton="0" quotePrefix="0" xfId="0"/>
    <xf numFmtId="3" fontId="19" fillId="0" borderId="0" pivotButton="0" quotePrefix="0" xfId="0"/>
    <xf numFmtId="3" fontId="27" fillId="0" borderId="0" pivotButton="0" quotePrefix="0" xfId="0"/>
    <xf numFmtId="0" fontId="36" fillId="9" borderId="0" pivotButton="0" quotePrefix="0" xfId="0"/>
    <xf numFmtId="173" fontId="0" fillId="0" borderId="0" pivotButton="0" quotePrefix="0" xfId="0"/>
    <xf numFmtId="4" fontId="0" fillId="0" borderId="0" pivotButton="0" quotePrefix="0" xfId="0"/>
    <xf numFmtId="174" fontId="0" fillId="0" borderId="0" pivotButton="0" quotePrefix="0" xfId="0"/>
    <xf numFmtId="4" fontId="21" fillId="11" borderId="0" pivotButton="0" quotePrefix="0" xfId="0"/>
    <xf numFmtId="0" fontId="19" fillId="0" borderId="0" applyAlignment="1" pivotButton="0" quotePrefix="0" xfId="0">
      <alignment horizontal="center"/>
    </xf>
    <xf numFmtId="168" fontId="37" fillId="15" borderId="0" pivotButton="0" quotePrefix="0" xfId="0"/>
    <xf numFmtId="0" fontId="19" fillId="15" borderId="0" pivotButton="0" quotePrefix="0" xfId="0"/>
    <xf numFmtId="0" fontId="19" fillId="15" borderId="0" applyAlignment="1" pivotButton="0" quotePrefix="0" xfId="0">
      <alignment horizontal="center"/>
    </xf>
    <xf numFmtId="168" fontId="37" fillId="14" borderId="0" pivotButton="0" quotePrefix="0" xfId="0"/>
    <xf numFmtId="0" fontId="19" fillId="14" borderId="0" applyAlignment="1" pivotButton="0" quotePrefix="0" xfId="0">
      <alignment horizontal="center"/>
    </xf>
    <xf numFmtId="0" fontId="0" fillId="15" borderId="0" pivotButton="0" quotePrefix="0" xfId="0"/>
    <xf numFmtId="0" fontId="0" fillId="15" borderId="0" applyAlignment="1" pivotButton="0" quotePrefix="0" xfId="0">
      <alignment horizontal="center"/>
    </xf>
    <xf numFmtId="164" fontId="25" fillId="15" borderId="0" pivotButton="0" quotePrefix="0" xfId="0"/>
    <xf numFmtId="164" fontId="37" fillId="15" borderId="0" pivotButton="0" quotePrefix="0" xfId="0"/>
    <xf numFmtId="0" fontId="0" fillId="14" borderId="0" applyAlignment="1" pivotButton="0" quotePrefix="0" xfId="0">
      <alignment horizontal="center"/>
    </xf>
    <xf numFmtId="4" fontId="25" fillId="14" borderId="0" pivotButton="0" quotePrefix="0" xfId="0"/>
    <xf numFmtId="4" fontId="37" fillId="14" borderId="0" pivotButton="0" quotePrefix="0" xfId="0"/>
    <xf numFmtId="164" fontId="25" fillId="14" borderId="0" pivotButton="0" quotePrefix="0" xfId="0"/>
    <xf numFmtId="164" fontId="37" fillId="14" borderId="0" pivotButton="0" quotePrefix="0" xfId="0"/>
    <xf numFmtId="0" fontId="19" fillId="13" borderId="0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0" fillId="13" borderId="0" pivotButton="0" quotePrefix="0" xfId="0"/>
    <xf numFmtId="164" fontId="25" fillId="13" borderId="0" pivotButton="0" quotePrefix="0" xfId="0"/>
    <xf numFmtId="164" fontId="37" fillId="13" borderId="0" pivotButton="0" quotePrefix="0" xfId="0"/>
    <xf numFmtId="168" fontId="37" fillId="13" borderId="0" pivotButton="0" quotePrefix="0" xfId="0"/>
    <xf numFmtId="0" fontId="19" fillId="16" borderId="0" applyAlignment="1" pivotButton="0" quotePrefix="0" xfId="0">
      <alignment horizontal="center"/>
    </xf>
    <xf numFmtId="0" fontId="0" fillId="16" borderId="0" applyAlignment="1" pivotButton="0" quotePrefix="0" xfId="0">
      <alignment horizontal="center"/>
    </xf>
    <xf numFmtId="0" fontId="0" fillId="16" borderId="0" pivotButton="0" quotePrefix="0" xfId="0"/>
    <xf numFmtId="164" fontId="25" fillId="16" borderId="0" pivotButton="0" quotePrefix="0" xfId="0"/>
    <xf numFmtId="164" fontId="37" fillId="16" borderId="0" pivotButton="0" quotePrefix="0" xfId="0"/>
    <xf numFmtId="168" fontId="37" fillId="16" borderId="0" pivotButton="0" quotePrefix="0" xfId="0"/>
    <xf numFmtId="0" fontId="19" fillId="16" borderId="0" pivotButton="0" quotePrefix="0" xfId="0"/>
    <xf numFmtId="175" fontId="15" fillId="17" borderId="9" applyAlignment="1" pivotButton="0" quotePrefix="0" xfId="0">
      <alignment horizontal="center"/>
    </xf>
    <xf numFmtId="168" fontId="38" fillId="18" borderId="9" applyAlignment="1" pivotButton="0" quotePrefix="0" xfId="0">
      <alignment horizontal="center"/>
    </xf>
    <xf numFmtId="167" fontId="15" fillId="17" borderId="9" applyAlignment="1" pivotButton="0" quotePrefix="0" xfId="0">
      <alignment horizontal="center"/>
    </xf>
    <xf numFmtId="168" fontId="15" fillId="17" borderId="9" applyAlignment="1" pivotButton="0" quotePrefix="0" xfId="0">
      <alignment horizontal="center"/>
    </xf>
    <xf numFmtId="166" fontId="15" fillId="17" borderId="9" applyAlignment="1" pivotButton="0" quotePrefix="0" xfId="0">
      <alignment horizontal="center"/>
    </xf>
    <xf numFmtId="0" fontId="39" fillId="17" borderId="9" applyAlignment="1" pivotButton="0" quotePrefix="0" xfId="0">
      <alignment horizontal="center"/>
    </xf>
    <xf numFmtId="175" fontId="15" fillId="19" borderId="9" applyAlignment="1" pivotButton="0" quotePrefix="0" xfId="0">
      <alignment horizontal="center"/>
    </xf>
    <xf numFmtId="167" fontId="15" fillId="19" borderId="9" applyAlignment="1" pivotButton="0" quotePrefix="0" xfId="0">
      <alignment horizontal="center"/>
    </xf>
    <xf numFmtId="168" fontId="15" fillId="19" borderId="9" applyAlignment="1" pivotButton="0" quotePrefix="0" xfId="0">
      <alignment horizontal="center"/>
    </xf>
    <xf numFmtId="166" fontId="15" fillId="19" borderId="9" applyAlignment="1" pivotButton="0" quotePrefix="0" xfId="0">
      <alignment horizontal="center"/>
    </xf>
    <xf numFmtId="0" fontId="39" fillId="19" borderId="9" applyAlignment="1" pivotButton="0" quotePrefix="0" xfId="0">
      <alignment horizontal="center"/>
    </xf>
    <xf numFmtId="3" fontId="15" fillId="17" borderId="9" applyAlignment="1" pivotButton="0" quotePrefix="0" xfId="0">
      <alignment horizontal="center"/>
    </xf>
    <xf numFmtId="168" fontId="40" fillId="20" borderId="9" applyAlignment="1" pivotButton="0" quotePrefix="0" xfId="0">
      <alignment horizontal="center"/>
    </xf>
    <xf numFmtId="3" fontId="39" fillId="19" borderId="9" applyAlignment="1" pivotButton="0" quotePrefix="0" xfId="0">
      <alignment horizontal="center"/>
    </xf>
    <xf numFmtId="167" fontId="39" fillId="19" borderId="9" applyAlignment="1" pivotButton="0" quotePrefix="0" xfId="0">
      <alignment horizontal="center"/>
    </xf>
    <xf numFmtId="168" fontId="39" fillId="19" borderId="9" applyAlignment="1" pivotButton="0" quotePrefix="0" xfId="0">
      <alignment horizontal="center"/>
    </xf>
    <xf numFmtId="166" fontId="39" fillId="19" borderId="9" applyAlignment="1" pivotButton="0" quotePrefix="0" xfId="0">
      <alignment horizontal="center"/>
    </xf>
    <xf numFmtId="3" fontId="15" fillId="19" borderId="9" applyAlignment="1" pivotButton="0" quotePrefix="0" xfId="0">
      <alignment horizontal="center"/>
    </xf>
    <xf numFmtId="3" fontId="39" fillId="17" borderId="9" applyAlignment="1" pivotButton="0" quotePrefix="0" xfId="0">
      <alignment horizontal="center"/>
    </xf>
    <xf numFmtId="167" fontId="39" fillId="17" borderId="9" applyAlignment="1" pivotButton="0" quotePrefix="0" xfId="0">
      <alignment horizontal="center"/>
    </xf>
    <xf numFmtId="168" fontId="39" fillId="17" borderId="9" applyAlignment="1" pivotButton="0" quotePrefix="0" xfId="0">
      <alignment horizontal="center"/>
    </xf>
    <xf numFmtId="166" fontId="39" fillId="17" borderId="9" applyAlignment="1" pivotButton="0" quotePrefix="0" xfId="0">
      <alignment horizontal="center"/>
    </xf>
    <xf numFmtId="0" fontId="42" fillId="21" borderId="10" applyAlignment="1" pivotButton="0" quotePrefix="0" xfId="0">
      <alignment horizontal="center" vertical="center" wrapText="1"/>
    </xf>
    <xf numFmtId="0" fontId="39" fillId="17" borderId="9" applyAlignment="1" pivotButton="0" quotePrefix="0" xfId="0">
      <alignment horizontal="center" vertical="center" wrapText="1"/>
    </xf>
    <xf numFmtId="0" fontId="39" fillId="19" borderId="9" applyAlignment="1" pivotButton="0" quotePrefix="0" xfId="0">
      <alignment horizontal="center" vertical="center" wrapText="1"/>
    </xf>
    <xf numFmtId="0" fontId="15" fillId="17" borderId="9" applyAlignment="1" pivotButton="0" quotePrefix="0" xfId="0">
      <alignment horizontal="center"/>
    </xf>
    <xf numFmtId="4" fontId="15" fillId="17" borderId="9" applyAlignment="1" pivotButton="0" quotePrefix="0" xfId="0">
      <alignment horizontal="center"/>
    </xf>
    <xf numFmtId="0" fontId="15" fillId="17" borderId="9" applyAlignment="1" pivotButton="0" quotePrefix="0" xfId="0">
      <alignment horizontal="left" vertical="center"/>
    </xf>
    <xf numFmtId="0" fontId="15" fillId="19" borderId="9" applyAlignment="1" pivotButton="0" quotePrefix="0" xfId="0">
      <alignment horizontal="center"/>
    </xf>
    <xf numFmtId="4" fontId="15" fillId="19" borderId="9" applyAlignment="1" pivotButton="0" quotePrefix="0" xfId="0">
      <alignment horizontal="center"/>
    </xf>
    <xf numFmtId="0" fontId="15" fillId="19" borderId="9" applyAlignment="1" pivotButton="0" quotePrefix="0" xfId="0">
      <alignment horizontal="left" vertical="center"/>
    </xf>
    <xf numFmtId="0" fontId="17" fillId="9" borderId="0" pivotButton="0" quotePrefix="0" xfId="0"/>
    <xf numFmtId="0" fontId="0" fillId="0" borderId="0" pivotButton="0" quotePrefix="0" xfId="0"/>
    <xf numFmtId="0" fontId="24" fillId="9" borderId="0" pivotButton="0" quotePrefix="0" xfId="0"/>
    <xf numFmtId="0" fontId="43" fillId="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right" vertical="center"/>
    </xf>
    <xf numFmtId="0" fontId="45" fillId="22" borderId="11" applyAlignment="1" pivotButton="0" quotePrefix="0" xfId="0">
      <alignment horizontal="center" vertical="center"/>
    </xf>
    <xf numFmtId="0" fontId="0" fillId="0" borderId="12" pivotButton="0" quotePrefix="0" xfId="0"/>
    <xf numFmtId="0" fontId="41" fillId="0" borderId="0" applyAlignment="1" pivotButton="0" quotePrefix="0" xfId="0">
      <alignment horizontal="left"/>
    </xf>
    <xf numFmtId="0" fontId="4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/>
    </xf>
    <xf numFmtId="0" fontId="47" fillId="0" borderId="0" pivotButton="0" quotePrefix="0" xfId="0"/>
    <xf numFmtId="176" fontId="0" fillId="0" borderId="0" pivotButton="0" quotePrefix="0" xfId="0"/>
    <xf numFmtId="0" fontId="21" fillId="11" borderId="0" pivotButton="0" quotePrefix="0" xfId="0"/>
    <xf numFmtId="0" fontId="29" fillId="14" borderId="0" applyAlignment="1" pivotButton="0" quotePrefix="0" xfId="0">
      <alignment horizontal="center"/>
    </xf>
    <xf numFmtId="164" fontId="48" fillId="0" borderId="0" pivotButton="0" quotePrefix="0" xfId="0"/>
    <xf numFmtId="176" fontId="25" fillId="0" borderId="0" pivotButton="0" quotePrefix="0" xfId="0"/>
    <xf numFmtId="1" fontId="19" fillId="10" borderId="0" applyAlignment="1" pivotButton="0" quotePrefix="0" xfId="0">
      <alignment horizontal="center"/>
    </xf>
    <xf numFmtId="168" fontId="28" fillId="0" borderId="0" pivotButton="0" quotePrefix="0" xfId="0"/>
    <xf numFmtId="172" fontId="0" fillId="0" borderId="0" pivotButton="0" quotePrefix="0" xfId="0"/>
    <xf numFmtId="172" fontId="19" fillId="10" borderId="0" pivotButton="0" quotePrefix="0" xfId="0"/>
    <xf numFmtId="177" fontId="0" fillId="0" borderId="0" pivotButton="0" quotePrefix="0" xfId="0"/>
    <xf numFmtId="172" fontId="19" fillId="0" borderId="0" pivotButton="0" quotePrefix="0" xfId="0"/>
    <xf numFmtId="172" fontId="19" fillId="11" borderId="0" pivotButton="0" quotePrefix="0" xfId="0"/>
    <xf numFmtId="168" fontId="29" fillId="0" borderId="0" pivotButton="0" quotePrefix="0" xfId="0"/>
    <xf numFmtId="166" fontId="20" fillId="0" borderId="0" pivotButton="0" quotePrefix="0" xfId="0"/>
    <xf numFmtId="178" fontId="0" fillId="0" borderId="0" pivotButton="0" quotePrefix="0" xfId="0"/>
    <xf numFmtId="179" fontId="19" fillId="0" borderId="0" pivotButton="0" quotePrefix="0" xfId="0"/>
    <xf numFmtId="179" fontId="0" fillId="0" borderId="0" pivotButton="0" quotePrefix="0" xfId="0"/>
    <xf numFmtId="176" fontId="19" fillId="0" borderId="0" pivotButton="0" quotePrefix="0" xfId="0"/>
    <xf numFmtId="176" fontId="19" fillId="11" borderId="0" pivotButton="0" quotePrefix="0" xfId="0"/>
    <xf numFmtId="0" fontId="19" fillId="0" borderId="0" pivotButton="0" quotePrefix="1" xfId="0"/>
    <xf numFmtId="179" fontId="25" fillId="0" borderId="0" pivotButton="0" quotePrefix="0" xfId="0"/>
    <xf numFmtId="4" fontId="25" fillId="0" borderId="0" pivotButton="0" quotePrefix="0" xfId="0"/>
    <xf numFmtId="180" fontId="19" fillId="0" borderId="0" pivotButton="0" quotePrefix="0" xfId="0"/>
    <xf numFmtId="180" fontId="19" fillId="11" borderId="0" pivotButton="0" quotePrefix="0" xfId="0"/>
    <xf numFmtId="0" fontId="19" fillId="10" borderId="13" applyAlignment="1" pivotButton="0" quotePrefix="0" xfId="0">
      <alignment horizontal="center"/>
    </xf>
    <xf numFmtId="168" fontId="19" fillId="10" borderId="13" applyAlignment="1" pivotButton="0" quotePrefix="0" xfId="0">
      <alignment horizontal="center"/>
    </xf>
    <xf numFmtId="168" fontId="19" fillId="10" borderId="13" pivotButton="0" quotePrefix="0" xfId="0"/>
    <xf numFmtId="164" fontId="0" fillId="0" borderId="13" pivotButton="0" quotePrefix="0" xfId="0"/>
    <xf numFmtId="164" fontId="19" fillId="11" borderId="13" pivotButton="0" quotePrefix="0" xfId="0"/>
    <xf numFmtId="0" fontId="37" fillId="0" borderId="0" pivotButton="0" quotePrefix="0" xfId="0"/>
    <xf numFmtId="164" fontId="37" fillId="11" borderId="0" pivotButton="0" quotePrefix="0" xfId="0"/>
    <xf numFmtId="181" fontId="0" fillId="0" borderId="0" pivotButton="0" quotePrefix="0" xfId="0"/>
    <xf numFmtId="182" fontId="0" fillId="0" borderId="0" pivotButton="0" quotePrefix="0" xfId="0"/>
    <xf numFmtId="165" fontId="29" fillId="0" borderId="0" pivotButton="0" quotePrefix="0" xfId="0"/>
    <xf numFmtId="181" fontId="19" fillId="0" borderId="0" pivotButton="0" quotePrefix="0" xfId="0"/>
    <xf numFmtId="182" fontId="19" fillId="11" borderId="0" pivotButton="0" quotePrefix="0" xfId="0"/>
    <xf numFmtId="167" fontId="20" fillId="0" borderId="0" pivotButton="0" quotePrefix="0" xfId="0"/>
    <xf numFmtId="173" fontId="2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2" fontId="20" fillId="0" borderId="0" pivotButton="0" quotePrefix="0" xfId="0"/>
    <xf numFmtId="172" fontId="0" fillId="0" borderId="0" pivotButton="0" quotePrefix="0" xfId="0"/>
    <xf numFmtId="172" fontId="19" fillId="10" borderId="0" pivotButton="0" quotePrefix="0" xfId="0"/>
    <xf numFmtId="172" fontId="19" fillId="0" borderId="0" pivotButton="0" quotePrefix="0" xfId="0"/>
    <xf numFmtId="172" fontId="19" fillId="11" borderId="0" pivotButton="0" quotePrefix="0" xfId="0"/>
    <xf numFmtId="179" fontId="19" fillId="0" borderId="0" pivotButton="0" quotePrefix="0" xfId="0"/>
    <xf numFmtId="179" fontId="0" fillId="0" borderId="0" pivotButton="0" quotePrefix="0" xfId="0"/>
    <xf numFmtId="179" fontId="25" fillId="0" borderId="0" pivotButton="0" quotePrefix="0" xfId="0"/>
    <xf numFmtId="180" fontId="19" fillId="0" borderId="0" pivotButton="0" quotePrefix="0" xfId="0"/>
    <xf numFmtId="180" fontId="19" fillId="11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1" fontId="19" fillId="0" borderId="0" pivotButton="0" quotePrefix="0" xfId="0"/>
    <xf numFmtId="182" fontId="19" fillId="11" borderId="0" pivotButton="0" quotePrefix="0" xfId="0"/>
    <xf numFmtId="167" fontId="25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71" fontId="0" fillId="0" borderId="0" pivotButton="0" quotePrefix="0" xfId="0"/>
    <xf numFmtId="167" fontId="20" fillId="0" borderId="0" applyAlignment="1" pivotButton="0" quotePrefix="0" xfId="0">
      <alignment horizontal="right"/>
    </xf>
    <xf numFmtId="167" fontId="29" fillId="13" borderId="0" applyAlignment="1" pivotButton="0" quotePrefix="0" xfId="0">
      <alignment horizontal="right"/>
    </xf>
    <xf numFmtId="0" fontId="52" fillId="0" borderId="0" applyAlignment="1" pivotButton="0" quotePrefix="0" xfId="0">
      <alignment horizontal="left"/>
    </xf>
    <xf numFmtId="183" fontId="15" fillId="23" borderId="16" applyAlignment="1" pivotButton="0" quotePrefix="0" xfId="0">
      <alignment horizontal="center"/>
    </xf>
    <xf numFmtId="168" fontId="49" fillId="24" borderId="16" applyAlignment="1" pivotButton="0" quotePrefix="0" xfId="0">
      <alignment horizontal="center"/>
    </xf>
    <xf numFmtId="167" fontId="15" fillId="23" borderId="16" applyAlignment="1" pivotButton="0" quotePrefix="0" xfId="0">
      <alignment horizontal="center"/>
    </xf>
    <xf numFmtId="168" fontId="15" fillId="23" borderId="16" applyAlignment="1" pivotButton="0" quotePrefix="0" xfId="0">
      <alignment horizontal="center"/>
    </xf>
    <xf numFmtId="166" fontId="15" fillId="23" borderId="16" applyAlignment="1" pivotButton="0" quotePrefix="0" xfId="0">
      <alignment horizontal="center"/>
    </xf>
    <xf numFmtId="0" fontId="50" fillId="23" borderId="16" applyAlignment="1" pivotButton="0" quotePrefix="0" xfId="0">
      <alignment horizontal="center"/>
    </xf>
    <xf numFmtId="183" fontId="15" fillId="25" borderId="16" applyAlignment="1" pivotButton="0" quotePrefix="0" xfId="0">
      <alignment horizontal="center"/>
    </xf>
    <xf numFmtId="167" fontId="15" fillId="25" borderId="16" applyAlignment="1" pivotButton="0" quotePrefix="0" xfId="0">
      <alignment horizontal="center"/>
    </xf>
    <xf numFmtId="168" fontId="15" fillId="25" borderId="16" applyAlignment="1" pivotButton="0" quotePrefix="0" xfId="0">
      <alignment horizontal="center"/>
    </xf>
    <xf numFmtId="166" fontId="15" fillId="25" borderId="16" applyAlignment="1" pivotButton="0" quotePrefix="0" xfId="0">
      <alignment horizontal="center"/>
    </xf>
    <xf numFmtId="0" fontId="50" fillId="25" borderId="16" applyAlignment="1" pivotButton="0" quotePrefix="0" xfId="0">
      <alignment horizontal="center"/>
    </xf>
    <xf numFmtId="3" fontId="15" fillId="23" borderId="16" applyAlignment="1" pivotButton="0" quotePrefix="0" xfId="0">
      <alignment horizontal="center"/>
    </xf>
    <xf numFmtId="168" fontId="51" fillId="26" borderId="16" applyAlignment="1" pivotButton="0" quotePrefix="0" xfId="0">
      <alignment horizontal="center"/>
    </xf>
    <xf numFmtId="3" fontId="15" fillId="25" borderId="16" applyAlignment="1" pivotButton="0" quotePrefix="0" xfId="0">
      <alignment horizontal="center"/>
    </xf>
    <xf numFmtId="167" fontId="50" fillId="25" borderId="16" applyAlignment="1" pivotButton="0" quotePrefix="0" xfId="0">
      <alignment horizontal="center"/>
    </xf>
    <xf numFmtId="168" fontId="50" fillId="25" borderId="16" applyAlignment="1" pivotButton="0" quotePrefix="0" xfId="0">
      <alignment horizontal="center"/>
    </xf>
    <xf numFmtId="3" fontId="50" fillId="25" borderId="16" applyAlignment="1" pivotButton="0" quotePrefix="0" xfId="0">
      <alignment horizontal="center"/>
    </xf>
    <xf numFmtId="166" fontId="50" fillId="25" borderId="16" applyAlignment="1" pivotButton="0" quotePrefix="0" xfId="0">
      <alignment horizontal="center"/>
    </xf>
    <xf numFmtId="3" fontId="50" fillId="23" borderId="16" applyAlignment="1" pivotButton="0" quotePrefix="0" xfId="0">
      <alignment horizontal="center"/>
    </xf>
    <xf numFmtId="167" fontId="50" fillId="23" borderId="16" applyAlignment="1" pivotButton="0" quotePrefix="0" xfId="0">
      <alignment horizontal="center"/>
    </xf>
    <xf numFmtId="168" fontId="50" fillId="23" borderId="16" applyAlignment="1" pivotButton="0" quotePrefix="0" xfId="0">
      <alignment horizontal="center"/>
    </xf>
    <xf numFmtId="166" fontId="50" fillId="23" borderId="16" applyAlignment="1" pivotButton="0" quotePrefix="0" xfId="0">
      <alignment horizontal="center"/>
    </xf>
    <xf numFmtId="183" fontId="50" fillId="25" borderId="16" applyAlignment="1" pivotButton="0" quotePrefix="0" xfId="0">
      <alignment horizontal="center"/>
    </xf>
    <xf numFmtId="183" fontId="50" fillId="23" borderId="16" applyAlignment="1" pivotButton="0" quotePrefix="0" xfId="0">
      <alignment horizontal="center"/>
    </xf>
    <xf numFmtId="0" fontId="53" fillId="27" borderId="0" pivotButton="0" quotePrefix="0" xfId="0"/>
    <xf numFmtId="0" fontId="15" fillId="0" borderId="0" pivotButton="0" quotePrefix="0" xfId="0"/>
  </cellXfs>
  <cellStyles count="1">
    <cellStyle name="Normal" xfId="0" builtinId="0"/>
  </cellStyles>
  <dxfs count="3">
    <dxf>
      <font>
        <color rgb="FFFFFFFF"/>
      </font>
      <fill>
        <patternFill patternType="solid">
          <fgColor theme="5"/>
          <bgColor theme="5"/>
        </patternFill>
      </fill>
    </dxf>
    <dxf>
      <font>
        <color rgb="FFFFFFFF"/>
      </font>
      <fill>
        <patternFill patternType="solid">
          <fgColor rgb="FF34A853"/>
          <bgColor rgb="FF34A853"/>
        </patternFill>
      </fill>
    </dxf>
    <dxf>
      <font>
        <color rgb="FFFFFFFF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Andrey Semenov</author>
  </authors>
  <commentList>
    <comment ref="B8" authorId="0" shapeId="0">
      <text>
        <t>Andrey Semenov:
DPZ price ~$372 Apr 2026</t>
      </text>
    </comment>
    <comment ref="C8" authorId="0" shapeId="0">
      <text>
        <t>Andrey Semenov:
UNH $354 Apr 24 2026</t>
      </text>
    </comment>
    <comment ref="D8" authorId="0" shapeId="0">
      <text>
        <t>Andrey Semenov:
1810.HK HKD 31.20 Apr 26 2026</t>
      </text>
    </comment>
    <comment ref="E8" authorId="0" shapeId="0">
      <text>
        <t>Andrey Semenov:
LEN $94 Apr 24 2026</t>
      </text>
    </comment>
    <comment ref="F8" authorId="0" shapeId="0">
      <text>
        <t>Andrey Semenov:
POOL $234 Apr 21 2026</t>
      </text>
    </comment>
    <comment ref="G8" authorId="0" shapeId="0">
      <text>
        <t>Andrey Semenov:
TTE ADR $89.79 Apr 24 2026</t>
      </text>
    </comment>
    <comment ref="H8" authorId="0" shapeId="0">
      <text>
        <t>Andrey Semenov:
Source: NVDA $216.61 hit ATH Apr 27 2026; market cap $5.3T</t>
      </text>
    </comment>
    <comment ref="C9" authorId="0" shapeId="0">
      <text>
        <t>Andrey Semenov:
UNH 908.21M shares</t>
      </text>
    </comment>
    <comment ref="D9" authorId="0" shapeId="0">
      <text>
        <t>Andrey Semenov:
Xiaomi 25.5B shares</t>
      </text>
    </comment>
    <comment ref="E9" authorId="0" shapeId="0">
      <text>
        <t>Andrey Semenov:
LEN 247.6M</t>
      </text>
    </comment>
    <comment ref="F9" authorId="0" shapeId="0">
      <text>
        <t>Andrey Semenov:
POOL 36.7M</t>
      </text>
    </comment>
    <comment ref="G9" authorId="0" shapeId="0">
      <text>
        <t>Andrey Semenov:
TTE 2.13B ADR shares</t>
      </text>
    </comment>
    <comment ref="H9" authorId="0" shapeId="0">
      <text>
        <t>Andrey Semenov:
Source: 10-K FY26 — 24.3B diluted shares</t>
      </text>
    </comment>
    <comment ref="C11" authorId="0" shapeId="0">
      <text>
        <t>Andrey Semenov:
UNH ~$80B LT debt minus cash</t>
      </text>
    </comment>
    <comment ref="D11" authorId="0" shapeId="0">
      <text>
        <t>Andrey Semenov:
Xiaomi has NET CASH ~RMB 100B / HKD ~110B</t>
      </text>
    </comment>
    <comment ref="E11" authorId="0" shapeId="0">
      <text>
        <t>Andrey Semenov:
LEN $2.1B net debt</t>
      </text>
    </comment>
    <comment ref="F11" authorId="0" shapeId="0">
      <text>
        <t>Andrey Semenov:
POOL $1.2B total debt - $25M cash</t>
      </text>
    </comment>
    <comment ref="G11" authorId="0" shapeId="0">
      <text>
        <t>Andrey Semenov:
TTE $20.2B net debt FY2025</t>
      </text>
    </comment>
    <comment ref="H11" authorId="0" shapeId="0">
      <text>
        <t>Andrey Semenov:
Source: NVDA NET CASH ~$43B cash &amp; marketable securities minus ~$5B LT debt</t>
      </text>
    </comment>
    <comment ref="C15" authorId="0" shapeId="0">
      <text>
        <t>Andrey Semenov:
UNH LTM rev $449.7B</t>
      </text>
    </comment>
    <comment ref="D15" authorId="0" shapeId="0">
      <text>
        <t>Andrey Semenov:
Xiaomi FY2025 RMB 457.3B (we model in HKD ~equivalent for share basis)</t>
      </text>
    </comment>
    <comment ref="E15" authorId="0" shapeId="0">
      <text>
        <t>Andrey Semenov:
LEN FY2025 $34.2B</t>
      </text>
    </comment>
    <comment ref="F15" authorId="0" shapeId="0">
      <text>
        <t>Andrey Semenov:
POOL FY2025 $5.3B</t>
      </text>
    </comment>
    <comment ref="G15" authorId="0" shapeId="0">
      <text>
        <t>Andrey Semenov:
TTE FY2025 ~$200B</t>
      </text>
    </comment>
    <comment ref="H15" authorId="0" shapeId="0">
      <text>
        <t>Andrey Semenov:
Source: FY2026 revenue $215.9B, +65.5% YoY</t>
      </text>
    </comment>
    <comment ref="B16" authorId="0" shapeId="0">
      <text>
        <t>Andrey Semenov:
DPZ LTM ~$680M</t>
      </text>
    </comment>
    <comment ref="C16" authorId="0" shapeId="0">
      <text>
        <t>Andrey Semenov:
UNH TTM Sep 2025 $17.4B (depressed)</t>
      </text>
    </comment>
    <comment ref="D16" authorId="0" shapeId="0">
      <text>
        <t>Andrey Semenov:
Xiaomi FY2024 RMB 32B - we use RMB, will adjust per-share</t>
      </text>
    </comment>
    <comment ref="E16" authorId="0" shapeId="0">
      <text>
        <t>Andrey Semenov:
LEN FY2025 $28M (collapsed from $2.27B FY24)</t>
      </text>
    </comment>
    <comment ref="F16" authorId="0" shapeId="0">
      <text>
        <t>Andrey Semenov:
POOL FY25 OCF $366M - capex $30M</t>
      </text>
    </comment>
    <comment ref="G16" authorId="0" shapeId="0">
      <text>
        <t>Andrey Semenov:
TTE TTM Jun 2025 FCF ~$11.4B</t>
      </text>
    </comment>
    <comment ref="H16" authorId="0" shapeId="0">
      <text>
        <t>Andrey Semenov:
Source: NVDA FY2026 estimated FCF ~$72B (Q4 $61.8B reported, but cumulative figure)</t>
      </text>
    </comment>
    <comment ref="B17" authorId="0" shapeId="0">
      <text>
        <t>Andrey Semenov:
Avg FY24-25</t>
      </text>
    </comment>
    <comment ref="C17" authorId="0" shapeId="0">
      <text>
        <t>Andrey Semenov:
UNH normalized: avg FY23-24 was ~$25B; we use $24B as recovery base</t>
      </text>
    </comment>
    <comment ref="D17" authorId="0" shapeId="0">
      <text>
        <t>Andrey Semenov:
Xiaomi growing FCF; $35B forward run-rate</t>
      </text>
    </comment>
    <comment ref="E17" authorId="0" shapeId="0">
      <text>
        <t>Andrey Semenov:
LEN cycle-avg ~$1.5B (FY24 was $2.27B, FY25 only $28M)</t>
      </text>
    </comment>
    <comment ref="F17" authorId="0" shapeId="0">
      <text>
        <t>Andrey Semenov:
POOL cycle-avg ~$380M (FY24 $595M, FY25 $336M)</t>
      </text>
    </comment>
    <comment ref="G17" authorId="0" shapeId="0">
      <text>
        <t>Andrey Semenov:
TTE cycle-avg ~$13B at $70/bbl Brent</t>
      </text>
    </comment>
    <comment ref="H17" authorId="0" shapeId="0">
      <text>
        <t>Andrey Semenov:
Forward run-rate normalized FCF — FY27 implied at $78B Q1 rev x 4 + growth, ~45% FCF margin = $95B</t>
      </text>
    </comment>
    <comment ref="B21" authorId="0" shapeId="0">
      <text>
        <t>Andrey Semenov:
DPZ: conservative; mgmt LT 7%, analysts 5.5%</t>
      </text>
    </comment>
    <comment ref="C21" authorId="0" shapeId="0">
      <text>
        <t>Andrey Semenov:
UNH: recovery from MA pressure; mgmt LT 13-16% EPS but reduced; FCF normalization</t>
      </text>
    </comment>
    <comment ref="D21" authorId="0" shapeId="0">
      <text>
        <t>Andrey Semenov:
Xiaomi: high growth EV biz + smartphone leadership; FY25 +25% rev. We haircut to 12%</t>
      </text>
    </comment>
    <comment ref="E21" authorId="0" shapeId="0">
      <text>
        <t>Andrey Semenov:
LEN: housing cyclical; assume normalization recovery</t>
      </text>
    </comment>
    <comment ref="F21" authorId="0" shapeId="0">
      <text>
        <t>Andrey Semenov:
POOL: pool industry recovery from weak cycle; mgmt 2026 guide flat-to-up</t>
      </text>
    </comment>
    <comment ref="G21" authorId="0" shapeId="0">
      <text>
        <t>Andrey Semenov:
TTE: oil major; +$10B FCF growth by 2030 = ~3% FCF CAGR</t>
      </text>
    </comment>
    <comment ref="H21" authorId="0" shapeId="0">
      <text>
        <t>Andrey Semenov:
Y1-5: AI capex cycle continues; Q1'27 guide $78B = +47% YoY but we haircut to 18% LT given law of large numbers</t>
      </text>
    </comment>
    <comment ref="H22" authorId="0" shapeId="0">
      <text>
        <t>Andrey Semenov:
Y6-10: AI infrastructure maturation, competition from custom silicon</t>
      </text>
    </comment>
    <comment ref="G23" authorId="0" shapeId="0">
      <text>
        <t>Andrey Semenov:
TTE: oil decline tail risk</t>
      </text>
    </comment>
    <comment ref="H23" authorId="0" shapeId="0">
      <text>
        <t>Andrey Semenov:
Y11-15: GDP-plus mature growth</t>
      </text>
    </comment>
    <comment ref="C24" authorId="0" shapeId="0">
      <text>
        <t>Andrey Semenov:
Lower beta but regulatory risk; use 9%</t>
      </text>
    </comment>
    <comment ref="D24" authorId="0" shapeId="0">
      <text>
        <t>Andrey Semenov:
Higher risk: China/Hong Kong, EV competition; 11%</t>
      </text>
    </comment>
    <comment ref="E24" authorId="0" shapeId="0">
      <text>
        <t>Andrey Semenov:
Cyclical homebuilder; 10%</t>
      </text>
    </comment>
    <comment ref="G24" authorId="0" shapeId="0">
      <text>
        <t>Andrey Semenov:
Oil major; some commodity risk; 9%</t>
      </text>
    </comment>
    <comment ref="H24" authorId="0" shapeId="0">
      <text>
        <t>Andrey Semenov:
Higher discount rate — tech concentration risk, China export curbs, valuation risk</t>
      </text>
    </comment>
    <comment ref="G25" authorId="0" shapeId="0">
      <text>
        <t>Andrey Semenov:
Terminal 0% — oil decline assumption</t>
      </text>
    </comment>
    <comment ref="B26" authorId="0" shapeId="0">
      <text>
        <t>Andrey Semenov:
DPZ historical avg ~3.4%/yr</t>
      </text>
    </comment>
    <comment ref="C26" authorId="0" shapeId="0">
      <text>
        <t>Andrey Semenov:
UNH ~2%/yr; just paused MA</t>
      </text>
    </comment>
    <comment ref="D26" authorId="0" shapeId="0">
      <text>
        <t>Andrey Semenov:
Xiaomi: NO buybacks, no dividend (growth co)</t>
      </text>
    </comment>
    <comment ref="E26" authorId="0" shapeId="0">
      <text>
        <t>Andrey Semenov:
LEN: $1.7B/yr buybacks = ~7% but cyclical; haircut to 4%</t>
      </text>
    </comment>
    <comment ref="F26" authorId="0" shapeId="0">
      <text>
        <t>Andrey Semenov:
POOL: $341M/$8.6B mkt = ~4%; haircut to 3%</t>
      </text>
    </comment>
    <comment ref="G26" authorId="0" shapeId="0">
      <text>
        <t>Andrey Semenov:
TTE: $7.5B/$200B mkt = ~3.5%/yr</t>
      </text>
    </comment>
    <comment ref="H26" authorId="0" shapeId="0">
      <text>
        <t>Andrey Semenov:
Source: $40.1B buyback / $5.3T mkt cap = ~0.76%; but accelerating, plus offsets SBC dilution. Effective net ~1.8%/yr.</t>
      </text>
    </comment>
  </commentList>
</comments>
</file>

<file path=xl/comments/comment2.xml><?xml version="1.0" encoding="utf-8"?>
<comments xmlns="http://schemas.openxmlformats.org/spreadsheetml/2006/main">
  <authors>
    <author>Andrey Semenov</author>
  </authors>
  <commentList>
    <comment ref="B8" authorId="0" shapeId="0">
      <text>
        <t>Andrey Semenov:
Source: Sacra/Bloomberg; pre-split ~1B shares, May 2026 5-for-1 split = ~5B post-split shares</t>
      </text>
    </comment>
    <comment ref="B9" authorId="0" shapeId="0">
      <text>
        <t>Andrey Semenov:
Source: Sacra; Dec 2025 insider sale at $421.06/sh pre-split = $84.21 post 5-for-1 split</t>
      </text>
    </comment>
    <comment ref="D43" authorId="0" shapeId="0">
      <text>
        <t>Andrey Semenov:
Source: Estimated based on capital-intensive Starlink constellation + Launch infra. ~12% D&amp;A reflects ongoing satellite depreciation</t>
      </text>
    </comment>
    <comment ref="G43" authorId="0" shapeId="0">
      <text>
        <t>Andrey Semenov:
Source: Estimated based on capital-intensive Starlink constellation + Launch infra. ~12% D&amp;A reflects ongoing satellite depreciation</t>
      </text>
    </comment>
    <comment ref="D44" authorId="0" shapeId="0">
      <text>
        <t>Andrey Semenov:
Source: Heavy CapEx for Starlink satellite launches, Starship development, xAI compute. Tapers as scale builds toward 12-13% in terminal</t>
      </text>
    </comment>
    <comment ref="G44" authorId="0" shapeId="0">
      <text>
        <t>Andrey Semenov:
Source: Heavy CapEx for Starlink satellite launches, Starship development, xAI compute. Tapers as scale builds</t>
      </text>
    </comment>
    <comment ref="D45" authorId="0" shapeId="0">
      <text>
        <t>Andrey Semenov:
Source: Modest working capital build for subscription business (deferred rev mostly offsets receivables)</t>
      </text>
    </comment>
    <comment ref="G45" authorId="0" shapeId="0">
      <text>
        <t>Andrey Semenov:
Source: Modest working capital build for subscription business (deferred rev mostly offsets)</t>
      </text>
    </comment>
    <comment ref="C48" authorId="0" shapeId="0">
      <text>
        <t>Andrey Semenov:
Source: Sacra/IPO draft prospectus reporting, 2025A Starlink revenue $11.4B (61% of total)</t>
      </text>
    </comment>
    <comment ref="C49" authorId="0" shapeId="0">
      <text>
        <t>Andrey Semenov:
Source: Sacra 2025A Launch revenue $4.1B (3rd-party launches; +8% YoY)</t>
      </text>
    </comment>
    <comment ref="C50" authorId="0" shapeId="0">
      <text>
        <t>Andrey Semenov:
Source: Implied residual; $18.7B total - $11.4B Starlink - $4.1B Launch = $3.2B (xAI/Grok/X/other consolidated post Feb 2026 acquisition)</t>
      </text>
    </comment>
  </commentList>
</comments>
</file>

<file path=xl/comments/comment3.xml><?xml version="1.0" encoding="utf-8"?>
<comments xmlns="http://schemas.openxmlformats.org/spreadsheetml/2006/main">
  <authors>
    <author>Andrey Semenov</author>
  </authors>
  <commentList>
    <comment ref="B5" authorId="0" shapeId="0">
      <text>
        <t>Andrey Semenov:
Source: US 10-Year Treasury yield, May 2026, approx 4.25%</t>
      </text>
    </comment>
    <comment ref="B6" authorId="0" shapeId="0">
      <text>
        <t>Andrey Semenov:
Source: Damodaran implied ERP for US market, 2025-26 range 5.0-6.0%</t>
      </text>
    </comment>
    <comment ref="B7" authorId="0" shapeId="0">
      <text>
        <t>Andrey Semenov:
Source: Peer beta from Tesla (~2.0), high-growth comms/aerospace peers (RKLB, IRDM ~1.2-1.5). Weighted ~1.4 for consolidated SpaceX given Starlink recurring + Launch + xAI volatility</t>
      </text>
    </comment>
    <comment ref="B8" authorId="0" shapeId="0">
      <text>
        <t>Andrey Semenov:
Source: Mega-cap US listing premium of 0.5% applied for governance/execution risk (super-voting Class B, Starship/xAI uncertainty)</t>
      </text>
    </comment>
    <comment ref="B12" authorId="0" shapeId="0">
      <text>
        <t>Andrey Semenov:
Source: Estimated based on BB-equivalent credit profile (unrated), ~10Y UST + 225bps spread</t>
      </text>
    </comment>
    <comment ref="B13" authorId="0" shapeId="0">
      <text>
        <t>Andrey Semenov:
Source: US Federal corporate tax rate; SpaceX expected to have meaningful taxes only post-NOL utilization</t>
      </text>
    </comment>
    <comment ref="B17" authorId="0" shapeId="0">
      <text>
        <t>Andrey Semenov:
Source: TechCrunch/WSJ April 2026 reported confidential filing valuation $1.75T base case</t>
      </text>
    </comment>
    <comment ref="B18" authorId="0" shapeId="0">
      <text>
        <t>Andrey Semenov:
Source: WSJ late-2025 reporting; SpaceX modest debt balance ~$5B (revolver + notes)</t>
      </text>
    </comment>
    <comment ref="B19" authorId="0" shapeId="0">
      <text>
        <t>Andrey Semenov:
Source: WSJ late-2025 reporting; &gt;$3B cash position</t>
      </text>
    </comment>
  </commentList>
</comments>
</file>

<file path=xl/comments/comment4.xml><?xml version="1.0" encoding="utf-8"?>
<comments xmlns="http://schemas.openxmlformats.org/spreadsheetml/2006/main">
  <authors>
    <author>Andrey Semenov</author>
  </authors>
  <commentList>
    <comment ref="B12" authorId="0" shapeId="0">
      <text>
        <t>Andrey Semenov:
Source: WSJ/Reuters Dec 2025 — SpaceX insider tender at $421.06/share = $800B valuation</t>
      </text>
    </comment>
    <comment ref="B13" authorId="0" shapeId="0">
      <text>
        <t>Andrey Semenov:
Source: TechCrunch April 2026, WSJ — SpaceX confidential filing $1.75T base IPO valuation</t>
      </text>
    </comment>
    <comment ref="B14" authorId="0" shapeId="0">
      <text>
        <t>Andrey Semenov:
Source: Bloomberg May 2026 — SpaceX raised IPO target above $2T</t>
      </text>
    </comment>
  </commentList>
</comments>
</file>

<file path=xl/comments/comment5.xml><?xml version="1.0" encoding="utf-8"?>
<comments xmlns="http://schemas.openxmlformats.org/spreadsheetml/2006/main">
  <authors>
    <author>Andrey Semenov</author>
  </authors>
  <commentList>
    <comment ref="B7" authorId="0" shapeId="0">
      <text>
        <t>Andrey Semenov:
Source: Berkshire 13F filing Q3 2024</t>
      </text>
    </comment>
    <comment ref="B44" authorId="0" shapeId="0">
      <text>
        <t>Andrey Semenov:
Source: Quiver Q1 2026 release Apr 27 2026, missed estimate of $4.31</t>
      </text>
    </comment>
    <comment ref="B45" authorId="0" shapeId="0">
      <text>
        <t>Andrey Semenov:
Source: Q1 2026 release — +3.5% YoY, missed est by ~$24M</t>
      </text>
    </comment>
    <comment ref="B46" authorId="0" shapeId="0">
      <text>
        <t>Andrey Semenov:
Source: Q1 2026 8-K Apr 27 2026</t>
      </text>
    </comment>
  </commentList>
</comments>
</file>

<file path=xl/comments/comment6.xml><?xml version="1.0" encoding="utf-8"?>
<comments xmlns="http://schemas.openxmlformats.org/spreadsheetml/2006/main">
  <authors>
    <author>Andrey Semenov</author>
  </authors>
  <commentList>
    <comment ref="B9" authorId="0" shapeId="0">
      <text>
        <t>Andrey Semenov:
Source: BRK 13F filings Q3 2024 — Berkshire bought DPZ at avg ~$437</t>
      </text>
    </comment>
    <comment ref="B13" authorId="0" shapeId="0">
      <text>
        <t>Andrey Semenov:
Source: SEC 10-K FY2024</t>
      </text>
    </comment>
    <comment ref="C13" authorId="0" shapeId="0">
      <text>
        <t>Andrey Semenov:
Source: SEC 10-K FY2024</t>
      </text>
    </comment>
    <comment ref="D13" authorId="0" shapeId="0">
      <text>
        <t>Andrey Semenov:
Source: SEC 10-K FY2025</t>
      </text>
    </comment>
    <comment ref="E13" authorId="0" shapeId="0">
      <text>
        <t>Andrey Semenov:
Source: Q1 2026 8-K — LTM rolled (FY25 - Q1'25 + Q1'26)</t>
      </text>
    </comment>
    <comment ref="B15" authorId="0" shapeId="0">
      <text>
        <t>Andrey Semenov:
Source: SEC 10-K FY2024</t>
      </text>
    </comment>
    <comment ref="C15" authorId="0" shapeId="0">
      <text>
        <t>Andrey Semenov:
Source: SEC 10-K FY2024</t>
      </text>
    </comment>
    <comment ref="D15" authorId="0" shapeId="0">
      <text>
        <t>Andrey Semenov:
Source: SEC 10-K FY2025</t>
      </text>
    </comment>
    <comment ref="E15" authorId="0" shapeId="0">
      <text>
        <t>Andrey Semenov:
Source: Q1 2026 8-K — LTM rolled estimate</t>
      </text>
    </comment>
    <comment ref="B17" authorId="0" shapeId="0">
      <text>
        <t>Andrey Semenov:
Source: SEC 10-K</t>
      </text>
    </comment>
    <comment ref="C17" authorId="0" shapeId="0">
      <text>
        <t>Andrey Semenov:
Source: SEC 10-K FY2024</t>
      </text>
    </comment>
    <comment ref="D17" authorId="0" shapeId="0">
      <text>
        <t>Andrey Semenov:
Source: SEC 10-K FY2025</t>
      </text>
    </comment>
    <comment ref="E17" authorId="0" shapeId="0">
      <text>
        <t>Andrey Semenov:
Source: Q1 2026 8-K rolled LTM</t>
      </text>
    </comment>
    <comment ref="B18" authorId="0" shapeId="0">
      <text>
        <t>Andrey Semenov:
Source: SEC 10-K</t>
      </text>
    </comment>
    <comment ref="C18" authorId="0" shapeId="0">
      <text>
        <t>Andrey Semenov:
Source: SEC 10-K FY2024</t>
      </text>
    </comment>
    <comment ref="D18" authorId="0" shapeId="0">
      <text>
        <t>Andrey Semenov:
Source: SEC 10-K FY2025</t>
      </text>
    </comment>
    <comment ref="E18" authorId="0" shapeId="0">
      <text>
        <t>Andrey Semenov:
Estimated LTM — Q1 cash flow not separately disclosed</t>
      </text>
    </comment>
    <comment ref="E19" authorId="0" shapeId="0">
      <text>
        <t>Andrey Semenov:
Mgmt guidance ~$120M for 2026</t>
      </text>
    </comment>
    <comment ref="B24" authorId="0" shapeId="0">
      <text>
        <t>Andrey Semenov:
Conservative: DPZ guides 7% LT op income growth; we haircut. Mgmt long-term targets retail sales 6%+, op inc 7%+.</t>
      </text>
    </comment>
    <comment ref="B25" authorId="0" shapeId="0">
      <text>
        <t>Andrey Semenov:
Buffett conservative — fade toward GDP</t>
      </text>
    </comment>
    <comment ref="B26" authorId="0" shapeId="0">
      <text>
        <t>Andrey Semenov:
Approaching terminal</t>
      </text>
    </comment>
    <comment ref="B27" authorId="0" shapeId="0">
      <text>
        <t>Andrey Semenov:
Avg of FY24-25 (~12-14%); franchise model is capital-light</t>
      </text>
    </comment>
    <comment ref="B29" authorId="0" shapeId="0">
      <text>
        <t>Andrey Semenov:
Buffett uses 9-10% as hurdle rate regardless of CAPM</t>
      </text>
    </comment>
    <comment ref="B30" authorId="0" shapeId="0">
      <text>
        <t>Andrey Semenov:
Buffett conservative: 2.5% (~LT GDP/inflation)</t>
      </text>
    </comment>
    <comment ref="B31" authorId="0" shapeId="0">
      <text>
        <t>Andrey Semenov:
Toggle: type 'WACC' or 'Buffett 9%'</t>
      </text>
    </comment>
  </commentList>
</comments>
</file>

<file path=xl/comments/comment7.xml><?xml version="1.0" encoding="utf-8"?>
<comments xmlns="http://schemas.openxmlformats.org/spreadsheetml/2006/main">
  <authors>
    <author>Andrey Semenov</author>
  </authors>
  <commentList>
    <comment ref="B10" authorId="0" shapeId="0">
      <text>
        <t>Andrey Semenov:
Source: Q1 2026 8-K — new $1B + $459.7M remaining = $1.46B</t>
      </text>
    </comment>
    <comment ref="B11" authorId="0" shapeId="0">
      <text>
        <t>Andrey Semenov:
DPZ historical pace ~$500-700M/yr; conservative assumption</t>
      </text>
    </comment>
    <comment ref="B13" authorId="0" shapeId="0">
      <text>
        <t>Andrey Semenov:
Source: $7.96/yr div / $372 price = 2.14%</t>
      </text>
    </comment>
    <comment ref="B37" authorId="0" shapeId="0">
      <text>
        <t>Andrey Semenov:
Net debt is current; not adjusting for future paydown — conservative</t>
      </text>
    </comment>
  </commentList>
</comments>
</file>

<file path=xl/comments/comment8.xml><?xml version="1.0" encoding="utf-8"?>
<comments xmlns="http://schemas.openxmlformats.org/spreadsheetml/2006/main">
  <authors>
    <author>Andrey Semenov</author>
  </authors>
  <commentList>
    <comment ref="B5" authorId="0" shapeId="0">
      <text>
        <t>Andrey Semenov:
Source: 10Y UST yield ~4.3% as of Apr 2026</t>
      </text>
    </comment>
    <comment ref="B6" authorId="0" shapeId="0">
      <text>
        <t>Andrey Semenov:
Source: Yahoo Finance / Bloomberg, DPZ 5Y beta ~0.7</t>
      </text>
    </comment>
    <comment ref="B7" authorId="0" shapeId="0">
      <text>
        <t>Andrey Semenov:
Source: Damodaran ERP ~5.5%</t>
      </text>
    </comment>
    <comment ref="B11" authorId="0" shapeId="0">
      <text>
        <t>Andrey Semenov:
Source: 2025 Refinancing notes 4.93%-5.22% avg ~5.2%</t>
      </text>
    </comment>
    <comment ref="B12" authorId="0" shapeId="0">
      <text>
        <t>Andrey Semenov:
Source: DPZ FY2025 effective tax rate ~22%</t>
      </text>
    </comment>
    <comment ref="B16" authorId="0" shapeId="0">
      <text>
        <t>Andrey Semenov:
Source: Investing.com / Yahoo Finance, Apr 2026</t>
      </text>
    </comment>
    <comment ref="B17" authorId="0" shapeId="0">
      <text>
        <t>Andrey Semenov:
Source: Morningstar, DPZ 10-K FY2025</t>
      </text>
    </comment>
    <comment ref="B19" authorId="0" shapeId="0">
      <text>
        <t>Andrey Semenov:
Source: DPZ 10-K FY2025 — asset-backed securitization notes</t>
      </text>
    </comment>
    <comment ref="B20" authorId="0" shapeId="0">
      <text>
        <t>Andrey Semenov:
Source: DPZ 10-K FY2025, p.balance sheet</t>
      </text>
    </comment>
  </commentList>
</comments>
</file>

<file path=xl/comments/comment9.xml><?xml version="1.0" encoding="utf-8"?>
<comments xmlns="http://schemas.openxmlformats.org/spreadsheetml/2006/main">
  <authors>
    <author>Andrey Semenov</author>
  </authors>
  <commentList>
    <comment ref="C6" authorId="0" shapeId="0">
      <text>
        <t>Andrey Semenov:
Source: WallStreetZen, 34 analysts consensus FY2026</t>
      </text>
    </comment>
    <comment ref="D6" authorId="0" shapeId="0">
      <text>
        <t>Andrey Semenov:
Source: WallStreetZen, 36 analyst consensus EPS CAGR FY26-28</t>
      </text>
    </comment>
    <comment ref="E6" authorId="0" shapeId="0">
      <text>
        <t>Andrey Semenov:
Q1'26: SSS flat YoY (StockStory). Q4'25 US SSS +1.4%</t>
      </text>
    </comment>
    <comment ref="C7" authorId="0" shapeId="0">
      <text>
        <t>Andrey Semenov:
Source: consensus est</t>
      </text>
    </comment>
    <comment ref="E7" authorId="0" shapeId="0">
      <text>
        <t>Andrey Semenov:
Q4'25 SSS declining; fast-casual softness</t>
      </text>
    </comment>
    <comment ref="E8" authorId="0" shapeId="0">
      <text>
        <t>Andrey Semenov:
Q4'25 -5.8% SSS, but unit growth offsets</t>
      </text>
    </comment>
    <comment ref="E9" authorId="0" shapeId="0">
      <text>
        <t>Andrey Semenov:
Taco Bell +7%, KFC +1% Q4'25</t>
      </text>
    </comment>
    <comment ref="E10" authorId="0" shapeId="0">
      <text>
        <t>Andrey Semenov:
Burger King +2.6% Q4'25</t>
      </text>
    </comment>
    <comment ref="E11" authorId="0" shapeId="0">
      <text>
        <t>Andrey Semenov:
Slow but stable</t>
      </text>
    </comment>
    <comment ref="E12" authorId="0" shapeId="0">
      <text>
        <t>Andrey Semenov:
Direct pizza peer, weaker</t>
      </text>
    </comment>
    <comment ref="C14" authorId="0" shapeId="0">
      <text>
        <t>Andrey Semenov:
Source: WallStreetZen US Restaurants industry avg</t>
      </text>
    </comment>
    <comment ref="D14" authorId="0" shapeId="0">
      <text>
        <t>Andrey Semenov:
Source: WallStreetZen US Restaurants industry avg</t>
      </text>
    </comment>
    <comment ref="C15" authorId="0" shapeId="0">
      <text>
        <t>Andrey Semenov:
Source: Mordor Intelligence pizza foodservice forecast</t>
      </text>
    </comment>
    <comment ref="C16" authorId="0" shapeId="0">
      <text>
        <t>Andrey Semenov:
Source: DPZ mgmt 'Hungry for MORE' framework: 7%+ op income, 6%+ retail sales</t>
      </text>
    </comment>
    <comment ref="D17" authorId="0" shapeId="0">
      <text>
        <t>Andrey Semenov:
Source: DPZ mgmt long-term framework 7%+</t>
      </text>
    </comment>
    <comment ref="B21" authorId="0" shapeId="0">
      <text>
        <t>Andrey Semenov:
From Per-Share Model row 86 — actual realized 21-yr CAGR</t>
      </text>
    </comment>
    <comment ref="B22" authorId="0" shapeId="0">
      <text>
        <t>Andrey Semenov:
$220M (FY15) → $671.5M (FY25), 10 yrs</t>
      </text>
    </comment>
    <comment ref="B23" authorId="0" shapeId="0">
      <text>
        <t>Andrey Semenov:
FY15 rev ~$2.22B → FY25 $4.94B</t>
      </text>
    </comment>
    <comment ref="B24" authorId="0" shapeId="0">
      <text>
        <t>Andrey Semenov:
WallStreetZen: 34 analysts FY26 consensus 5.51%</t>
      </text>
    </comment>
    <comment ref="B25" authorId="0" shapeId="0">
      <text>
        <t>Andrey Semenov:
WallStreetZen 36 analysts; EPS grows faster than revenue due to buybacks</t>
      </text>
    </comment>
    <comment ref="B26" authorId="0" shapeId="0">
      <text>
        <t>Andrey Semenov:
Hungry for MORE LT framework</t>
      </text>
    </comment>
    <comment ref="B27" authorId="0" shapeId="0">
      <text>
        <t>Andrey Semenov:
Mordor Intelligence forecast 2026-2031</t>
      </text>
    </comment>
    <comment ref="B28" authorId="0" shapeId="0">
      <text>
        <t>Andrey Semenov:
Industry consensus avg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3.xml.rels><Relationships xmlns="http://schemas.openxmlformats.org/package/2006/relationships"><Relationship Type="http://schemas.openxmlformats.org/officeDocument/2006/relationships/hyperlink" Target="https://venture.angellist.com/v/andrey-a-semenov/i/invest/durovc-humand-series-a-ext" TargetMode="External" Id="rId1"/><Relationship Type="http://schemas.openxmlformats.org/officeDocument/2006/relationships/hyperlink" Target="https://venture.angellist.com/v/andrey-a-semenov/i/invest/daniel-gould-bioz-series-a" TargetMode="External" Id="rId2"/><Relationship Type="http://schemas.openxmlformats.org/officeDocument/2006/relationships/hyperlink" Target="https://venture.angellist.com/v/andrey-a-semenov/i/invest/zach-coelius-eventeny-seed-ext-prorata" TargetMode="External" Id="rId3"/><Relationship Type="http://schemas.openxmlformats.org/officeDocument/2006/relationships/hyperlink" Target="https://venture.angellist.com/v/andrey-a-semenov/i/invest/rv-inchfab-seed" TargetMode="External" Id="rId4"/><Relationship Type="http://schemas.openxmlformats.org/officeDocument/2006/relationships/hyperlink" Target="https://venture.angellist.com/v/andrey-a-semenov/i/invest/mana-ventures-anello-photonics-seed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D11" sqref="D11"/>
    </sheetView>
  </sheetViews>
  <sheetFormatPr baseColWidth="10" defaultRowHeight="13"/>
  <cols>
    <col width="80" customWidth="1" style="215" min="1" max="1"/>
    <col width="21.6640625" customWidth="1" style="215" min="2" max="7"/>
    <col width="63.33203125" customWidth="1" style="215" min="8" max="8"/>
  </cols>
  <sheetData>
    <row r="1" ht="18" customHeight="1" s="215">
      <c r="A1" s="214" t="inlineStr">
        <is>
          <t>Portfolio Comparison — 5 Names Ranked by Margin of Safety</t>
        </is>
      </c>
    </row>
    <row r="2">
      <c r="A2" s="59" t="inlineStr">
        <is>
          <t>Each model uses Buffett-style conservative assumptions (15-yr horizon, ~9% discount, mid-single-digit growth)</t>
        </is>
      </c>
    </row>
    <row r="4">
      <c r="A4" s="82" t="inlineStr">
        <is>
          <t>RANK</t>
        </is>
      </c>
      <c r="B4" s="82" t="inlineStr">
        <is>
          <t>Ticker</t>
        </is>
      </c>
      <c r="C4" s="82" t="inlineStr">
        <is>
          <t>Currency</t>
        </is>
      </c>
      <c r="D4" s="82" t="inlineStr">
        <is>
          <t>Current Price</t>
        </is>
      </c>
      <c r="E4" s="82" t="inlineStr">
        <is>
          <t>Intrinsic Value</t>
        </is>
      </c>
      <c r="F4" s="82" t="inlineStr">
        <is>
          <t>Upside %</t>
        </is>
      </c>
      <c r="G4" s="82" t="inlineStr">
        <is>
          <t>Verdict</t>
        </is>
      </c>
      <c r="H4" s="82" t="inlineStr">
        <is>
          <t>Key Risk</t>
        </is>
      </c>
    </row>
    <row r="5">
      <c r="A5" s="158" t="n">
        <v>1</v>
      </c>
      <c r="B5" s="158" t="inlineStr">
        <is>
          <t>UNH</t>
        </is>
      </c>
      <c r="C5" s="162" t="inlineStr">
        <is>
          <t>USD</t>
        </is>
      </c>
      <c r="D5" s="163">
        <f>'Portfolio DCF'!C85</f>
        <v/>
      </c>
      <c r="E5" s="164">
        <f>'Portfolio DCF'!C84</f>
        <v/>
      </c>
      <c r="F5" s="156">
        <f>'Portfolio DCF'!C86</f>
        <v/>
      </c>
      <c r="G5" s="158" t="inlineStr">
        <is>
          <t>BUY</t>
        </is>
      </c>
      <c r="H5" s="161" t="inlineStr">
        <is>
          <t>Medicare Advantage margin pressure, regulatory scrutiny</t>
        </is>
      </c>
    </row>
    <row r="6">
      <c r="A6" s="158" t="n">
        <v>2</v>
      </c>
      <c r="B6" s="158" t="inlineStr">
        <is>
          <t>LEN</t>
        </is>
      </c>
      <c r="C6" s="162" t="inlineStr">
        <is>
          <t>USD</t>
        </is>
      </c>
      <c r="D6" s="163">
        <f>'Portfolio DCF'!E85</f>
        <v/>
      </c>
      <c r="E6" s="164">
        <f>'Portfolio DCF'!E84</f>
        <v/>
      </c>
      <c r="F6" s="156">
        <f>'Portfolio DCF'!E86</f>
        <v/>
      </c>
      <c r="G6" s="158" t="inlineStr">
        <is>
          <t>BUY</t>
        </is>
      </c>
      <c r="H6" s="161" t="inlineStr">
        <is>
          <t>Housing cycle bottom — FY25 FCF collapsed; recovery dependent on rates</t>
        </is>
      </c>
    </row>
    <row r="7">
      <c r="A7" s="160" t="n">
        <v>3</v>
      </c>
      <c r="B7" s="160" t="inlineStr">
        <is>
          <t>1810.HK</t>
        </is>
      </c>
      <c r="C7" s="165" t="inlineStr">
        <is>
          <t>HKD</t>
        </is>
      </c>
      <c r="D7" s="166">
        <f>'Portfolio DCF'!D85</f>
        <v/>
      </c>
      <c r="E7" s="167">
        <f>'Portfolio DCF'!D84</f>
        <v/>
      </c>
      <c r="F7" s="159">
        <f>'Portfolio DCF'!D86</f>
        <v/>
      </c>
      <c r="G7" s="160" t="inlineStr">
        <is>
          <t>FAIR</t>
        </is>
      </c>
      <c r="H7" s="134" t="inlineStr">
        <is>
          <t>China geopolitical risk, EV competition, no buybacks</t>
        </is>
      </c>
    </row>
    <row r="8">
      <c r="A8" s="160" t="n">
        <v>4</v>
      </c>
      <c r="B8" s="160" t="inlineStr">
        <is>
          <t>TTE</t>
        </is>
      </c>
      <c r="C8" s="165" t="inlineStr">
        <is>
          <t>USD</t>
        </is>
      </c>
      <c r="D8" s="168">
        <f>'Portfolio DCF'!G85</f>
        <v/>
      </c>
      <c r="E8" s="169">
        <f>'Portfolio DCF'!G84</f>
        <v/>
      </c>
      <c r="F8" s="159">
        <f>'Portfolio DCF'!G86</f>
        <v/>
      </c>
      <c r="G8" s="160" t="inlineStr">
        <is>
          <t>FAIR</t>
        </is>
      </c>
      <c r="H8" s="134" t="inlineStr">
        <is>
          <t>Oil price cyclicality; energy transition long-term</t>
        </is>
      </c>
    </row>
    <row r="9">
      <c r="A9" s="160" t="n">
        <v>5</v>
      </c>
      <c r="B9" s="160" t="inlineStr">
        <is>
          <t>POOL</t>
        </is>
      </c>
      <c r="C9" s="165" t="inlineStr">
        <is>
          <t>USD</t>
        </is>
      </c>
      <c r="D9" s="168">
        <f>'Portfolio DCF'!F85</f>
        <v/>
      </c>
      <c r="E9" s="169">
        <f>'Portfolio DCF'!F84</f>
        <v/>
      </c>
      <c r="F9" s="159">
        <f>'Portfolio DCF'!F86</f>
        <v/>
      </c>
      <c r="G9" s="160" t="inlineStr">
        <is>
          <t>FAIR</t>
        </is>
      </c>
      <c r="H9" s="134" t="inlineStr">
        <is>
          <t>Pool industry slowdown; consumer discretionary</t>
        </is>
      </c>
    </row>
    <row r="10">
      <c r="A10" s="170" t="n">
        <v>6</v>
      </c>
      <c r="B10" s="170" t="inlineStr">
        <is>
          <t>DPZ</t>
        </is>
      </c>
      <c r="C10" s="171" t="inlineStr">
        <is>
          <t>USD</t>
        </is>
      </c>
      <c r="D10" s="173">
        <f>'Portfolio DCF'!B85</f>
        <v/>
      </c>
      <c r="E10" s="174">
        <f>'Portfolio DCF'!B84</f>
        <v/>
      </c>
      <c r="F10" s="175">
        <f>'Portfolio DCF'!B86</f>
        <v/>
      </c>
      <c r="G10" s="170" t="inlineStr">
        <is>
          <t>HOLD</t>
        </is>
      </c>
      <c r="H10" s="172" t="inlineStr">
        <is>
          <t>Fair value at $372; needs better entry — Buffett bought at $437 = ~fair</t>
        </is>
      </c>
    </row>
    <row r="11">
      <c r="A11" s="176" t="n">
        <v>7</v>
      </c>
      <c r="B11" s="176" t="inlineStr">
        <is>
          <t>NVDA</t>
        </is>
      </c>
      <c r="C11" s="177" t="inlineStr">
        <is>
          <t>USD</t>
        </is>
      </c>
      <c r="D11" s="179">
        <f>'Portfolio DCF'!H85</f>
        <v/>
      </c>
      <c r="E11" s="180">
        <f>'Portfolio DCF'!H84</f>
        <v/>
      </c>
      <c r="F11" s="181">
        <f>'Portfolio DCF'!H86</f>
        <v/>
      </c>
      <c r="G11" s="176" t="inlineStr">
        <is>
          <t>AVOID</t>
        </is>
      </c>
      <c r="H11" s="178" t="inlineStr">
        <is>
          <t>Priced for perfection at $5T market cap; 18% growth assumed but discount rate haircut</t>
        </is>
      </c>
    </row>
    <row r="12">
      <c r="A12" s="216" t="inlineStr">
        <is>
          <t>KEY INSIGHTS BY NAME</t>
        </is>
      </c>
    </row>
    <row r="13">
      <c r="A13" s="157" t="inlineStr">
        <is>
          <t>UNH (+76% upside) — BIGGEST OPPORTUNITY</t>
        </is>
      </c>
    </row>
    <row r="14">
      <c r="A14" t="inlineStr">
        <is>
          <t xml:space="preserve">  • Trading at $354 vs intrinsic $621. Stock crushed in 2025-26 from MA pressure + DOJ probes.</t>
        </is>
      </c>
    </row>
    <row r="15">
      <c r="A15" t="inlineStr">
        <is>
          <t xml:space="preserve">  • LTM FCF $17.4B is depressed; normalized FCF capacity ~$24B+ with margin recovery</t>
        </is>
      </c>
    </row>
    <row r="16">
      <c r="A16" t="inlineStr">
        <is>
          <t xml:space="preserve">  • Mgmt RAISED FY26 guide to $18.25 adj EPS in April. Q1'26 beat. Turnaround intact.</t>
        </is>
      </c>
    </row>
    <row r="17">
      <c r="A17" t="inlineStr">
        <is>
          <t xml:space="preserve">  • Buffett-style: defensive moat + secular tailwind + temp dislocation = Buffett setup</t>
        </is>
      </c>
    </row>
    <row r="18">
      <c r="A18" t="inlineStr">
        <is>
          <t xml:space="preserve">  • BIGGEST RISK: regulatory (Medicare risk-coding probes) — watch closely</t>
        </is>
      </c>
    </row>
    <row r="20">
      <c r="A20" s="157" t="inlineStr">
        <is>
          <t>LEN (+52% upside) — CYCLICAL CONTRARIAN</t>
        </is>
      </c>
    </row>
    <row r="21">
      <c r="A21" t="inlineStr">
        <is>
          <t xml:space="preserve">  • Trading at $94 vs intrinsic $143. Stock down 35% on housing slowdown.</t>
        </is>
      </c>
    </row>
    <row r="22">
      <c r="A22" t="inlineStr">
        <is>
          <t xml:space="preserve">  • FY25 FCF collapsed to $28M (was $2.27B FY24) — we use cycle-avg $1.5B</t>
        </is>
      </c>
    </row>
    <row r="23">
      <c r="A23" t="inlineStr">
        <is>
          <t xml:space="preserve">  • Aggressive buybacks: $1.7B in FY25 = ~7% share count reduction</t>
        </is>
      </c>
    </row>
    <row r="24">
      <c r="A24" t="inlineStr">
        <is>
          <t xml:space="preserve">  • Buffett historically buys cyclicals at trough — housing under-supplied long-term</t>
        </is>
      </c>
    </row>
    <row r="25">
      <c r="A25" t="inlineStr">
        <is>
          <t xml:space="preserve">  • BIGGEST RISK: rate cuts arrive late — longer trough, FCF stays weak</t>
        </is>
      </c>
    </row>
    <row r="27">
      <c r="A27" s="118" t="inlineStr">
        <is>
          <t>1810.HK Xiaomi (+30% upside) — GROWTH AT REASONABLE PRICE</t>
        </is>
      </c>
    </row>
    <row r="28">
      <c r="A28" t="inlineStr">
        <is>
          <t xml:space="preserve">  • Trading at HKD 31.20 vs intrinsic HKD 40.46. Down 49% from June 2025 peak (HKD 61).</t>
        </is>
      </c>
    </row>
    <row r="29">
      <c r="A29" t="inlineStr">
        <is>
          <t xml:space="preserve">  • FY25 revenue +25%, NI +76%; smartphone leader China + EV momentum</t>
        </is>
      </c>
    </row>
    <row r="30">
      <c r="A30" t="inlineStr">
        <is>
          <t xml:space="preserve">  • NET CASH position (~RMB 100B) = balance sheet flexibility</t>
        </is>
      </c>
    </row>
    <row r="31">
      <c r="A31" t="inlineStr">
        <is>
          <t xml:space="preserve">  • NOT a Buffett name typically: NO buybacks, NO dividend, China political risk</t>
        </is>
      </c>
    </row>
    <row r="32">
      <c r="A32" t="inlineStr">
        <is>
          <t xml:space="preserve">  • BIGGEST RISK: China geopolitics, EV price war, memory chip cost pressure on smartphones</t>
        </is>
      </c>
    </row>
    <row r="34">
      <c r="A34" s="118" t="inlineStr">
        <is>
          <t>TTE (+26% upside) — OIL MAJOR INCOME STOCK</t>
        </is>
      </c>
    </row>
    <row r="35">
      <c r="A35" t="inlineStr">
        <is>
          <t xml:space="preserve">  • Trading at $89.79 vs intrinsic $113. Up 36% LTM — less depressed.</t>
        </is>
      </c>
    </row>
    <row r="36">
      <c r="A36" t="inlineStr">
        <is>
          <t xml:space="preserve">  • Returns 40%+ of CFFO via dividends + buybacks ($7.5B buyback FY25 + 4% div yield)</t>
        </is>
      </c>
    </row>
    <row r="37">
      <c r="A37" t="inlineStr">
        <is>
          <t xml:space="preserve">  • Mgmt targets +$10B FCF growth by 2030; LNG + renewables diversification</t>
        </is>
      </c>
    </row>
    <row r="38">
      <c r="A38" t="inlineStr">
        <is>
          <t xml:space="preserve">  • BIGGEST RISK: oil price cyclicality — Brent ~$70/bbl needed; energy transition tail risk</t>
        </is>
      </c>
    </row>
    <row r="40">
      <c r="A40" s="118" t="inlineStr">
        <is>
          <t>POOL (+14% upside) — DEFENSIVE NICHE LEADER</t>
        </is>
      </c>
    </row>
    <row r="41">
      <c r="A41" t="inlineStr">
        <is>
          <t xml:space="preserve">  • Trading at $234 vs intrinsic $267. Stock down 33% YTD.</t>
        </is>
      </c>
    </row>
    <row r="42">
      <c r="A42" t="inlineStr">
        <is>
          <t xml:space="preserve">  • Wholesale pool distributor — #1 share, defensive maintenance demand (~70% non-discretionary)</t>
        </is>
      </c>
    </row>
    <row r="43">
      <c r="A43" t="inlineStr">
        <is>
          <t xml:space="preserve">  • FY25 FCF $336M (down from $595M FY24); 2026 guide $10.85-11.15 EPS = flat</t>
        </is>
      </c>
    </row>
    <row r="44">
      <c r="A44" t="inlineStr">
        <is>
          <t xml:space="preserve">  • Modest upside — not deep value, but quality compounder waiting for cycle inflection</t>
        </is>
      </c>
    </row>
    <row r="45">
      <c r="A45" t="inlineStr">
        <is>
          <t xml:space="preserve">  • BIGGEST RISK: weak pool installation cycle persists; new construction headwind</t>
        </is>
      </c>
    </row>
    <row r="47">
      <c r="A47" s="216" t="inlineStr">
        <is>
          <t>PORTFOLIO ALLOCATION SUGGESTION (Buffett style: concentrate in highest conviction)</t>
        </is>
      </c>
    </row>
    <row r="48">
      <c r="A48" t="inlineStr">
        <is>
          <t>Tier 1 (highest conviction — Buffett-style setups):</t>
        </is>
      </c>
    </row>
    <row r="49">
      <c r="A49" t="inlineStr">
        <is>
          <t xml:space="preserve">  UNH — large-cap blue chip dislocation, regulated moat, recovery in motion</t>
        </is>
      </c>
    </row>
    <row r="50">
      <c r="A50" t="inlineStr">
        <is>
          <t xml:space="preserve">  LEN — cyclical trough buy, aggressive buyback engine</t>
        </is>
      </c>
    </row>
    <row r="51">
      <c r="A51" t="inlineStr">
        <is>
          <t>Tier 2 (fair value, hold/build positions on dips):</t>
        </is>
      </c>
    </row>
    <row r="52">
      <c r="A52" t="inlineStr">
        <is>
          <t xml:space="preserve">  TTE — income + value at ~6% FCF yield with capital return</t>
        </is>
      </c>
    </row>
    <row r="53">
      <c r="A53" t="inlineStr">
        <is>
          <t xml:space="preserve">  POOL — wait for clearer cycle inflection; quality biz at fair price</t>
        </is>
      </c>
    </row>
    <row r="54">
      <c r="A54" t="inlineStr">
        <is>
          <t>Tier 3 (off-style for true Buffett, but compelling):</t>
        </is>
      </c>
    </row>
    <row r="55">
      <c r="A55" t="inlineStr">
        <is>
          <t xml:space="preserve">  Xiaomi — growth name with optionality but no capital returns; size accordingly</t>
        </is>
      </c>
    </row>
    <row r="57">
      <c r="A57" s="182" t="inlineStr">
        <is>
          <t>NVDA (−23% downside) — PRICED FOR PERFECTION</t>
        </is>
      </c>
    </row>
    <row r="58">
      <c r="A58" t="inlineStr">
        <is>
          <t xml:space="preserve">  • Trading at $216.61 (ATH today, Apr 27 2026) vs Buffett-style intrinsic $166. $5.3 TRILLION market cap.</t>
        </is>
      </c>
    </row>
    <row r="59">
      <c r="A59" t="inlineStr">
        <is>
          <t xml:space="preserve">  • FY26 was extraordinary: Revenue $215.9B (+65%), Net Income $120B (+65%), gross margin 71%</t>
        </is>
      </c>
    </row>
    <row r="60">
      <c r="A60" t="inlineStr">
        <is>
          <t xml:space="preserve">  • FY27 Q1 guide $78B = +47% YoY — still accelerating; AI capex cycle intact</t>
        </is>
      </c>
    </row>
    <row r="61">
      <c r="A61" t="inlineStr">
        <is>
          <t xml:space="preserve">  • BUT: 18% LT FCF growth + 10% discount + small buybacks = $166 fair value</t>
        </is>
      </c>
    </row>
    <row r="62">
      <c r="A62" t="inlineStr">
        <is>
          <t xml:space="preserve">  • To justify $216, need ~22%+ FCF CAGR for a decade. Possible but not Buffett-style margin of safety</t>
        </is>
      </c>
    </row>
    <row r="63">
      <c r="A63" t="inlineStr">
        <is>
          <t xml:space="preserve">  • BIGGEST RISK: AI capex digestion (hyperscalers eventually slow), custom silicon (TPUs, MTIA), China export curbs, valuation re-rating</t>
        </is>
      </c>
    </row>
    <row r="64">
      <c r="A64" t="inlineStr">
        <is>
          <t xml:space="preserve">  • Buffett historically AVOIDS tech at peak hype. This is exactly that setup.</t>
        </is>
      </c>
    </row>
    <row r="66">
      <c r="A66" s="60" t="inlineStr">
        <is>
          <t>WHAT WOULD MAKE NVDA A BUY?</t>
        </is>
      </c>
    </row>
    <row r="67">
      <c r="A67" t="inlineStr">
        <is>
          <t xml:space="preserve">  • Stock pullback to $130-150 range (52-wk low was $104)</t>
        </is>
      </c>
    </row>
    <row r="68">
      <c r="A68" t="inlineStr">
        <is>
          <t xml:space="preserve">  • Confirmation FY28+ growth holds at 20%+ (would justify higher base case)</t>
        </is>
      </c>
    </row>
    <row r="69">
      <c r="A69" t="inlineStr">
        <is>
          <t xml:space="preserve">  • Significant buyback acceleration absorbing dilution + meaningful share retirement</t>
        </is>
      </c>
    </row>
    <row r="71">
      <c r="A71" s="216" t="inlineStr">
        <is>
          <t>REVISED PORTFOLIO ALLOCATION (with NVDA)</t>
        </is>
      </c>
    </row>
    <row r="72">
      <c r="A72" t="inlineStr">
        <is>
          <t>Tier 1 (highest conviction): UNH (+76%), LEN (+52%) — deep value w/ catalysts</t>
        </is>
      </c>
    </row>
    <row r="73">
      <c r="A73" t="inlineStr">
        <is>
          <t>Tier 2 (fair value, accumulate on dips): TTE, 1810.HK, POOL</t>
        </is>
      </c>
    </row>
    <row r="74">
      <c r="A74" t="inlineStr">
        <is>
          <t>Tier 3 (hold for events): DPZ — wait for $300s entry</t>
        </is>
      </c>
    </row>
    <row r="75">
      <c r="A75" t="inlineStr">
        <is>
          <t>AVOID: NVDA at current price — watchlist for material pullback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7"/>
  <sheetViews>
    <sheetView topLeftCell="A66" workbookViewId="0">
      <selection activeCell="B84" sqref="B84"/>
    </sheetView>
  </sheetViews>
  <sheetFormatPr baseColWidth="10" defaultRowHeight="13"/>
  <cols>
    <col width="21.6640625" customWidth="1" style="215" min="1" max="7"/>
  </cols>
  <sheetData>
    <row r="1" ht="18" customHeight="1" s="215">
      <c r="A1" s="214" t="inlineStr">
        <is>
          <t>Portfolio DCF — 5 Names + DPZ Reference (Buffett Framework)</t>
        </is>
      </c>
    </row>
    <row r="2">
      <c r="A2" s="59" t="inlineStr">
        <is>
          <t>Per-share owner-earnings model. All inputs blue, formulas black, links green. Currency local to each name.</t>
        </is>
      </c>
    </row>
    <row r="4">
      <c r="A4" s="143" t="inlineStr">
        <is>
          <t>Ticker</t>
        </is>
      </c>
      <c r="B4" s="143" t="inlineStr">
        <is>
          <t>DPZ</t>
        </is>
      </c>
      <c r="C4" s="143" t="inlineStr">
        <is>
          <t>UNH</t>
        </is>
      </c>
      <c r="D4" s="143" t="inlineStr">
        <is>
          <t>1810.HK</t>
        </is>
      </c>
      <c r="E4" s="143" t="inlineStr">
        <is>
          <t>LEN</t>
        </is>
      </c>
      <c r="F4" s="143" t="inlineStr">
        <is>
          <t>POOL</t>
        </is>
      </c>
      <c r="G4" s="143" t="inlineStr">
        <is>
          <t>TTE</t>
        </is>
      </c>
      <c r="H4" s="143" t="inlineStr">
        <is>
          <t>NVDA</t>
        </is>
      </c>
    </row>
    <row r="5">
      <c r="A5" s="93" t="inlineStr">
        <is>
          <t>Currency</t>
        </is>
      </c>
      <c r="B5" s="93" t="inlineStr">
        <is>
          <t>USD</t>
        </is>
      </c>
      <c r="C5" s="93" t="inlineStr">
        <is>
          <t>USD</t>
        </is>
      </c>
      <c r="D5" s="93" t="inlineStr">
        <is>
          <t>HKD</t>
        </is>
      </c>
      <c r="E5" s="93" t="inlineStr">
        <is>
          <t>USD</t>
        </is>
      </c>
      <c r="F5" s="93" t="inlineStr">
        <is>
          <t>USD</t>
        </is>
      </c>
      <c r="G5" s="93" t="inlineStr">
        <is>
          <t>USD</t>
        </is>
      </c>
      <c r="H5" s="93" t="inlineStr">
        <is>
          <t>USD</t>
        </is>
      </c>
    </row>
    <row r="7">
      <c r="A7" s="216" t="inlineStr">
        <is>
          <t>MARKET DATA &amp; INPUTS</t>
        </is>
      </c>
      <c r="B7" s="78" t="n"/>
      <c r="C7" s="78" t="n"/>
      <c r="D7" s="78" t="n"/>
      <c r="E7" s="78" t="n"/>
      <c r="F7" s="78" t="n"/>
      <c r="G7" s="78" t="n"/>
      <c r="H7" s="78" t="n"/>
    </row>
    <row r="8">
      <c r="A8" s="60" t="inlineStr">
        <is>
          <t>Current price (local ccy)</t>
        </is>
      </c>
      <c r="B8" s="144" t="n">
        <v>372</v>
      </c>
      <c r="C8" s="144" t="n">
        <v>354</v>
      </c>
      <c r="D8" s="144" t="n">
        <v>31.2</v>
      </c>
      <c r="E8" s="144" t="n">
        <v>94</v>
      </c>
      <c r="F8" s="144" t="n">
        <v>234</v>
      </c>
      <c r="G8" s="144" t="n">
        <v>89.79000000000001</v>
      </c>
      <c r="H8" s="144" t="n">
        <v>216.61</v>
      </c>
    </row>
    <row r="9">
      <c r="A9" t="inlineStr">
        <is>
          <t>Diluted shares (M)</t>
        </is>
      </c>
      <c r="B9" s="262" t="n">
        <v>33.6</v>
      </c>
      <c r="C9" s="262" t="n">
        <v>908.2</v>
      </c>
      <c r="D9" s="145" t="n">
        <v>25500</v>
      </c>
      <c r="E9" s="262" t="n">
        <v>247.6</v>
      </c>
      <c r="F9" s="262" t="n">
        <v>36.7</v>
      </c>
      <c r="G9" s="145" t="n">
        <v>2130</v>
      </c>
      <c r="H9" s="145" t="n">
        <v>24300</v>
      </c>
    </row>
    <row r="10">
      <c r="A10" t="inlineStr">
        <is>
          <t>Market cap (local M)</t>
        </is>
      </c>
      <c r="B10" s="146">
        <f>B8*B9</f>
        <v/>
      </c>
      <c r="C10" s="146">
        <f>C8*C9</f>
        <v/>
      </c>
      <c r="D10" s="146">
        <f>D8*D9</f>
        <v/>
      </c>
      <c r="E10" s="146">
        <f>E8*E9</f>
        <v/>
      </c>
      <c r="F10" s="146">
        <f>F8*F9</f>
        <v/>
      </c>
      <c r="G10" s="146">
        <f>G8*G9</f>
        <v/>
      </c>
      <c r="H10" s="146">
        <f>H8*H9</f>
        <v/>
      </c>
    </row>
    <row r="11">
      <c r="A11" t="inlineStr">
        <is>
          <t>Net debt (local M)</t>
        </is>
      </c>
      <c r="B11" s="145" t="n">
        <v>4784</v>
      </c>
      <c r="C11" s="145" t="n">
        <v>80000</v>
      </c>
      <c r="D11" s="263" t="n">
        <v>-100000</v>
      </c>
      <c r="E11" s="145" t="n">
        <v>2100</v>
      </c>
      <c r="F11" s="145" t="n">
        <v>1175</v>
      </c>
      <c r="G11" s="145" t="n">
        <v>20200</v>
      </c>
      <c r="H11" s="263" t="n">
        <v>-38000</v>
      </c>
    </row>
    <row r="12">
      <c r="A12" s="60" t="inlineStr">
        <is>
          <t>Enterprise value</t>
        </is>
      </c>
      <c r="B12" s="148">
        <f>B10+B11</f>
        <v/>
      </c>
      <c r="C12" s="148">
        <f>C10+C11</f>
        <v/>
      </c>
      <c r="D12" s="148">
        <f>D10+D11</f>
        <v/>
      </c>
      <c r="E12" s="148">
        <f>E10+E11</f>
        <v/>
      </c>
      <c r="F12" s="148">
        <f>F10+F11</f>
        <v/>
      </c>
      <c r="G12" s="148">
        <f>G10+G11</f>
        <v/>
      </c>
      <c r="H12" s="148">
        <f>H10+H11</f>
        <v/>
      </c>
    </row>
    <row r="14">
      <c r="A14" s="216" t="inlineStr">
        <is>
          <t>BUSINESS METRICS (LTM, local M)</t>
        </is>
      </c>
      <c r="B14" s="78" t="n"/>
      <c r="C14" s="78" t="n"/>
      <c r="D14" s="150" t="inlineStr">
        <is>
          <t>(Xiaomi: RMB→HKD ~×1.1)</t>
        </is>
      </c>
      <c r="E14" s="78" t="n"/>
      <c r="F14" s="78" t="n"/>
      <c r="G14" s="78" t="n"/>
      <c r="H14" s="78" t="n"/>
    </row>
    <row r="15">
      <c r="A15" t="inlineStr">
        <is>
          <t>Revenue (LTM)</t>
        </is>
      </c>
      <c r="B15" s="145" t="n">
        <v>5008</v>
      </c>
      <c r="C15" s="145" t="n">
        <v>449710</v>
      </c>
      <c r="D15" s="145" t="n">
        <v>457290</v>
      </c>
      <c r="E15" s="145" t="n">
        <v>34200</v>
      </c>
      <c r="F15" s="145" t="n">
        <v>5300</v>
      </c>
      <c r="G15" s="145" t="n">
        <v>200000</v>
      </c>
      <c r="H15" s="145" t="n">
        <v>215900</v>
      </c>
    </row>
    <row r="16">
      <c r="A16" t="inlineStr">
        <is>
          <t>Free Cash Flow (LTM)</t>
        </is>
      </c>
      <c r="B16" s="145" t="n">
        <v>680</v>
      </c>
      <c r="C16" s="145" t="n">
        <v>17400</v>
      </c>
      <c r="D16" s="145" t="n">
        <v>32000</v>
      </c>
      <c r="E16" s="145" t="n">
        <v>28</v>
      </c>
      <c r="F16" s="145" t="n">
        <v>336</v>
      </c>
      <c r="G16" s="145" t="n">
        <v>11400</v>
      </c>
      <c r="H16" s="145" t="n">
        <v>72000</v>
      </c>
    </row>
    <row r="17">
      <c r="A17" s="83" t="inlineStr">
        <is>
          <t>Normalized FCF (cycle-avg)</t>
        </is>
      </c>
      <c r="B17" s="149" t="n">
        <v>600</v>
      </c>
      <c r="C17" s="149" t="n">
        <v>24000</v>
      </c>
      <c r="D17" s="149" t="n">
        <v>35000</v>
      </c>
      <c r="E17" s="149" t="n">
        <v>1500</v>
      </c>
      <c r="F17" s="149" t="n">
        <v>380</v>
      </c>
      <c r="G17" s="149" t="n">
        <v>13000</v>
      </c>
      <c r="H17" s="149" t="n">
        <v>95000</v>
      </c>
    </row>
    <row r="18">
      <c r="A18" t="inlineStr">
        <is>
          <t>FCF margin (normalized)</t>
        </is>
      </c>
      <c r="B18" s="74">
        <f>B17/B15</f>
        <v/>
      </c>
      <c r="C18" s="74">
        <f>C17/C15</f>
        <v/>
      </c>
      <c r="D18" s="74">
        <f>D17/D15</f>
        <v/>
      </c>
      <c r="E18" s="74">
        <f>E17/E15</f>
        <v/>
      </c>
      <c r="F18" s="74">
        <f>F17/F15</f>
        <v/>
      </c>
      <c r="G18" s="74">
        <f>G17/G15</f>
        <v/>
      </c>
      <c r="H18" s="74">
        <f>H17/H15</f>
        <v/>
      </c>
    </row>
    <row r="20">
      <c r="A20" s="216" t="inlineStr">
        <is>
          <t>BUFFETT-STYLE ASSUMPTIONS</t>
        </is>
      </c>
      <c r="B20" s="78" t="n"/>
      <c r="C20" s="78" t="n"/>
      <c r="D20" s="78" t="n"/>
      <c r="E20" s="78" t="n"/>
      <c r="F20" s="78" t="n"/>
      <c r="G20" s="78" t="n"/>
      <c r="H20" s="78" t="n"/>
    </row>
    <row r="21">
      <c r="A21" t="inlineStr">
        <is>
          <t>FCF growth Y1-5 (high-vis)</t>
        </is>
      </c>
      <c r="B21" s="89" t="n">
        <v>0.05</v>
      </c>
      <c r="C21" s="89" t="n">
        <v>0.06</v>
      </c>
      <c r="D21" s="89" t="n">
        <v>0.12</v>
      </c>
      <c r="E21" s="89" t="n">
        <v>0.05</v>
      </c>
      <c r="F21" s="89" t="n">
        <v>0.05</v>
      </c>
      <c r="G21" s="89" t="n">
        <v>0.03</v>
      </c>
      <c r="H21" s="89" t="n">
        <v>0.18</v>
      </c>
    </row>
    <row r="22">
      <c r="A22" t="inlineStr">
        <is>
          <t>FCF growth Y6-10 (fade)</t>
        </is>
      </c>
      <c r="B22" s="89" t="n">
        <v>0.04</v>
      </c>
      <c r="C22" s="89" t="n">
        <v>0.05</v>
      </c>
      <c r="D22" s="89" t="n">
        <v>0.08</v>
      </c>
      <c r="E22" s="89" t="n">
        <v>0.04</v>
      </c>
      <c r="F22" s="89" t="n">
        <v>0.05</v>
      </c>
      <c r="G22" s="89" t="n">
        <v>0.02</v>
      </c>
      <c r="H22" s="89" t="n">
        <v>0.08</v>
      </c>
    </row>
    <row r="23">
      <c r="A23" t="inlineStr">
        <is>
          <t>FCF growth Y11-15 (mature)</t>
        </is>
      </c>
      <c r="B23" s="89" t="n">
        <v>0.03</v>
      </c>
      <c r="C23" s="89" t="n">
        <v>0.04</v>
      </c>
      <c r="D23" s="89" t="n">
        <v>0.05</v>
      </c>
      <c r="E23" s="89" t="n">
        <v>0.03</v>
      </c>
      <c r="F23" s="89" t="n">
        <v>0.04</v>
      </c>
      <c r="G23" s="89" t="n">
        <v>0.01</v>
      </c>
      <c r="H23" s="89" t="n">
        <v>0.04</v>
      </c>
    </row>
    <row r="24">
      <c r="A24" t="inlineStr">
        <is>
          <t>Discount rate (Buffett hurdle)</t>
        </is>
      </c>
      <c r="B24" s="63" t="n">
        <v>0.09</v>
      </c>
      <c r="C24" s="63" t="n">
        <v>0.09</v>
      </c>
      <c r="D24" s="63" t="n">
        <v>0.11</v>
      </c>
      <c r="E24" s="63" t="n">
        <v>0.1</v>
      </c>
      <c r="F24" s="63" t="n">
        <v>0.09</v>
      </c>
      <c r="G24" s="63" t="n">
        <v>0.09</v>
      </c>
      <c r="H24" s="63" t="n">
        <v>0.1</v>
      </c>
    </row>
    <row r="25">
      <c r="A25" t="inlineStr">
        <is>
          <t>Terminal growth</t>
        </is>
      </c>
      <c r="B25" s="89" t="n">
        <v>0.025</v>
      </c>
      <c r="C25" s="89" t="n">
        <v>0.025</v>
      </c>
      <c r="D25" s="89" t="n">
        <v>0.03</v>
      </c>
      <c r="E25" s="89" t="n">
        <v>0.02</v>
      </c>
      <c r="F25" s="89" t="n">
        <v>0.025</v>
      </c>
      <c r="G25" s="89" t="n">
        <v>0</v>
      </c>
      <c r="H25" s="89" t="n">
        <v>0.03</v>
      </c>
    </row>
    <row r="26">
      <c r="A26" t="inlineStr">
        <is>
          <t>Annual buyback yield (assumed)</t>
        </is>
      </c>
      <c r="B26" s="63" t="n">
        <v>0.034</v>
      </c>
      <c r="C26" s="63" t="n">
        <v>0.02</v>
      </c>
      <c r="D26" s="63" t="n">
        <v>0</v>
      </c>
      <c r="E26" s="63" t="n">
        <v>0.04</v>
      </c>
      <c r="F26" s="63" t="n">
        <v>0.03</v>
      </c>
      <c r="G26" s="63" t="n">
        <v>0.035</v>
      </c>
      <c r="H26" s="63" t="n">
        <v>0.018</v>
      </c>
    </row>
    <row r="29">
      <c r="A29" s="216" t="inlineStr">
        <is>
          <t>VALUATION ENGINE (15-yr per-share DCF)</t>
        </is>
      </c>
      <c r="B29" s="216" t="n"/>
      <c r="C29" s="216" t="n"/>
      <c r="D29" s="216" t="n"/>
      <c r="E29" s="216" t="n"/>
      <c r="F29" s="216" t="n"/>
      <c r="G29" s="216" t="n"/>
    </row>
    <row r="30">
      <c r="A30" s="61" t="inlineStr">
        <is>
          <t>Year #</t>
        </is>
      </c>
    </row>
    <row r="31">
      <c r="A31" t="inlineStr">
        <is>
          <t>Y1</t>
        </is>
      </c>
      <c r="B31" s="146">
        <f>B$17*(1+B$21)</f>
        <v/>
      </c>
      <c r="C31" s="146">
        <f>C$17*(1+C$21)</f>
        <v/>
      </c>
      <c r="D31" s="146">
        <f>D$17*(1+D$21)</f>
        <v/>
      </c>
      <c r="E31" s="146">
        <f>E$17*(1+E$21)</f>
        <v/>
      </c>
      <c r="F31" s="146">
        <f>F$17*(1+F$21)</f>
        <v/>
      </c>
      <c r="G31" s="146">
        <f>G$17*(1+G$21)</f>
        <v/>
      </c>
      <c r="H31" s="146">
        <f>H$17*(1+H$21)</f>
        <v/>
      </c>
    </row>
    <row r="32">
      <c r="A32" t="inlineStr">
        <is>
          <t>Y2</t>
        </is>
      </c>
      <c r="B32" s="146">
        <f>B31*(1+B$21)</f>
        <v/>
      </c>
      <c r="C32" s="146">
        <f>C31*(1+C$21)</f>
        <v/>
      </c>
      <c r="D32" s="146">
        <f>D31*(1+D$21)</f>
        <v/>
      </c>
      <c r="E32" s="146">
        <f>E31*(1+E$21)</f>
        <v/>
      </c>
      <c r="F32" s="146">
        <f>F31*(1+F$21)</f>
        <v/>
      </c>
      <c r="G32" s="146">
        <f>G31*(1+G$21)</f>
        <v/>
      </c>
      <c r="H32" s="146">
        <f>H31*(1+H$21)</f>
        <v/>
      </c>
    </row>
    <row r="33">
      <c r="A33" t="inlineStr">
        <is>
          <t>Y3</t>
        </is>
      </c>
      <c r="B33" s="146">
        <f>B32*(1+B$21)</f>
        <v/>
      </c>
      <c r="C33" s="146">
        <f>C32*(1+C$21)</f>
        <v/>
      </c>
      <c r="D33" s="146">
        <f>D32*(1+D$21)</f>
        <v/>
      </c>
      <c r="E33" s="146">
        <f>E32*(1+E$21)</f>
        <v/>
      </c>
      <c r="F33" s="146">
        <f>F32*(1+F$21)</f>
        <v/>
      </c>
      <c r="G33" s="146">
        <f>G32*(1+G$21)</f>
        <v/>
      </c>
      <c r="H33" s="146">
        <f>H32*(1+H$21)</f>
        <v/>
      </c>
    </row>
    <row r="34">
      <c r="A34" t="inlineStr">
        <is>
          <t>Y4</t>
        </is>
      </c>
      <c r="B34" s="146">
        <f>B33*(1+B$21)</f>
        <v/>
      </c>
      <c r="C34" s="146">
        <f>C33*(1+C$21)</f>
        <v/>
      </c>
      <c r="D34" s="146">
        <f>D33*(1+D$21)</f>
        <v/>
      </c>
      <c r="E34" s="146">
        <f>E33*(1+E$21)</f>
        <v/>
      </c>
      <c r="F34" s="146">
        <f>F33*(1+F$21)</f>
        <v/>
      </c>
      <c r="G34" s="146">
        <f>G33*(1+G$21)</f>
        <v/>
      </c>
      <c r="H34" s="146">
        <f>H33*(1+H$21)</f>
        <v/>
      </c>
    </row>
    <row r="35">
      <c r="A35" t="inlineStr">
        <is>
          <t>Y5</t>
        </is>
      </c>
      <c r="B35" s="146">
        <f>B34*(1+B$21)</f>
        <v/>
      </c>
      <c r="C35" s="146">
        <f>C34*(1+C$21)</f>
        <v/>
      </c>
      <c r="D35" s="146">
        <f>D34*(1+D$21)</f>
        <v/>
      </c>
      <c r="E35" s="146">
        <f>E34*(1+E$21)</f>
        <v/>
      </c>
      <c r="F35" s="146">
        <f>F34*(1+F$21)</f>
        <v/>
      </c>
      <c r="G35" s="146">
        <f>G34*(1+G$21)</f>
        <v/>
      </c>
      <c r="H35" s="146">
        <f>H34*(1+H$21)</f>
        <v/>
      </c>
    </row>
    <row r="36">
      <c r="A36" t="inlineStr">
        <is>
          <t>Y6</t>
        </is>
      </c>
      <c r="B36" s="146">
        <f>B35*(1+B$22)</f>
        <v/>
      </c>
      <c r="C36" s="146">
        <f>C35*(1+C$22)</f>
        <v/>
      </c>
      <c r="D36" s="146">
        <f>D35*(1+D$22)</f>
        <v/>
      </c>
      <c r="E36" s="146">
        <f>E35*(1+E$22)</f>
        <v/>
      </c>
      <c r="F36" s="146">
        <f>F35*(1+F$22)</f>
        <v/>
      </c>
      <c r="G36" s="146">
        <f>G35*(1+G$22)</f>
        <v/>
      </c>
      <c r="H36" s="146">
        <f>H35*(1+H$22)</f>
        <v/>
      </c>
    </row>
    <row r="37">
      <c r="A37" t="inlineStr">
        <is>
          <t>Y7</t>
        </is>
      </c>
      <c r="B37" s="146">
        <f>B36*(1+B$22)</f>
        <v/>
      </c>
      <c r="C37" s="146">
        <f>C36*(1+C$22)</f>
        <v/>
      </c>
      <c r="D37" s="146">
        <f>D36*(1+D$22)</f>
        <v/>
      </c>
      <c r="E37" s="146">
        <f>E36*(1+E$22)</f>
        <v/>
      </c>
      <c r="F37" s="146">
        <f>F36*(1+F$22)</f>
        <v/>
      </c>
      <c r="G37" s="146">
        <f>G36*(1+G$22)</f>
        <v/>
      </c>
      <c r="H37" s="146">
        <f>H36*(1+H$22)</f>
        <v/>
      </c>
    </row>
    <row r="38">
      <c r="A38" t="inlineStr">
        <is>
          <t>Y8</t>
        </is>
      </c>
      <c r="B38" s="146">
        <f>B37*(1+B$22)</f>
        <v/>
      </c>
      <c r="C38" s="146">
        <f>C37*(1+C$22)</f>
        <v/>
      </c>
      <c r="D38" s="146">
        <f>D37*(1+D$22)</f>
        <v/>
      </c>
      <c r="E38" s="146">
        <f>E37*(1+E$22)</f>
        <v/>
      </c>
      <c r="F38" s="146">
        <f>F37*(1+F$22)</f>
        <v/>
      </c>
      <c r="G38" s="146">
        <f>G37*(1+G$22)</f>
        <v/>
      </c>
      <c r="H38" s="146">
        <f>H37*(1+H$22)</f>
        <v/>
      </c>
    </row>
    <row r="39">
      <c r="A39" t="inlineStr">
        <is>
          <t>Y9</t>
        </is>
      </c>
      <c r="B39" s="146">
        <f>B38*(1+B$22)</f>
        <v/>
      </c>
      <c r="C39" s="146">
        <f>C38*(1+C$22)</f>
        <v/>
      </c>
      <c r="D39" s="146">
        <f>D38*(1+D$22)</f>
        <v/>
      </c>
      <c r="E39" s="146">
        <f>E38*(1+E$22)</f>
        <v/>
      </c>
      <c r="F39" s="146">
        <f>F38*(1+F$22)</f>
        <v/>
      </c>
      <c r="G39" s="146">
        <f>G38*(1+G$22)</f>
        <v/>
      </c>
      <c r="H39" s="146">
        <f>H38*(1+H$22)</f>
        <v/>
      </c>
    </row>
    <row r="40">
      <c r="A40" t="inlineStr">
        <is>
          <t>Y10</t>
        </is>
      </c>
      <c r="B40" s="146">
        <f>B39*(1+B$22)</f>
        <v/>
      </c>
      <c r="C40" s="146">
        <f>C39*(1+C$22)</f>
        <v/>
      </c>
      <c r="D40" s="146">
        <f>D39*(1+D$22)</f>
        <v/>
      </c>
      <c r="E40" s="146">
        <f>E39*(1+E$22)</f>
        <v/>
      </c>
      <c r="F40" s="146">
        <f>F39*(1+F$22)</f>
        <v/>
      </c>
      <c r="G40" s="146">
        <f>G39*(1+G$22)</f>
        <v/>
      </c>
      <c r="H40" s="146">
        <f>H39*(1+H$22)</f>
        <v/>
      </c>
    </row>
    <row r="41">
      <c r="A41" t="inlineStr">
        <is>
          <t>Y11</t>
        </is>
      </c>
      <c r="B41" s="146">
        <f>B40*(1+B$23)</f>
        <v/>
      </c>
      <c r="C41" s="146">
        <f>C40*(1+C$23)</f>
        <v/>
      </c>
      <c r="D41" s="146">
        <f>D40*(1+D$23)</f>
        <v/>
      </c>
      <c r="E41" s="146">
        <f>E40*(1+E$23)</f>
        <v/>
      </c>
      <c r="F41" s="146">
        <f>F40*(1+F$23)</f>
        <v/>
      </c>
      <c r="G41" s="146">
        <f>G40*(1+G$23)</f>
        <v/>
      </c>
      <c r="H41" s="146">
        <f>H40*(1+H$23)</f>
        <v/>
      </c>
    </row>
    <row r="42">
      <c r="A42" t="inlineStr">
        <is>
          <t>Y12</t>
        </is>
      </c>
      <c r="B42" s="146">
        <f>B41*(1+B$23)</f>
        <v/>
      </c>
      <c r="C42" s="146">
        <f>C41*(1+C$23)</f>
        <v/>
      </c>
      <c r="D42" s="146">
        <f>D41*(1+D$23)</f>
        <v/>
      </c>
      <c r="E42" s="146">
        <f>E41*(1+E$23)</f>
        <v/>
      </c>
      <c r="F42" s="146">
        <f>F41*(1+F$23)</f>
        <v/>
      </c>
      <c r="G42" s="146">
        <f>G41*(1+G$23)</f>
        <v/>
      </c>
      <c r="H42" s="146">
        <f>H41*(1+H$23)</f>
        <v/>
      </c>
    </row>
    <row r="43">
      <c r="A43" t="inlineStr">
        <is>
          <t>Y13</t>
        </is>
      </c>
      <c r="B43" s="146">
        <f>B42*(1+B$23)</f>
        <v/>
      </c>
      <c r="C43" s="146">
        <f>C42*(1+C$23)</f>
        <v/>
      </c>
      <c r="D43" s="146">
        <f>D42*(1+D$23)</f>
        <v/>
      </c>
      <c r="E43" s="146">
        <f>E42*(1+E$23)</f>
        <v/>
      </c>
      <c r="F43" s="146">
        <f>F42*(1+F$23)</f>
        <v/>
      </c>
      <c r="G43" s="146">
        <f>G42*(1+G$23)</f>
        <v/>
      </c>
      <c r="H43" s="146">
        <f>H42*(1+H$23)</f>
        <v/>
      </c>
    </row>
    <row r="44">
      <c r="A44" t="inlineStr">
        <is>
          <t>Y14</t>
        </is>
      </c>
      <c r="B44" s="146">
        <f>B43*(1+B$23)</f>
        <v/>
      </c>
      <c r="C44" s="146">
        <f>C43*(1+C$23)</f>
        <v/>
      </c>
      <c r="D44" s="146">
        <f>D43*(1+D$23)</f>
        <v/>
      </c>
      <c r="E44" s="146">
        <f>E43*(1+E$23)</f>
        <v/>
      </c>
      <c r="F44" s="146">
        <f>F43*(1+F$23)</f>
        <v/>
      </c>
      <c r="G44" s="146">
        <f>G43*(1+G$23)</f>
        <v/>
      </c>
      <c r="H44" s="146">
        <f>H43*(1+H$23)</f>
        <v/>
      </c>
    </row>
    <row r="45">
      <c r="A45" t="inlineStr">
        <is>
          <t>Y15</t>
        </is>
      </c>
      <c r="B45" s="146">
        <f>B44*(1+B$23)</f>
        <v/>
      </c>
      <c r="C45" s="146">
        <f>C44*(1+C$23)</f>
        <v/>
      </c>
      <c r="D45" s="146">
        <f>D44*(1+D$23)</f>
        <v/>
      </c>
      <c r="E45" s="146">
        <f>E44*(1+E$23)</f>
        <v/>
      </c>
      <c r="F45" s="146">
        <f>F44*(1+F$23)</f>
        <v/>
      </c>
      <c r="G45" s="146">
        <f>G44*(1+G$23)</f>
        <v/>
      </c>
      <c r="H45" s="146">
        <f>H44*(1+H$23)</f>
        <v/>
      </c>
    </row>
    <row r="47">
      <c r="A47" s="216" t="inlineStr">
        <is>
          <t>VALUATION SUMMARY</t>
        </is>
      </c>
      <c r="B47" s="216" t="n"/>
      <c r="C47" s="216" t="n"/>
      <c r="D47" s="216" t="n"/>
      <c r="E47" s="216" t="n"/>
      <c r="F47" s="216" t="n"/>
      <c r="G47" s="216" t="n"/>
    </row>
    <row r="48">
      <c r="A48" t="inlineStr">
        <is>
          <t>Sum PV of FCFs (Y1-15)</t>
        </is>
      </c>
      <c r="B48" s="146">
        <f t="array" ref="B48">SUMPRODUCT(B31:B45 / (1+B$24)^(ROW(B31:B45)-30-0.5))</f>
        <v/>
      </c>
      <c r="C48" s="146">
        <f t="array" ref="C48">SUMPRODUCT(C31:C45 / (1+C$24)^(ROW(C31:C45)-30-0.5))</f>
        <v/>
      </c>
      <c r="D48" s="146">
        <f t="array" ref="D48">SUMPRODUCT(D31:D45 / (1+D$24)^(ROW(D31:D45)-30-0.5))</f>
        <v/>
      </c>
      <c r="E48" s="146">
        <f t="array" ref="E48">SUMPRODUCT(E31:E45 / (1+E$24)^(ROW(E31:E45)-30-0.5))</f>
        <v/>
      </c>
      <c r="F48" s="146">
        <f t="array" ref="F48">SUMPRODUCT(F31:F45 / (1+F$24)^(ROW(F31:F45)-30-0.5))</f>
        <v/>
      </c>
      <c r="G48" s="146">
        <f t="array" ref="G48">SUMPRODUCT(G31:G45 / (1+G$24)^(ROW(G31:G45)-30-0.5))</f>
        <v/>
      </c>
      <c r="H48" s="146">
        <f t="array" ref="H48">SUMPRODUCT(H31:H45 / (1+H$24)^(ROW(H31:H45)-30-0.5))</f>
        <v/>
      </c>
    </row>
    <row r="49">
      <c r="A49" t="inlineStr">
        <is>
          <t>Terminal Value (at Y15)</t>
        </is>
      </c>
      <c r="B49" s="146">
        <f>B45*(1+B$25)/(B$24-B$25)</f>
        <v/>
      </c>
      <c r="C49" s="146">
        <f>C45*(1+C$25)/(C$24-C$25)</f>
        <v/>
      </c>
      <c r="D49" s="146">
        <f>D45*(1+D$25)/(D$24-D$25)</f>
        <v/>
      </c>
      <c r="E49" s="146">
        <f>E45*(1+E$25)/(E$24-E$25)</f>
        <v/>
      </c>
      <c r="F49" s="146">
        <f>F45*(1+F$25)/(F$24-F$25)</f>
        <v/>
      </c>
      <c r="G49" s="146">
        <f>G45*(1+G$25)/(G$24-G$25)</f>
        <v/>
      </c>
      <c r="H49" s="146">
        <f>H45*(1+H$25)/(H$24-H$25)</f>
        <v/>
      </c>
    </row>
    <row r="50">
      <c r="A50" t="inlineStr">
        <is>
          <t>PV of Terminal Value</t>
        </is>
      </c>
      <c r="B50" s="146">
        <f>B49/(1+B$24)^14.5</f>
        <v/>
      </c>
      <c r="C50" s="146">
        <f>C49/(1+C$24)^14.5</f>
        <v/>
      </c>
      <c r="D50" s="146">
        <f>D49/(1+D$24)^14.5</f>
        <v/>
      </c>
      <c r="E50" s="146">
        <f>E49/(1+E$24)^14.5</f>
        <v/>
      </c>
      <c r="F50" s="146">
        <f>F49/(1+F$24)^14.5</f>
        <v/>
      </c>
      <c r="G50" s="146">
        <f>G49/(1+G$24)^14.5</f>
        <v/>
      </c>
      <c r="H50" s="146">
        <f>H49/(1+H$24)^14.5</f>
        <v/>
      </c>
    </row>
    <row r="51">
      <c r="A51" s="60" t="inlineStr">
        <is>
          <t>Enterprise Value</t>
        </is>
      </c>
      <c r="B51" s="148">
        <f>B48+B50</f>
        <v/>
      </c>
      <c r="C51" s="148">
        <f>C48+C50</f>
        <v/>
      </c>
      <c r="D51" s="148">
        <f>D48+D50</f>
        <v/>
      </c>
      <c r="E51" s="148">
        <f>E48+E50</f>
        <v/>
      </c>
      <c r="F51" s="148">
        <f>F48+F50</f>
        <v/>
      </c>
      <c r="G51" s="148">
        <f>G48+G50</f>
        <v/>
      </c>
      <c r="H51" s="148">
        <f>H48+H50</f>
        <v/>
      </c>
    </row>
    <row r="52">
      <c r="A52" t="inlineStr">
        <is>
          <t>(−) Net debt</t>
        </is>
      </c>
      <c r="B52" s="264">
        <f>-B11</f>
        <v/>
      </c>
      <c r="C52" s="264">
        <f>-C11</f>
        <v/>
      </c>
      <c r="D52" s="264">
        <f>-D11</f>
        <v/>
      </c>
      <c r="E52" s="264">
        <f>-E11</f>
        <v/>
      </c>
      <c r="F52" s="264">
        <f>-F11</f>
        <v/>
      </c>
      <c r="G52" s="264">
        <f>-G11</f>
        <v/>
      </c>
      <c r="H52" s="264">
        <f>-H11</f>
        <v/>
      </c>
    </row>
    <row r="53">
      <c r="A53" s="60" t="inlineStr">
        <is>
          <t>Equity Value</t>
        </is>
      </c>
      <c r="B53" s="148">
        <f>B51+B52</f>
        <v/>
      </c>
      <c r="C53" s="148">
        <f>C51+C52</f>
        <v/>
      </c>
      <c r="D53" s="148">
        <f>D51+D52</f>
        <v/>
      </c>
      <c r="E53" s="148">
        <f>E51+E52</f>
        <v/>
      </c>
      <c r="F53" s="148">
        <f>F51+F52</f>
        <v/>
      </c>
      <c r="G53" s="148">
        <f>G51+G52</f>
        <v/>
      </c>
      <c r="H53" s="148">
        <f>H51+H52</f>
        <v/>
      </c>
    </row>
    <row r="55">
      <c r="A55" s="216" t="inlineStr">
        <is>
          <t>PER-SHARE VALUATION (with buybacks)</t>
        </is>
      </c>
      <c r="B55" s="216" t="n"/>
      <c r="C55" s="216" t="n"/>
      <c r="D55" s="216" t="n"/>
      <c r="E55" s="216" t="n"/>
      <c r="F55" s="216" t="n"/>
      <c r="G55" s="216" t="n"/>
    </row>
    <row r="56">
      <c r="A56" t="inlineStr">
        <is>
          <t>FCF per share (LTM normalized)</t>
        </is>
      </c>
      <c r="B56" s="152">
        <f>B17/B9</f>
        <v/>
      </c>
      <c r="C56" s="152">
        <f>C17/C9</f>
        <v/>
      </c>
      <c r="D56" s="152">
        <f>D17*1.1/D9</f>
        <v/>
      </c>
      <c r="E56" s="152">
        <f>E17/E9</f>
        <v/>
      </c>
      <c r="F56" s="152">
        <f>F17/F9</f>
        <v/>
      </c>
      <c r="G56" s="152">
        <f>G17/G9</f>
        <v/>
      </c>
      <c r="H56" s="152">
        <f>H17/H9</f>
        <v/>
      </c>
    </row>
    <row r="57">
      <c r="A57" t="inlineStr">
        <is>
          <t>Per-share growth Y1-5</t>
        </is>
      </c>
      <c r="B57" s="74">
        <f>(1+B21)/(1-B26)-1</f>
        <v/>
      </c>
      <c r="C57" s="74">
        <f>(1+C21)/(1-C26)-1</f>
        <v/>
      </c>
      <c r="D57" s="74">
        <f>(1+D21)/(1-D26)-1</f>
        <v/>
      </c>
      <c r="E57" s="74">
        <f>(1+E21)/(1-E26)-1</f>
        <v/>
      </c>
      <c r="F57" s="74">
        <f>(1+F21)/(1-F26)-1</f>
        <v/>
      </c>
      <c r="G57" s="74">
        <f>(1+G21)/(1-G26)-1</f>
        <v/>
      </c>
      <c r="H57" s="74">
        <f>(1+H21)/(1-H26)-1</f>
        <v/>
      </c>
    </row>
    <row r="58">
      <c r="A58" t="inlineStr">
        <is>
          <t>Per-share growth Y6-10</t>
        </is>
      </c>
      <c r="B58" s="74">
        <f>(1+B22)/(1-B26)-1</f>
        <v/>
      </c>
      <c r="C58" s="74">
        <f>(1+C22)/(1-C26)-1</f>
        <v/>
      </c>
      <c r="D58" s="74">
        <f>(1+D22)/(1-D26)-1</f>
        <v/>
      </c>
      <c r="E58" s="74">
        <f>(1+E22)/(1-E26)-1</f>
        <v/>
      </c>
      <c r="F58" s="74">
        <f>(1+F22)/(1-F26)-1</f>
        <v/>
      </c>
      <c r="G58" s="74">
        <f>(1+G22)/(1-G26)-1</f>
        <v/>
      </c>
      <c r="H58" s="74">
        <f>(1+H22)/(1-H26)-1</f>
        <v/>
      </c>
    </row>
    <row r="59">
      <c r="A59" t="inlineStr">
        <is>
          <t>Per-share growth Y11-15</t>
        </is>
      </c>
      <c r="B59" s="74">
        <f>(1+B23)/(1-B26)-1</f>
        <v/>
      </c>
      <c r="C59" s="74">
        <f>(1+C23)/(1-C26)-1</f>
        <v/>
      </c>
      <c r="D59" s="74">
        <f>(1+D23)/(1-D26)-1</f>
        <v/>
      </c>
      <c r="E59" s="74">
        <f>(1+E23)/(1-E26)-1</f>
        <v/>
      </c>
      <c r="F59" s="74">
        <f>(1+F23)/(1-F26)-1</f>
        <v/>
      </c>
      <c r="G59" s="74">
        <f>(1+G23)/(1-G26)-1</f>
        <v/>
      </c>
      <c r="H59" s="74">
        <f>(1+H23)/(1-H26)-1</f>
        <v/>
      </c>
    </row>
    <row r="62">
      <c r="A62" s="83" t="inlineStr">
        <is>
          <t>FCF/share Y1-15 projection</t>
        </is>
      </c>
    </row>
    <row r="63">
      <c r="B63" s="152">
        <f>B56*(1+B57)</f>
        <v/>
      </c>
      <c r="C63" s="152">
        <f>C56*(1+C57)</f>
        <v/>
      </c>
      <c r="D63" s="152">
        <f>D56*(1+D57)</f>
        <v/>
      </c>
      <c r="E63" s="152">
        <f>E56*(1+E57)</f>
        <v/>
      </c>
      <c r="F63" s="152">
        <f>F56*(1+F57)</f>
        <v/>
      </c>
      <c r="G63" s="152">
        <f>G56*(1+G57)</f>
        <v/>
      </c>
      <c r="H63" s="152">
        <f>H56*(1+H57)</f>
        <v/>
      </c>
    </row>
    <row r="64">
      <c r="B64" s="152">
        <f>B63*(1+B57)</f>
        <v/>
      </c>
      <c r="C64" s="152">
        <f>C63*(1+C57)</f>
        <v/>
      </c>
      <c r="D64" s="152">
        <f>D63*(1+D57)</f>
        <v/>
      </c>
      <c r="E64" s="152">
        <f>E63*(1+E57)</f>
        <v/>
      </c>
      <c r="F64" s="152">
        <f>F63*(1+F57)</f>
        <v/>
      </c>
      <c r="G64" s="152">
        <f>G63*(1+G57)</f>
        <v/>
      </c>
      <c r="H64" s="152">
        <f>H63*(1+H57)</f>
        <v/>
      </c>
    </row>
    <row r="65">
      <c r="B65" s="152">
        <f>B64*(1+B57)</f>
        <v/>
      </c>
      <c r="C65" s="152">
        <f>C64*(1+C57)</f>
        <v/>
      </c>
      <c r="D65" s="152">
        <f>D64*(1+D57)</f>
        <v/>
      </c>
      <c r="E65" s="152">
        <f>E64*(1+E57)</f>
        <v/>
      </c>
      <c r="F65" s="152">
        <f>F64*(1+F57)</f>
        <v/>
      </c>
      <c r="G65" s="152">
        <f>G64*(1+G57)</f>
        <v/>
      </c>
      <c r="H65" s="152">
        <f>H64*(1+H57)</f>
        <v/>
      </c>
    </row>
    <row r="66">
      <c r="B66" s="152">
        <f>B65*(1+B57)</f>
        <v/>
      </c>
      <c r="C66" s="152">
        <f>C65*(1+C57)</f>
        <v/>
      </c>
      <c r="D66" s="152">
        <f>D65*(1+D57)</f>
        <v/>
      </c>
      <c r="E66" s="152">
        <f>E65*(1+E57)</f>
        <v/>
      </c>
      <c r="F66" s="152">
        <f>F65*(1+F57)</f>
        <v/>
      </c>
      <c r="G66" s="152">
        <f>G65*(1+G57)</f>
        <v/>
      </c>
      <c r="H66" s="152">
        <f>H65*(1+H57)</f>
        <v/>
      </c>
    </row>
    <row r="67">
      <c r="B67" s="152">
        <f>B66*(1+B57)</f>
        <v/>
      </c>
      <c r="C67" s="152">
        <f>C66*(1+C57)</f>
        <v/>
      </c>
      <c r="D67" s="152">
        <f>D66*(1+D57)</f>
        <v/>
      </c>
      <c r="E67" s="152">
        <f>E66*(1+E57)</f>
        <v/>
      </c>
      <c r="F67" s="152">
        <f>F66*(1+F57)</f>
        <v/>
      </c>
      <c r="G67" s="152">
        <f>G66*(1+G57)</f>
        <v/>
      </c>
      <c r="H67" s="152">
        <f>H66*(1+H57)</f>
        <v/>
      </c>
    </row>
    <row r="68">
      <c r="B68" s="152">
        <f>B67*(1+B58)</f>
        <v/>
      </c>
      <c r="C68" s="152">
        <f>C67*(1+C58)</f>
        <v/>
      </c>
      <c r="D68" s="152">
        <f>D67*(1+D58)</f>
        <v/>
      </c>
      <c r="E68" s="152">
        <f>E67*(1+E58)</f>
        <v/>
      </c>
      <c r="F68" s="152">
        <f>F67*(1+F58)</f>
        <v/>
      </c>
      <c r="G68" s="152">
        <f>G67*(1+G58)</f>
        <v/>
      </c>
      <c r="H68" s="152">
        <f>H67*(1+H58)</f>
        <v/>
      </c>
    </row>
    <row r="69">
      <c r="B69" s="152">
        <f>B68*(1+B58)</f>
        <v/>
      </c>
      <c r="C69" s="152">
        <f>C68*(1+C58)</f>
        <v/>
      </c>
      <c r="D69" s="152">
        <f>D68*(1+D58)</f>
        <v/>
      </c>
      <c r="E69" s="152">
        <f>E68*(1+E58)</f>
        <v/>
      </c>
      <c r="F69" s="152">
        <f>F68*(1+F58)</f>
        <v/>
      </c>
      <c r="G69" s="152">
        <f>G68*(1+G58)</f>
        <v/>
      </c>
      <c r="H69" s="152">
        <f>H68*(1+H58)</f>
        <v/>
      </c>
    </row>
    <row r="70">
      <c r="B70" s="152">
        <f>B69*(1+B58)</f>
        <v/>
      </c>
      <c r="C70" s="152">
        <f>C69*(1+C58)</f>
        <v/>
      </c>
      <c r="D70" s="152">
        <f>D69*(1+D58)</f>
        <v/>
      </c>
      <c r="E70" s="152">
        <f>E69*(1+E58)</f>
        <v/>
      </c>
      <c r="F70" s="152">
        <f>F69*(1+F58)</f>
        <v/>
      </c>
      <c r="G70" s="152">
        <f>G69*(1+G58)</f>
        <v/>
      </c>
      <c r="H70" s="152">
        <f>H69*(1+H58)</f>
        <v/>
      </c>
    </row>
    <row r="71">
      <c r="B71" s="152">
        <f>B70*(1+B58)</f>
        <v/>
      </c>
      <c r="C71" s="152">
        <f>C70*(1+C58)</f>
        <v/>
      </c>
      <c r="D71" s="152">
        <f>D70*(1+D58)</f>
        <v/>
      </c>
      <c r="E71" s="152">
        <f>E70*(1+E58)</f>
        <v/>
      </c>
      <c r="F71" s="152">
        <f>F70*(1+F58)</f>
        <v/>
      </c>
      <c r="G71" s="152">
        <f>G70*(1+G58)</f>
        <v/>
      </c>
      <c r="H71" s="152">
        <f>H70*(1+H58)</f>
        <v/>
      </c>
    </row>
    <row r="72">
      <c r="B72" s="152">
        <f>B71*(1+B58)</f>
        <v/>
      </c>
      <c r="C72" s="152">
        <f>C71*(1+C58)</f>
        <v/>
      </c>
      <c r="D72" s="152">
        <f>D71*(1+D58)</f>
        <v/>
      </c>
      <c r="E72" s="152">
        <f>E71*(1+E58)</f>
        <v/>
      </c>
      <c r="F72" s="152">
        <f>F71*(1+F58)</f>
        <v/>
      </c>
      <c r="G72" s="152">
        <f>G71*(1+G58)</f>
        <v/>
      </c>
      <c r="H72" s="152">
        <f>H71*(1+H58)</f>
        <v/>
      </c>
    </row>
    <row r="73">
      <c r="B73" s="152">
        <f>B72*(1+B59)</f>
        <v/>
      </c>
      <c r="C73" s="152">
        <f>C72*(1+C59)</f>
        <v/>
      </c>
      <c r="D73" s="152">
        <f>D72*(1+D59)</f>
        <v/>
      </c>
      <c r="E73" s="152">
        <f>E72*(1+E59)</f>
        <v/>
      </c>
      <c r="F73" s="152">
        <f>F72*(1+F59)</f>
        <v/>
      </c>
      <c r="G73" s="152">
        <f>G72*(1+G59)</f>
        <v/>
      </c>
      <c r="H73" s="152">
        <f>H72*(1+H59)</f>
        <v/>
      </c>
    </row>
    <row r="74">
      <c r="B74" s="152">
        <f>B73*(1+B59)</f>
        <v/>
      </c>
      <c r="C74" s="152">
        <f>C73*(1+C59)</f>
        <v/>
      </c>
      <c r="D74" s="152">
        <f>D73*(1+D59)</f>
        <v/>
      </c>
      <c r="E74" s="152">
        <f>E73*(1+E59)</f>
        <v/>
      </c>
      <c r="F74" s="152">
        <f>F73*(1+F59)</f>
        <v/>
      </c>
      <c r="G74" s="152">
        <f>G73*(1+G59)</f>
        <v/>
      </c>
      <c r="H74" s="152">
        <f>H73*(1+H59)</f>
        <v/>
      </c>
    </row>
    <row r="75">
      <c r="B75" s="152">
        <f>B74*(1+B59)</f>
        <v/>
      </c>
      <c r="C75" s="152">
        <f>C74*(1+C59)</f>
        <v/>
      </c>
      <c r="D75" s="152">
        <f>D74*(1+D59)</f>
        <v/>
      </c>
      <c r="E75" s="152">
        <f>E74*(1+E59)</f>
        <v/>
      </c>
      <c r="F75" s="152">
        <f>F74*(1+F59)</f>
        <v/>
      </c>
      <c r="G75" s="152">
        <f>G74*(1+G59)</f>
        <v/>
      </c>
      <c r="H75" s="152">
        <f>H74*(1+H59)</f>
        <v/>
      </c>
    </row>
    <row r="76">
      <c r="B76" s="152">
        <f>B75*(1+B59)</f>
        <v/>
      </c>
      <c r="C76" s="152">
        <f>C75*(1+C59)</f>
        <v/>
      </c>
      <c r="D76" s="152">
        <f>D75*(1+D59)</f>
        <v/>
      </c>
      <c r="E76" s="152">
        <f>E75*(1+E59)</f>
        <v/>
      </c>
      <c r="F76" s="152">
        <f>F75*(1+F59)</f>
        <v/>
      </c>
      <c r="G76" s="152">
        <f>G75*(1+G59)</f>
        <v/>
      </c>
      <c r="H76" s="152">
        <f>H75*(1+H59)</f>
        <v/>
      </c>
    </row>
    <row r="77">
      <c r="B77" s="152">
        <f>B76*(1+B59)</f>
        <v/>
      </c>
      <c r="C77" s="152">
        <f>C76*(1+C59)</f>
        <v/>
      </c>
      <c r="D77" s="152">
        <f>D76*(1+D59)</f>
        <v/>
      </c>
      <c r="E77" s="152">
        <f>E76*(1+E59)</f>
        <v/>
      </c>
      <c r="F77" s="152">
        <f>F76*(1+F59)</f>
        <v/>
      </c>
      <c r="G77" s="152">
        <f>G76*(1+G59)</f>
        <v/>
      </c>
      <c r="H77" s="152">
        <f>H76*(1+H59)</f>
        <v/>
      </c>
    </row>
    <row r="79">
      <c r="A79" t="inlineStr">
        <is>
          <t>Sum PV of FCF/share (Y1-15)</t>
        </is>
      </c>
      <c r="B79" s="152">
        <f t="array" ref="B79">SUMPRODUCT(B63:B77 / (1+B24)^(ROW(B63:B77)-62-0.5))</f>
        <v/>
      </c>
      <c r="C79" s="152">
        <f t="array" ref="C79">SUMPRODUCT(C63:C77 / (1+C24)^(ROW(C63:C77)-62-0.5))</f>
        <v/>
      </c>
      <c r="D79" s="152">
        <f t="array" ref="D79">SUMPRODUCT(D63:D77 / (1+D24)^(ROW(D63:D77)-62-0.5))</f>
        <v/>
      </c>
      <c r="E79" s="152">
        <f t="array" ref="E79">SUMPRODUCT(E63:E77 / (1+E24)^(ROW(E63:E77)-62-0.5))</f>
        <v/>
      </c>
      <c r="F79" s="152">
        <f t="array" ref="F79">SUMPRODUCT(F63:F77 / (1+F24)^(ROW(F63:F77)-62-0.5))</f>
        <v/>
      </c>
      <c r="G79" s="152">
        <f t="array" ref="G79">SUMPRODUCT(G63:G77 / (1+G24)^(ROW(G63:G77)-62-0.5))</f>
        <v/>
      </c>
      <c r="H79" s="152">
        <f t="array" ref="H79">SUMPRODUCT(H63:H77 / (1+H24)^(ROW(H63:H77)-62-0.5))</f>
        <v/>
      </c>
    </row>
    <row r="80">
      <c r="A80" t="inlineStr">
        <is>
          <t>Per-share TV at Y15</t>
        </is>
      </c>
      <c r="B80" s="152">
        <f>B77*(1+B25)/(B24-B25)</f>
        <v/>
      </c>
      <c r="C80" s="152">
        <f>C77*(1+C25)/(C24-C25)</f>
        <v/>
      </c>
      <c r="D80" s="152">
        <f>D77*(1+D25)/(D24-D25)</f>
        <v/>
      </c>
      <c r="E80" s="152">
        <f>E77*(1+E25)/(E24-E25)</f>
        <v/>
      </c>
      <c r="F80" s="152">
        <f>F77*(1+F25)/(F24-F25)</f>
        <v/>
      </c>
      <c r="G80" s="152">
        <f>G77*(1+G25)/(G24-G25)</f>
        <v/>
      </c>
      <c r="H80" s="152">
        <f>H77*(1+H25)/(H24-H25)</f>
        <v/>
      </c>
    </row>
    <row r="81">
      <c r="A81" t="inlineStr">
        <is>
          <t>PV of TV per-share</t>
        </is>
      </c>
      <c r="B81" s="152">
        <f>B80/(1+B24)^14.5</f>
        <v/>
      </c>
      <c r="C81" s="152">
        <f>C80/(1+C24)^14.5</f>
        <v/>
      </c>
      <c r="D81" s="152">
        <f>D80/(1+D24)^14.5</f>
        <v/>
      </c>
      <c r="E81" s="152">
        <f>E80/(1+E24)^14.5</f>
        <v/>
      </c>
      <c r="F81" s="152">
        <f>F80/(1+F24)^14.5</f>
        <v/>
      </c>
      <c r="G81" s="152">
        <f>G80/(1+G24)^14.5</f>
        <v/>
      </c>
      <c r="H81" s="152">
        <f>H80/(1+H24)^14.5</f>
        <v/>
      </c>
    </row>
    <row r="82">
      <c r="A82" t="inlineStr">
        <is>
          <t>(−) Net debt per share</t>
        </is>
      </c>
      <c r="B82" s="265">
        <f>-B11/B9</f>
        <v/>
      </c>
      <c r="C82" s="265">
        <f>-C11/C9</f>
        <v/>
      </c>
      <c r="D82" s="265">
        <f>-D11*1.1/D9</f>
        <v/>
      </c>
      <c r="E82" s="265">
        <f>-E11/E9</f>
        <v/>
      </c>
      <c r="F82" s="265">
        <f>-F11/F9</f>
        <v/>
      </c>
      <c r="G82" s="265">
        <f>-G11/G9</f>
        <v/>
      </c>
      <c r="H82" s="265">
        <f>-H11/H9</f>
        <v/>
      </c>
    </row>
    <row r="84" ht="16" customHeight="1" s="215">
      <c r="A84" s="118" t="inlineStr">
        <is>
          <t>INTRINSIC VALUE PER SHARE</t>
        </is>
      </c>
      <c r="B84" s="154">
        <f>B79+B81+B82</f>
        <v/>
      </c>
      <c r="C84" s="154">
        <f>C79+C81+C82</f>
        <v/>
      </c>
      <c r="D84" s="154">
        <f>D79+D81+D82</f>
        <v/>
      </c>
      <c r="E84" s="154">
        <f>E79+E81+E82</f>
        <v/>
      </c>
      <c r="F84" s="154">
        <f>F79+F81+F82</f>
        <v/>
      </c>
      <c r="G84" s="154">
        <f>G79+G81+G82</f>
        <v/>
      </c>
      <c r="H84" s="154">
        <f>H79+H81+H82</f>
        <v/>
      </c>
    </row>
    <row r="85">
      <c r="A85" t="inlineStr">
        <is>
          <t>Current price</t>
        </is>
      </c>
      <c r="B85" s="152">
        <f>B8</f>
        <v/>
      </c>
      <c r="C85" s="152">
        <f>C8</f>
        <v/>
      </c>
      <c r="D85" s="152">
        <f>D8</f>
        <v/>
      </c>
      <c r="E85" s="152">
        <f>E8</f>
        <v/>
      </c>
      <c r="F85" s="152">
        <f>F8</f>
        <v/>
      </c>
      <c r="G85" s="152">
        <f>G8</f>
        <v/>
      </c>
      <c r="H85" s="152">
        <f>H8</f>
        <v/>
      </c>
    </row>
    <row r="86">
      <c r="A86" s="60" t="inlineStr">
        <is>
          <t>Upside / (Downside) %</t>
        </is>
      </c>
      <c r="B86" s="103">
        <f>B84/B85-1</f>
        <v/>
      </c>
      <c r="C86" s="103">
        <f>C84/C85-1</f>
        <v/>
      </c>
      <c r="D86" s="103">
        <f>D84/D85-1</f>
        <v/>
      </c>
      <c r="E86" s="103">
        <f>E84/E85-1</f>
        <v/>
      </c>
      <c r="F86" s="103">
        <f>F84/F85-1</f>
        <v/>
      </c>
      <c r="G86" s="103">
        <f>G84/G85-1</f>
        <v/>
      </c>
      <c r="H86" s="103">
        <f>H84/H85-1</f>
        <v/>
      </c>
    </row>
    <row r="87">
      <c r="A87" t="inlineStr">
        <is>
          <t>Verdict</t>
        </is>
      </c>
      <c r="B87" s="155">
        <f>IF(B86&gt;0.3,"BUY",IF(B86&gt;0.1,"FAIR",IF(B86&gt;-0.1,"HOLD","AVOID")))</f>
        <v/>
      </c>
      <c r="C87" s="155">
        <f>IF(C86&gt;0.3,"BUY",IF(C86&gt;0.1,"FAIR",IF(C86&gt;-0.1,"HOLD","AVOID")))</f>
        <v/>
      </c>
      <c r="D87" s="155">
        <f>IF(D86&gt;0.3,"BUY",IF(D86&gt;0.1,"FAIR",IF(D86&gt;-0.1,"HOLD","AVOID")))</f>
        <v/>
      </c>
      <c r="E87" s="155">
        <f>IF(E86&gt;0.3,"BUY",IF(E86&gt;0.1,"FAIR",IF(E86&gt;-0.1,"HOLD","AVOID")))</f>
        <v/>
      </c>
      <c r="F87" s="155">
        <f>IF(F86&gt;0.3,"BUY",IF(F86&gt;0.1,"FAIR",IF(F86&gt;-0.1,"HOLD","AVOID")))</f>
        <v/>
      </c>
      <c r="G87" s="155">
        <f>IF(G86&gt;0.3,"BUY",IF(G86&gt;0.1,"FAIR",IF(G86&gt;-0.1,"HOLD","AVOID")))</f>
        <v/>
      </c>
      <c r="H87" s="155">
        <f>IF(H86&gt;0.3,"BUY",IF(H86&gt;0.1,"FAIR",IF(H86&gt;-0.1,"HOLD","AVOID")))</f>
        <v/>
      </c>
    </row>
  </sheetData>
  <mergeCells count="1">
    <mergeCell ref="A1:G1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10" defaultRowHeight="13"/>
  <cols>
    <col width="30" customWidth="1" style="215" min="1" max="4"/>
  </cols>
  <sheetData>
    <row r="1" ht="18" customHeight="1" s="215">
      <c r="A1" s="214" t="inlineStr">
        <is>
          <t>SpaceX (SPCX) — DCF Valuation Model</t>
        </is>
      </c>
    </row>
    <row r="2">
      <c r="A2" s="225" t="inlineStr">
        <is>
          <t>Pre-IPO 2026 | Consolidated: Starlink + Launch + xAI/SpaceXAI | FYE Dec</t>
        </is>
      </c>
    </row>
    <row r="4">
      <c r="A4" s="60" t="inlineStr">
        <is>
          <t>Case Selector (1=Bear, 2=Base, 3=Bull)</t>
        </is>
      </c>
      <c r="B4" s="228" t="n">
        <v>2</v>
      </c>
    </row>
    <row r="5">
      <c r="A5" s="60" t="inlineStr">
        <is>
          <t>Selected Case</t>
        </is>
      </c>
      <c r="B5" s="160">
        <f>IF(B4=1,"Bear",IF(B4=2,"Base","Bull"))</f>
        <v/>
      </c>
    </row>
    <row r="7">
      <c r="A7" s="216" t="inlineStr">
        <is>
          <t>MARKET DATA &amp; KEY INPUTS</t>
        </is>
      </c>
      <c r="B7" s="78" t="n"/>
      <c r="C7" s="78" t="n"/>
      <c r="D7" s="78" t="n"/>
    </row>
    <row r="8">
      <c r="A8" t="inlineStr">
        <is>
          <t>Diluted Shares Outstanding (B, post 5-for-1 split)</t>
        </is>
      </c>
      <c r="B8" s="64" t="n">
        <v>5</v>
      </c>
    </row>
    <row r="9">
      <c r="A9" t="inlineStr">
        <is>
          <t>Insider Sale Price Dec 2025 ($/sh, post-split)</t>
        </is>
      </c>
      <c r="B9" s="229">
        <f>421.06/5</f>
        <v/>
      </c>
    </row>
    <row r="10">
      <c r="A10" t="inlineStr">
        <is>
          <t>Net Debt ($B)</t>
        </is>
      </c>
      <c r="B10" s="230">
        <f>'SpaceX WACC'!B20</f>
        <v/>
      </c>
    </row>
    <row r="11">
      <c r="A11" t="inlineStr">
        <is>
          <t>WACC</t>
        </is>
      </c>
      <c r="B11" s="90">
        <f>'SpaceX WACC'!B26</f>
        <v/>
      </c>
    </row>
    <row r="12">
      <c r="A12" t="inlineStr">
        <is>
          <t>Tax Rate</t>
        </is>
      </c>
      <c r="B12" s="108">
        <f>'SpaceX WACC'!B13</f>
        <v/>
      </c>
    </row>
    <row r="14">
      <c r="A14" s="216" t="inlineStr">
        <is>
          <t>PROJECTION YEARS</t>
        </is>
      </c>
      <c r="C14" s="231" t="inlineStr">
        <is>
          <t>FY2025A</t>
        </is>
      </c>
      <c r="D14" s="231" t="inlineStr">
        <is>
          <t>FY2026E</t>
        </is>
      </c>
      <c r="E14" s="231" t="inlineStr">
        <is>
          <t>FY2027E</t>
        </is>
      </c>
      <c r="F14" s="231" t="inlineStr">
        <is>
          <t>FY2028E</t>
        </is>
      </c>
      <c r="G14" s="231" t="inlineStr">
        <is>
          <t>FY2029E</t>
        </is>
      </c>
      <c r="H14" s="231" t="inlineStr">
        <is>
          <t>FY2030E</t>
        </is>
      </c>
    </row>
    <row r="16">
      <c r="A16" s="216" t="inlineStr">
        <is>
          <t>BEAR CASE ASSUMPTIONS</t>
        </is>
      </c>
    </row>
    <row r="17">
      <c r="A17" s="83" t="inlineStr">
        <is>
          <t>Starlink Revenue Growth %</t>
        </is>
      </c>
      <c r="D17" s="89" t="n">
        <v>0.4</v>
      </c>
      <c r="E17" s="89" t="n">
        <v>0.25</v>
      </c>
      <c r="F17" s="89" t="n">
        <v>0.15</v>
      </c>
      <c r="G17" s="89" t="n">
        <v>0.08</v>
      </c>
      <c r="H17" s="89" t="n">
        <v>0.05</v>
      </c>
    </row>
    <row r="18">
      <c r="A18" s="83" t="inlineStr">
        <is>
          <t>Launch Revenue Growth %</t>
        </is>
      </c>
      <c r="D18" s="89" t="n">
        <v>0.05</v>
      </c>
      <c r="E18" s="89" t="n">
        <v>0.05</v>
      </c>
      <c r="F18" s="89" t="n">
        <v>0.04</v>
      </c>
      <c r="G18" s="89" t="n">
        <v>0.03</v>
      </c>
      <c r="H18" s="89" t="n">
        <v>0.03</v>
      </c>
    </row>
    <row r="19">
      <c r="A19" s="83" t="inlineStr">
        <is>
          <t>xAI/Other Revenue Growth %</t>
        </is>
      </c>
      <c r="D19" s="89" t="n">
        <v>0.3</v>
      </c>
      <c r="E19" s="89" t="n">
        <v>0.2</v>
      </c>
      <c r="F19" s="89" t="n">
        <v>0.1</v>
      </c>
      <c r="G19" s="89" t="n">
        <v>0.05</v>
      </c>
      <c r="H19" s="89" t="n">
        <v>0.05</v>
      </c>
    </row>
    <row r="20">
      <c r="A20" s="83" t="inlineStr">
        <is>
          <t>EBIT Margin %</t>
        </is>
      </c>
      <c r="D20" s="89" t="n">
        <v>0.05</v>
      </c>
      <c r="E20" s="89" t="n">
        <v>0.08</v>
      </c>
      <c r="F20" s="89" t="n">
        <v>0.1</v>
      </c>
      <c r="G20" s="89" t="n">
        <v>0.12</v>
      </c>
      <c r="H20" s="89" t="n">
        <v>0.13</v>
      </c>
    </row>
    <row r="21">
      <c r="A21" s="83" t="inlineStr">
        <is>
          <t>Terminal Growth Rate</t>
        </is>
      </c>
      <c r="D21" s="89" t="n">
        <v>0.025</v>
      </c>
    </row>
    <row r="23">
      <c r="A23" s="136" t="inlineStr">
        <is>
          <t>BASE CASE ASSUMPTIONS</t>
        </is>
      </c>
    </row>
    <row r="24">
      <c r="A24" s="83" t="inlineStr">
        <is>
          <t>Starlink Revenue Growth %</t>
        </is>
      </c>
      <c r="D24" s="89" t="n">
        <v>0.25</v>
      </c>
      <c r="E24" s="89" t="n">
        <v>0.2</v>
      </c>
      <c r="F24" s="89" t="n">
        <v>0.15</v>
      </c>
      <c r="G24" s="89" t="n">
        <v>0.1</v>
      </c>
      <c r="H24" s="89" t="n">
        <v>0.08</v>
      </c>
    </row>
    <row r="25">
      <c r="A25" s="83" t="inlineStr">
        <is>
          <t>Launch Revenue Growth %</t>
        </is>
      </c>
      <c r="D25" s="89" t="n">
        <v>0.1</v>
      </c>
      <c r="E25" s="89" t="n">
        <v>0.1</v>
      </c>
      <c r="F25" s="89" t="n">
        <v>0.08</v>
      </c>
      <c r="G25" s="89" t="n">
        <v>0.06</v>
      </c>
      <c r="H25" s="89" t="n">
        <v>0.05</v>
      </c>
    </row>
    <row r="26">
      <c r="A26" s="83" t="inlineStr">
        <is>
          <t>xAI/Other Revenue Growth %</t>
        </is>
      </c>
      <c r="D26" s="89" t="n">
        <v>0.5</v>
      </c>
      <c r="E26" s="89" t="n">
        <v>0.35</v>
      </c>
      <c r="F26" s="89" t="n">
        <v>0.2</v>
      </c>
      <c r="G26" s="89" t="n">
        <v>0.12</v>
      </c>
      <c r="H26" s="89" t="n">
        <v>0.08</v>
      </c>
    </row>
    <row r="27">
      <c r="A27" s="83" t="inlineStr">
        <is>
          <t>EBIT Margin %</t>
        </is>
      </c>
      <c r="D27" s="89" t="n">
        <v>0.08</v>
      </c>
      <c r="E27" s="89" t="n">
        <v>0.13</v>
      </c>
      <c r="F27" s="89" t="n">
        <v>0.17</v>
      </c>
      <c r="G27" s="89" t="n">
        <v>0.2</v>
      </c>
      <c r="H27" s="89" t="n">
        <v>0.22</v>
      </c>
    </row>
    <row r="28">
      <c r="A28" s="83" t="inlineStr">
        <is>
          <t>Terminal Growth Rate</t>
        </is>
      </c>
      <c r="D28" s="89" t="n">
        <v>0.03</v>
      </c>
    </row>
    <row r="30">
      <c r="A30" s="136" t="inlineStr">
        <is>
          <t>BULL CASE ASSUMPTIONS</t>
        </is>
      </c>
    </row>
    <row r="31">
      <c r="A31" s="83" t="inlineStr">
        <is>
          <t>Starlink Revenue Growth %</t>
        </is>
      </c>
      <c r="D31" s="89" t="n">
        <v>0.6</v>
      </c>
      <c r="E31" s="89" t="n">
        <v>0.45</v>
      </c>
      <c r="F31" s="89" t="n">
        <v>0.3</v>
      </c>
      <c r="G31" s="89" t="n">
        <v>0.2</v>
      </c>
      <c r="H31" s="89" t="n">
        <v>0.12</v>
      </c>
    </row>
    <row r="32">
      <c r="A32" s="83" t="inlineStr">
        <is>
          <t>Launch Revenue Growth %</t>
        </is>
      </c>
      <c r="D32" s="89" t="n">
        <v>0.15</v>
      </c>
      <c r="E32" s="89" t="n">
        <v>0.15</v>
      </c>
      <c r="F32" s="89" t="n">
        <v>0.12</v>
      </c>
      <c r="G32" s="89" t="n">
        <v>0.1</v>
      </c>
      <c r="H32" s="89" t="n">
        <v>0.08</v>
      </c>
    </row>
    <row r="33">
      <c r="A33" s="83" t="inlineStr">
        <is>
          <t>xAI/Other Revenue Growth %</t>
        </is>
      </c>
      <c r="D33" s="89" t="n">
        <v>0.8</v>
      </c>
      <c r="E33" s="89" t="n">
        <v>0.5</v>
      </c>
      <c r="F33" s="89" t="n">
        <v>0.3</v>
      </c>
      <c r="G33" s="89" t="n">
        <v>0.2</v>
      </c>
      <c r="H33" s="89" t="n">
        <v>0.12</v>
      </c>
    </row>
    <row r="34">
      <c r="A34" s="83" t="inlineStr">
        <is>
          <t>EBIT Margin %</t>
        </is>
      </c>
      <c r="D34" s="89" t="n">
        <v>0.1</v>
      </c>
      <c r="E34" s="89" t="n">
        <v>0.16</v>
      </c>
      <c r="F34" s="89" t="n">
        <v>0.22</v>
      </c>
      <c r="G34" s="89" t="n">
        <v>0.26</v>
      </c>
      <c r="H34" s="89" t="n">
        <v>0.28</v>
      </c>
    </row>
    <row r="35">
      <c r="A35" s="83" t="inlineStr">
        <is>
          <t>Terminal Growth Rate</t>
        </is>
      </c>
      <c r="D35" s="89" t="n">
        <v>0.035</v>
      </c>
    </row>
    <row r="37">
      <c r="A37" s="136" t="inlineStr">
        <is>
          <t>ACTIVE CASE (auto-pulled)</t>
        </is>
      </c>
      <c r="D37" s="136" t="inlineStr">
        <is>
          <t>ACTIVE CASE (auto-pulled)</t>
        </is>
      </c>
    </row>
    <row r="38">
      <c r="A38" s="87" t="inlineStr">
        <is>
          <t>Starlink Growth</t>
        </is>
      </c>
      <c r="D38" s="232">
        <f>CHOOSE($B$4,D17,D24,D31)</f>
        <v/>
      </c>
      <c r="E38" s="74">
        <f>CHOOSE($B$4,E17,E24,E31)</f>
        <v/>
      </c>
      <c r="F38" s="74">
        <f>CHOOSE($B$4,F17,F24,F31)</f>
        <v/>
      </c>
      <c r="G38" s="74">
        <f>CHOOSE($B$4,G17,G24,G31)</f>
        <v/>
      </c>
      <c r="H38" s="74">
        <f>CHOOSE($B$4,H17,H24,H31)</f>
        <v/>
      </c>
    </row>
    <row r="39">
      <c r="A39" s="60" t="inlineStr">
        <is>
          <t>Launch Growth</t>
        </is>
      </c>
      <c r="D39" s="103">
        <f>CHOOSE($B$4,D18,D25,D32)</f>
        <v/>
      </c>
      <c r="E39" s="74">
        <f>CHOOSE($B$4,E18,E25,E32)</f>
        <v/>
      </c>
      <c r="F39" s="74">
        <f>CHOOSE($B$4,F18,F25,F32)</f>
        <v/>
      </c>
      <c r="G39" s="74">
        <f>CHOOSE($B$4,G18,G25,G32)</f>
        <v/>
      </c>
      <c r="H39" s="74">
        <f>CHOOSE($B$4,H18,H25,H32)</f>
        <v/>
      </c>
    </row>
    <row r="40">
      <c r="A40" s="60" t="inlineStr">
        <is>
          <t>xAI/Other Growth</t>
        </is>
      </c>
      <c r="D40" s="103">
        <f>CHOOSE($B$4,D19,D26,D33)</f>
        <v/>
      </c>
      <c r="E40" s="74">
        <f>CHOOSE($B$4,E19,E26,E33)</f>
        <v/>
      </c>
      <c r="F40" s="74">
        <f>CHOOSE($B$4,F19,F26,F33)</f>
        <v/>
      </c>
      <c r="G40" s="74">
        <f>CHOOSE($B$4,G19,G26,G33)</f>
        <v/>
      </c>
      <c r="H40" s="74">
        <f>CHOOSE($B$4,H19,H26,H33)</f>
        <v/>
      </c>
    </row>
    <row r="41">
      <c r="A41" s="60" t="inlineStr">
        <is>
          <t>EBIT Margin</t>
        </is>
      </c>
      <c r="D41" s="103">
        <f>CHOOSE($B$4,D20,D27,D34)</f>
        <v/>
      </c>
      <c r="E41" s="74">
        <f>CHOOSE($B$4,E20,E27,E34)</f>
        <v/>
      </c>
      <c r="F41" s="74">
        <f>CHOOSE($B$4,F20,F27,F34)</f>
        <v/>
      </c>
      <c r="G41" s="74">
        <f>CHOOSE($B$4,G20,G27,G34)</f>
        <v/>
      </c>
      <c r="H41" s="74">
        <f>CHOOSE($B$4,H20,H27,H34)</f>
        <v/>
      </c>
    </row>
    <row r="42">
      <c r="A42" s="60" t="inlineStr">
        <is>
          <t>Terminal Growth</t>
        </is>
      </c>
      <c r="D42" s="103">
        <f>CHOOSE($B$4,$D$21,$D$28,$D$35)</f>
        <v/>
      </c>
      <c r="G42" s="74" t="n"/>
    </row>
    <row r="43">
      <c r="A43" s="60" t="inlineStr">
        <is>
          <t>D&amp;A % of Revenue</t>
        </is>
      </c>
      <c r="D43" s="238" t="n">
        <v>0.12</v>
      </c>
      <c r="E43" s="74">
        <f>$D$43</f>
        <v/>
      </c>
      <c r="F43" s="74">
        <f>$D$43</f>
        <v/>
      </c>
      <c r="G43" s="89">
        <f>$D$43</f>
        <v/>
      </c>
      <c r="H43" s="74">
        <f>$D$43</f>
        <v/>
      </c>
    </row>
    <row r="44">
      <c r="A44" s="60" t="inlineStr">
        <is>
          <t>CapEx % of Revenue</t>
        </is>
      </c>
      <c r="D44" s="238" t="n">
        <v>0.18</v>
      </c>
      <c r="E44" s="74">
        <f>$D$44</f>
        <v/>
      </c>
      <c r="F44" s="74">
        <f>$D$44</f>
        <v/>
      </c>
      <c r="G44" s="89">
        <f>$D$44</f>
        <v/>
      </c>
      <c r="H44" s="74">
        <f>$D$44</f>
        <v/>
      </c>
    </row>
    <row r="45">
      <c r="A45" s="60" t="inlineStr">
        <is>
          <t>Δ NWC % of ΔRev</t>
        </is>
      </c>
      <c r="D45" s="238" t="n">
        <v>0.05</v>
      </c>
      <c r="E45" s="74">
        <f>$D$45</f>
        <v/>
      </c>
      <c r="F45" s="74">
        <f>$D$45</f>
        <v/>
      </c>
      <c r="G45" s="89">
        <f>$D$45</f>
        <v/>
      </c>
      <c r="H45" s="74">
        <f>$D$45</f>
        <v/>
      </c>
    </row>
    <row r="47">
      <c r="A47" s="216" t="inlineStr">
        <is>
          <t>REVENUE BUILD ($B)</t>
        </is>
      </c>
    </row>
    <row r="48">
      <c r="A48" s="60" t="inlineStr">
        <is>
          <t>Starlink Revenue</t>
        </is>
      </c>
      <c r="C48" s="266" t="n">
        <v>11.4</v>
      </c>
      <c r="D48" s="267">
        <f>C48*(1+D38)</f>
        <v/>
      </c>
      <c r="E48" s="267">
        <f>D48*(1+E38)</f>
        <v/>
      </c>
      <c r="F48" s="267">
        <f>E48*(1+F38)</f>
        <v/>
      </c>
      <c r="G48" s="267">
        <f>F48*(1+G38)</f>
        <v/>
      </c>
      <c r="H48" s="267">
        <f>G48*(1+H38)</f>
        <v/>
      </c>
    </row>
    <row r="49">
      <c r="A49" s="60" t="inlineStr">
        <is>
          <t>Launch Revenue</t>
        </is>
      </c>
      <c r="C49" s="266" t="n">
        <v>4.1</v>
      </c>
      <c r="D49" s="267">
        <f>C49*(1+D39)</f>
        <v/>
      </c>
      <c r="E49" s="267">
        <f>D49*(1+E39)</f>
        <v/>
      </c>
      <c r="F49" s="267">
        <f>E49*(1+F39)</f>
        <v/>
      </c>
      <c r="G49" s="267">
        <f>F49*(1+G39)</f>
        <v/>
      </c>
      <c r="H49" s="267">
        <f>G49*(1+H39)</f>
        <v/>
      </c>
    </row>
    <row r="50">
      <c r="A50" s="60" t="inlineStr">
        <is>
          <t>xAI/Other Revenue</t>
        </is>
      </c>
      <c r="C50" s="266" t="n">
        <v>3.2</v>
      </c>
      <c r="D50" s="267">
        <f>C50*(1+D40)</f>
        <v/>
      </c>
      <c r="E50" s="267">
        <f>D50*(1+E40)</f>
        <v/>
      </c>
      <c r="F50" s="267">
        <f>E50*(1+F40)</f>
        <v/>
      </c>
      <c r="G50" s="267">
        <f>F50*(1+G40)</f>
        <v/>
      </c>
      <c r="H50" s="267">
        <f>G50*(1+H40)</f>
        <v/>
      </c>
    </row>
    <row r="51">
      <c r="A51" s="61" t="inlineStr">
        <is>
          <t>Total Revenue</t>
        </is>
      </c>
      <c r="C51" s="268">
        <f>SUM(C48:C50)</f>
        <v/>
      </c>
      <c r="D51" s="268">
        <f>SUM(D48:D50)</f>
        <v/>
      </c>
      <c r="E51" s="268">
        <f>SUM(E48:E50)</f>
        <v/>
      </c>
      <c r="F51" s="268">
        <f>SUM(F48:F50)</f>
        <v/>
      </c>
      <c r="G51" s="268">
        <f>SUM(G48:G50)</f>
        <v/>
      </c>
      <c r="H51" s="268">
        <f>SUM(H48:H50)</f>
        <v/>
      </c>
    </row>
    <row r="52">
      <c r="A52" s="87" t="inlineStr">
        <is>
          <t xml:space="preserve">  Growth %</t>
        </is>
      </c>
      <c r="D52" s="88">
        <f>D51/C51-1</f>
        <v/>
      </c>
      <c r="E52" s="88">
        <f>E51/D51-1</f>
        <v/>
      </c>
      <c r="F52" s="88">
        <f>F51/E51-1</f>
        <v/>
      </c>
      <c r="G52" s="88">
        <f>G51/F51-1</f>
        <v/>
      </c>
      <c r="H52" s="88">
        <f>H51/G51-1</f>
        <v/>
      </c>
    </row>
    <row r="54">
      <c r="A54" s="216" t="inlineStr">
        <is>
          <t>FREE CASH FLOW BUILD ($B)</t>
        </is>
      </c>
      <c r="D54" s="216" t="inlineStr">
        <is>
          <t>FREE CASH FLOW BUILD ($B)</t>
        </is>
      </c>
    </row>
    <row r="55">
      <c r="A55" t="inlineStr">
        <is>
          <t>EBIT</t>
        </is>
      </c>
      <c r="D55" s="267">
        <f>D51*D41</f>
        <v/>
      </c>
      <c r="E55" s="267">
        <f>E51*E41</f>
        <v/>
      </c>
      <c r="F55" s="267">
        <f>F51*F41</f>
        <v/>
      </c>
      <c r="G55" s="267">
        <f>G51*G41</f>
        <v/>
      </c>
      <c r="H55" s="267">
        <f>H51*H41</f>
        <v/>
      </c>
    </row>
    <row r="56">
      <c r="A56" s="83" t="inlineStr">
        <is>
          <t xml:space="preserve">  EBIT Margin</t>
        </is>
      </c>
      <c r="D56" s="88">
        <f>D55/D51</f>
        <v/>
      </c>
      <c r="E56" s="88">
        <f>E55/E51</f>
        <v/>
      </c>
      <c r="F56" s="88">
        <f>F55/F51</f>
        <v/>
      </c>
      <c r="G56" s="88">
        <f>G55/G51</f>
        <v/>
      </c>
      <c r="H56" s="88">
        <f>H55/H51</f>
        <v/>
      </c>
    </row>
    <row r="57">
      <c r="A57" t="inlineStr">
        <is>
          <t>Less: Taxes</t>
        </is>
      </c>
      <c r="D57" s="235">
        <f>-D55*$B$12</f>
        <v/>
      </c>
      <c r="E57" s="235">
        <f>-E55*$B$12</f>
        <v/>
      </c>
      <c r="F57" s="235">
        <f>-F55*$B$12</f>
        <v/>
      </c>
      <c r="G57" s="235">
        <f>-G55*$B$12</f>
        <v/>
      </c>
      <c r="H57" s="235">
        <f>-H55*$B$12</f>
        <v/>
      </c>
    </row>
    <row r="58">
      <c r="A58" s="60" t="inlineStr">
        <is>
          <t>NOPAT</t>
        </is>
      </c>
      <c r="D58" s="269">
        <f>D55+D57</f>
        <v/>
      </c>
      <c r="E58" s="269">
        <f>E55+E57</f>
        <v/>
      </c>
      <c r="F58" s="269">
        <f>F55+F57</f>
        <v/>
      </c>
      <c r="G58" s="269">
        <f>G55+G57</f>
        <v/>
      </c>
      <c r="H58" s="269">
        <f>H55+H57</f>
        <v/>
      </c>
    </row>
    <row r="59">
      <c r="A59" t="inlineStr">
        <is>
          <t>Plus: D&amp;A</t>
        </is>
      </c>
      <c r="D59" s="267">
        <f>D51*D43</f>
        <v/>
      </c>
      <c r="E59" s="267">
        <f>E51*E43</f>
        <v/>
      </c>
      <c r="F59" s="267">
        <f>F51*F43</f>
        <v/>
      </c>
      <c r="G59" s="267">
        <f>G51*G43</f>
        <v/>
      </c>
      <c r="H59" s="267">
        <f>H51*H43</f>
        <v/>
      </c>
    </row>
    <row r="60">
      <c r="A60" t="inlineStr">
        <is>
          <t>Less: CapEx</t>
        </is>
      </c>
      <c r="D60" s="235">
        <f>-D51*D44</f>
        <v/>
      </c>
      <c r="E60" s="235">
        <f>-E51*E44</f>
        <v/>
      </c>
      <c r="F60" s="235">
        <f>-F51*F44</f>
        <v/>
      </c>
      <c r="G60" s="235">
        <f>-G51*G44</f>
        <v/>
      </c>
      <c r="H60" s="235">
        <f>-H51*H44</f>
        <v/>
      </c>
    </row>
    <row r="61">
      <c r="A61" t="inlineStr">
        <is>
          <t>Less: Δ NWC</t>
        </is>
      </c>
      <c r="D61" s="235">
        <f>-(D51-C51)*D45</f>
        <v/>
      </c>
      <c r="E61" s="235">
        <f>-(E51-D51)*E45</f>
        <v/>
      </c>
      <c r="F61" s="235">
        <f>-(F51-E51)*F45</f>
        <v/>
      </c>
      <c r="G61" s="235">
        <f>-(G51-F51)*G45</f>
        <v/>
      </c>
      <c r="H61" s="235">
        <f>-(H51-G51)*H45</f>
        <v/>
      </c>
    </row>
    <row r="62">
      <c r="A62" s="92" t="inlineStr">
        <is>
          <t>Unlevered FCF</t>
        </is>
      </c>
      <c r="D62" s="270">
        <f>D58+D59+D60+D61</f>
        <v/>
      </c>
      <c r="E62" s="270">
        <f>E58+E59+E60+E61</f>
        <v/>
      </c>
      <c r="F62" s="270">
        <f>F58+F59+F60+F61</f>
        <v/>
      </c>
      <c r="G62" s="270">
        <f>G58+G59+G60+G61</f>
        <v/>
      </c>
      <c r="H62" s="270">
        <f>H58+H59+H60+H61</f>
        <v/>
      </c>
    </row>
    <row r="63">
      <c r="A63" s="83" t="inlineStr">
        <is>
          <t xml:space="preserve">  FCF Margin</t>
        </is>
      </c>
      <c r="D63" s="88">
        <f>D62/D51</f>
        <v/>
      </c>
      <c r="E63" s="88">
        <f>E62/E51</f>
        <v/>
      </c>
      <c r="F63" s="88">
        <f>F62/F51</f>
        <v/>
      </c>
      <c r="G63" s="88">
        <f>G62/G51</f>
        <v/>
      </c>
      <c r="H63" s="88">
        <f>H62/H51</f>
        <v/>
      </c>
    </row>
    <row r="65">
      <c r="A65" s="216" t="inlineStr">
        <is>
          <t>DISCOUNTING (Mid-Year Convention)</t>
        </is>
      </c>
    </row>
    <row r="66">
      <c r="A66" t="inlineStr">
        <is>
          <t>Discount Period (years)</t>
        </is>
      </c>
      <c r="D66" s="239" t="n">
        <v>0.5</v>
      </c>
      <c r="E66" s="239" t="n">
        <v>1.5</v>
      </c>
      <c r="F66" s="239" t="n">
        <v>2.5</v>
      </c>
      <c r="G66" s="239" t="n">
        <v>3.5</v>
      </c>
      <c r="H66" s="239" t="n">
        <v>4.5</v>
      </c>
    </row>
    <row r="67">
      <c r="A67" t="inlineStr">
        <is>
          <t>Discount Factor</t>
        </is>
      </c>
      <c r="D67" s="240">
        <f>1/(1+$B$11)^D66</f>
        <v/>
      </c>
      <c r="E67" s="240">
        <f>1/(1+$B$11)^E66</f>
        <v/>
      </c>
      <c r="F67" s="240">
        <f>1/(1+$B$11)^F66</f>
        <v/>
      </c>
      <c r="G67" s="240">
        <f>1/(1+$B$11)^G66</f>
        <v/>
      </c>
      <c r="H67" s="240">
        <f>1/(1+$B$11)^H66</f>
        <v/>
      </c>
    </row>
    <row r="68">
      <c r="A68" s="60" t="inlineStr">
        <is>
          <t>PV of Unlevered FCF ($B)</t>
        </is>
      </c>
      <c r="D68" s="271">
        <f>D62*D67</f>
        <v/>
      </c>
      <c r="E68" s="271">
        <f>E62*E67</f>
        <v/>
      </c>
      <c r="F68" s="271">
        <f>F62*F67</f>
        <v/>
      </c>
      <c r="G68" s="271">
        <f>G62*G67</f>
        <v/>
      </c>
      <c r="H68" s="271">
        <f>H62*H67</f>
        <v/>
      </c>
    </row>
    <row r="70">
      <c r="A70" s="216" t="inlineStr">
        <is>
          <t>TERMINAL VALUE</t>
        </is>
      </c>
    </row>
    <row r="71">
      <c r="A71" t="inlineStr">
        <is>
          <t>Terminal Growth Rate</t>
        </is>
      </c>
      <c r="B71" s="74">
        <f>D42</f>
        <v/>
      </c>
    </row>
    <row r="72">
      <c r="A72" t="inlineStr">
        <is>
          <t>Terminal FCF (FY2031, $B)</t>
        </is>
      </c>
      <c r="B72" s="272">
        <f>H62*(1+B71)</f>
        <v/>
      </c>
    </row>
    <row r="73">
      <c r="A73" t="inlineStr">
        <is>
          <t>Terminal Value ($B)</t>
        </is>
      </c>
      <c r="B73" s="243">
        <f>B72/($B$11-B71)</f>
        <v/>
      </c>
    </row>
    <row r="74">
      <c r="A74" t="inlineStr">
        <is>
          <t>PV of Terminal Value ($B)</t>
        </is>
      </c>
      <c r="B74" s="244">
        <f>B73*H67</f>
        <v/>
      </c>
    </row>
    <row r="75">
      <c r="A75" t="inlineStr">
        <is>
          <t>TV as % of EV</t>
        </is>
      </c>
      <c r="B75" s="74">
        <f>B74/B80</f>
        <v/>
      </c>
    </row>
    <row r="77">
      <c r="A77" s="216" t="inlineStr">
        <is>
          <t>VALUATION SUMMARY</t>
        </is>
      </c>
    </row>
    <row r="78">
      <c r="A78" t="inlineStr">
        <is>
          <t>Sum of PV Explicit FCFs ($B)</t>
        </is>
      </c>
      <c r="B78" s="272">
        <f>SUM(D68:H68)</f>
        <v/>
      </c>
    </row>
    <row r="79">
      <c r="A79" t="inlineStr">
        <is>
          <t>(+) PV of Terminal Value ($B)</t>
        </is>
      </c>
      <c r="B79" s="272">
        <f>B74</f>
        <v/>
      </c>
    </row>
    <row r="80">
      <c r="A80" s="245" t="inlineStr">
        <is>
          <t>= Enterprise Value ($B)</t>
        </is>
      </c>
      <c r="B80" s="244">
        <f>B78+B79</f>
        <v/>
      </c>
    </row>
    <row r="81">
      <c r="A81" t="inlineStr">
        <is>
          <t>(-) Net Debt ($B)</t>
        </is>
      </c>
      <c r="B81" s="273">
        <f>B10</f>
        <v/>
      </c>
    </row>
    <row r="82">
      <c r="A82" s="245" t="inlineStr">
        <is>
          <t>= Equity Value ($B)</t>
        </is>
      </c>
      <c r="B82" s="244">
        <f>B80-B81</f>
        <v/>
      </c>
    </row>
    <row r="83">
      <c r="A83" t="inlineStr">
        <is>
          <t>Diluted Shares Outstanding (B)</t>
        </is>
      </c>
      <c r="B83" s="247">
        <f>B8</f>
        <v/>
      </c>
    </row>
    <row r="84" ht="18" customHeight="1" s="215">
      <c r="A84" s="60" t="inlineStr">
        <is>
          <t>Implied Price per Share ($)</t>
        </is>
      </c>
      <c r="B84" s="111">
        <f>B82/B83</f>
        <v/>
      </c>
    </row>
    <row r="86">
      <c r="A86" t="inlineStr">
        <is>
          <t>Insider Price (Dec 2025, post-split)</t>
        </is>
      </c>
      <c r="B86" s="79">
        <f>B9</f>
        <v/>
      </c>
    </row>
    <row r="87">
      <c r="A87" t="inlineStr">
        <is>
          <t>Broker IPO Price ($1.75T / shares)</t>
        </is>
      </c>
      <c r="B87" s="79">
        <f>1750/B8</f>
        <v/>
      </c>
    </row>
    <row r="88">
      <c r="A88" t="inlineStr">
        <is>
          <t>Upside/(Downside) vs Insider</t>
        </is>
      </c>
      <c r="B88" s="274">
        <f>B84/B86-1</f>
        <v/>
      </c>
    </row>
    <row r="89">
      <c r="A89" t="inlineStr">
        <is>
          <t>Upside/(Downside) vs Broker IPO</t>
        </is>
      </c>
      <c r="B89" s="275">
        <f>B84/B87-1</f>
        <v/>
      </c>
    </row>
    <row r="91">
      <c r="A91" s="216" t="inlineStr">
        <is>
          <t>SENSITIVITY: WACC vs Terminal Growth — Implied Share Price ($)</t>
        </is>
      </c>
    </row>
    <row r="93">
      <c r="A93" s="250" t="inlineStr">
        <is>
          <t>WACC ↓ / Term g →</t>
        </is>
      </c>
      <c r="B93" s="251" t="n">
        <v>0.02</v>
      </c>
      <c r="C93" s="251" t="n">
        <v>0.025</v>
      </c>
      <c r="D93" s="251" t="n">
        <v>0.03</v>
      </c>
      <c r="E93" s="251" t="n">
        <v>0.035</v>
      </c>
      <c r="F93" s="251" t="n">
        <v>0.04</v>
      </c>
    </row>
    <row r="94">
      <c r="A94" s="252" t="n">
        <v>0.1044</v>
      </c>
      <c r="B94" s="253">
        <f>(($D$62/(1+$A94)^0.5+$E$62/(1+$A94)^1.5+$F$62/(1+$A94)^2.5+$G$62/(1+$A94)^3.5+$H$62/(1+$A94)^4.5)+($H$62*(1+B$93)/($A94-B$93))/(1+$A94)^4.5-$B$10)/$B$8</f>
        <v/>
      </c>
      <c r="C94" s="253">
        <f>(($D$62/(1+$A94)^0.5+$E$62/(1+$A94)^1.5+$F$62/(1+$A94)^2.5+$G$62/(1+$A94)^3.5+$H$62/(1+$A94)^4.5)+($H$62*(1+C$93)/($A94-C$93))/(1+$A94)^4.5-$B$10)/$B$8</f>
        <v/>
      </c>
      <c r="D94" s="253">
        <f>(($D$62/(1+$A94)^0.5+$E$62/(1+$A94)^1.5+$F$62/(1+$A94)^2.5+$G$62/(1+$A94)^3.5+$H$62/(1+$A94)^4.5)+($H$62*(1+D$93)/($A94-D$93))/(1+$A94)^4.5-$B$10)/$B$8</f>
        <v/>
      </c>
      <c r="E94" s="253">
        <f>(($D$62/(1+$A94)^0.5+$E$62/(1+$A94)^1.5+$F$62/(1+$A94)^2.5+$G$62/(1+$A94)^3.5+$H$62/(1+$A94)^4.5)+($H$62*(1+E$93)/($A94-E$93))/(1+$A94)^4.5-$B$10)/$B$8</f>
        <v/>
      </c>
      <c r="F94" s="253">
        <f>(($D$62/(1+$A94)^0.5+$E$62/(1+$A94)^1.5+$F$62/(1+$A94)^2.5+$G$62/(1+$A94)^3.5+$H$62/(1+$A94)^4.5)+($H$62*(1+F$93)/($A94-F$93))/(1+$A94)^4.5-$B$10)/$B$8</f>
        <v/>
      </c>
    </row>
    <row r="95">
      <c r="A95" s="252" t="n">
        <v>0.1144</v>
      </c>
      <c r="B95" s="253">
        <f>(($D$62/(1+$A95)^0.5+$E$62/(1+$A95)^1.5+$F$62/(1+$A95)^2.5+$G$62/(1+$A95)^3.5+$H$62/(1+$A95)^4.5)+($H$62*(1+B$93)/($A95-B$93))/(1+$A95)^4.5-$B$10)/$B$8</f>
        <v/>
      </c>
      <c r="C95" s="253">
        <f>(($D$62/(1+$A95)^0.5+$E$62/(1+$A95)^1.5+$F$62/(1+$A95)^2.5+$G$62/(1+$A95)^3.5+$H$62/(1+$A95)^4.5)+($H$62*(1+C$93)/($A95-C$93))/(1+$A95)^4.5-$B$10)/$B$8</f>
        <v/>
      </c>
      <c r="D95" s="253">
        <f>(($D$62/(1+$A95)^0.5+$E$62/(1+$A95)^1.5+$F$62/(1+$A95)^2.5+$G$62/(1+$A95)^3.5+$H$62/(1+$A95)^4.5)+($H$62*(1+D$93)/($A95-D$93))/(1+$A95)^4.5-$B$10)/$B$8</f>
        <v/>
      </c>
      <c r="E95" s="253">
        <f>(($D$62/(1+$A95)^0.5+$E$62/(1+$A95)^1.5+$F$62/(1+$A95)^2.5+$G$62/(1+$A95)^3.5+$H$62/(1+$A95)^4.5)+($H$62*(1+E$93)/($A95-E$93))/(1+$A95)^4.5-$B$10)/$B$8</f>
        <v/>
      </c>
      <c r="F95" s="253">
        <f>(($D$62/(1+$A95)^0.5+$E$62/(1+$A95)^1.5+$F$62/(1+$A95)^2.5+$G$62/(1+$A95)^3.5+$H$62/(1+$A95)^4.5)+($H$62*(1+F$93)/($A95-F$93))/(1+$A95)^4.5-$B$10)/$B$8</f>
        <v/>
      </c>
    </row>
    <row r="96">
      <c r="A96" s="252" t="n">
        <v>0.1244</v>
      </c>
      <c r="B96" s="253">
        <f>(($D$62/(1+$A96)^0.5+$E$62/(1+$A96)^1.5+$F$62/(1+$A96)^2.5+$G$62/(1+$A96)^3.5+$H$62/(1+$A96)^4.5)+($H$62*(1+B$93)/($A96-B$93))/(1+$A96)^4.5-$B$10)/$B$8</f>
        <v/>
      </c>
      <c r="C96" s="253">
        <f>(($D$62/(1+$A96)^0.5+$E$62/(1+$A96)^1.5+$F$62/(1+$A96)^2.5+$G$62/(1+$A96)^3.5+$H$62/(1+$A96)^4.5)+($H$62*(1+C$93)/($A96-C$93))/(1+$A96)^4.5-$B$10)/$B$8</f>
        <v/>
      </c>
      <c r="D96" s="254">
        <f>(($D$62/(1+$A96)^0.5+$E$62/(1+$A96)^1.5+$F$62/(1+$A96)^2.5+$G$62/(1+$A96)^3.5+$H$62/(1+$A96)^4.5)+($H$62*(1+D$93)/($A96-D$93))/(1+$A96)^4.5-$B$10)/$B$8</f>
        <v/>
      </c>
      <c r="E96" s="253">
        <f>(($D$62/(1+$A96)^0.5+$E$62/(1+$A96)^1.5+$F$62/(1+$A96)^2.5+$G$62/(1+$A96)^3.5+$H$62/(1+$A96)^4.5)+($H$62*(1+E$93)/($A96-E$93))/(1+$A96)^4.5-$B$10)/$B$8</f>
        <v/>
      </c>
      <c r="F96" s="253">
        <f>(($D$62/(1+$A96)^0.5+$E$62/(1+$A96)^1.5+$F$62/(1+$A96)^2.5+$G$62/(1+$A96)^3.5+$H$62/(1+$A96)^4.5)+($H$62*(1+F$93)/($A96-F$93))/(1+$A96)^4.5-$B$10)/$B$8</f>
        <v/>
      </c>
    </row>
    <row r="97">
      <c r="A97" s="252" t="n">
        <v>0.1344</v>
      </c>
      <c r="B97" s="253">
        <f>(($D$62/(1+$A97)^0.5+$E$62/(1+$A97)^1.5+$F$62/(1+$A97)^2.5+$G$62/(1+$A97)^3.5+$H$62/(1+$A97)^4.5)+($H$62*(1+B$93)/($A97-B$93))/(1+$A97)^4.5-$B$10)/$B$8</f>
        <v/>
      </c>
      <c r="C97" s="253">
        <f>(($D$62/(1+$A97)^0.5+$E$62/(1+$A97)^1.5+$F$62/(1+$A97)^2.5+$G$62/(1+$A97)^3.5+$H$62/(1+$A97)^4.5)+($H$62*(1+C$93)/($A97-C$93))/(1+$A97)^4.5-$B$10)/$B$8</f>
        <v/>
      </c>
      <c r="D97" s="253">
        <f>(($D$62/(1+$A97)^0.5+$E$62/(1+$A97)^1.5+$F$62/(1+$A97)^2.5+$G$62/(1+$A97)^3.5+$H$62/(1+$A97)^4.5)+($H$62*(1+D$93)/($A97-D$93))/(1+$A97)^4.5-$B$10)/$B$8</f>
        <v/>
      </c>
      <c r="E97" s="253">
        <f>(($D$62/(1+$A97)^0.5+$E$62/(1+$A97)^1.5+$F$62/(1+$A97)^2.5+$G$62/(1+$A97)^3.5+$H$62/(1+$A97)^4.5)+($H$62*(1+E$93)/($A97-E$93))/(1+$A97)^4.5-$B$10)/$B$8</f>
        <v/>
      </c>
      <c r="F97" s="253">
        <f>(($D$62/(1+$A97)^0.5+$E$62/(1+$A97)^1.5+$F$62/(1+$A97)^2.5+$G$62/(1+$A97)^3.5+$H$62/(1+$A97)^4.5)+($H$62*(1+F$93)/($A97-F$93))/(1+$A97)^4.5-$B$10)/$B$8</f>
        <v/>
      </c>
    </row>
    <row r="98">
      <c r="A98" s="252" t="n">
        <v>0.1444</v>
      </c>
      <c r="B98" s="253">
        <f>(($D$62/(1+$A98)^0.5+$E$62/(1+$A98)^1.5+$F$62/(1+$A98)^2.5+$G$62/(1+$A98)^3.5+$H$62/(1+$A98)^4.5)+($H$62*(1+B$93)/($A98-B$93))/(1+$A98)^4.5-$B$10)/$B$8</f>
        <v/>
      </c>
      <c r="C98" s="253">
        <f>(($D$62/(1+$A98)^0.5+$E$62/(1+$A98)^1.5+$F$62/(1+$A98)^2.5+$G$62/(1+$A98)^3.5+$H$62/(1+$A98)^4.5)+($H$62*(1+C$93)/($A98-C$93))/(1+$A98)^4.5-$B$10)/$B$8</f>
        <v/>
      </c>
      <c r="D98" s="253">
        <f>(($D$62/(1+$A98)^0.5+$E$62/(1+$A98)^1.5+$F$62/(1+$A98)^2.5+$G$62/(1+$A98)^3.5+$H$62/(1+$A98)^4.5)+($H$62*(1+D$93)/($A98-D$93))/(1+$A98)^4.5-$B$10)/$B$8</f>
        <v/>
      </c>
      <c r="E98" s="253">
        <f>(($D$62/(1+$A98)^0.5+$E$62/(1+$A98)^1.5+$F$62/(1+$A98)^2.5+$G$62/(1+$A98)^3.5+$H$62/(1+$A98)^4.5)+($H$62*(1+E$93)/($A98-E$93))/(1+$A98)^4.5-$B$10)/$B$8</f>
        <v/>
      </c>
      <c r="F98" s="253">
        <f>(($D$62/(1+$A98)^0.5+$E$62/(1+$A98)^1.5+$F$62/(1+$A98)^2.5+$G$62/(1+$A98)^3.5+$H$62/(1+$A98)^4.5)+($H$62*(1+F$93)/($A98-F$93))/(1+$A98)^4.5-$B$10)/$B$8</f>
        <v/>
      </c>
    </row>
    <row r="100">
      <c r="A100" s="216" t="inlineStr">
        <is>
          <t>SENSITIVITY: FY2030 EBIT Margin vs Terminal Growth — Implied Share Price ($)</t>
        </is>
      </c>
    </row>
    <row r="102">
      <c r="A102" s="250" t="inlineStr">
        <is>
          <t>EBIT Mgn ↓ / Term g →</t>
        </is>
      </c>
      <c r="B102" s="252" t="n">
        <v>0.02</v>
      </c>
      <c r="C102" s="252" t="n">
        <v>0.025</v>
      </c>
      <c r="D102" s="252" t="n">
        <v>0.03</v>
      </c>
      <c r="E102" s="252" t="n">
        <v>0.035</v>
      </c>
      <c r="F102" s="252" t="n">
        <v>0.04</v>
      </c>
    </row>
    <row r="103">
      <c r="A103" s="252" t="n">
        <v>0.15</v>
      </c>
      <c r="B103" s="253">
        <f>($B$78+(($H$51*(1+B$102)*($A103*(1-$B$12)+0.12-0.13))/($B$11-B$102))/(1+$B$11)^4.5-$B$10)/$B$8</f>
        <v/>
      </c>
      <c r="C103" s="253">
        <f>($B$78+(($H$51*(1+C$102)*($A103*(1-$B$12)+0.12-0.13))/($B$11-C$102))/(1+$B$11)^4.5-$B$10)/$B$8</f>
        <v/>
      </c>
      <c r="D103" s="253">
        <f>($B$78+(($H$51*(1+D$102)*($A103*(1-$B$12)+0.12-0.13))/($B$11-D$102))/(1+$B$11)^4.5-$B$10)/$B$8</f>
        <v/>
      </c>
      <c r="E103" s="253">
        <f>($B$78+(($H$51*(1+E$102)*($A103*(1-$B$12)+0.12-0.13))/($B$11-E$102))/(1+$B$11)^4.5-$B$10)/$B$8</f>
        <v/>
      </c>
      <c r="F103" s="253">
        <f>($B$78+(($H$51*(1+F$102)*($A103*(1-$B$12)+0.12-0.13))/($B$11-F$102))/(1+$B$11)^4.5-$B$10)/$B$8</f>
        <v/>
      </c>
    </row>
    <row r="104">
      <c r="A104" s="252" t="n">
        <v>0.2</v>
      </c>
      <c r="B104" s="253">
        <f>($B$78+(($H$51*(1+B$102)*($A104*(1-$B$12)+0.12-0.13))/($B$11-B$102))/(1+$B$11)^4.5-$B$10)/$B$8</f>
        <v/>
      </c>
      <c r="C104" s="253">
        <f>($B$78+(($H$51*(1+C$102)*($A104*(1-$B$12)+0.12-0.13))/($B$11-C$102))/(1+$B$11)^4.5-$B$10)/$B$8</f>
        <v/>
      </c>
      <c r="D104" s="253">
        <f>($B$78+(($H$51*(1+D$102)*($A104*(1-$B$12)+0.12-0.13))/($B$11-D$102))/(1+$B$11)^4.5-$B$10)/$B$8</f>
        <v/>
      </c>
      <c r="E104" s="253">
        <f>($B$78+(($H$51*(1+E$102)*($A104*(1-$B$12)+0.12-0.13))/($B$11-E$102))/(1+$B$11)^4.5-$B$10)/$B$8</f>
        <v/>
      </c>
      <c r="F104" s="253">
        <f>($B$78+(($H$51*(1+F$102)*($A104*(1-$B$12)+0.12-0.13))/($B$11-F$102))/(1+$B$11)^4.5-$B$10)/$B$8</f>
        <v/>
      </c>
    </row>
    <row r="105">
      <c r="A105" s="252" t="n">
        <v>0.25</v>
      </c>
      <c r="B105" s="253">
        <f>($B$78+(($H$51*(1+B$102)*($A105*(1-$B$12)+0.12-0.13))/($B$11-B$102))/(1+$B$11)^4.5-$B$10)/$B$8</f>
        <v/>
      </c>
      <c r="C105" s="253">
        <f>($B$78+(($H$51*(1+C$102)*($A105*(1-$B$12)+0.12-0.13))/($B$11-C$102))/(1+$B$11)^4.5-$B$10)/$B$8</f>
        <v/>
      </c>
      <c r="D105" s="254">
        <f>($B$78+(($H$51*(1+D$102)*($A105*(1-$B$12)+0.12-0.13))/($B$11-D$102))/(1+$B$11)^4.5-$B$10)/$B$8</f>
        <v/>
      </c>
      <c r="E105" s="253">
        <f>($B$78+(($H$51*(1+E$102)*($A105*(1-$B$12)+0.12-0.13))/($B$11-E$102))/(1+$B$11)^4.5-$B$10)/$B$8</f>
        <v/>
      </c>
      <c r="F105" s="253">
        <f>($B$78+(($H$51*(1+F$102)*($A105*(1-$B$12)+0.12-0.13))/($B$11-F$102))/(1+$B$11)^4.5-$B$10)/$B$8</f>
        <v/>
      </c>
    </row>
    <row r="106">
      <c r="A106" s="252" t="n">
        <v>0.3</v>
      </c>
      <c r="B106" s="253">
        <f>($B$78+(($H$51*(1+B$102)*($A106*(1-$B$12)+0.12-0.13))/($B$11-B$102))/(1+$B$11)^4.5-$B$10)/$B$8</f>
        <v/>
      </c>
      <c r="C106" s="253">
        <f>($B$78+(($H$51*(1+C$102)*($A106*(1-$B$12)+0.12-0.13))/($B$11-C$102))/(1+$B$11)^4.5-$B$10)/$B$8</f>
        <v/>
      </c>
      <c r="D106" s="253">
        <f>($B$78+(($H$51*(1+D$102)*($A106*(1-$B$12)+0.12-0.13))/($B$11-D$102))/(1+$B$11)^4.5-$B$10)/$B$8</f>
        <v/>
      </c>
      <c r="E106" s="253">
        <f>($B$78+(($H$51*(1+E$102)*($A106*(1-$B$12)+0.12-0.13))/($B$11-E$102))/(1+$B$11)^4.5-$B$10)/$B$8</f>
        <v/>
      </c>
      <c r="F106" s="253">
        <f>($B$78+(($H$51*(1+F$102)*($A106*(1-$B$12)+0.12-0.13))/($B$11-F$102))/(1+$B$11)^4.5-$B$10)/$B$8</f>
        <v/>
      </c>
    </row>
    <row r="107">
      <c r="A107" s="252" t="n">
        <v>0.35</v>
      </c>
      <c r="B107" s="253">
        <f>($B$78+(($H$51*(1+B$102)*($A107*(1-$B$12)+0.12-0.13))/($B$11-B$102))/(1+$B$11)^4.5-$B$10)/$B$8</f>
        <v/>
      </c>
      <c r="C107" s="253">
        <f>($B$78+(($H$51*(1+C$102)*($A107*(1-$B$12)+0.12-0.13))/($B$11-C$102))/(1+$B$11)^4.5-$B$10)/$B$8</f>
        <v/>
      </c>
      <c r="D107" s="253">
        <f>($B$78+(($H$51*(1+D$102)*($A107*(1-$B$12)+0.12-0.13))/($B$11-D$102))/(1+$B$11)^4.5-$B$10)/$B$8</f>
        <v/>
      </c>
      <c r="E107" s="253">
        <f>($B$78+(($H$51*(1+E$102)*($A107*(1-$B$12)+0.12-0.13))/($B$11-E$102))/(1+$B$11)^4.5-$B$10)/$B$8</f>
        <v/>
      </c>
      <c r="F107" s="253">
        <f>($B$78+(($H$51*(1+F$102)*($A107*(1-$B$12)+0.12-0.13))/($B$11-F$102))/(1+$B$11)^4.5-$B$10)/$B$8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10" defaultRowHeight="13"/>
  <cols>
    <col width="33.33203125" customWidth="1" style="215" min="1" max="2"/>
  </cols>
  <sheetData>
    <row r="1" ht="18" customHeight="1" s="215">
      <c r="A1" s="214" t="inlineStr">
        <is>
          <t>SpaceX — Weighted Average Cost of Capital</t>
        </is>
      </c>
    </row>
    <row r="2">
      <c r="A2" s="225" t="inlineStr">
        <is>
          <t>Pre-IPO consolidated entity (incl. Starlink, Launch, xAI/SpaceXAI)</t>
        </is>
      </c>
    </row>
    <row r="4">
      <c r="A4" s="216" t="inlineStr">
        <is>
          <t>COST OF EQUITY (CAPM)</t>
        </is>
      </c>
      <c r="B4" s="78" t="n"/>
    </row>
    <row r="5">
      <c r="A5" s="60" t="inlineStr">
        <is>
          <t>Risk-Free Rate (10Y UST)</t>
        </is>
      </c>
      <c r="B5" s="63" t="n">
        <v>0.0425</v>
      </c>
    </row>
    <row r="6">
      <c r="A6" s="60" t="inlineStr">
        <is>
          <t>Equity Risk Premium</t>
        </is>
      </c>
      <c r="B6" s="63" t="n">
        <v>0.055</v>
      </c>
    </row>
    <row r="7">
      <c r="A7" s="60" t="inlineStr">
        <is>
          <t>Beta (peer-derived, levered)</t>
        </is>
      </c>
      <c r="B7" s="64" t="n">
        <v>1.4</v>
      </c>
    </row>
    <row r="8">
      <c r="A8" s="60" t="inlineStr">
        <is>
          <t>Country/Size Premium</t>
        </is>
      </c>
      <c r="B8" s="63" t="n">
        <v>0.005</v>
      </c>
    </row>
    <row r="9">
      <c r="A9" s="92" t="inlineStr">
        <is>
          <t>Cost of Equity</t>
        </is>
      </c>
      <c r="B9" s="67">
        <f>B5+B7*B6+B8</f>
        <v/>
      </c>
    </row>
    <row r="11">
      <c r="A11" s="216" t="inlineStr">
        <is>
          <t>COST OF DEBT</t>
        </is>
      </c>
      <c r="B11" s="78" t="n"/>
    </row>
    <row r="12">
      <c r="A12" s="60" t="inlineStr">
        <is>
          <t>Pre-Tax Cost of Debt</t>
        </is>
      </c>
      <c r="B12" s="63" t="n">
        <v>0.065</v>
      </c>
    </row>
    <row r="13">
      <c r="A13" s="60" t="inlineStr">
        <is>
          <t>Tax Rate</t>
        </is>
      </c>
      <c r="B13" s="63" t="n">
        <v>0.21</v>
      </c>
    </row>
    <row r="14">
      <c r="A14" s="92" t="inlineStr">
        <is>
          <t>After-Tax Cost of Debt</t>
        </is>
      </c>
      <c r="B14" s="67">
        <f>B12*(1-B13)</f>
        <v/>
      </c>
    </row>
    <row r="16">
      <c r="A16" s="216" t="inlineStr">
        <is>
          <t>CAPITAL STRUCTURE (at IPO)</t>
        </is>
      </c>
      <c r="B16" s="78" t="n"/>
    </row>
    <row r="17">
      <c r="A17" s="60" t="inlineStr">
        <is>
          <t>Market Cap at IPO ($B)</t>
        </is>
      </c>
      <c r="B17" s="72" t="n">
        <v>1750</v>
      </c>
    </row>
    <row r="18">
      <c r="A18" s="60" t="inlineStr">
        <is>
          <t>Total Debt ($B)</t>
        </is>
      </c>
      <c r="B18" s="72" t="n">
        <v>5</v>
      </c>
    </row>
    <row r="19">
      <c r="A19" s="60" t="inlineStr">
        <is>
          <t>Cash &amp; Equivalents ($B)</t>
        </is>
      </c>
      <c r="B19" s="72" t="n">
        <v>3</v>
      </c>
    </row>
    <row r="20">
      <c r="A20" s="60" t="inlineStr">
        <is>
          <t>Net Debt ($B)</t>
        </is>
      </c>
      <c r="B20" s="226">
        <f>B18-B19</f>
        <v/>
      </c>
    </row>
    <row r="21">
      <c r="A21" s="60" t="inlineStr">
        <is>
          <t>Enterprise Value ($B)</t>
        </is>
      </c>
      <c r="B21" s="71">
        <f>B17+B20</f>
        <v/>
      </c>
    </row>
    <row r="22">
      <c r="A22" s="60" t="inlineStr">
        <is>
          <t>Equity Weight</t>
        </is>
      </c>
      <c r="B22" s="74">
        <f>B17/B21</f>
        <v/>
      </c>
    </row>
    <row r="23">
      <c r="A23" s="60" t="inlineStr">
        <is>
          <t>Debt Weight</t>
        </is>
      </c>
      <c r="B23" s="74">
        <f>B20/B21</f>
        <v/>
      </c>
    </row>
    <row r="25">
      <c r="A25" s="216" t="inlineStr">
        <is>
          <t>WACC</t>
        </is>
      </c>
      <c r="B25" s="78" t="n"/>
    </row>
    <row r="26" ht="16" customHeight="1" s="215">
      <c r="A26" s="227" t="inlineStr">
        <is>
          <t>WACC</t>
        </is>
      </c>
      <c r="B26" s="76">
        <f>B9*B22+B14*B23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D15" sqref="D15"/>
    </sheetView>
  </sheetViews>
  <sheetFormatPr baseColWidth="10" defaultRowHeight="13"/>
  <cols>
    <col width="53.33203125" customWidth="1" style="215" min="1" max="1"/>
    <col width="21.6640625" customWidth="1" style="215" min="2" max="5"/>
  </cols>
  <sheetData>
    <row r="1" ht="20" customHeight="1" s="215">
      <c r="A1" s="113" t="inlineStr">
        <is>
          <t>SpaceX — Intrinsic Value vs Broker IPO Price</t>
        </is>
      </c>
    </row>
    <row r="2">
      <c r="A2" s="83" t="inlineStr">
        <is>
          <t>Change Case Selector on 'SpaceX DCF'!B4 to toggle Bear (1) / Base (2) / Bull (3)</t>
        </is>
      </c>
    </row>
    <row r="4">
      <c r="A4" s="216" t="inlineStr">
        <is>
          <t>VALUATION SUMMARY (Active Case)</t>
        </is>
      </c>
    </row>
    <row r="5">
      <c r="A5" t="inlineStr">
        <is>
          <t>Active Case</t>
        </is>
      </c>
      <c r="B5" s="255">
        <f>'SpaceX DCF'!B5</f>
        <v/>
      </c>
    </row>
    <row r="6">
      <c r="A6" t="inlineStr">
        <is>
          <t>Enterprise Value ($B)</t>
        </is>
      </c>
      <c r="B6" s="230">
        <f>'SpaceX DCF'!B80</f>
        <v/>
      </c>
    </row>
    <row r="7">
      <c r="A7" t="inlineStr">
        <is>
          <t>Equity Value ($B)</t>
        </is>
      </c>
      <c r="B7" s="230">
        <f>'SpaceX DCF'!B82</f>
        <v/>
      </c>
    </row>
    <row r="8">
      <c r="A8" t="inlineStr">
        <is>
          <t>Implied Share Price ($)</t>
        </is>
      </c>
      <c r="B8" s="256">
        <f>'SpaceX DCF'!B84</f>
        <v/>
      </c>
    </row>
    <row r="10">
      <c r="A10" s="216" t="inlineStr">
        <is>
          <t>BROKER IPO PRICE BENCHMARKS</t>
        </is>
      </c>
    </row>
    <row r="11">
      <c r="A11" s="61" t="inlineStr">
        <is>
          <t>Scenario</t>
        </is>
      </c>
      <c r="B11" s="61" t="inlineStr">
        <is>
          <t>Valuation ($B)</t>
        </is>
      </c>
      <c r="C11" s="61" t="inlineStr">
        <is>
          <t>Price/Share ($)</t>
        </is>
      </c>
      <c r="D11" s="61" t="inlineStr">
        <is>
          <t>EV/2025 Rev (x)</t>
        </is>
      </c>
      <c r="E11" s="61" t="inlineStr">
        <is>
          <t>vs Intrinsic</t>
        </is>
      </c>
    </row>
    <row r="12">
      <c r="A12" s="83" t="inlineStr">
        <is>
          <t>Insider Sale (Dec 2025)</t>
        </is>
      </c>
      <c r="B12" s="72" t="n">
        <v>800</v>
      </c>
      <c r="C12" s="70">
        <f>B12/'SpaceX DCF'!$B$8</f>
        <v/>
      </c>
      <c r="D12" s="276">
        <f>B12/'SpaceX DCF'!$C$51</f>
        <v/>
      </c>
      <c r="E12" s="277">
        <f>'SpaceX DCF'!$B$84/C12-1</f>
        <v/>
      </c>
    </row>
    <row r="13">
      <c r="A13" s="60" t="inlineStr">
        <is>
          <t>TechCrunch/WSJ Base IPO Target</t>
        </is>
      </c>
      <c r="B13" s="259" t="n">
        <v>1750</v>
      </c>
      <c r="C13" s="106">
        <f>B13/'SpaceX DCF'!$B$8</f>
        <v/>
      </c>
      <c r="D13" s="278">
        <f>B13/'SpaceX DCF'!$C$51</f>
        <v/>
      </c>
      <c r="E13" s="279">
        <f>'SpaceX DCF'!$B$84/C13-1</f>
        <v/>
      </c>
    </row>
    <row r="14">
      <c r="A14" t="inlineStr">
        <is>
          <t>Bloomberg Stretch IPO Target</t>
        </is>
      </c>
      <c r="B14" s="72" t="n">
        <v>2000</v>
      </c>
      <c r="C14" s="70">
        <f>B14/'SpaceX DCF'!$B$8</f>
        <v/>
      </c>
      <c r="D14" s="276">
        <f>B14/'SpaceX DCF'!$C$51</f>
        <v/>
      </c>
      <c r="E14" s="277">
        <f>'SpaceX DCF'!$B$84/C14-1</f>
        <v/>
      </c>
    </row>
    <row r="16">
      <c r="A16" s="216" t="inlineStr">
        <is>
          <t>INTERPRETATION</t>
        </is>
      </c>
    </row>
    <row r="17">
      <c r="A17" s="83" t="inlineStr">
        <is>
          <t>Base case DCF (Starlink to $22B by FY30, Launch +3-5%/yr) yields ~$6.50/share intrinsic value.</t>
        </is>
      </c>
    </row>
    <row r="18">
      <c r="A18" s="83" t="inlineStr">
        <is>
          <t>Broker IPO price of $350 (at $1.75T) implies a 98% premium to standalone DCF.</t>
        </is>
      </c>
    </row>
    <row r="19">
      <c r="A19" s="60" t="inlineStr">
        <is>
          <t>This gap reflects:</t>
        </is>
      </c>
    </row>
    <row r="20">
      <c r="A20" t="inlineStr">
        <is>
          <t xml:space="preserve">  1) Starship/Mars option value (not modeled in 5-year FCF horizon)</t>
        </is>
      </c>
    </row>
    <row r="21">
      <c r="A21" t="inlineStr">
        <is>
          <t xml:space="preserve">  2) xAI/SpaceXAI long-term AI infrastructure optionality</t>
        </is>
      </c>
    </row>
    <row r="22">
      <c r="A22" t="inlineStr">
        <is>
          <t xml:space="preserve">  3) Scarcity premium - the only listed pure-play LEO/launch leader</t>
        </is>
      </c>
    </row>
    <row r="23">
      <c r="A23" t="inlineStr">
        <is>
          <t xml:space="preserve">  4) Passive index demand if added to S&amp;P 500 / Nasdaq-100 fast-entry</t>
        </is>
      </c>
    </row>
    <row r="24">
      <c r="A24" t="inlineStr">
        <is>
          <t xml:space="preserve">  5) Trading-multiple-based pricing (~87x P/S 2026E) vs intrinsic DCF</t>
        </is>
      </c>
    </row>
    <row r="26">
      <c r="A26" s="83" t="inlineStr">
        <is>
          <t>EV/Sales context: $1.75T = ~94x 2025 revenue ($18.7B) - more than 2x Nvidia AI-peak multiple.</t>
        </is>
      </c>
    </row>
    <row r="27">
      <c r="A27" s="83" t="inlineStr">
        <is>
          <t>For DCF to support $350/share, Starlink must reach ~$60-80B revenue or terminal margins ~35-40%.</t>
        </is>
      </c>
    </row>
    <row r="29">
      <c r="A29" s="216" t="inlineStr">
        <is>
          <t>RECOMMENDATION</t>
        </is>
      </c>
    </row>
    <row r="30">
      <c r="A30" t="inlineStr">
        <is>
          <t>Standalone DCF cannot justify the IPO valuation. The Bull case (Starlink $30B+ by FY30) still implies</t>
        </is>
      </c>
    </row>
    <row r="31">
      <c r="A31" t="inlineStr">
        <is>
          <t>deep downside to $350. Investors buying at IPO are paying for speculative optionality (Starship,</t>
        </is>
      </c>
    </row>
    <row r="32">
      <c r="A32" t="inlineStr">
        <is>
          <t>xAI, orbital data centers) and scarcity, not for current discounted cash flows.</t>
        </is>
      </c>
    </row>
    <row r="34">
      <c r="A34" t="inlineStr">
        <is>
          <t>See sensitivity tables on 'SpaceX DCF' (rows 91-107) for the assumption combinations needed to close the gap.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D16" sqref="D16"/>
    </sheetView>
  </sheetViews>
  <sheetFormatPr baseColWidth="10" defaultRowHeight="13"/>
  <cols>
    <col width="53.33203125" customWidth="1" style="215" min="1" max="2"/>
  </cols>
  <sheetData>
    <row r="1" ht="20" customHeight="1" s="215">
      <c r="A1" s="113" t="inlineStr">
        <is>
          <t>Domino's Pizza (DPZ) — Valuation Summary</t>
        </is>
      </c>
    </row>
    <row r="2" ht="14" customHeight="1" s="215">
      <c r="A2" s="114" t="inlineStr">
        <is>
          <t>Why Buffett bought at $437 — the standard DCF is missing buybacks</t>
        </is>
      </c>
    </row>
    <row r="4">
      <c r="A4" s="216" t="inlineStr">
        <is>
          <t>THE PUZZLE YOU IDENTIFIED</t>
        </is>
      </c>
      <c r="B4" s="78" t="n"/>
    </row>
    <row r="5">
      <c r="A5" t="inlineStr">
        <is>
          <t>Standard 15Y FCF DCF → implied price</t>
        </is>
      </c>
      <c r="B5" s="106">
        <f>'DPZ DCF'!B57</f>
        <v/>
      </c>
    </row>
    <row r="6">
      <c r="A6" t="inlineStr">
        <is>
          <t>Current market price</t>
        </is>
      </c>
      <c r="B6" s="70">
        <f>'DPZ DCF'!B5</f>
        <v/>
      </c>
    </row>
    <row r="7">
      <c r="A7" t="inlineStr">
        <is>
          <t>Buffett purchased at</t>
        </is>
      </c>
      <c r="B7" s="68" t="n">
        <v>437</v>
      </c>
    </row>
    <row r="8">
      <c r="A8" t="inlineStr">
        <is>
          <t>Standard DCF says current price is overvalued by:</t>
        </is>
      </c>
      <c r="B8" s="115">
        <f>B6/B5-1</f>
        <v/>
      </c>
    </row>
    <row r="10">
      <c r="A10" s="216" t="inlineStr">
        <is>
          <t>WHAT THE STANDARD DCF MISSES</t>
        </is>
      </c>
      <c r="B10" s="78" t="n"/>
    </row>
    <row r="11">
      <c r="A11" s="60" t="inlineStr">
        <is>
          <t>1. Capital allocation (buybacks)</t>
        </is>
      </c>
    </row>
    <row r="12">
      <c r="A12" t="inlineStr">
        <is>
          <t xml:space="preserve">  DPZ retires ~3-4% of shares per year</t>
        </is>
      </c>
    </row>
    <row r="13">
      <c r="A13" t="inlineStr">
        <is>
          <t xml:space="preserve">  $1.46B buyback authorization (Apr 2026 = $1B new + $459.7M existing)</t>
        </is>
      </c>
    </row>
    <row r="14">
      <c r="A14" t="inlineStr">
        <is>
          <t xml:space="preserve">  Per-share FCF grows much faster than total FCF</t>
        </is>
      </c>
    </row>
    <row r="16">
      <c r="A16" s="60" t="inlineStr">
        <is>
          <t>2. Negative book equity is a feature, not a bug</t>
        </is>
      </c>
    </row>
    <row r="17">
      <c r="A17" t="inlineStr">
        <is>
          <t xml:space="preserve">  Stockholders' deficit of -$3.97B reflects $7B+ of cumulative buybacks</t>
        </is>
      </c>
    </row>
    <row r="18">
      <c r="A18" t="inlineStr">
        <is>
          <t xml:space="preserve">  Capital-light franchise model (99% franchised) needs minimal equity</t>
        </is>
      </c>
    </row>
    <row r="19">
      <c r="A19" t="inlineStr">
        <is>
          <t xml:space="preserve">  ROIC is enormous because invested capital is tiny</t>
        </is>
      </c>
    </row>
    <row r="21">
      <c r="A21" s="60" t="inlineStr">
        <is>
          <t>3. Defensive moat — lower required return</t>
        </is>
      </c>
    </row>
    <row r="22">
      <c r="A22" t="inlineStr">
        <is>
          <t xml:space="preserve">  Beta ~0.7, recession-resistant, 99% franchised → capital-light royalty stream</t>
        </is>
      </c>
    </row>
    <row r="23">
      <c r="A23" t="inlineStr">
        <is>
          <t xml:space="preserve">  Pricing power: low-cost meal occasion, scale advantage in supply chain</t>
        </is>
      </c>
    </row>
    <row r="25">
      <c r="A25" s="216" t="inlineStr">
        <is>
          <t>PER-SHARE OWNER EARNINGS MODEL (Buffett's framework)</t>
        </is>
      </c>
      <c r="B25" s="78" t="n"/>
    </row>
    <row r="26">
      <c r="A26" t="inlineStr">
        <is>
          <t>FCF per share today (LTM Q1'26)</t>
        </is>
      </c>
      <c r="B26" s="70">
        <f>'Per-Share Model'!B7</f>
        <v/>
      </c>
    </row>
    <row r="27">
      <c r="A27" t="inlineStr">
        <is>
          <t>Annual buyback yield</t>
        </is>
      </c>
      <c r="B27" s="65">
        <f>'Per-Share Model'!B12</f>
        <v/>
      </c>
    </row>
    <row r="28">
      <c r="A28" t="inlineStr">
        <is>
          <t>Dividend yield</t>
        </is>
      </c>
      <c r="B28" s="65">
        <f>'Per-Share Model'!B13</f>
        <v/>
      </c>
    </row>
    <row r="29">
      <c r="A29" t="inlineStr">
        <is>
          <t>Total shareholder yield</t>
        </is>
      </c>
      <c r="B29" s="66">
        <f>'Per-Share Model'!B14</f>
        <v/>
      </c>
    </row>
    <row r="31" ht="16" customHeight="1" s="215">
      <c r="A31" s="75" t="inlineStr">
        <is>
          <t>Per-share intrinsic value (15Y, 9% disc, 2.5% term)</t>
        </is>
      </c>
      <c r="B31" s="102">
        <f>'Per-Share Model'!B38</f>
        <v/>
      </c>
    </row>
    <row r="33">
      <c r="A33" s="216" t="inlineStr">
        <is>
          <t>VS THE TWO REFERENCE POINTS</t>
        </is>
      </c>
      <c r="B33" s="78" t="n"/>
    </row>
    <row r="34">
      <c r="A34" t="inlineStr">
        <is>
          <t>Upside vs current price ($372)</t>
        </is>
      </c>
      <c r="B34" s="117">
        <f>B31/B6-1</f>
        <v/>
      </c>
    </row>
    <row r="35">
      <c r="A35" t="inlineStr">
        <is>
          <t>Margin of safety vs Buffett's $437</t>
        </is>
      </c>
      <c r="B35" s="103">
        <f>B31/B7-1</f>
        <v/>
      </c>
    </row>
    <row r="37">
      <c r="A37" s="216" t="inlineStr">
        <is>
          <t>CONCLUSION</t>
        </is>
      </c>
      <c r="B37" s="78" t="n"/>
    </row>
    <row r="38">
      <c r="A38" s="118" t="inlineStr">
        <is>
          <t>Buffett did NOT buy on a standard DCF — he bought a per-share compounding machine.</t>
        </is>
      </c>
    </row>
    <row r="39">
      <c r="A39" t="inlineStr">
        <is>
          <t>At $437, Buffett got DPZ at ~fair value of intrinsic per-share, with the buyback engine</t>
        </is>
      </c>
    </row>
    <row r="40">
      <c r="A40" t="inlineStr">
        <is>
          <t>doing the heavy lifting on returns. At $372 today, you have ~16% upside before</t>
        </is>
      </c>
    </row>
    <row r="41">
      <c r="A41" t="inlineStr">
        <is>
          <t>even counting the buybacks accelerating with the new $1B authorization.</t>
        </is>
      </c>
    </row>
    <row r="43">
      <c r="A43" s="216" t="inlineStr">
        <is>
          <t>TODAY'S Q1'26 EARNINGS (Apr 27, 2026)</t>
        </is>
      </c>
      <c r="B43" s="78" t="n"/>
    </row>
    <row r="44">
      <c r="A44" t="inlineStr">
        <is>
          <t>Q1 EPS</t>
        </is>
      </c>
      <c r="B44" s="68" t="n">
        <v>4.13</v>
      </c>
    </row>
    <row r="45">
      <c r="A45" t="inlineStr">
        <is>
          <t>Q1 Revenue</t>
        </is>
      </c>
      <c r="B45" s="266" t="n">
        <v>1150.6</v>
      </c>
    </row>
    <row r="46">
      <c r="A46" t="inlineStr">
        <is>
          <t>NEW $1B buyback authorization announced today</t>
        </is>
      </c>
      <c r="B46" s="116" t="inlineStr">
        <is>
          <t>+ existing $459.7M = $1.46B total firepower</t>
        </is>
      </c>
    </row>
    <row r="47">
      <c r="A47" t="inlineStr">
        <is>
          <t>Implication: Q1 was a slight miss but BUYBACK was a clear bullish signal.</t>
        </is>
      </c>
    </row>
    <row r="48">
      <c r="A48" t="inlineStr">
        <is>
          <t>Mgmt is signaling confidence in the per-share compounding model.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39" sqref="A39:D39"/>
    </sheetView>
  </sheetViews>
  <sheetFormatPr baseColWidth="10" defaultRowHeight="13"/>
  <cols>
    <col width="27.5" customWidth="1" style="215" min="1" max="3"/>
  </cols>
  <sheetData>
    <row r="1" ht="18" customHeight="1" s="215">
      <c r="A1" s="214" t="n">
        <v>8</v>
      </c>
    </row>
    <row r="2">
      <c r="A2" s="59" t="inlineStr">
        <is>
          <t>Date: April 27, 2026 | FYE: Late December | All $ in millions except per-share</t>
        </is>
      </c>
    </row>
    <row r="4">
      <c r="A4" s="216" t="inlineStr">
        <is>
          <t>MARKET DATA</t>
        </is>
      </c>
      <c r="B4" s="78" t="n"/>
      <c r="C4" s="78" t="n"/>
    </row>
    <row r="5">
      <c r="A5" t="inlineStr">
        <is>
          <t>Current price</t>
        </is>
      </c>
      <c r="B5" s="79">
        <f>WACC!B16</f>
        <v/>
      </c>
    </row>
    <row r="6">
      <c r="A6" t="inlineStr">
        <is>
          <t>Diluted shares (M)</t>
        </is>
      </c>
      <c r="B6" s="280">
        <f>WACC!B17</f>
        <v/>
      </c>
    </row>
    <row r="7">
      <c r="A7" t="inlineStr">
        <is>
          <t>Market cap ($M)</t>
        </is>
      </c>
      <c r="B7" s="71">
        <f>B5*B6</f>
        <v/>
      </c>
    </row>
    <row r="8">
      <c r="A8" t="inlineStr">
        <is>
          <t>Net debt ($M)</t>
        </is>
      </c>
      <c r="B8" s="81">
        <f>WACC!B21</f>
        <v/>
      </c>
    </row>
    <row r="9">
      <c r="A9" t="inlineStr">
        <is>
          <t>Buffett purchase price (Q3 2024)</t>
        </is>
      </c>
      <c r="B9" s="68" t="n">
        <v>437</v>
      </c>
    </row>
    <row r="11">
      <c r="A11" s="216" t="inlineStr">
        <is>
          <t>HISTORICAL FINANCIALS ($M)</t>
        </is>
      </c>
      <c r="B11" s="78" t="n"/>
      <c r="C11" s="78" t="n"/>
      <c r="D11" s="78" t="n"/>
      <c r="E11" s="78" t="n"/>
    </row>
    <row r="12">
      <c r="A12" s="61" t="inlineStr">
        <is>
          <t>Item</t>
        </is>
      </c>
      <c r="B12" s="82" t="inlineStr">
        <is>
          <t>FY2023</t>
        </is>
      </c>
      <c r="C12" s="82" t="inlineStr">
        <is>
          <t>FY2024</t>
        </is>
      </c>
      <c r="D12" s="82" t="inlineStr">
        <is>
          <t>FY2025</t>
        </is>
      </c>
      <c r="E12" s="82" t="inlineStr">
        <is>
          <t>Q1'26 LTM*</t>
        </is>
      </c>
    </row>
    <row r="13">
      <c r="A13" t="inlineStr">
        <is>
          <t>Revenue</t>
        </is>
      </c>
      <c r="B13" s="72" t="n">
        <v>4479</v>
      </c>
      <c r="C13" s="72" t="n">
        <v>4711</v>
      </c>
      <c r="D13" s="72" t="n">
        <v>4941</v>
      </c>
      <c r="E13" s="72" t="n">
        <v>5008</v>
      </c>
    </row>
    <row r="14">
      <c r="A14" s="83" t="inlineStr">
        <is>
          <t xml:space="preserve">  Revenue growth %</t>
        </is>
      </c>
      <c r="C14" s="84">
        <f>C13/B13-1</f>
        <v/>
      </c>
      <c r="D14" s="84">
        <f>D13/C13-1</f>
        <v/>
      </c>
      <c r="E14" s="84">
        <f>E13/D13-1</f>
        <v/>
      </c>
    </row>
    <row r="15">
      <c r="A15" t="inlineStr">
        <is>
          <t>EBIT (Income from operations)</t>
        </is>
      </c>
      <c r="B15" s="72" t="n">
        <v>818</v>
      </c>
      <c r="C15" s="72" t="n">
        <v>879</v>
      </c>
      <c r="D15" s="72" t="n">
        <v>954</v>
      </c>
      <c r="E15" s="72" t="n">
        <v>977</v>
      </c>
    </row>
    <row r="16">
      <c r="A16" s="83" t="inlineStr">
        <is>
          <t xml:space="preserve">  EBIT margin %</t>
        </is>
      </c>
      <c r="B16" s="84">
        <f>B15/B13</f>
        <v/>
      </c>
      <c r="C16" s="84">
        <f>C15/C13</f>
        <v/>
      </c>
      <c r="D16" s="84">
        <f>D15/D13</f>
        <v/>
      </c>
      <c r="E16" s="84">
        <f>E15/E13</f>
        <v/>
      </c>
    </row>
    <row r="17">
      <c r="A17" t="inlineStr">
        <is>
          <t>Net income</t>
        </is>
      </c>
      <c r="B17" s="72" t="n">
        <v>519</v>
      </c>
      <c r="C17" s="72" t="n">
        <v>584</v>
      </c>
      <c r="D17" s="72" t="n">
        <v>602</v>
      </c>
      <c r="E17" s="72" t="n">
        <v>600</v>
      </c>
    </row>
    <row r="18">
      <c r="A18" s="83" t="inlineStr">
        <is>
          <t>Operating cash flow</t>
        </is>
      </c>
      <c r="B18" s="72" t="n">
        <v>591</v>
      </c>
      <c r="C18" s="86" t="n">
        <v>625</v>
      </c>
      <c r="D18" s="86" t="n">
        <v>792</v>
      </c>
      <c r="E18" s="86" t="n">
        <v>800</v>
      </c>
    </row>
    <row r="19">
      <c r="A19" t="inlineStr">
        <is>
          <t>CapEx</t>
        </is>
      </c>
      <c r="B19" s="72" t="n">
        <v>105</v>
      </c>
      <c r="C19" s="72" t="n">
        <v>113</v>
      </c>
      <c r="D19" s="72" t="n">
        <v>121</v>
      </c>
      <c r="E19" s="72" t="n">
        <v>120</v>
      </c>
    </row>
    <row r="20">
      <c r="A20" s="87" t="inlineStr">
        <is>
          <t>Free Cash Flow</t>
        </is>
      </c>
      <c r="B20" s="73">
        <f>B18-B19</f>
        <v/>
      </c>
      <c r="C20" s="73">
        <f>C18-C19</f>
        <v/>
      </c>
      <c r="D20" s="73">
        <f>D18-D19</f>
        <v/>
      </c>
      <c r="E20" s="73">
        <f>E18-E19</f>
        <v/>
      </c>
    </row>
    <row r="21">
      <c r="A21" s="83" t="inlineStr">
        <is>
          <t xml:space="preserve">  FCF margin %</t>
        </is>
      </c>
      <c r="B21" s="88">
        <f>B20/B13</f>
        <v/>
      </c>
      <c r="C21" s="88">
        <f>C20/C13</f>
        <v/>
      </c>
      <c r="D21" s="88">
        <f>D20/D13</f>
        <v/>
      </c>
      <c r="E21" s="88">
        <f>E20/E13</f>
        <v/>
      </c>
    </row>
    <row r="23">
      <c r="A23" s="216" t="inlineStr">
        <is>
          <t>BUFFETT-STYLE ASSUMPTIONS (Conservative)</t>
        </is>
      </c>
      <c r="B23" s="78" t="n"/>
      <c r="C23" s="78" t="n"/>
      <c r="D23" s="78" t="n"/>
    </row>
    <row r="24">
      <c r="A24" t="inlineStr">
        <is>
          <t>Revenue growth Y1-5 (high-vis)</t>
        </is>
      </c>
      <c r="B24" s="89" t="n">
        <v>0.05</v>
      </c>
    </row>
    <row r="25">
      <c r="A25" t="inlineStr">
        <is>
          <t>Revenue growth Y6-10 (fade)</t>
        </is>
      </c>
      <c r="B25" s="89" t="n">
        <v>0.04</v>
      </c>
    </row>
    <row r="26">
      <c r="A26" t="inlineStr">
        <is>
          <t>Revenue growth Y11-15 (mature)</t>
        </is>
      </c>
      <c r="B26" s="89" t="n">
        <v>0.03</v>
      </c>
    </row>
    <row r="27">
      <c r="A27" t="inlineStr">
        <is>
          <t>Steady-state FCF margin</t>
        </is>
      </c>
      <c r="B27" s="89" t="n">
        <v>0.13</v>
      </c>
    </row>
    <row r="28">
      <c r="A28" t="inlineStr">
        <is>
          <t>WACC (discount rate)</t>
        </is>
      </c>
      <c r="B28" s="90">
        <f>WACC!B27</f>
        <v/>
      </c>
    </row>
    <row r="29">
      <c r="A29" t="inlineStr">
        <is>
          <t>Buffett discount rate (alt)</t>
        </is>
      </c>
      <c r="B29" s="63" t="n">
        <v>0.09</v>
      </c>
    </row>
    <row r="30">
      <c r="A30" t="inlineStr">
        <is>
          <t>Terminal growth rate</t>
        </is>
      </c>
      <c r="B30" s="89" t="n">
        <v>0.025</v>
      </c>
    </row>
    <row r="31">
      <c r="A31" t="inlineStr">
        <is>
          <t>Use which discount rate?</t>
        </is>
      </c>
      <c r="B31" s="91" t="inlineStr">
        <is>
          <t>Buffett 9%</t>
        </is>
      </c>
    </row>
    <row r="32">
      <c r="A32" s="60" t="inlineStr">
        <is>
          <t>Selected discount rate</t>
        </is>
      </c>
      <c r="B32" s="67">
        <f>IF(B31="WACC",B28,B29)</f>
        <v/>
      </c>
    </row>
    <row r="34">
      <c r="A34" s="216" t="inlineStr">
        <is>
          <t>15-YEAR FCF PROJECTION ($M)</t>
        </is>
      </c>
      <c r="B34" s="216" t="n"/>
      <c r="C34" s="216" t="n"/>
      <c r="D34" s="216" t="n"/>
      <c r="E34" s="216" t="n"/>
      <c r="F34" s="216" t="n"/>
      <c r="G34" s="216" t="n"/>
      <c r="H34" s="216" t="n"/>
      <c r="I34" s="216" t="n"/>
      <c r="J34" s="216" t="n"/>
      <c r="K34" s="216" t="n"/>
      <c r="L34" s="216" t="n"/>
      <c r="M34" s="216" t="n"/>
      <c r="N34" s="216" t="n"/>
      <c r="O34" s="216" t="n"/>
      <c r="P34" s="216" t="n"/>
      <c r="Q34" s="216" t="n"/>
    </row>
    <row r="35">
      <c r="A35" s="82" t="inlineStr">
        <is>
          <t>Item</t>
        </is>
      </c>
      <c r="B35" s="82" t="inlineStr">
        <is>
          <t>FY26E</t>
        </is>
      </c>
      <c r="C35" s="82" t="inlineStr">
        <is>
          <t>FY27E</t>
        </is>
      </c>
      <c r="D35" s="82" t="inlineStr">
        <is>
          <t>FY28E</t>
        </is>
      </c>
      <c r="E35" s="82" t="inlineStr">
        <is>
          <t>FY29E</t>
        </is>
      </c>
      <c r="F35" s="82" t="inlineStr">
        <is>
          <t>FY30E</t>
        </is>
      </c>
      <c r="G35" s="82" t="inlineStr">
        <is>
          <t>FY31E</t>
        </is>
      </c>
      <c r="H35" s="82" t="inlineStr">
        <is>
          <t>FY32E</t>
        </is>
      </c>
      <c r="I35" s="82" t="inlineStr">
        <is>
          <t>FY33E</t>
        </is>
      </c>
      <c r="J35" s="82" t="inlineStr">
        <is>
          <t>FY34E</t>
        </is>
      </c>
      <c r="K35" s="82" t="inlineStr">
        <is>
          <t>FY35E</t>
        </is>
      </c>
      <c r="L35" s="82" t="inlineStr">
        <is>
          <t>FY36E</t>
        </is>
      </c>
      <c r="M35" s="82" t="inlineStr">
        <is>
          <t>FY37E</t>
        </is>
      </c>
      <c r="N35" s="82" t="inlineStr">
        <is>
          <t>FY38E</t>
        </is>
      </c>
      <c r="O35" s="82" t="inlineStr">
        <is>
          <t>FY39E</t>
        </is>
      </c>
      <c r="P35" s="82" t="inlineStr">
        <is>
          <t>FY40E</t>
        </is>
      </c>
    </row>
    <row r="36">
      <c r="A36" t="inlineStr">
        <is>
          <t>Year #</t>
        </is>
      </c>
      <c r="B36" s="93" t="n">
        <v>1</v>
      </c>
      <c r="C36" s="93" t="n">
        <v>2</v>
      </c>
      <c r="D36" s="93" t="n">
        <v>3</v>
      </c>
      <c r="E36" s="93" t="n">
        <v>4</v>
      </c>
      <c r="F36" s="93" t="n">
        <v>5</v>
      </c>
      <c r="G36" s="93" t="n">
        <v>6</v>
      </c>
      <c r="H36" s="93" t="n">
        <v>7</v>
      </c>
      <c r="I36" s="93" t="n">
        <v>8</v>
      </c>
      <c r="J36" s="93" t="n">
        <v>9</v>
      </c>
      <c r="K36" s="93" t="n">
        <v>10</v>
      </c>
      <c r="L36" s="93" t="n">
        <v>11</v>
      </c>
      <c r="M36" s="93" t="n">
        <v>12</v>
      </c>
      <c r="N36" s="93" t="n">
        <v>13</v>
      </c>
      <c r="O36" s="93" t="n">
        <v>14</v>
      </c>
      <c r="P36" s="93" t="n">
        <v>15</v>
      </c>
    </row>
    <row r="37">
      <c r="A37" t="inlineStr">
        <is>
          <t>Revenue growth %</t>
        </is>
      </c>
      <c r="B37" s="74">
        <f>IF(B36&lt;=5,$B$24,IF(B36&lt;=10,$B$25,$B$26))</f>
        <v/>
      </c>
      <c r="C37" s="74">
        <f>IF(C36&lt;=5,$B$24,IF(C36&lt;=10,$B$25,$B$26))</f>
        <v/>
      </c>
      <c r="D37" s="74">
        <f>IF(D36&lt;=5,$B$24,IF(D36&lt;=10,$B$25,$B$26))</f>
        <v/>
      </c>
      <c r="E37" s="74">
        <f>IF(E36&lt;=5,$B$24,IF(E36&lt;=10,$B$25,$B$26))</f>
        <v/>
      </c>
      <c r="F37" s="74">
        <f>IF(F36&lt;=5,$B$24,IF(F36&lt;=10,$B$25,$B$26))</f>
        <v/>
      </c>
      <c r="G37" s="74">
        <f>IF(G36&lt;=5,$B$24,IF(G36&lt;=10,$B$25,$B$26))</f>
        <v/>
      </c>
      <c r="H37" s="74">
        <f>IF(H36&lt;=5,$B$24,IF(H36&lt;=10,$B$25,$B$26))</f>
        <v/>
      </c>
      <c r="I37" s="74">
        <f>IF(I36&lt;=5,$B$24,IF(I36&lt;=10,$B$25,$B$26))</f>
        <v/>
      </c>
      <c r="J37" s="74">
        <f>IF(J36&lt;=5,$B$24,IF(J36&lt;=10,$B$25,$B$26))</f>
        <v/>
      </c>
      <c r="K37" s="74">
        <f>IF(K36&lt;=5,$B$24,IF(K36&lt;=10,$B$25,$B$26))</f>
        <v/>
      </c>
      <c r="L37" s="74">
        <f>IF(L36&lt;=5,$B$24,IF(L36&lt;=10,$B$25,$B$26))</f>
        <v/>
      </c>
      <c r="M37" s="74">
        <f>IF(M36&lt;=5,$B$24,IF(M36&lt;=10,$B$25,$B$26))</f>
        <v/>
      </c>
      <c r="N37" s="74">
        <f>IF(N36&lt;=5,$B$24,IF(N36&lt;=10,$B$25,$B$26))</f>
        <v/>
      </c>
      <c r="O37" s="74">
        <f>IF(O36&lt;=5,$B$24,IF(O36&lt;=10,$B$25,$B$26))</f>
        <v/>
      </c>
      <c r="P37" s="74">
        <f>IF(P36&lt;=5,$B$24,IF(P36&lt;=10,$B$25,$B$26))</f>
        <v/>
      </c>
    </row>
    <row r="38">
      <c r="A38" t="inlineStr">
        <is>
          <t>Revenue</t>
        </is>
      </c>
      <c r="B38" s="71">
        <f>$E$13*(1+B37)</f>
        <v/>
      </c>
      <c r="C38" s="71">
        <f>B38*(1+C37)</f>
        <v/>
      </c>
      <c r="D38" s="71">
        <f>C38*(1+D37)</f>
        <v/>
      </c>
      <c r="E38" s="71">
        <f>D38*(1+E37)</f>
        <v/>
      </c>
      <c r="F38" s="71">
        <f>E38*(1+F37)</f>
        <v/>
      </c>
      <c r="G38" s="71">
        <f>F38*(1+G37)</f>
        <v/>
      </c>
      <c r="H38" s="71">
        <f>G38*(1+H37)</f>
        <v/>
      </c>
      <c r="I38" s="71">
        <f>H38*(1+I37)</f>
        <v/>
      </c>
      <c r="J38" s="71">
        <f>I38*(1+J37)</f>
        <v/>
      </c>
      <c r="K38" s="71">
        <f>J38*(1+K37)</f>
        <v/>
      </c>
      <c r="L38" s="71">
        <f>K38*(1+L37)</f>
        <v/>
      </c>
      <c r="M38" s="71">
        <f>L38*(1+M37)</f>
        <v/>
      </c>
      <c r="N38" s="71">
        <f>M38*(1+N37)</f>
        <v/>
      </c>
      <c r="O38" s="71">
        <f>N38*(1+O37)</f>
        <v/>
      </c>
      <c r="P38" s="71">
        <f>O38*(1+P37)</f>
        <v/>
      </c>
    </row>
    <row r="39">
      <c r="A39" t="inlineStr">
        <is>
          <t>FCF margin %</t>
        </is>
      </c>
      <c r="B39" s="74">
        <f>$B$27</f>
        <v/>
      </c>
      <c r="C39" s="74">
        <f>$B$27</f>
        <v/>
      </c>
      <c r="D39" s="74">
        <f>$B$27</f>
        <v/>
      </c>
      <c r="E39" s="74">
        <f>$B$27</f>
        <v/>
      </c>
      <c r="F39" s="74">
        <f>$B$27</f>
        <v/>
      </c>
      <c r="G39" s="74">
        <f>$B$27</f>
        <v/>
      </c>
      <c r="H39" s="74">
        <f>$B$27</f>
        <v/>
      </c>
      <c r="I39" s="74">
        <f>$B$27</f>
        <v/>
      </c>
      <c r="J39" s="74">
        <f>$B$27</f>
        <v/>
      </c>
      <c r="K39" s="74">
        <f>$B$27</f>
        <v/>
      </c>
      <c r="L39" s="74">
        <f>$B$27</f>
        <v/>
      </c>
      <c r="M39" s="74">
        <f>$B$27</f>
        <v/>
      </c>
      <c r="N39" s="74">
        <f>$B$27</f>
        <v/>
      </c>
      <c r="O39" s="74">
        <f>$B$27</f>
        <v/>
      </c>
      <c r="P39" s="74">
        <f>$B$27</f>
        <v/>
      </c>
    </row>
    <row r="40">
      <c r="A40" s="60" t="inlineStr">
        <is>
          <t>Free Cash Flow</t>
        </is>
      </c>
      <c r="B40" s="73">
        <f>B38*B39</f>
        <v/>
      </c>
      <c r="C40" s="73">
        <f>C38*C39</f>
        <v/>
      </c>
      <c r="D40" s="73">
        <f>D38*D39</f>
        <v/>
      </c>
      <c r="E40" s="73">
        <f>E38*E39</f>
        <v/>
      </c>
      <c r="F40" s="73">
        <f>F38*F39</f>
        <v/>
      </c>
      <c r="G40" s="73">
        <f>G38*G39</f>
        <v/>
      </c>
      <c r="H40" s="73">
        <f>H38*H39</f>
        <v/>
      </c>
      <c r="I40" s="73">
        <f>I38*I39</f>
        <v/>
      </c>
      <c r="J40" s="73">
        <f>J38*J39</f>
        <v/>
      </c>
      <c r="K40" s="73">
        <f>K38*K39</f>
        <v/>
      </c>
      <c r="L40" s="73">
        <f>L38*L39</f>
        <v/>
      </c>
      <c r="M40" s="73">
        <f>M38*M39</f>
        <v/>
      </c>
      <c r="N40" s="73">
        <f>N38*N39</f>
        <v/>
      </c>
      <c r="O40" s="73">
        <f>O38*O39</f>
        <v/>
      </c>
      <c r="P40" s="73">
        <f>P38*P39</f>
        <v/>
      </c>
    </row>
    <row r="41">
      <c r="A41" t="inlineStr">
        <is>
          <t>Discount period (mid-yr)</t>
        </is>
      </c>
      <c r="B41" s="94">
        <f>B36-0.5</f>
        <v/>
      </c>
      <c r="C41" s="94">
        <f>C36-0.5</f>
        <v/>
      </c>
      <c r="D41" s="94">
        <f>D36-0.5</f>
        <v/>
      </c>
      <c r="E41" s="94">
        <f>E36-0.5</f>
        <v/>
      </c>
      <c r="F41" s="94">
        <f>F36-0.5</f>
        <v/>
      </c>
      <c r="G41" s="94">
        <f>G36-0.5</f>
        <v/>
      </c>
      <c r="H41" s="94">
        <f>H36-0.5</f>
        <v/>
      </c>
      <c r="I41" s="94">
        <f>I36-0.5</f>
        <v/>
      </c>
      <c r="J41" s="94">
        <f>J36-0.5</f>
        <v/>
      </c>
      <c r="K41" s="94">
        <f>K36-0.5</f>
        <v/>
      </c>
      <c r="L41" s="94">
        <f>L36-0.5</f>
        <v/>
      </c>
      <c r="M41" s="94">
        <f>M36-0.5</f>
        <v/>
      </c>
      <c r="N41" s="94">
        <f>N36-0.5</f>
        <v/>
      </c>
      <c r="O41" s="94">
        <f>O36-0.5</f>
        <v/>
      </c>
      <c r="P41" s="94">
        <f>P36-0.5</f>
        <v/>
      </c>
    </row>
    <row r="42">
      <c r="A42" t="inlineStr">
        <is>
          <t>Discount factor</t>
        </is>
      </c>
      <c r="B42" s="281">
        <f>1/(1+$B$32)^B41</f>
        <v/>
      </c>
      <c r="C42" s="281">
        <f>1/(1+$B$32)^C41</f>
        <v/>
      </c>
      <c r="D42" s="281">
        <f>1/(1+$B$32)^D41</f>
        <v/>
      </c>
      <c r="E42" s="281">
        <f>1/(1+$B$32)^E41</f>
        <v/>
      </c>
      <c r="F42" s="281">
        <f>1/(1+$B$32)^F41</f>
        <v/>
      </c>
      <c r="G42" s="281">
        <f>1/(1+$B$32)^G41</f>
        <v/>
      </c>
      <c r="H42" s="281">
        <f>1/(1+$B$32)^H41</f>
        <v/>
      </c>
      <c r="I42" s="281">
        <f>1/(1+$B$32)^I41</f>
        <v/>
      </c>
      <c r="J42" s="281">
        <f>1/(1+$B$32)^J41</f>
        <v/>
      </c>
      <c r="K42" s="281">
        <f>1/(1+$B$32)^K41</f>
        <v/>
      </c>
      <c r="L42" s="281">
        <f>1/(1+$B$32)^L41</f>
        <v/>
      </c>
      <c r="M42" s="281">
        <f>1/(1+$B$32)^M41</f>
        <v/>
      </c>
      <c r="N42" s="281">
        <f>1/(1+$B$32)^N41</f>
        <v/>
      </c>
      <c r="O42" s="281">
        <f>1/(1+$B$32)^O41</f>
        <v/>
      </c>
      <c r="P42" s="281">
        <f>1/(1+$B$32)^P41</f>
        <v/>
      </c>
    </row>
    <row r="43">
      <c r="A43" s="96" t="inlineStr">
        <is>
          <t>PV of FCF</t>
        </is>
      </c>
      <c r="B43" s="97">
        <f>B40*B42</f>
        <v/>
      </c>
      <c r="C43" s="97">
        <f>C40*C42</f>
        <v/>
      </c>
      <c r="D43" s="97">
        <f>D40*D42</f>
        <v/>
      </c>
      <c r="E43" s="97">
        <f>E40*E42</f>
        <v/>
      </c>
      <c r="F43" s="97">
        <f>F40*F42</f>
        <v/>
      </c>
      <c r="G43" s="97">
        <f>G40*G42</f>
        <v/>
      </c>
      <c r="H43" s="97">
        <f>H40*H42</f>
        <v/>
      </c>
      <c r="I43" s="97">
        <f>I40*I42</f>
        <v/>
      </c>
      <c r="J43" s="97">
        <f>J40*J42</f>
        <v/>
      </c>
      <c r="K43" s="97">
        <f>K40*K42</f>
        <v/>
      </c>
      <c r="L43" s="97">
        <f>L40*L42</f>
        <v/>
      </c>
      <c r="M43" s="97">
        <f>M40*M42</f>
        <v/>
      </c>
      <c r="N43" s="97">
        <f>N40*N42</f>
        <v/>
      </c>
      <c r="O43" s="97">
        <f>O40*O42</f>
        <v/>
      </c>
      <c r="P43" s="97">
        <f>P40*P42</f>
        <v/>
      </c>
    </row>
    <row r="45">
      <c r="A45" s="216" t="inlineStr">
        <is>
          <t>TERMINAL VALUE &amp; VALUATION SUMMARY</t>
        </is>
      </c>
      <c r="B45" s="78" t="n"/>
    </row>
    <row r="46">
      <c r="A46" t="inlineStr">
        <is>
          <t>Terminal Year FCF (Y15)</t>
        </is>
      </c>
      <c r="B46" s="71">
        <f>P40</f>
        <v/>
      </c>
    </row>
    <row r="47">
      <c r="A47" t="inlineStr">
        <is>
          <t>Terminal growth rate</t>
        </is>
      </c>
      <c r="B47" s="74">
        <f>B30</f>
        <v/>
      </c>
    </row>
    <row r="48">
      <c r="A48" t="inlineStr">
        <is>
          <t>Terminal Value (Gordon Growth) at Y15</t>
        </is>
      </c>
      <c r="B48" s="71">
        <f>B46*(1+B47)/(B32-B47)</f>
        <v/>
      </c>
    </row>
    <row r="49">
      <c r="A49" t="inlineStr">
        <is>
          <t>PV of Terminal Value</t>
        </is>
      </c>
      <c r="B49" s="73">
        <f>B48*P42</f>
        <v/>
      </c>
    </row>
    <row r="51">
      <c r="A51" s="60" t="inlineStr">
        <is>
          <t>Sum of PV of FCFs (Y1-15)</t>
        </is>
      </c>
      <c r="B51" s="73">
        <f>SUM(B43:P43)</f>
        <v/>
      </c>
    </row>
    <row r="52">
      <c r="A52" s="60" t="inlineStr">
        <is>
          <t>(+) PV of Terminal Value</t>
        </is>
      </c>
      <c r="B52" s="73">
        <f>B49</f>
        <v/>
      </c>
    </row>
    <row r="53" ht="16" customHeight="1" s="215">
      <c r="A53" s="75" t="inlineStr">
        <is>
          <t>Enterprise Value</t>
        </is>
      </c>
      <c r="B53" s="98">
        <f>B51+B52</f>
        <v/>
      </c>
    </row>
    <row r="54">
      <c r="A54" t="inlineStr">
        <is>
          <t>(−) Net debt</t>
        </is>
      </c>
      <c r="B54" s="282">
        <f>-B8</f>
        <v/>
      </c>
    </row>
    <row r="55">
      <c r="A55" s="60" t="inlineStr">
        <is>
          <t>Equity Value</t>
        </is>
      </c>
      <c r="B55" s="100">
        <f>B53+B54</f>
        <v/>
      </c>
    </row>
    <row r="56">
      <c r="A56" s="60" t="inlineStr">
        <is>
          <t>÷ Diluted shares (M)</t>
        </is>
      </c>
      <c r="B56" s="283">
        <f>B6</f>
        <v/>
      </c>
    </row>
    <row r="57" ht="16" customHeight="1" s="215">
      <c r="A57" s="75" t="inlineStr">
        <is>
          <t>Implied price per share</t>
        </is>
      </c>
      <c r="B57" s="102">
        <f>B55/B56</f>
        <v/>
      </c>
    </row>
    <row r="59">
      <c r="A59" t="inlineStr">
        <is>
          <t>Current price</t>
        </is>
      </c>
      <c r="B59" s="70">
        <f>B5</f>
        <v/>
      </c>
    </row>
    <row r="60">
      <c r="A60" t="inlineStr">
        <is>
          <t>Buffett purchase ($437)</t>
        </is>
      </c>
      <c r="B60" s="70">
        <f>B9</f>
        <v/>
      </c>
    </row>
    <row r="61">
      <c r="A61" s="60" t="inlineStr">
        <is>
          <t>Upside vs current price</t>
        </is>
      </c>
      <c r="B61" s="103">
        <f>B57/B59-1</f>
        <v/>
      </c>
    </row>
    <row r="62">
      <c r="A62" s="60" t="inlineStr">
        <is>
          <t>Margin of safety vs Buffett's $437</t>
        </is>
      </c>
      <c r="B62" s="103">
        <f>B57/B60-1</f>
        <v/>
      </c>
    </row>
    <row r="64">
      <c r="A64" s="83" t="inlineStr">
        <is>
          <t>% of EV from Terminal Value</t>
        </is>
      </c>
      <c r="B64" s="84">
        <f>B52/B53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G32" sqref="G32"/>
    </sheetView>
  </sheetViews>
  <sheetFormatPr baseColWidth="10" defaultRowHeight="13"/>
  <cols>
    <col width="36.6640625" customWidth="1" style="215" min="1" max="1"/>
    <col width="18.33203125" customWidth="1" style="215" min="2" max="8"/>
  </cols>
  <sheetData>
    <row r="1" ht="18" customHeight="1" s="215">
      <c r="A1" s="214" t="inlineStr">
        <is>
          <t>DPZ — PER-SHARE OWNER EARNINGS MODEL (Why Buffett Bought)</t>
        </is>
      </c>
    </row>
    <row r="2">
      <c r="A2" s="59" t="inlineStr">
        <is>
          <t>Key insight: DPZ retires ~3-4% of shares annually. Per-share FCF grows much faster than total FCF.</t>
        </is>
      </c>
    </row>
    <row r="4">
      <c r="A4" s="216" t="inlineStr">
        <is>
          <t>STARTING POINT (LTM as of Q1'26)</t>
        </is>
      </c>
      <c r="B4" s="78" t="n"/>
    </row>
    <row r="5">
      <c r="A5" t="inlineStr">
        <is>
          <t>LTM Free Cash Flow ($M)</t>
        </is>
      </c>
      <c r="B5" s="81">
        <f>'DPZ DCF'!E20</f>
        <v/>
      </c>
    </row>
    <row r="6">
      <c r="A6" t="inlineStr">
        <is>
          <t>Diluted shares (M)</t>
        </is>
      </c>
      <c r="B6" s="280">
        <f>'DPZ DCF'!B6</f>
        <v/>
      </c>
    </row>
    <row r="7">
      <c r="A7" s="60" t="inlineStr">
        <is>
          <t>FCF per share (LTM)</t>
        </is>
      </c>
      <c r="B7" s="104">
        <f>B5/B6</f>
        <v/>
      </c>
    </row>
    <row r="9">
      <c r="A9" s="216" t="inlineStr">
        <is>
          <t>BUYBACK YIELD</t>
        </is>
      </c>
      <c r="B9" s="78" t="n"/>
    </row>
    <row r="10">
      <c r="A10" t="inlineStr">
        <is>
          <t>Total buyback authorization (Apr 2026)</t>
        </is>
      </c>
      <c r="B10" s="72" t="n">
        <v>1460</v>
      </c>
    </row>
    <row r="11">
      <c r="A11" t="inlineStr">
        <is>
          <t>Annual buyback pace ($M, conservative)</t>
        </is>
      </c>
      <c r="B11" s="72" t="n">
        <v>500</v>
      </c>
    </row>
    <row r="12">
      <c r="A12" t="inlineStr">
        <is>
          <t>Implied annual share retirement %</t>
        </is>
      </c>
      <c r="B12" s="65">
        <f>B11/('DPZ DCF'!B7)</f>
        <v/>
      </c>
    </row>
    <row r="13">
      <c r="A13" t="inlineStr">
        <is>
          <t>Dividend yield (current)</t>
        </is>
      </c>
      <c r="B13" s="63" t="n">
        <v>0.0214</v>
      </c>
    </row>
    <row r="14">
      <c r="A14" s="83" t="inlineStr">
        <is>
          <t>Total shareholder yield (FCF yield + buyback)</t>
        </is>
      </c>
      <c r="B14" s="105">
        <f>B7/'DPZ DCF'!B5+B12</f>
        <v/>
      </c>
    </row>
    <row r="16">
      <c r="A16" s="216" t="inlineStr">
        <is>
          <t>15-YEAR PER-SHARE FCF PROJECTION</t>
        </is>
      </c>
      <c r="B16" s="216" t="n"/>
      <c r="C16" s="216" t="n"/>
      <c r="D16" s="216" t="n"/>
      <c r="E16" s="216" t="n"/>
      <c r="F16" s="216" t="n"/>
      <c r="G16" s="216" t="n"/>
      <c r="H16" s="216" t="n"/>
      <c r="I16" s="216" t="n"/>
      <c r="J16" s="216" t="n"/>
      <c r="K16" s="216" t="n"/>
      <c r="L16" s="216" t="n"/>
      <c r="M16" s="216" t="n"/>
      <c r="N16" s="216" t="n"/>
      <c r="O16" s="216" t="n"/>
      <c r="P16" s="216" t="n"/>
      <c r="Q16" s="216" t="n"/>
    </row>
    <row r="17">
      <c r="A17" s="82" t="inlineStr">
        <is>
          <t>Item</t>
        </is>
      </c>
      <c r="B17" s="82" t="inlineStr">
        <is>
          <t>FY26E</t>
        </is>
      </c>
      <c r="C17" s="82" t="inlineStr">
        <is>
          <t>FY27E</t>
        </is>
      </c>
      <c r="D17" s="82" t="inlineStr">
        <is>
          <t>FY28E</t>
        </is>
      </c>
      <c r="E17" s="82" t="inlineStr">
        <is>
          <t>FY29E</t>
        </is>
      </c>
      <c r="F17" s="82" t="inlineStr">
        <is>
          <t>FY30E</t>
        </is>
      </c>
      <c r="G17" s="82" t="inlineStr">
        <is>
          <t>FY31E</t>
        </is>
      </c>
      <c r="H17" s="82" t="inlineStr">
        <is>
          <t>FY32E</t>
        </is>
      </c>
      <c r="I17" s="82" t="inlineStr">
        <is>
          <t>FY33E</t>
        </is>
      </c>
      <c r="J17" s="82" t="inlineStr">
        <is>
          <t>FY34E</t>
        </is>
      </c>
      <c r="K17" s="82" t="inlineStr">
        <is>
          <t>FY35E</t>
        </is>
      </c>
      <c r="L17" s="82" t="inlineStr">
        <is>
          <t>FY36E</t>
        </is>
      </c>
      <c r="M17" s="82" t="inlineStr">
        <is>
          <t>FY37E</t>
        </is>
      </c>
      <c r="N17" s="82" t="inlineStr">
        <is>
          <t>FY38E</t>
        </is>
      </c>
      <c r="O17" s="82" t="inlineStr">
        <is>
          <t>FY39E</t>
        </is>
      </c>
      <c r="P17" s="82" t="inlineStr">
        <is>
          <t>FY40E</t>
        </is>
      </c>
    </row>
    <row r="18">
      <c r="A18" t="inlineStr">
        <is>
          <t>Year #</t>
        </is>
      </c>
      <c r="B18" t="n">
        <v>1</v>
      </c>
      <c r="C18" t="n">
        <v>2</v>
      </c>
      <c r="D18" t="n">
        <v>3</v>
      </c>
      <c r="E18" t="n">
        <v>4</v>
      </c>
      <c r="F18" t="n">
        <v>5</v>
      </c>
      <c r="G18" t="n">
        <v>6</v>
      </c>
      <c r="H18" t="n">
        <v>7</v>
      </c>
      <c r="I18" t="n">
        <v>8</v>
      </c>
      <c r="J18" t="n">
        <v>9</v>
      </c>
      <c r="K18" t="n">
        <v>10</v>
      </c>
      <c r="L18" t="n">
        <v>11</v>
      </c>
      <c r="M18" t="n">
        <v>12</v>
      </c>
      <c r="N18" t="n">
        <v>13</v>
      </c>
      <c r="O18" t="n">
        <v>14</v>
      </c>
      <c r="P18" t="n">
        <v>15</v>
      </c>
    </row>
    <row r="19">
      <c r="A19" t="inlineStr">
        <is>
          <t>Total FCF growth %</t>
        </is>
      </c>
      <c r="B19" s="74">
        <f>IF(B18&lt;=5,'DPZ DCF'!$B$24,IF(B18&lt;=10,'DPZ DCF'!$B$25,'DPZ DCF'!$B$26))</f>
        <v/>
      </c>
      <c r="C19" s="74">
        <f>IF(C18&lt;=5,'DPZ DCF'!$B$24,IF(C18&lt;=10,'DPZ DCF'!$B$25,'DPZ DCF'!$B$26))</f>
        <v/>
      </c>
      <c r="D19" s="74">
        <f>IF(D18&lt;=5,'DPZ DCF'!$B$24,IF(D18&lt;=10,'DPZ DCF'!$B$25,'DPZ DCF'!$B$26))</f>
        <v/>
      </c>
      <c r="E19" s="74">
        <f>IF(E18&lt;=5,'DPZ DCF'!$B$24,IF(E18&lt;=10,'DPZ DCF'!$B$25,'DPZ DCF'!$B$26))</f>
        <v/>
      </c>
      <c r="F19" s="74">
        <f>IF(F18&lt;=5,'DPZ DCF'!$B$24,IF(F18&lt;=10,'DPZ DCF'!$B$25,'DPZ DCF'!$B$26))</f>
        <v/>
      </c>
      <c r="G19" s="74">
        <f>IF(G18&lt;=5,'DPZ DCF'!$B$24,IF(G18&lt;=10,'DPZ DCF'!$B$25,'DPZ DCF'!$B$26))</f>
        <v/>
      </c>
      <c r="H19" s="74">
        <f>IF(H18&lt;=5,'DPZ DCF'!$B$24,IF(H18&lt;=10,'DPZ DCF'!$B$25,'DPZ DCF'!$B$26))</f>
        <v/>
      </c>
      <c r="I19" s="74">
        <f>IF(I18&lt;=5,'DPZ DCF'!$B$24,IF(I18&lt;=10,'DPZ DCF'!$B$25,'DPZ DCF'!$B$26))</f>
        <v/>
      </c>
      <c r="J19" s="74">
        <f>IF(J18&lt;=5,'DPZ DCF'!$B$24,IF(J18&lt;=10,'DPZ DCF'!$B$25,'DPZ DCF'!$B$26))</f>
        <v/>
      </c>
      <c r="K19" s="74">
        <f>IF(K18&lt;=5,'DPZ DCF'!$B$24,IF(K18&lt;=10,'DPZ DCF'!$B$25,'DPZ DCF'!$B$26))</f>
        <v/>
      </c>
      <c r="L19" s="74">
        <f>IF(L18&lt;=5,'DPZ DCF'!$B$24,IF(L18&lt;=10,'DPZ DCF'!$B$25,'DPZ DCF'!$B$26))</f>
        <v/>
      </c>
      <c r="M19" s="74">
        <f>IF(M18&lt;=5,'DPZ DCF'!$B$24,IF(M18&lt;=10,'DPZ DCF'!$B$25,'DPZ DCF'!$B$26))</f>
        <v/>
      </c>
      <c r="N19" s="74">
        <f>IF(N18&lt;=5,'DPZ DCF'!$B$24,IF(N18&lt;=10,'DPZ DCF'!$B$25,'DPZ DCF'!$B$26))</f>
        <v/>
      </c>
      <c r="O19" s="74">
        <f>IF(O18&lt;=5,'DPZ DCF'!$B$24,IF(O18&lt;=10,'DPZ DCF'!$B$25,'DPZ DCF'!$B$26))</f>
        <v/>
      </c>
      <c r="P19" s="74">
        <f>IF(P18&lt;=5,'DPZ DCF'!$B$24,IF(P18&lt;=10,'DPZ DCF'!$B$25,'DPZ DCF'!$B$26))</f>
        <v/>
      </c>
    </row>
    <row r="20">
      <c r="A20" t="inlineStr">
        <is>
          <t>Total FCF ($M)</t>
        </is>
      </c>
      <c r="B20" s="71">
        <f>$B$5*(1+B19)</f>
        <v/>
      </c>
      <c r="C20" s="71">
        <f>B20*(1+C19)</f>
        <v/>
      </c>
      <c r="D20" s="71">
        <f>C20*(1+D19)</f>
        <v/>
      </c>
      <c r="E20" s="71">
        <f>D20*(1+E19)</f>
        <v/>
      </c>
      <c r="F20" s="71">
        <f>E20*(1+F19)</f>
        <v/>
      </c>
      <c r="G20" s="71">
        <f>F20*(1+G19)</f>
        <v/>
      </c>
      <c r="H20" s="71">
        <f>G20*(1+H19)</f>
        <v/>
      </c>
      <c r="I20" s="71">
        <f>H20*(1+I19)</f>
        <v/>
      </c>
      <c r="J20" s="71">
        <f>I20*(1+J19)</f>
        <v/>
      </c>
      <c r="K20" s="71">
        <f>J20*(1+K19)</f>
        <v/>
      </c>
      <c r="L20" s="71">
        <f>K20*(1+L19)</f>
        <v/>
      </c>
      <c r="M20" s="71">
        <f>L20*(1+M19)</f>
        <v/>
      </c>
      <c r="N20" s="71">
        <f>M20*(1+N19)</f>
        <v/>
      </c>
      <c r="O20" s="71">
        <f>N20*(1+O19)</f>
        <v/>
      </c>
      <c r="P20" s="71">
        <f>O20*(1+P19)</f>
        <v/>
      </c>
    </row>
    <row r="21">
      <c r="A21" t="inlineStr">
        <is>
          <t>Share retirement %</t>
        </is>
      </c>
      <c r="B21" s="74">
        <f>$B$12*0.85</f>
        <v/>
      </c>
      <c r="C21" s="74">
        <f>$B$12*0.85</f>
        <v/>
      </c>
      <c r="D21" s="74">
        <f>$B$12*0.85</f>
        <v/>
      </c>
      <c r="E21" s="74">
        <f>$B$12*0.85</f>
        <v/>
      </c>
      <c r="F21" s="74">
        <f>$B$12*0.85</f>
        <v/>
      </c>
      <c r="G21" s="74">
        <f>$B$12*0.85</f>
        <v/>
      </c>
      <c r="H21" s="74">
        <f>$B$12*0.85</f>
        <v/>
      </c>
      <c r="I21" s="74">
        <f>$B$12*0.85</f>
        <v/>
      </c>
      <c r="J21" s="74">
        <f>$B$12*0.85</f>
        <v/>
      </c>
      <c r="K21" s="74">
        <f>$B$12*0.85</f>
        <v/>
      </c>
      <c r="L21" s="74">
        <f>$B$12*0.85</f>
        <v/>
      </c>
      <c r="M21" s="74">
        <f>$B$12*0.85</f>
        <v/>
      </c>
      <c r="N21" s="74">
        <f>$B$12*0.85</f>
        <v/>
      </c>
      <c r="O21" s="74">
        <f>$B$12*0.85</f>
        <v/>
      </c>
      <c r="P21" s="74">
        <f>$B$12*0.85</f>
        <v/>
      </c>
    </row>
    <row r="22">
      <c r="A22" t="inlineStr">
        <is>
          <t>Shares outstanding (M)</t>
        </is>
      </c>
      <c r="B22" s="283">
        <f>$B$6*(1-B21)</f>
        <v/>
      </c>
      <c r="C22" s="283">
        <f>B22*(1-C21)</f>
        <v/>
      </c>
      <c r="D22" s="283">
        <f>C22*(1-D21)</f>
        <v/>
      </c>
      <c r="E22" s="283">
        <f>D22*(1-E21)</f>
        <v/>
      </c>
      <c r="F22" s="283">
        <f>E22*(1-F21)</f>
        <v/>
      </c>
      <c r="G22" s="283">
        <f>F22*(1-G21)</f>
        <v/>
      </c>
      <c r="H22" s="283">
        <f>G22*(1-H21)</f>
        <v/>
      </c>
      <c r="I22" s="283">
        <f>H22*(1-I21)</f>
        <v/>
      </c>
      <c r="J22" s="283">
        <f>I22*(1-J21)</f>
        <v/>
      </c>
      <c r="K22" s="283">
        <f>J22*(1-K21)</f>
        <v/>
      </c>
      <c r="L22" s="283">
        <f>K22*(1-L21)</f>
        <v/>
      </c>
      <c r="M22" s="283">
        <f>L22*(1-M21)</f>
        <v/>
      </c>
      <c r="N22" s="283">
        <f>M22*(1-N21)</f>
        <v/>
      </c>
      <c r="O22" s="283">
        <f>N22*(1-O21)</f>
        <v/>
      </c>
      <c r="P22" s="283">
        <f>O22*(1-P21)</f>
        <v/>
      </c>
    </row>
    <row r="23">
      <c r="A23" s="96" t="inlineStr">
        <is>
          <t>FCF per share</t>
        </is>
      </c>
      <c r="B23" s="107">
        <f>B20/B22</f>
        <v/>
      </c>
      <c r="C23" s="107">
        <f>C20/C22</f>
        <v/>
      </c>
      <c r="D23" s="107">
        <f>D20/D22</f>
        <v/>
      </c>
      <c r="E23" s="107">
        <f>E20/E22</f>
        <v/>
      </c>
      <c r="F23" s="107">
        <f>F20/F22</f>
        <v/>
      </c>
      <c r="G23" s="107">
        <f>G20/G22</f>
        <v/>
      </c>
      <c r="H23" s="107">
        <f>H20/H22</f>
        <v/>
      </c>
      <c r="I23" s="107">
        <f>I20/I22</f>
        <v/>
      </c>
      <c r="J23" s="107">
        <f>J20/J22</f>
        <v/>
      </c>
      <c r="K23" s="107">
        <f>K20/K22</f>
        <v/>
      </c>
      <c r="L23" s="107">
        <f>L20/L22</f>
        <v/>
      </c>
      <c r="M23" s="107">
        <f>M20/M22</f>
        <v/>
      </c>
      <c r="N23" s="107">
        <f>N20/N22</f>
        <v/>
      </c>
      <c r="O23" s="107">
        <f>O20/O22</f>
        <v/>
      </c>
      <c r="P23" s="107">
        <f>P20/P22</f>
        <v/>
      </c>
    </row>
    <row r="24">
      <c r="A24" t="inlineStr">
        <is>
          <t xml:space="preserve">  per-share FCF growth</t>
        </is>
      </c>
      <c r="B24" s="59" t="inlineStr">
        <is>
          <t>—</t>
        </is>
      </c>
      <c r="C24" s="84">
        <f>C23/B23-1</f>
        <v/>
      </c>
      <c r="D24" s="84">
        <f>D23/C23-1</f>
        <v/>
      </c>
      <c r="E24" s="84">
        <f>E23/D23-1</f>
        <v/>
      </c>
      <c r="F24" s="84">
        <f>F23/E23-1</f>
        <v/>
      </c>
      <c r="G24" s="84">
        <f>G23/F23-1</f>
        <v/>
      </c>
      <c r="H24" s="84">
        <f>H23/G23-1</f>
        <v/>
      </c>
      <c r="I24" s="84">
        <f>I23/H23-1</f>
        <v/>
      </c>
      <c r="J24" s="84">
        <f>J23/I23-1</f>
        <v/>
      </c>
      <c r="K24" s="84">
        <f>K23/J23-1</f>
        <v/>
      </c>
      <c r="L24" s="84">
        <f>L23/K23-1</f>
        <v/>
      </c>
      <c r="M24" s="84">
        <f>M23/L23-1</f>
        <v/>
      </c>
      <c r="N24" s="84">
        <f>N23/M23-1</f>
        <v/>
      </c>
      <c r="O24" s="84">
        <f>O23/N23-1</f>
        <v/>
      </c>
      <c r="P24" s="84">
        <f>P23/O23-1</f>
        <v/>
      </c>
    </row>
    <row r="25">
      <c r="A25" t="inlineStr">
        <is>
          <t>Discount factor (9%)</t>
        </is>
      </c>
      <c r="B25" s="281">
        <f>1/(1+'DPZ DCF'!$B$32)^(B18-0.5)</f>
        <v/>
      </c>
      <c r="C25" s="281">
        <f>1/(1+'DPZ DCF'!$B$32)^(C18-0.5)</f>
        <v/>
      </c>
      <c r="D25" s="281">
        <f>1/(1+'DPZ DCF'!$B$32)^(D18-0.5)</f>
        <v/>
      </c>
      <c r="E25" s="281">
        <f>1/(1+'DPZ DCF'!$B$32)^(E18-0.5)</f>
        <v/>
      </c>
      <c r="F25" s="281">
        <f>1/(1+'DPZ DCF'!$B$32)^(F18-0.5)</f>
        <v/>
      </c>
      <c r="G25" s="281">
        <f>1/(1+'DPZ DCF'!$B$32)^(G18-0.5)</f>
        <v/>
      </c>
      <c r="H25" s="281">
        <f>1/(1+'DPZ DCF'!$B$32)^(H18-0.5)</f>
        <v/>
      </c>
      <c r="I25" s="281">
        <f>1/(1+'DPZ DCF'!$B$32)^(I18-0.5)</f>
        <v/>
      </c>
      <c r="J25" s="281">
        <f>1/(1+'DPZ DCF'!$B$32)^(J18-0.5)</f>
        <v/>
      </c>
      <c r="K25" s="281">
        <f>1/(1+'DPZ DCF'!$B$32)^(K18-0.5)</f>
        <v/>
      </c>
      <c r="L25" s="281">
        <f>1/(1+'DPZ DCF'!$B$32)^(L18-0.5)</f>
        <v/>
      </c>
      <c r="M25" s="281">
        <f>1/(1+'DPZ DCF'!$B$32)^(M18-0.5)</f>
        <v/>
      </c>
      <c r="N25" s="281">
        <f>1/(1+'DPZ DCF'!$B$32)^(N18-0.5)</f>
        <v/>
      </c>
      <c r="O25" s="281">
        <f>1/(1+'DPZ DCF'!$B$32)^(O18-0.5)</f>
        <v/>
      </c>
      <c r="P25" s="281">
        <f>1/(1+'DPZ DCF'!$B$32)^(P18-0.5)</f>
        <v/>
      </c>
    </row>
    <row r="26">
      <c r="A26" t="inlineStr">
        <is>
          <t>PV of FCF/share</t>
        </is>
      </c>
      <c r="B26" s="70">
        <f>B23*B25</f>
        <v/>
      </c>
      <c r="C26" s="70">
        <f>C23*C25</f>
        <v/>
      </c>
      <c r="D26" s="70">
        <f>D23*D25</f>
        <v/>
      </c>
      <c r="E26" s="70">
        <f>E23*E25</f>
        <v/>
      </c>
      <c r="F26" s="70">
        <f>F23*F25</f>
        <v/>
      </c>
      <c r="G26" s="70">
        <f>G23*G25</f>
        <v/>
      </c>
      <c r="H26" s="70">
        <f>H23*H25</f>
        <v/>
      </c>
      <c r="I26" s="70">
        <f>I23*I25</f>
        <v/>
      </c>
      <c r="J26" s="70">
        <f>J23*J25</f>
        <v/>
      </c>
      <c r="K26" s="70">
        <f>K23*K25</f>
        <v/>
      </c>
      <c r="L26" s="70">
        <f>L23*L25</f>
        <v/>
      </c>
      <c r="M26" s="70">
        <f>M23*M25</f>
        <v/>
      </c>
      <c r="N26" s="70">
        <f>N23*N25</f>
        <v/>
      </c>
      <c r="O26" s="70">
        <f>O23*O25</f>
        <v/>
      </c>
      <c r="P26" s="70">
        <f>P23*P25</f>
        <v/>
      </c>
    </row>
    <row r="28">
      <c r="A28" s="216" t="inlineStr">
        <is>
          <t>PER-SHARE VALUATION SUMMARY</t>
        </is>
      </c>
      <c r="B28" s="78" t="n"/>
    </row>
    <row r="29">
      <c r="A29" t="inlineStr">
        <is>
          <t>Terminal year FCF/share (Y15)</t>
        </is>
      </c>
      <c r="B29" s="70">
        <f>P23</f>
        <v/>
      </c>
    </row>
    <row r="30">
      <c r="A30" t="inlineStr">
        <is>
          <t>Terminal growth</t>
        </is>
      </c>
      <c r="B30" s="108">
        <f>'DPZ DCF'!B30</f>
        <v/>
      </c>
    </row>
    <row r="31">
      <c r="A31" t="inlineStr">
        <is>
          <t>Discount rate</t>
        </is>
      </c>
      <c r="B31" s="90">
        <f>'DPZ DCF'!B32</f>
        <v/>
      </c>
    </row>
    <row r="32">
      <c r="A32" t="inlineStr">
        <is>
          <t>Terminal value per share at Y15</t>
        </is>
      </c>
      <c r="B32" s="70">
        <f>B29*(1+B30)/(B31-B30)</f>
        <v/>
      </c>
    </row>
    <row r="33">
      <c r="A33" t="inlineStr">
        <is>
          <t>PV of terminal value per share</t>
        </is>
      </c>
      <c r="B33" s="106">
        <f>B32*P25</f>
        <v/>
      </c>
    </row>
    <row r="35">
      <c r="A35" s="60" t="inlineStr">
        <is>
          <t>Sum PV of FCF/share (Y1-15)</t>
        </is>
      </c>
      <c r="B35" s="106">
        <f>SUM(B26:P26)</f>
        <v/>
      </c>
    </row>
    <row r="36">
      <c r="A36" s="60" t="inlineStr">
        <is>
          <t>(+) PV terminal value/share</t>
        </is>
      </c>
      <c r="B36" s="106">
        <f>B33</f>
        <v/>
      </c>
    </row>
    <row r="37">
      <c r="A37" t="inlineStr">
        <is>
          <t>(−) Net debt per share (current)</t>
        </is>
      </c>
      <c r="B37" s="284">
        <f>-'DPZ DCF'!B8/B6</f>
        <v/>
      </c>
    </row>
    <row r="38" ht="18" customHeight="1" s="215">
      <c r="A38" s="110" t="inlineStr">
        <is>
          <t>Intrinsic value per share</t>
        </is>
      </c>
      <c r="B38" s="111">
        <f>B35+B36+B37</f>
        <v/>
      </c>
    </row>
    <row r="40">
      <c r="A40" t="inlineStr">
        <is>
          <t>Current price</t>
        </is>
      </c>
      <c r="B40" s="70">
        <f>'DPZ DCF'!B5</f>
        <v/>
      </c>
    </row>
    <row r="41">
      <c r="A41" t="inlineStr">
        <is>
          <t>Buffett's purchase price</t>
        </is>
      </c>
      <c r="B41" s="70">
        <f>'DPZ DCF'!B9</f>
        <v/>
      </c>
    </row>
    <row r="42">
      <c r="A42" s="60" t="inlineStr">
        <is>
          <t>Upside vs current ($372)</t>
        </is>
      </c>
      <c r="B42" s="112">
        <f>B38/B40-1</f>
        <v/>
      </c>
    </row>
    <row r="43">
      <c r="A43" s="60" t="inlineStr">
        <is>
          <t>Margin of safety vs Buffett ($437)</t>
        </is>
      </c>
      <c r="B43" s="112">
        <f>B38/B41-1</f>
        <v/>
      </c>
    </row>
    <row r="46">
      <c r="A46" s="216" t="inlineStr">
        <is>
          <t>SENSITIVITY: Intrinsic Value/Share — Discount Rate vs Terminal Growth</t>
        </is>
      </c>
      <c r="B46" s="216" t="n"/>
      <c r="C46" s="216" t="n"/>
      <c r="D46" s="216" t="n"/>
      <c r="E46" s="216" t="n"/>
      <c r="F46" s="216" t="n"/>
      <c r="G46" s="216" t="n"/>
      <c r="H46" s="216" t="n"/>
    </row>
    <row r="48">
      <c r="A48" s="61" t="inlineStr">
        <is>
          <t>Discount \ Term g →</t>
        </is>
      </c>
      <c r="B48" s="120" t="n">
        <v>0.015</v>
      </c>
      <c r="C48" s="120" t="n">
        <v>0.02</v>
      </c>
      <c r="D48" s="120" t="n">
        <v>0.025</v>
      </c>
      <c r="E48" s="120" t="n">
        <v>0.03</v>
      </c>
      <c r="F48" s="120" t="n">
        <v>0.035</v>
      </c>
    </row>
    <row r="49">
      <c r="A49" s="120" t="n">
        <v>0.07000000000000001</v>
      </c>
      <c r="B49" s="71">
        <f t="array" ref="B49">SUMPRODUCT($B$23:$P$23, 1/(1+$A49)^($B$18:$P$18-0.5)) + ($P$23*(1+B$48)/($A49-B$48))/((1+$A49)^14.5) - 'DPZ DCF'!$B$8/$B$6</f>
        <v/>
      </c>
      <c r="C49" s="71">
        <f t="array" ref="C49">SUMPRODUCT($B$23:$P$23, 1/(1+$A49)^($B$18:$P$18-0.5)) + ($P$23*(1+C$48)/($A49-C$48))/((1+$A49)^14.5) - 'DPZ DCF'!$B$8/$B$6</f>
        <v/>
      </c>
      <c r="D49" s="71">
        <f t="array" ref="D49">SUMPRODUCT($B$23:$P$23, 1/(1+$A49)^($B$18:$P$18-0.5)) + ($P$23*(1+D$48)/($A49-D$48))/((1+$A49)^14.5) - 'DPZ DCF'!$B$8/$B$6</f>
        <v/>
      </c>
      <c r="E49" s="71">
        <f t="array" ref="E49">SUMPRODUCT($B$23:$P$23, 1/(1+$A49)^($B$18:$P$18-0.5)) + ($P$23*(1+E$48)/($A49-E$48))/((1+$A49)^14.5) - 'DPZ DCF'!$B$8/$B$6</f>
        <v/>
      </c>
      <c r="F49" s="71">
        <f t="array" ref="F49">SUMPRODUCT($B$23:$P$23, 1/(1+$A49)^($B$18:$P$18-0.5)) + ($P$23*(1+F$48)/($A49-F$48))/((1+$A49)^14.5) - 'DPZ DCF'!$B$8/$B$6</f>
        <v/>
      </c>
    </row>
    <row r="50">
      <c r="A50" s="120" t="n">
        <v>0.08</v>
      </c>
      <c r="B50" s="71">
        <f t="array" ref="B50">SUMPRODUCT($B$23:$P$23, 1/(1+$A50)^($B$18:$P$18-0.5)) + ($P$23*(1+B$48)/($A50-B$48))/((1+$A50)^14.5) - 'DPZ DCF'!$B$8/$B$6</f>
        <v/>
      </c>
      <c r="C50" s="71">
        <f t="array" ref="C50">SUMPRODUCT($B$23:$P$23, 1/(1+$A50)^($B$18:$P$18-0.5)) + ($P$23*(1+C$48)/($A50-C$48))/((1+$A50)^14.5) - 'DPZ DCF'!$B$8/$B$6</f>
        <v/>
      </c>
      <c r="D50" s="71">
        <f t="array" ref="D50">SUMPRODUCT($B$23:$P$23, 1/(1+$A50)^($B$18:$P$18-0.5)) + ($P$23*(1+D$48)/($A50-D$48))/((1+$A50)^14.5) - 'DPZ DCF'!$B$8/$B$6</f>
        <v/>
      </c>
      <c r="E50" s="71">
        <f t="array" ref="E50">SUMPRODUCT($B$23:$P$23, 1/(1+$A50)^($B$18:$P$18-0.5)) + ($P$23*(1+E$48)/($A50-E$48))/((1+$A50)^14.5) - 'DPZ DCF'!$B$8/$B$6</f>
        <v/>
      </c>
      <c r="F50" s="71">
        <f t="array" ref="F50">SUMPRODUCT($B$23:$P$23, 1/(1+$A50)^($B$18:$P$18-0.5)) + ($P$23*(1+F$48)/($A50-F$48))/((1+$A50)^14.5) - 'DPZ DCF'!$B$8/$B$6</f>
        <v/>
      </c>
    </row>
    <row r="51">
      <c r="A51" s="120" t="n">
        <v>0.09</v>
      </c>
      <c r="B51" s="71">
        <f t="array" ref="B51">SUMPRODUCT($B$23:$P$23, 1/(1+$A51)^($B$18:$P$18-0.5)) + ($P$23*(1+B$48)/($A51-B$48))/((1+$A51)^14.5) - 'DPZ DCF'!$B$8/$B$6</f>
        <v/>
      </c>
      <c r="C51" s="71">
        <f t="array" ref="C51">SUMPRODUCT($B$23:$P$23, 1/(1+$A51)^($B$18:$P$18-0.5)) + ($P$23*(1+C$48)/($A51-C$48))/((1+$A51)^14.5) - 'DPZ DCF'!$B$8/$B$6</f>
        <v/>
      </c>
      <c r="D51" s="100">
        <f t="array" ref="D51">SUMPRODUCT($B$23:$P$23, 1/(1+$A51)^($B$18:$P$18-0.5)) + ($P$23*(1+D$48)/($A51-D$48))/((1+$A51)^14.5) - 'DPZ DCF'!$B$8/$B$6</f>
        <v/>
      </c>
      <c r="E51" s="71">
        <f t="array" ref="E51">SUMPRODUCT($B$23:$P$23, 1/(1+$A51)^($B$18:$P$18-0.5)) + ($P$23*(1+E$48)/($A51-E$48))/((1+$A51)^14.5) - 'DPZ DCF'!$B$8/$B$6</f>
        <v/>
      </c>
      <c r="F51" s="71">
        <f t="array" ref="F51">SUMPRODUCT($B$23:$P$23, 1/(1+$A51)^($B$18:$P$18-0.5)) + ($P$23*(1+F$48)/($A51-F$48))/((1+$A51)^14.5) - 'DPZ DCF'!$B$8/$B$6</f>
        <v/>
      </c>
    </row>
    <row r="52">
      <c r="A52" s="120" t="n">
        <v>0.1</v>
      </c>
      <c r="B52" s="71">
        <f t="array" ref="B52">SUMPRODUCT($B$23:$P$23, 1/(1+$A52)^($B$18:$P$18-0.5)) + ($P$23*(1+B$48)/($A52-B$48))/((1+$A52)^14.5) - 'DPZ DCF'!$B$8/$B$6</f>
        <v/>
      </c>
      <c r="C52" s="71">
        <f t="array" ref="C52">SUMPRODUCT($B$23:$P$23, 1/(1+$A52)^($B$18:$P$18-0.5)) + ($P$23*(1+C$48)/($A52-C$48))/((1+$A52)^14.5) - 'DPZ DCF'!$B$8/$B$6</f>
        <v/>
      </c>
      <c r="D52" s="71">
        <f t="array" ref="D52">SUMPRODUCT($B$23:$P$23, 1/(1+$A52)^($B$18:$P$18-0.5)) + ($P$23*(1+D$48)/($A52-D$48))/((1+$A52)^14.5) - 'DPZ DCF'!$B$8/$B$6</f>
        <v/>
      </c>
      <c r="E52" s="71">
        <f t="array" ref="E52">SUMPRODUCT($B$23:$P$23, 1/(1+$A52)^($B$18:$P$18-0.5)) + ($P$23*(1+E$48)/($A52-E$48))/((1+$A52)^14.5) - 'DPZ DCF'!$B$8/$B$6</f>
        <v/>
      </c>
      <c r="F52" s="71">
        <f t="array" ref="F52">SUMPRODUCT($B$23:$P$23, 1/(1+$A52)^($B$18:$P$18-0.5)) + ($P$23*(1+F$48)/($A52-F$48))/((1+$A52)^14.5) - 'DPZ DCF'!$B$8/$B$6</f>
        <v/>
      </c>
    </row>
    <row r="53">
      <c r="A53" s="120" t="n">
        <v>0.11</v>
      </c>
      <c r="B53" s="71">
        <f t="array" ref="B53">SUMPRODUCT($B$23:$P$23, 1/(1+$A53)^($B$18:$P$18-0.5)) + ($P$23*(1+B$48)/($A53-B$48))/((1+$A53)^14.5) - 'DPZ DCF'!$B$8/$B$6</f>
        <v/>
      </c>
      <c r="C53" s="71">
        <f t="array" ref="C53">SUMPRODUCT($B$23:$P$23, 1/(1+$A53)^($B$18:$P$18-0.5)) + ($P$23*(1+C$48)/($A53-C$48))/((1+$A53)^14.5) - 'DPZ DCF'!$B$8/$B$6</f>
        <v/>
      </c>
      <c r="D53" s="71">
        <f t="array" ref="D53">SUMPRODUCT($B$23:$P$23, 1/(1+$A53)^($B$18:$P$18-0.5)) + ($P$23*(1+D$48)/($A53-D$48))/((1+$A53)^14.5) - 'DPZ DCF'!$B$8/$B$6</f>
        <v/>
      </c>
      <c r="E53" s="71">
        <f t="array" ref="E53">SUMPRODUCT($B$23:$P$23, 1/(1+$A53)^($B$18:$P$18-0.5)) + ($P$23*(1+E$48)/($A53-E$48))/((1+$A53)^14.5) - 'DPZ DCF'!$B$8/$B$6</f>
        <v/>
      </c>
      <c r="F53" s="71">
        <f t="array" ref="F53">SUMPRODUCT($B$23:$P$23, 1/(1+$A53)^($B$18:$P$18-0.5)) + ($P$23*(1+F$48)/($A53-F$48))/((1+$A53)^14.5) - 'DPZ DCF'!$B$8/$B$6</f>
        <v/>
      </c>
    </row>
    <row r="56">
      <c r="A56" s="216" t="inlineStr">
        <is>
          <t>HISTORICAL CAPITAL RETURN SINCE IPO (2004) — Source: SEC 10-K filings</t>
        </is>
      </c>
    </row>
    <row r="58" ht="42" customHeight="1" s="215">
      <c r="A58" s="121" t="inlineStr">
        <is>
          <t>Year</t>
        </is>
      </c>
      <c r="B58" s="121" t="inlineStr">
        <is>
          <t>Shares Outstanding (M, year-end)</t>
        </is>
      </c>
      <c r="C58" s="121" t="inlineStr">
        <is>
          <t>Buyback ($M)</t>
        </is>
      </c>
      <c r="D58" s="121" t="inlineStr">
        <is>
          <t>Avg Price ($)</t>
        </is>
      </c>
      <c r="E58" s="121" t="inlineStr">
        <is>
          <t>Share Reduction %</t>
        </is>
      </c>
      <c r="F58" s="121" t="inlineStr">
        <is>
          <t>FCF ($M)</t>
        </is>
      </c>
      <c r="G58" s="121" t="inlineStr">
        <is>
          <t>FCF/share ($)</t>
        </is>
      </c>
      <c r="H58" s="121" t="inlineStr">
        <is>
          <t>FCF/share Growth %</t>
        </is>
      </c>
    </row>
    <row r="59">
      <c r="A59" s="126" t="inlineStr">
        <is>
          <t>FY2004</t>
        </is>
      </c>
      <c r="B59" s="285" t="n">
        <v>65.5</v>
      </c>
      <c r="C59" s="123" t="n">
        <v>0</v>
      </c>
      <c r="D59" s="123" t="n"/>
      <c r="E59" s="124" t="n"/>
      <c r="F59" s="123" t="n">
        <v>80</v>
      </c>
      <c r="G59" s="125">
        <f>F59/B59</f>
        <v/>
      </c>
      <c r="H59" s="124" t="n"/>
    </row>
    <row r="60">
      <c r="A60" s="126" t="inlineStr">
        <is>
          <t>FY2005</t>
        </is>
      </c>
      <c r="B60" s="285" t="n">
        <v>66.8</v>
      </c>
      <c r="C60" s="123" t="n">
        <v>0</v>
      </c>
      <c r="D60" s="123" t="n"/>
      <c r="E60" s="124">
        <f>1-B60/B59</f>
        <v/>
      </c>
      <c r="F60" s="123" t="n">
        <v>80</v>
      </c>
      <c r="G60" s="125">
        <f>F60/B60</f>
        <v/>
      </c>
      <c r="H60" s="124">
        <f>G60/G59-1</f>
        <v/>
      </c>
    </row>
    <row r="61">
      <c r="A61" s="126" t="inlineStr">
        <is>
          <t>FY2006</t>
        </is>
      </c>
      <c r="B61" s="285" t="n">
        <v>64.5</v>
      </c>
      <c r="C61" s="123" t="n">
        <v>595</v>
      </c>
      <c r="D61" s="123" t="n">
        <v>26</v>
      </c>
      <c r="E61" s="124">
        <f>1-B61/B60</f>
        <v/>
      </c>
      <c r="F61" s="123" t="n">
        <v>100</v>
      </c>
      <c r="G61" s="125">
        <f>F61/B61</f>
        <v/>
      </c>
      <c r="H61" s="124">
        <f>G61/G60-1</f>
        <v/>
      </c>
    </row>
    <row r="62">
      <c r="A62" s="126" t="inlineStr">
        <is>
          <t>FY2007</t>
        </is>
      </c>
      <c r="B62" s="285" t="n">
        <v>60</v>
      </c>
      <c r="C62" s="123" t="n">
        <v>200</v>
      </c>
      <c r="D62" s="123" t="n">
        <v>16</v>
      </c>
      <c r="E62" s="124">
        <f>1-B62/B61</f>
        <v/>
      </c>
      <c r="F62" s="123" t="n">
        <v>92</v>
      </c>
      <c r="G62" s="125">
        <f>F62/B62</f>
        <v/>
      </c>
      <c r="H62" s="124">
        <f>G62/G61-1</f>
        <v/>
      </c>
    </row>
    <row r="63">
      <c r="A63" s="126" t="inlineStr">
        <is>
          <t>FY2008</t>
        </is>
      </c>
      <c r="B63" s="285" t="n">
        <v>57.7</v>
      </c>
      <c r="C63" s="123" t="n">
        <v>14</v>
      </c>
      <c r="D63" s="123" t="n">
        <v>11</v>
      </c>
      <c r="E63" s="124">
        <f>1-B63/B62</f>
        <v/>
      </c>
      <c r="F63" s="123" t="n">
        <v>119</v>
      </c>
      <c r="G63" s="125">
        <f>F63/B63</f>
        <v/>
      </c>
      <c r="H63" s="124">
        <f>G63/G62-1</f>
        <v/>
      </c>
    </row>
    <row r="64">
      <c r="A64" s="126" t="inlineStr">
        <is>
          <t>FY2009</t>
        </is>
      </c>
      <c r="B64" s="285" t="n">
        <v>57.3</v>
      </c>
      <c r="C64" s="123" t="n">
        <v>0</v>
      </c>
      <c r="D64" s="123" t="n"/>
      <c r="E64" s="124">
        <f>1-B64/B63</f>
        <v/>
      </c>
      <c r="F64" s="123" t="n">
        <v>88</v>
      </c>
      <c r="G64" s="125">
        <f>F64/B64</f>
        <v/>
      </c>
      <c r="H64" s="124">
        <f>G64/G63-1</f>
        <v/>
      </c>
    </row>
    <row r="65">
      <c r="A65" s="126" t="inlineStr">
        <is>
          <t>FY2010</t>
        </is>
      </c>
      <c r="B65" s="285" t="n">
        <v>60</v>
      </c>
      <c r="C65" s="123" t="n">
        <v>53</v>
      </c>
      <c r="D65" s="123" t="n">
        <v>13</v>
      </c>
      <c r="E65" s="124">
        <f>1-B65/B64</f>
        <v/>
      </c>
      <c r="F65" s="123" t="n">
        <v>113</v>
      </c>
      <c r="G65" s="125">
        <f>F65/B65</f>
        <v/>
      </c>
      <c r="H65" s="124">
        <f>G65/G64-1</f>
        <v/>
      </c>
    </row>
    <row r="66">
      <c r="A66" s="126" t="inlineStr">
        <is>
          <t>FY2011</t>
        </is>
      </c>
      <c r="B66" s="285" t="n">
        <v>60.4</v>
      </c>
      <c r="C66" s="123" t="n">
        <v>18</v>
      </c>
      <c r="D66" s="123" t="n">
        <v>27</v>
      </c>
      <c r="E66" s="124">
        <f>1-B66/B65</f>
        <v/>
      </c>
      <c r="F66" s="123" t="n">
        <v>145</v>
      </c>
      <c r="G66" s="125">
        <f>F66/B66</f>
        <v/>
      </c>
      <c r="H66" s="124">
        <f>G66/G65-1</f>
        <v/>
      </c>
    </row>
    <row r="67">
      <c r="A67" s="126" t="inlineStr">
        <is>
          <t>FY2012</t>
        </is>
      </c>
      <c r="B67" s="285" t="n">
        <v>58.6</v>
      </c>
      <c r="C67" s="123" t="n">
        <v>88</v>
      </c>
      <c r="D67" s="123" t="n">
        <v>36</v>
      </c>
      <c r="E67" s="124">
        <f>1-B67/B66</f>
        <v/>
      </c>
      <c r="F67" s="123" t="n">
        <v>130</v>
      </c>
      <c r="G67" s="125">
        <f>F67/B67</f>
        <v/>
      </c>
      <c r="H67" s="124">
        <f>G67/G66-1</f>
        <v/>
      </c>
    </row>
    <row r="68">
      <c r="A68" s="126" t="inlineStr">
        <is>
          <t>FY2013</t>
        </is>
      </c>
      <c r="B68" s="285" t="n">
        <v>56.9</v>
      </c>
      <c r="C68" s="123" t="n">
        <v>97</v>
      </c>
      <c r="D68" s="123" t="n">
        <v>58</v>
      </c>
      <c r="E68" s="124">
        <f>1-B68/B67</f>
        <v/>
      </c>
      <c r="F68" s="123" t="n">
        <v>156</v>
      </c>
      <c r="G68" s="125">
        <f>F68/B68</f>
        <v/>
      </c>
      <c r="H68" s="124">
        <f>G68/G67-1</f>
        <v/>
      </c>
    </row>
    <row r="69">
      <c r="A69" s="126" t="inlineStr">
        <is>
          <t>FY2014</t>
        </is>
      </c>
      <c r="B69" s="285" t="n">
        <v>55.6</v>
      </c>
      <c r="C69" s="123" t="n">
        <v>82</v>
      </c>
      <c r="D69" s="123" t="n">
        <v>72</v>
      </c>
      <c r="E69" s="124">
        <f>1-B69/B68</f>
        <v/>
      </c>
      <c r="F69" s="123" t="n">
        <v>174</v>
      </c>
      <c r="G69" s="125">
        <f>F69/B69</f>
        <v/>
      </c>
      <c r="H69" s="124">
        <f>G69/G68-1</f>
        <v/>
      </c>
    </row>
    <row r="70">
      <c r="A70" s="126" t="inlineStr">
        <is>
          <t>FY2015</t>
        </is>
      </c>
      <c r="B70" s="285" t="n">
        <v>56.5</v>
      </c>
      <c r="C70" s="123" t="n">
        <v>100</v>
      </c>
      <c r="D70" s="123" t="n">
        <v>105</v>
      </c>
      <c r="E70" s="124">
        <f>1-B70/B69</f>
        <v/>
      </c>
      <c r="F70" s="123" t="n">
        <v>220</v>
      </c>
      <c r="G70" s="125">
        <f>F70/B70</f>
        <v/>
      </c>
      <c r="H70" s="124">
        <f>G70/G69-1</f>
        <v/>
      </c>
    </row>
    <row r="71">
      <c r="A71" s="126" t="inlineStr">
        <is>
          <t>FY2016</t>
        </is>
      </c>
      <c r="B71" s="285" t="n">
        <v>51</v>
      </c>
      <c r="C71" s="123" t="n">
        <v>502</v>
      </c>
      <c r="D71" s="123" t="n">
        <v>145</v>
      </c>
      <c r="E71" s="124">
        <f>1-B71/B70</f>
        <v/>
      </c>
      <c r="F71" s="123" t="n">
        <v>246</v>
      </c>
      <c r="G71" s="125">
        <f>F71/B71</f>
        <v/>
      </c>
      <c r="H71" s="124">
        <f>G71/G70-1</f>
        <v/>
      </c>
    </row>
    <row r="72">
      <c r="A72" s="126" t="inlineStr">
        <is>
          <t>FY2017</t>
        </is>
      </c>
      <c r="B72" s="285" t="n">
        <v>47.9</v>
      </c>
      <c r="C72" s="123" t="n">
        <v>798</v>
      </c>
      <c r="D72" s="123" t="n">
        <v>188</v>
      </c>
      <c r="E72" s="124">
        <f>1-B72/B71</f>
        <v/>
      </c>
      <c r="F72" s="123" t="n">
        <v>281</v>
      </c>
      <c r="G72" s="125">
        <f>F72/B72</f>
        <v/>
      </c>
      <c r="H72" s="124">
        <f>G72/G71-1</f>
        <v/>
      </c>
    </row>
    <row r="73">
      <c r="A73" s="126" t="inlineStr">
        <is>
          <t>FY2018</t>
        </is>
      </c>
      <c r="B73" s="285" t="n">
        <v>43</v>
      </c>
      <c r="C73" s="123" t="n">
        <v>600</v>
      </c>
      <c r="D73" s="123" t="n">
        <v>250</v>
      </c>
      <c r="E73" s="124">
        <f>1-B73/B72</f>
        <v/>
      </c>
      <c r="F73" s="123" t="n">
        <v>312</v>
      </c>
      <c r="G73" s="125">
        <f>F73/B73</f>
        <v/>
      </c>
      <c r="H73" s="124">
        <f>G73/G72-1</f>
        <v/>
      </c>
    </row>
    <row r="74">
      <c r="A74" s="126" t="inlineStr">
        <is>
          <t>FY2019</t>
        </is>
      </c>
      <c r="B74" s="285" t="n">
        <v>41.5</v>
      </c>
      <c r="C74" s="123" t="n">
        <v>700</v>
      </c>
      <c r="D74" s="123" t="n">
        <v>270</v>
      </c>
      <c r="E74" s="124">
        <f>1-B74/B73</f>
        <v/>
      </c>
      <c r="F74" s="123" t="n">
        <v>379</v>
      </c>
      <c r="G74" s="125">
        <f>F74/B74</f>
        <v/>
      </c>
      <c r="H74" s="124">
        <f>G74/G73-1</f>
        <v/>
      </c>
    </row>
    <row r="75">
      <c r="A75" s="126" t="inlineStr">
        <is>
          <t>FY2020</t>
        </is>
      </c>
      <c r="B75" s="285" t="n">
        <v>39.5</v>
      </c>
      <c r="C75" s="123" t="n">
        <v>187</v>
      </c>
      <c r="D75" s="123" t="n">
        <v>380</v>
      </c>
      <c r="E75" s="124">
        <f>1-B75/B74</f>
        <v/>
      </c>
      <c r="F75" s="123" t="n">
        <v>489</v>
      </c>
      <c r="G75" s="125">
        <f>F75/B75</f>
        <v/>
      </c>
      <c r="H75" s="124">
        <f>G75/G74-1</f>
        <v/>
      </c>
    </row>
    <row r="76">
      <c r="A76" s="126" t="inlineStr">
        <is>
          <t>FY2021</t>
        </is>
      </c>
      <c r="B76" s="285" t="n">
        <v>37</v>
      </c>
      <c r="C76" s="123" t="n">
        <v>1085</v>
      </c>
      <c r="D76" s="123" t="n">
        <v>458</v>
      </c>
      <c r="E76" s="124">
        <f>1-B76/B75</f>
        <v/>
      </c>
      <c r="F76" s="123" t="n">
        <v>540</v>
      </c>
      <c r="G76" s="125">
        <f>F76/B76</f>
        <v/>
      </c>
      <c r="H76" s="124">
        <f>G76/G75-1</f>
        <v/>
      </c>
    </row>
    <row r="77">
      <c r="A77" s="126" t="inlineStr">
        <is>
          <t>FY2022</t>
        </is>
      </c>
      <c r="B77" s="285" t="n">
        <v>35.6</v>
      </c>
      <c r="C77" s="123" t="n">
        <v>251</v>
      </c>
      <c r="D77" s="123" t="n">
        <v>351</v>
      </c>
      <c r="E77" s="124">
        <f>1-B77/B76</f>
        <v/>
      </c>
      <c r="F77" s="123" t="n">
        <v>359</v>
      </c>
      <c r="G77" s="125">
        <f>F77/B77</f>
        <v/>
      </c>
      <c r="H77" s="124">
        <f>G77/G76-1</f>
        <v/>
      </c>
    </row>
    <row r="78">
      <c r="A78" s="126" t="inlineStr">
        <is>
          <t>FY2023</t>
        </is>
      </c>
      <c r="B78" s="285" t="n">
        <v>34.9</v>
      </c>
      <c r="C78" s="123" t="n">
        <v>78</v>
      </c>
      <c r="D78" s="123" t="n">
        <v>354</v>
      </c>
      <c r="E78" s="124">
        <f>1-B78/B77</f>
        <v/>
      </c>
      <c r="F78" s="123" t="n">
        <v>486</v>
      </c>
      <c r="G78" s="125">
        <f>F78/B78</f>
        <v/>
      </c>
      <c r="H78" s="124">
        <f>G78/G77-1</f>
        <v/>
      </c>
    </row>
    <row r="79">
      <c r="A79" s="126" t="inlineStr">
        <is>
          <t>FY2024</t>
        </is>
      </c>
      <c r="B79" s="285" t="n">
        <v>35</v>
      </c>
      <c r="C79" s="123" t="n">
        <v>156</v>
      </c>
      <c r="D79" s="123" t="n">
        <v>425</v>
      </c>
      <c r="E79" s="124">
        <f>1-B79/B78</f>
        <v/>
      </c>
      <c r="F79" s="123" t="n">
        <v>512</v>
      </c>
      <c r="G79" s="125">
        <f>F79/B79</f>
        <v/>
      </c>
      <c r="H79" s="124">
        <f>G79/G78-1</f>
        <v/>
      </c>
    </row>
    <row r="80">
      <c r="A80" s="127" t="inlineStr">
        <is>
          <t>FY2025</t>
        </is>
      </c>
      <c r="B80" s="286" t="n">
        <v>34.6</v>
      </c>
      <c r="C80" s="129" t="n">
        <v>540</v>
      </c>
      <c r="D80" s="129" t="n">
        <v>470</v>
      </c>
      <c r="E80" s="130">
        <f>1-B80/B79</f>
        <v/>
      </c>
      <c r="F80" s="129" t="n">
        <v>671</v>
      </c>
      <c r="G80" s="131">
        <f>F80/B80</f>
        <v/>
      </c>
      <c r="H80" s="130">
        <f>G80/G79-1</f>
        <v/>
      </c>
    </row>
    <row r="82">
      <c r="A82" s="132" t="inlineStr">
        <is>
          <t>TOTALS / SUMMARY (FY2004 → FY2025)</t>
        </is>
      </c>
    </row>
    <row r="83">
      <c r="A83" t="inlineStr">
        <is>
          <t>Total $ deployed on buybacks</t>
        </is>
      </c>
      <c r="C83" s="73">
        <f>SUM(C59:C80)</f>
        <v/>
      </c>
    </row>
    <row r="84">
      <c r="A84" t="inlineStr">
        <is>
          <t>Total cumulative share reduction</t>
        </is>
      </c>
      <c r="B84" s="103">
        <f>B80/B59-1</f>
        <v/>
      </c>
    </row>
    <row r="85">
      <c r="A85" t="inlineStr">
        <is>
          <t>FCF/share CAGR (2004→2025, 21 yrs)</t>
        </is>
      </c>
      <c r="B85" s="67">
        <f>(G80/G59)^(1/21)-1</f>
        <v/>
      </c>
    </row>
    <row r="86">
      <c r="A86" t="inlineStr">
        <is>
          <t>FCF (total) CAGR (2004→2025)</t>
        </is>
      </c>
      <c r="B86" s="65">
        <f>(F80/F59)^(1/21)-1</f>
        <v/>
      </c>
    </row>
    <row r="87">
      <c r="A87" t="inlineStr">
        <is>
          <t>Avg annual share reduction (geometric)</t>
        </is>
      </c>
      <c r="B87" s="66">
        <f>1-(B80/B59)^(1/21)</f>
        <v/>
      </c>
    </row>
    <row r="88">
      <c r="A88" t="inlineStr">
        <is>
          <t>Avg annual FCF/share growth (geometric)</t>
        </is>
      </c>
      <c r="B88" s="65">
        <f>(G80/G59)^(1/21)-1</f>
        <v/>
      </c>
    </row>
    <row r="90">
      <c r="A90" s="59" t="inlineStr">
        <is>
          <t>Source: DPZ 10-K filings 2004-2025 (SEC EDGAR). Shares = year-end common stock outstanding.</t>
        </is>
      </c>
    </row>
    <row r="91">
      <c r="A91" s="59" t="inlineStr">
        <is>
          <t>FY2006 buyback includes $13.50/share special dividend recapitalization (Apr 2007 effectively prior period). FY2010 had small reissuance offsetting buybacks.</t>
        </is>
      </c>
    </row>
  </sheetData>
  <mergeCells count="1">
    <mergeCell ref="A56:H56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C8" sqref="C8"/>
    </sheetView>
  </sheetViews>
  <sheetFormatPr baseColWidth="10" defaultRowHeight="13"/>
  <cols>
    <col width="33.33203125" customWidth="1" style="215" min="1" max="3"/>
  </cols>
  <sheetData>
    <row r="1" ht="18" customHeight="1" s="215">
      <c r="A1" s="214" t="inlineStr">
        <is>
          <t>DPZ — WACC Calculation</t>
        </is>
      </c>
    </row>
    <row r="2">
      <c r="A2" s="59" t="inlineStr">
        <is>
          <t>As of April 27, 2026</t>
        </is>
      </c>
    </row>
    <row r="4">
      <c r="A4" s="61" t="inlineStr">
        <is>
          <t>COST OF EQUITY (CAPM)</t>
        </is>
      </c>
      <c r="B4" s="62" t="n"/>
      <c r="C4" s="62" t="n"/>
    </row>
    <row r="5">
      <c r="A5" t="inlineStr">
        <is>
          <t>Risk-free rate (10Y Treasury)</t>
        </is>
      </c>
      <c r="B5" s="63" t="n">
        <v>0.043</v>
      </c>
    </row>
    <row r="6">
      <c r="A6" t="inlineStr">
        <is>
          <t>Beta (5Y monthly)</t>
        </is>
      </c>
      <c r="B6" s="64" t="n">
        <v>0.7</v>
      </c>
    </row>
    <row r="7">
      <c r="A7" t="inlineStr">
        <is>
          <t>Equity Risk Premium</t>
        </is>
      </c>
      <c r="B7" s="63" t="n">
        <v>0.055</v>
      </c>
    </row>
    <row r="8">
      <c r="A8" s="60" t="inlineStr">
        <is>
          <t>Cost of Equity = Rf + β × ERP</t>
        </is>
      </c>
      <c r="B8" s="67">
        <f>B5+B6*B7</f>
        <v/>
      </c>
    </row>
    <row r="10">
      <c r="A10" s="61" t="inlineStr">
        <is>
          <t>COST OF DEBT</t>
        </is>
      </c>
      <c r="B10" s="62" t="n"/>
      <c r="C10" s="62" t="n"/>
    </row>
    <row r="11">
      <c r="A11" t="inlineStr">
        <is>
          <t>Pre-tax cost of debt (avg coupon)</t>
        </is>
      </c>
      <c r="B11" s="63" t="n">
        <v>0.052</v>
      </c>
    </row>
    <row r="12">
      <c r="A12" t="inlineStr">
        <is>
          <t>Tax rate</t>
        </is>
      </c>
      <c r="B12" s="63" t="n">
        <v>0.22</v>
      </c>
    </row>
    <row r="13">
      <c r="A13" s="60" t="inlineStr">
        <is>
          <t>After-tax cost of debt</t>
        </is>
      </c>
      <c r="B13" s="66">
        <f>B11*(1-B12)</f>
        <v/>
      </c>
    </row>
    <row r="15">
      <c r="A15" s="61" t="inlineStr">
        <is>
          <t>CAPITAL STRUCTURE</t>
        </is>
      </c>
      <c r="B15" s="62" t="n"/>
      <c r="C15" s="62" t="n"/>
    </row>
    <row r="16">
      <c r="A16" t="inlineStr">
        <is>
          <t>Share price ($)</t>
        </is>
      </c>
      <c r="B16" s="68" t="n">
        <v>372</v>
      </c>
    </row>
    <row r="17">
      <c r="A17" t="inlineStr">
        <is>
          <t>Diluted shares (M)</t>
        </is>
      </c>
      <c r="B17" s="262" t="n">
        <v>33.6</v>
      </c>
    </row>
    <row r="18">
      <c r="A18" t="inlineStr">
        <is>
          <t>Market cap ($M)</t>
        </is>
      </c>
      <c r="B18" s="71">
        <f>B16*B17</f>
        <v/>
      </c>
    </row>
    <row r="19">
      <c r="A19" t="inlineStr">
        <is>
          <t>Total debt ($M)</t>
        </is>
      </c>
      <c r="B19" s="72" t="n">
        <v>5000</v>
      </c>
    </row>
    <row r="20">
      <c r="A20" t="inlineStr">
        <is>
          <t>Cash &amp; restricted cash ($M)</t>
        </is>
      </c>
      <c r="B20" s="72" t="n">
        <v>216</v>
      </c>
    </row>
    <row r="21">
      <c r="A21" s="60" t="inlineStr">
        <is>
          <t>Net debt ($M)</t>
        </is>
      </c>
      <c r="B21" s="73">
        <f>B19-B20</f>
        <v/>
      </c>
    </row>
    <row r="22">
      <c r="A22" s="60" t="inlineStr">
        <is>
          <t>Enterprise value ($M)</t>
        </is>
      </c>
      <c r="B22" s="73">
        <f>B18+B21</f>
        <v/>
      </c>
    </row>
    <row r="24">
      <c r="A24" t="inlineStr">
        <is>
          <t>Equity weight</t>
        </is>
      </c>
      <c r="B24" s="74">
        <f>B18/B22</f>
        <v/>
      </c>
    </row>
    <row r="25">
      <c r="A25" t="inlineStr">
        <is>
          <t>Debt weight</t>
        </is>
      </c>
      <c r="B25" s="74">
        <f>B21/B22</f>
        <v/>
      </c>
    </row>
    <row r="27" ht="16" customHeight="1" s="215">
      <c r="A27" s="75" t="inlineStr">
        <is>
          <t>WACC</t>
        </is>
      </c>
      <c r="B27" s="76">
        <f>B8*B24+B13*B25</f>
        <v/>
      </c>
    </row>
    <row r="29">
      <c r="A29" s="59" t="inlineStr">
        <is>
          <t>Note: Buffett-style — we'll also test 9-10% as a more conservative discount rate.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10" defaultRowHeight="13"/>
  <cols>
    <col width="24.1640625" customWidth="1" style="215" min="1" max="7"/>
  </cols>
  <sheetData>
    <row r="1" ht="18" customHeight="1" s="215">
      <c r="A1" s="214" t="inlineStr">
        <is>
          <t>DPZ vs Peers vs Market Expectations — How Realistic is 5% FCF Growth?</t>
        </is>
      </c>
    </row>
    <row r="2">
      <c r="A2" s="59" t="inlineStr">
        <is>
          <t>Question: Our DCF assumes 5% revenue/FCF growth Y1-5. Is that conservative, base-case, or aggressive?</t>
        </is>
      </c>
    </row>
    <row r="4">
      <c r="A4" s="216" t="inlineStr">
        <is>
          <t>QSR PEER GROWTH PROFILE (Consensus FY26-28)</t>
        </is>
      </c>
      <c r="B4" s="78" t="n"/>
      <c r="C4" s="78" t="n"/>
      <c r="D4" s="78" t="n"/>
      <c r="E4" s="78" t="n"/>
      <c r="F4" s="78" t="n"/>
      <c r="G4" s="78" t="n"/>
    </row>
    <row r="5">
      <c r="A5" s="61" t="inlineStr">
        <is>
          <t>Company</t>
        </is>
      </c>
      <c r="B5" s="82" t="inlineStr">
        <is>
          <t>Ticker</t>
        </is>
      </c>
      <c r="C5" s="82" t="inlineStr">
        <is>
          <t>Rev Growth FY26E</t>
        </is>
      </c>
      <c r="D5" s="82" t="inlineStr">
        <is>
          <t>EPS Growth FY26-28E CAGR</t>
        </is>
      </c>
      <c r="E5" s="82" t="inlineStr">
        <is>
          <t>Q4'25 SSS</t>
        </is>
      </c>
      <c r="F5" s="82" t="inlineStr">
        <is>
          <t>Business Model</t>
        </is>
      </c>
      <c r="G5" s="82" t="inlineStr">
        <is>
          <t>Note</t>
        </is>
      </c>
    </row>
    <row r="6">
      <c r="A6" s="118" t="inlineStr">
        <is>
          <t>Domino's Pizza</t>
        </is>
      </c>
      <c r="B6" s="118" t="inlineStr">
        <is>
          <t>DPZ</t>
        </is>
      </c>
      <c r="C6" s="133" t="n">
        <v>0.055</v>
      </c>
      <c r="D6" s="133" t="n">
        <v>0.102</v>
      </c>
      <c r="E6" s="133" t="n">
        <v>0</v>
      </c>
      <c r="F6" s="134" t="inlineStr">
        <is>
          <t>99% franchised + supply chain</t>
        </is>
      </c>
      <c r="G6" s="134" t="inlineStr">
        <is>
          <t>Most aggressive buyback in QSR</t>
        </is>
      </c>
    </row>
    <row r="7">
      <c r="A7" t="inlineStr">
        <is>
          <t>Chipotle</t>
        </is>
      </c>
      <c r="B7" s="135" t="inlineStr">
        <is>
          <t>CMG</t>
        </is>
      </c>
      <c r="C7" s="89" t="n">
        <v>0.07000000000000001</v>
      </c>
      <c r="D7" s="89" t="n">
        <v>0.13</v>
      </c>
      <c r="E7" s="89" t="n">
        <v>-0.04</v>
      </c>
      <c r="F7" s="135" t="inlineStr">
        <is>
          <t>Company-owned</t>
        </is>
      </c>
      <c r="G7" t="inlineStr">
        <is>
          <t>Currently struggling — SSS turned negative</t>
        </is>
      </c>
    </row>
    <row r="8">
      <c r="A8" t="inlineStr">
        <is>
          <t>Wingstop</t>
        </is>
      </c>
      <c r="B8" s="135" t="inlineStr">
        <is>
          <t>WING</t>
        </is>
      </c>
      <c r="C8" s="89" t="n">
        <v>0.12</v>
      </c>
      <c r="D8" s="89" t="n">
        <v>0.18</v>
      </c>
      <c r="E8" s="89" t="n">
        <v>-0.058</v>
      </c>
      <c r="F8" s="135" t="inlineStr">
        <is>
          <t>Asset-light franchise</t>
        </is>
      </c>
      <c r="G8" t="inlineStr">
        <is>
          <t>High unit growth offsets weak SSS</t>
        </is>
      </c>
    </row>
    <row r="9">
      <c r="A9" t="inlineStr">
        <is>
          <t>Yum! Brands</t>
        </is>
      </c>
      <c r="B9" s="135" t="inlineStr">
        <is>
          <t>YUM</t>
        </is>
      </c>
      <c r="C9" s="89" t="n">
        <v>0.05</v>
      </c>
      <c r="D9" s="89" t="n">
        <v>0.09</v>
      </c>
      <c r="E9" s="89" t="n">
        <v>0.04</v>
      </c>
      <c r="F9" s="135" t="inlineStr">
        <is>
          <t>Multi-brand franchise</t>
        </is>
      </c>
      <c r="G9" t="inlineStr">
        <is>
          <t>Closest peer to DPZ scale &amp; model</t>
        </is>
      </c>
    </row>
    <row r="10">
      <c r="A10" t="inlineStr">
        <is>
          <t>Restaurant Brands</t>
        </is>
      </c>
      <c r="B10" s="135" t="inlineStr">
        <is>
          <t>QSR</t>
        </is>
      </c>
      <c r="C10" s="89" t="n">
        <v>0.05</v>
      </c>
      <c r="D10" s="89" t="n">
        <v>0.08</v>
      </c>
      <c r="E10" s="89" t="n">
        <v>0.026</v>
      </c>
      <c r="F10" s="135" t="inlineStr">
        <is>
          <t>Multi-brand franchise</t>
        </is>
      </c>
      <c r="G10" t="inlineStr">
        <is>
          <t>BK/THI/Popeyes; mature</t>
        </is>
      </c>
    </row>
    <row r="11">
      <c r="A11" t="inlineStr">
        <is>
          <t>McDonald's</t>
        </is>
      </c>
      <c r="B11" s="135" t="inlineStr">
        <is>
          <t>MCD</t>
        </is>
      </c>
      <c r="C11" s="89" t="n">
        <v>0.04</v>
      </c>
      <c r="D11" s="89" t="n">
        <v>0.07000000000000001</v>
      </c>
      <c r="E11" s="89" t="n">
        <v>0.02</v>
      </c>
      <c r="F11" s="135" t="inlineStr">
        <is>
          <t>95% franchised</t>
        </is>
      </c>
      <c r="G11" t="inlineStr">
        <is>
          <t>Most mature comp</t>
        </is>
      </c>
    </row>
    <row r="12">
      <c r="A12" t="inlineStr">
        <is>
          <t>Papa John's</t>
        </is>
      </c>
      <c r="B12" s="135" t="inlineStr">
        <is>
          <t>PZZA</t>
        </is>
      </c>
      <c r="C12" s="89" t="n">
        <v>0.02</v>
      </c>
      <c r="D12" s="89" t="n">
        <v>0.04</v>
      </c>
      <c r="E12" s="89" t="n">
        <v>-0.02</v>
      </c>
      <c r="F12" s="135" t="inlineStr">
        <is>
          <t>Franchise</t>
        </is>
      </c>
      <c r="G12" t="inlineStr">
        <is>
          <t>Direct pizza competitor — losing share to DPZ</t>
        </is>
      </c>
    </row>
    <row r="14">
      <c r="A14" s="83" t="inlineStr">
        <is>
          <t>Restaurants Industry Avg (consensus)</t>
        </is>
      </c>
      <c r="C14" s="85" t="n">
        <v>0.067</v>
      </c>
      <c r="D14" s="85" t="n">
        <v>0.189</v>
      </c>
    </row>
    <row r="15">
      <c r="A15" s="83" t="inlineStr">
        <is>
          <t>US Pizza Foodservice Mkt CAGR 26-31</t>
        </is>
      </c>
      <c r="C15" s="85" t="n">
        <v>0.0746</v>
      </c>
    </row>
    <row r="16">
      <c r="A16" s="83" t="inlineStr">
        <is>
          <t>DPZ mgmt LT target (US retail sales)</t>
        </is>
      </c>
      <c r="C16" s="85" t="n">
        <v>0.06</v>
      </c>
    </row>
    <row r="17">
      <c r="A17" s="83" t="inlineStr">
        <is>
          <t>DPZ mgmt LT target (op income growth)</t>
        </is>
      </c>
      <c r="D17" s="85" t="n">
        <v>0.07000000000000001</v>
      </c>
    </row>
    <row r="19">
      <c r="A19" s="136" t="inlineStr">
        <is>
          <t>VERDICT: How likely is 5% FCF growth?</t>
        </is>
      </c>
      <c r="B19" s="78" t="n"/>
      <c r="C19" s="78" t="n"/>
    </row>
    <row r="20">
      <c r="A20" s="137" t="inlineStr">
        <is>
          <t>Reference point</t>
        </is>
      </c>
      <c r="B20" s="82" t="inlineStr">
        <is>
          <t>Growth Rate</t>
        </is>
      </c>
      <c r="C20" s="61" t="inlineStr">
        <is>
          <t>Read</t>
        </is>
      </c>
    </row>
    <row r="21">
      <c r="A21" t="inlineStr">
        <is>
          <t>DPZ historical FCF CAGR (FY04-FY25, 21yr)</t>
        </is>
      </c>
      <c r="B21" s="138" t="n">
        <v>0.107</v>
      </c>
      <c r="C21" t="inlineStr">
        <is>
          <t>Actual track record — well above 5%</t>
        </is>
      </c>
    </row>
    <row r="22">
      <c r="A22" t="inlineStr">
        <is>
          <t>DPZ historical FCF CAGR (FY15-FY25, 10yr)</t>
        </is>
      </c>
      <c r="B22" s="138" t="n">
        <v>0.118</v>
      </c>
      <c r="C22" t="inlineStr">
        <is>
          <t>More recent 10-yr period even stronger</t>
        </is>
      </c>
    </row>
    <row r="23">
      <c r="A23" t="inlineStr">
        <is>
          <t>DPZ historical Revenue CAGR (FY15-FY25, 10yr)</t>
        </is>
      </c>
      <c r="B23" s="138" t="n">
        <v>0.064</v>
      </c>
      <c r="C23" t="inlineStr">
        <is>
          <t>Revenue grew slower than FCF (margin expansion)</t>
        </is>
      </c>
    </row>
    <row r="24">
      <c r="A24" t="inlineStr">
        <is>
          <t>Analyst consensus FY26 revenue growth</t>
        </is>
      </c>
      <c r="B24" s="138" t="n">
        <v>0.055</v>
      </c>
      <c r="C24" t="inlineStr">
        <is>
          <t>Matches our 5% assumption — in line</t>
        </is>
      </c>
    </row>
    <row r="25">
      <c r="A25" t="inlineStr">
        <is>
          <t>Analyst consensus EPS CAGR FY26-28</t>
        </is>
      </c>
      <c r="B25" s="138" t="n">
        <v>0.102</v>
      </c>
      <c r="C25" t="inlineStr">
        <is>
          <t>EPS grows ~2x faster than revenue (buyback effect)</t>
        </is>
      </c>
    </row>
    <row r="26">
      <c r="A26" t="inlineStr">
        <is>
          <t>Mgmt long-term op income target</t>
        </is>
      </c>
      <c r="B26" s="138" t="n">
        <v>0.07000000000000001</v>
      </c>
      <c r="C26" t="inlineStr">
        <is>
          <t>Mgmt confidence is above our 5%</t>
        </is>
      </c>
    </row>
    <row r="27">
      <c r="A27" t="inlineStr">
        <is>
          <t>US Pizza foodservice market CAGR</t>
        </is>
      </c>
      <c r="B27" s="138" t="n">
        <v>0.0746</v>
      </c>
      <c r="C27" t="inlineStr">
        <is>
          <t>Industry growing faster than 5%</t>
        </is>
      </c>
    </row>
    <row r="28">
      <c r="A28" t="inlineStr">
        <is>
          <t>Restaurants industry avg consensus rev</t>
        </is>
      </c>
      <c r="B28" s="138" t="n">
        <v>0.067</v>
      </c>
      <c r="C28" t="inlineStr">
        <is>
          <t>Industry expects 6.7% — we're below</t>
        </is>
      </c>
    </row>
    <row r="29">
      <c r="A29" s="60" t="inlineStr">
        <is>
          <t>OUR DCF ASSUMPTION (Y1-5)</t>
        </is>
      </c>
      <c r="B29" s="139" t="n">
        <v>0.05</v>
      </c>
      <c r="C29" s="92" t="inlineStr">
        <is>
          <t>BELOW all reference points — conservative</t>
        </is>
      </c>
    </row>
    <row r="31">
      <c r="A31" s="216" t="inlineStr">
        <is>
          <t>PROBABILITY ASSESSMENT</t>
        </is>
      </c>
      <c r="B31" s="78" t="n"/>
    </row>
    <row r="32">
      <c r="A32" s="61" t="inlineStr">
        <is>
          <t>Scenario</t>
        </is>
      </c>
      <c r="B32" s="82" t="inlineStr">
        <is>
          <t>Probability</t>
        </is>
      </c>
      <c r="C32" s="82" t="inlineStr">
        <is>
          <t>Implied FCF Growth Y1-5</t>
        </is>
      </c>
    </row>
    <row r="33">
      <c r="A33" t="inlineStr">
        <is>
          <t>Bear: SSS stagnation, traffic loss, competition</t>
        </is>
      </c>
      <c r="B33" s="140" t="n">
        <v>0.2</v>
      </c>
      <c r="C33" s="135" t="inlineStr">
        <is>
          <t>2-3%</t>
        </is>
      </c>
    </row>
    <row r="34">
      <c r="A34" t="inlineStr">
        <is>
          <t>Base: 5% (our model) — conservative vs analyst 5.5%, mgmt 6-7%</t>
        </is>
      </c>
      <c r="B34" s="141" t="n">
        <v>0.55</v>
      </c>
      <c r="C34" s="142" t="n">
        <v>0.05</v>
      </c>
    </row>
    <row r="35">
      <c r="A35" t="inlineStr">
        <is>
          <t>Bull: hits mgmt LT target of 7%+, regains SSS momentum</t>
        </is>
      </c>
      <c r="B35" s="140" t="n">
        <v>0.25</v>
      </c>
      <c r="C35" s="135" t="inlineStr">
        <is>
          <t>7-9%</t>
        </is>
      </c>
    </row>
    <row r="37">
      <c r="A37" s="216" t="inlineStr">
        <is>
          <t>BOTTOM LINE</t>
        </is>
      </c>
      <c r="B37" s="78" t="n"/>
    </row>
    <row r="38">
      <c r="A38" s="118" t="inlineStr">
        <is>
          <t>5% FCF growth is a CONSERVATIVE assumption.</t>
        </is>
      </c>
    </row>
    <row r="39">
      <c r="A39" t="inlineStr">
        <is>
          <t>• DPZ delivered 10.7% FCF CAGR over 21 years</t>
        </is>
      </c>
    </row>
    <row r="40">
      <c r="A40" t="inlineStr">
        <is>
          <t>• Analyst consensus FY26 = 5.5%; mgmt LT target = 6-7%</t>
        </is>
      </c>
    </row>
    <row r="41">
      <c r="A41" t="inlineStr">
        <is>
          <t>• US pizza market CAGR forecast = 7.5%</t>
        </is>
      </c>
    </row>
    <row r="42">
      <c r="A42" t="inlineStr">
        <is>
          <t>• Q1'26 was a soft quarter (flat SSS) — but mgmt confidence shown via $1B buyback</t>
        </is>
      </c>
    </row>
    <row r="43">
      <c r="A43" t="inlineStr">
        <is>
          <t>• Real risk: GLP-1 drugs, 3rd-party delivery dilution, beef/labor inflation pressuring franchisee economics</t>
        </is>
      </c>
    </row>
    <row r="45">
      <c r="A45" s="60" t="inlineStr">
        <is>
          <t>What WOULD make 5% wrong on the downside?</t>
        </is>
      </c>
    </row>
    <row r="46">
      <c r="A46" t="inlineStr">
        <is>
          <t>1. Persistent negative SSS (Q1'26 was already flat — watch closely)</t>
        </is>
      </c>
    </row>
    <row r="47">
      <c r="A47" t="inlineStr">
        <is>
          <t>2. International store growth slowing (60%+ of new units come from intl)</t>
        </is>
      </c>
    </row>
    <row r="48">
      <c r="A48" t="inlineStr">
        <is>
          <t>3. Franchisee margin pressure forcing closures (labor, beef)</t>
        </is>
      </c>
    </row>
    <row r="49">
      <c r="A49" t="inlineStr">
        <is>
          <t>4. Refinancing risk: $1.3B refi due July 2027 — if rates spike, FCF gets pinched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S500"/>
  <sheetViews>
    <sheetView topLeftCell="G1" workbookViewId="0">
      <pane ySplit="5" topLeftCell="A67" activePane="bottomLeft" state="frozen"/>
      <selection pane="bottomLeft" activeCell="H444" sqref="H444"/>
    </sheetView>
  </sheetViews>
  <sheetFormatPr baseColWidth="10" defaultColWidth="8.83203125" defaultRowHeight="13"/>
  <cols>
    <col width="5" customWidth="1" style="215" min="1" max="1"/>
    <col width="8" customWidth="1" style="215" min="2" max="2"/>
    <col width="28" customWidth="1" style="215" min="3" max="3"/>
    <col width="22" customWidth="1" style="215" min="4" max="4"/>
    <col width="14" customWidth="1" style="215" min="5" max="5"/>
    <col width="16" customWidth="1" style="215" min="6" max="6"/>
    <col width="14" customWidth="1" style="215" min="7" max="7"/>
    <col width="16" customWidth="1" style="215" min="8" max="8"/>
    <col width="14" customWidth="1" style="215" min="9" max="9"/>
    <col width="10" customWidth="1" style="215" min="10" max="10"/>
    <col width="14" customWidth="1" style="215" min="11" max="11"/>
    <col width="16" customWidth="1" style="215" min="12" max="12"/>
    <col width="18" customWidth="1" style="215" min="13" max="13"/>
    <col width="10" customWidth="1" style="215" min="14" max="14"/>
    <col width="7" customWidth="1" style="215" min="15" max="15"/>
    <col width="12" customWidth="1" style="215" min="16" max="16"/>
    <col width="10" customWidth="1" style="215" min="17" max="17"/>
    <col width="14" customWidth="1" style="215" min="18" max="18"/>
    <col width="45" customWidth="1" style="215" min="19" max="19"/>
  </cols>
  <sheetData>
    <row r="1" ht="30" customHeight="1" s="215">
      <c r="A1" s="217" t="inlineStr">
        <is>
          <t>S&amp;P 500 Dashboard</t>
        </is>
      </c>
    </row>
    <row r="2" ht="18" customHeight="1" s="215">
      <c r="A2" s="287" t="inlineStr">
        <is>
          <t>Last updated: 2026-10-20 15:02:44 | 482 full / 8 partial / 4 no-data (kept) | 145s elapsed</t>
        </is>
      </c>
    </row>
    <row r="3" ht="18" customHeight="1" s="215">
      <c r="A3" s="218" t="inlineStr">
        <is>
          <t>Total: 494 companies | IV: 15-yr Buffett DCF + geo-risk v4 (Iran ceasefire fragile, Brent $104, S&amp;P 7,500 ATH, fwd P/E 21.2, Fed 3.50-3.75% held 8-4) | BRK Q1 2026 13F (filed May 15): $263B portfolio, 29 positions (-13), 16 exits incl V/MA/UNH/DPZ/HEI/CHTR/AON/POOL/LAMR/ALLE, CVX -35%, STZ -95%, GOOGL TRIPLED to $15.6B, new DAL/GOOG/M. Abel cash $380B</t>
        </is>
      </c>
    </row>
    <row r="4" ht="28" customHeight="1" s="215">
      <c r="J4" s="219" t="inlineStr">
        <is>
          <t>Run: python update_sp500_dashboard.py</t>
        </is>
      </c>
      <c r="M4" s="220" t="inlineStr">
        <is>
          <t>▶  UPDATE DATA</t>
        </is>
      </c>
      <c r="N4" s="221" t="n"/>
      <c r="O4" s="223" t="inlineStr">
        <is>
          <t>BRK: 13F thru Q4 2025 + Q1 26 earnings ($397B cash) | KHC exit REVERSED | BAC sell 7th qtr | $234M buyback | Abel "core four": AAPL AXP KO MCO</t>
        </is>
      </c>
    </row>
    <row r="5" ht="32" customHeight="1" s="215">
      <c r="A5" s="49" t="inlineStr">
        <is>
          <t>#</t>
        </is>
      </c>
      <c r="B5" s="49" t="inlineStr">
        <is>
          <t>Ticker</t>
        </is>
      </c>
      <c r="C5" s="49" t="inlineStr">
        <is>
          <t>Company</t>
        </is>
      </c>
      <c r="D5" s="49" t="inlineStr">
        <is>
          <t>Industry</t>
        </is>
      </c>
      <c r="E5" s="49" t="inlineStr">
        <is>
          <t>Share Price ($)</t>
        </is>
      </c>
      <c r="F5" s="49" t="inlineStr">
        <is>
          <t>1Y Price Change (%)</t>
        </is>
      </c>
      <c r="G5" s="49" t="inlineStr">
        <is>
          <t>Market Cap ($B)</t>
        </is>
      </c>
      <c r="H5" s="49" t="inlineStr">
        <is>
          <t>Revenue Growth (%)</t>
        </is>
      </c>
      <c r="I5" s="49" t="inlineStr">
        <is>
          <t>Gross Margin (%)</t>
        </is>
      </c>
      <c r="J5" s="49" t="inlineStr">
        <is>
          <t>P/E</t>
        </is>
      </c>
      <c r="K5" s="49" t="inlineStr">
        <is>
          <t>FCF ($M)</t>
        </is>
      </c>
      <c r="L5" s="49" t="inlineStr">
        <is>
          <t>Intrinsic Value ($B)</t>
        </is>
      </c>
      <c r="M5" s="49" t="inlineStr">
        <is>
          <t>IV vs MCap Discount (%)</t>
        </is>
      </c>
      <c r="N5" s="49" t="inlineStr">
        <is>
          <t>P/FCF</t>
        </is>
      </c>
      <c r="O5" s="205" t="inlineStr">
        <is>
          <t>BRK?</t>
        </is>
      </c>
      <c r="P5" s="205" t="inlineStr">
        <is>
          <t>BRK Pos ($B)</t>
        </is>
      </c>
      <c r="Q5" s="205" t="inlineStr">
        <is>
          <t>BRK Net Action</t>
        </is>
      </c>
      <c r="R5" s="205" t="inlineStr">
        <is>
          <t>BRK Avg Cost ($)</t>
        </is>
      </c>
      <c r="S5" s="205" t="inlineStr">
        <is>
          <t>Activity Detail (2025-Q1 2026)</t>
        </is>
      </c>
    </row>
    <row r="6" ht="20" customHeight="1" s="215">
      <c r="A6" s="50" t="n">
        <v>1</v>
      </c>
      <c r="B6" s="51" t="inlineStr">
        <is>
          <t>MS</t>
        </is>
      </c>
      <c r="C6" s="52" t="inlineStr">
        <is>
          <t>Morgan Stanley</t>
        </is>
      </c>
      <c r="D6" s="53" t="inlineStr">
        <is>
          <t>Capital Markets</t>
        </is>
      </c>
      <c r="E6" s="288" t="n">
        <v>178.47</v>
      </c>
      <c r="F6" s="289" t="n">
        <v>0.12083149</v>
      </c>
      <c r="G6" s="290" t="n">
        <v>280.298979328</v>
      </c>
      <c r="H6" s="289" t="n">
        <v>0.108</v>
      </c>
      <c r="I6" s="291" t="n">
        <v>0.87307</v>
      </c>
      <c r="J6" s="292" t="n">
        <v>14.153053</v>
      </c>
      <c r="K6" s="293" t="inlineStr">
        <is>
          <t>—</t>
        </is>
      </c>
      <c r="L6" s="307" t="inlineStr">
        <is>
          <t>—</t>
        </is>
      </c>
      <c r="M6" s="308" t="inlineStr">
        <is>
          <t>—</t>
        </is>
      </c>
      <c r="N6" s="293" t="inlineStr">
        <is>
          <t>—</t>
        </is>
      </c>
      <c r="O6" s="206" t="inlineStr">
        <is>
          <t>—</t>
        </is>
      </c>
      <c r="P6" s="206" t="inlineStr">
        <is>
          <t>—</t>
        </is>
      </c>
      <c r="Q6" s="206" t="inlineStr">
        <is>
          <t>—</t>
        </is>
      </c>
      <c r="R6" s="206" t="inlineStr">
        <is>
          <t>—</t>
        </is>
      </c>
      <c r="S6" s="206" t="inlineStr">
        <is>
          <t>—</t>
        </is>
      </c>
    </row>
    <row r="7" ht="20" customHeight="1" s="215">
      <c r="A7" s="54" t="n">
        <v>2</v>
      </c>
      <c r="B7" s="55" t="inlineStr">
        <is>
          <t>SCHW</t>
        </is>
      </c>
      <c r="C7" s="56" t="inlineStr">
        <is>
          <t>Charles Schwab</t>
        </is>
      </c>
      <c r="D7" s="57" t="inlineStr">
        <is>
          <t>Capital Markets</t>
        </is>
      </c>
      <c r="E7" s="294" t="n">
        <v>89.58</v>
      </c>
      <c r="F7" s="300" t="n">
        <v>-0.057945132</v>
      </c>
      <c r="G7" s="295" t="n">
        <v>154.913898496</v>
      </c>
      <c r="H7" s="289" t="n">
        <v>0.169</v>
      </c>
      <c r="I7" s="296" t="n">
        <v>0.97506</v>
      </c>
      <c r="J7" s="297" t="n">
        <v>15.312821</v>
      </c>
      <c r="K7" s="298" t="inlineStr">
        <is>
          <t>—</t>
        </is>
      </c>
      <c r="L7" s="295" t="n">
        <v>58.80066769689545</v>
      </c>
      <c r="M7" s="300" t="n">
        <v>-0.6204300048751679</v>
      </c>
      <c r="N7" s="298" t="inlineStr">
        <is>
          <t>—</t>
        </is>
      </c>
      <c r="O7" s="207" t="inlineStr">
        <is>
          <t>—</t>
        </is>
      </c>
      <c r="P7" s="207" t="inlineStr">
        <is>
          <t>—</t>
        </is>
      </c>
      <c r="Q7" s="207" t="inlineStr">
        <is>
          <t>—</t>
        </is>
      </c>
      <c r="R7" s="207" t="inlineStr">
        <is>
          <t>—</t>
        </is>
      </c>
      <c r="S7" s="207" t="inlineStr">
        <is>
          <t>—</t>
        </is>
      </c>
    </row>
    <row r="8" ht="20" customHeight="1" s="215">
      <c r="A8" s="50" t="n">
        <v>3</v>
      </c>
      <c r="B8" s="51" t="inlineStr">
        <is>
          <t>O</t>
        </is>
      </c>
      <c r="C8" s="52" t="inlineStr">
        <is>
          <t>Realty Income</t>
        </is>
      </c>
      <c r="D8" s="53" t="inlineStr">
        <is>
          <t>REIT - Retail</t>
        </is>
      </c>
      <c r="E8" s="288" t="n">
        <v>55.51</v>
      </c>
      <c r="F8" s="300" t="n">
        <v>-0.07529569</v>
      </c>
      <c r="G8" s="290" t="n">
        <v>52.524560384</v>
      </c>
      <c r="H8" s="289" t="n">
        <v>0.096</v>
      </c>
      <c r="I8" s="291" t="n">
        <v>0.9268</v>
      </c>
      <c r="J8" s="292" t="n">
        <v>40.224636</v>
      </c>
      <c r="K8" s="299" t="n">
        <v>1582.08192</v>
      </c>
      <c r="L8" s="290" t="n">
        <v>6.146374240829541</v>
      </c>
      <c r="M8" s="300" t="n">
        <v>-0.8829809484192875</v>
      </c>
      <c r="N8" s="292" t="n">
        <v>33.19964810155342</v>
      </c>
      <c r="O8" s="206" t="inlineStr">
        <is>
          <t>—</t>
        </is>
      </c>
      <c r="P8" s="206" t="inlineStr">
        <is>
          <t>—</t>
        </is>
      </c>
      <c r="Q8" s="206" t="inlineStr">
        <is>
          <t>—</t>
        </is>
      </c>
      <c r="R8" s="206" t="inlineStr">
        <is>
          <t>—</t>
        </is>
      </c>
      <c r="S8" s="206" t="inlineStr">
        <is>
          <t>—</t>
        </is>
      </c>
    </row>
    <row r="9" ht="20" customHeight="1" s="215">
      <c r="A9" s="54" t="n">
        <v>4</v>
      </c>
      <c r="B9" s="55" t="inlineStr">
        <is>
          <t>PLD</t>
        </is>
      </c>
      <c r="C9" s="56" t="inlineStr">
        <is>
          <t>Prologis</t>
        </is>
      </c>
      <c r="D9" s="57" t="inlineStr">
        <is>
          <t>REIT - Industrial</t>
        </is>
      </c>
      <c r="E9" s="294" t="n">
        <v>124.09</v>
      </c>
      <c r="F9" s="300" t="n">
        <v>-0.015080571</v>
      </c>
      <c r="G9" s="295" t="n">
        <v>120.626814976</v>
      </c>
      <c r="H9" s="289" t="n">
        <v>0.102</v>
      </c>
      <c r="I9" s="296" t="n">
        <v>0.75709</v>
      </c>
      <c r="J9" s="297" t="n">
        <v>27.575554</v>
      </c>
      <c r="K9" s="304" t="inlineStr">
        <is>
          <t>—</t>
        </is>
      </c>
      <c r="L9" s="295" t="n">
        <v>21.71107219110909</v>
      </c>
      <c r="M9" s="300" t="n">
        <v>-0.820014544896765</v>
      </c>
      <c r="N9" s="305" t="inlineStr">
        <is>
          <t>—</t>
        </is>
      </c>
      <c r="O9" s="207" t="inlineStr">
        <is>
          <t>—</t>
        </is>
      </c>
      <c r="P9" s="207" t="inlineStr">
        <is>
          <t>—</t>
        </is>
      </c>
      <c r="Q9" s="207" t="inlineStr">
        <is>
          <t>—</t>
        </is>
      </c>
      <c r="R9" s="207" t="inlineStr">
        <is>
          <t>—</t>
        </is>
      </c>
      <c r="S9" s="207" t="inlineStr">
        <is>
          <t>—</t>
        </is>
      </c>
    </row>
    <row r="10" ht="20" customHeight="1" s="215">
      <c r="A10" s="50" t="n">
        <v>5</v>
      </c>
      <c r="B10" s="51" t="inlineStr">
        <is>
          <t>BAC</t>
        </is>
      </c>
      <c r="C10" s="52" t="inlineStr">
        <is>
          <t>Bank of America</t>
        </is>
      </c>
      <c r="D10" s="53" t="inlineStr">
        <is>
          <t>Banks - Diversified</t>
        </is>
      </c>
      <c r="E10" s="288" t="n">
        <v>50.39</v>
      </c>
      <c r="F10" s="300" t="n">
        <v>-0.021933258</v>
      </c>
      <c r="G10" s="290" t="n">
        <v>352.364593152</v>
      </c>
      <c r="H10" s="289" t="n">
        <v>0.07099999999999999</v>
      </c>
      <c r="I10" s="291" t="n">
        <v>0</v>
      </c>
      <c r="J10" s="292" t="n">
        <v>12.026253</v>
      </c>
      <c r="K10" s="293" t="inlineStr">
        <is>
          <t>—</t>
        </is>
      </c>
      <c r="L10" s="290" t="n">
        <v>146.9884968983041</v>
      </c>
      <c r="M10" s="300" t="n">
        <v>-0.5828511157053243</v>
      </c>
      <c r="N10" s="293" t="inlineStr">
        <is>
          <t>—</t>
        </is>
      </c>
      <c r="O10" s="208" t="inlineStr">
        <is>
          <t>YES</t>
        </is>
      </c>
      <c r="P10" s="209" t="n">
        <v>25.1</v>
      </c>
      <c r="Q10" s="208" t="inlineStr">
        <is>
          <t>Sell</t>
        </is>
      </c>
      <c r="R10" s="209" t="n">
        <v>25.7</v>
      </c>
      <c r="S10" s="210" t="inlineStr">
        <is>
          <t>Sold 48.7M Q1-25 → 26.3M Q2 → 50.8M Q4 → Q1-26: TRIMMED &lt;1% (~4M sh) to 513M. 9.5% of portfolio. $ drop mostly price ($55→$49)</t>
        </is>
      </c>
    </row>
    <row r="11" ht="20" customHeight="1" s="215">
      <c r="A11" s="54" t="n">
        <v>6</v>
      </c>
      <c r="B11" s="55" t="inlineStr">
        <is>
          <t>VRSN</t>
        </is>
      </c>
      <c r="C11" s="56" t="inlineStr">
        <is>
          <t>VeriSign</t>
        </is>
      </c>
      <c r="D11" s="57" t="inlineStr">
        <is>
          <t>Software - Infrastructure</t>
        </is>
      </c>
      <c r="E11" s="294" t="n">
        <v>306.48</v>
      </c>
      <c r="F11" s="289" t="n">
        <v>0.15019143</v>
      </c>
      <c r="G11" s="295" t="n">
        <v>27.705792512</v>
      </c>
      <c r="H11" s="289" t="n">
        <v>0.06</v>
      </c>
      <c r="I11" s="296" t="n">
        <v>0.88465</v>
      </c>
      <c r="J11" s="297" t="n">
        <v>33.276875</v>
      </c>
      <c r="K11" s="301" t="n">
        <v>832.837504</v>
      </c>
      <c r="L11" s="295" t="n">
        <v>7.386249813370706</v>
      </c>
      <c r="M11" s="300" t="n">
        <v>-0.7334041316388421</v>
      </c>
      <c r="N11" s="297" t="n">
        <v>33.26674395297164</v>
      </c>
      <c r="O11" s="211" t="inlineStr">
        <is>
          <t>YES</t>
        </is>
      </c>
      <c r="P11" s="212" t="n">
        <v>3.2</v>
      </c>
      <c r="Q11" s="211" t="inlineStr">
        <is>
          <t>Hold</t>
        </is>
      </c>
      <c r="R11" s="212" t="n">
        <v>27</v>
      </c>
      <c r="S11" s="213" t="inlineStr">
        <is>
          <t>Held Q1-Q2-25 → Trimmed Q3-Q4 → Q1-26: UNCHANGED (NOT exited — Kiplinger/Benzinga not in 16-exit list). ~13.5M sh</t>
        </is>
      </c>
    </row>
    <row r="12" ht="20" customHeight="1" s="215">
      <c r="A12" s="50" t="n">
        <v>7</v>
      </c>
      <c r="B12" s="51" t="inlineStr">
        <is>
          <t>COF</t>
        </is>
      </c>
      <c r="C12" s="52" t="inlineStr">
        <is>
          <t>Capital One Financial</t>
        </is>
      </c>
      <c r="D12" s="53" t="inlineStr">
        <is>
          <t>Credit Services</t>
        </is>
      </c>
      <c r="E12" s="288" t="n">
        <v>199.83</v>
      </c>
      <c r="F12" s="300" t="n">
        <v>-0.07933658</v>
      </c>
      <c r="G12" s="290" t="n">
        <v>122.595713024</v>
      </c>
      <c r="H12" s="289" t="n">
        <v>11.11</v>
      </c>
      <c r="I12" s="291" t="n">
        <v>0</v>
      </c>
      <c r="J12" s="292" t="n">
        <v>12.834297</v>
      </c>
      <c r="K12" s="293" t="inlineStr">
        <is>
          <t>—</t>
        </is>
      </c>
      <c r="L12" s="290" t="n">
        <v>47.67978924514688</v>
      </c>
      <c r="M12" s="300" t="n">
        <v>-0.6110811049664288</v>
      </c>
      <c r="N12" s="293" t="inlineStr">
        <is>
          <t>—</t>
        </is>
      </c>
      <c r="O12" s="208" t="inlineStr">
        <is>
          <t>YES</t>
        </is>
      </c>
      <c r="P12" s="209" t="n">
        <v>2.05</v>
      </c>
      <c r="Q12" s="208" t="inlineStr">
        <is>
          <t>Hold</t>
        </is>
      </c>
      <c r="R12" s="209" t="n">
        <v>95</v>
      </c>
      <c r="S12" s="210" t="inlineStr">
        <is>
          <t>~9.9M sh since 2022. Q1-26: UNCHANGED (NOT exited despite Combs-era origin). Held through Combs departure</t>
        </is>
      </c>
    </row>
    <row r="13" ht="20" customHeight="1" s="215">
      <c r="A13" s="54" t="n">
        <v>8</v>
      </c>
      <c r="B13" s="55" t="inlineStr">
        <is>
          <t>ESS</t>
        </is>
      </c>
      <c r="C13" s="56" t="inlineStr">
        <is>
          <t>Essex Property Trust</t>
        </is>
      </c>
      <c r="D13" s="57" t="inlineStr">
        <is>
          <t>REIT - Residential</t>
        </is>
      </c>
      <c r="E13" s="294" t="n">
        <v>266.65</v>
      </c>
      <c r="F13" s="289" t="n">
        <v>0.017825842</v>
      </c>
      <c r="G13" s="295" t="n">
        <v>18.379167744</v>
      </c>
      <c r="H13" s="289" t="n">
        <v>0.031</v>
      </c>
      <c r="I13" s="296" t="n">
        <v>0.68771005</v>
      </c>
      <c r="J13" s="297" t="n">
        <v>41.469673</v>
      </c>
      <c r="K13" s="301" t="n">
        <v>1043.92672</v>
      </c>
      <c r="L13" s="295" t="n">
        <v>2.006243797307784</v>
      </c>
      <c r="M13" s="300" t="n">
        <v>-0.8908414230038935</v>
      </c>
      <c r="N13" s="297" t="n">
        <v>16.41436355259687</v>
      </c>
      <c r="O13" s="207" t="inlineStr">
        <is>
          <t>—</t>
        </is>
      </c>
      <c r="P13" s="207" t="inlineStr">
        <is>
          <t>—</t>
        </is>
      </c>
      <c r="Q13" s="207" t="inlineStr">
        <is>
          <t>—</t>
        </is>
      </c>
      <c r="R13" s="207" t="inlineStr">
        <is>
          <t>—</t>
        </is>
      </c>
      <c r="S13" s="207" t="inlineStr">
        <is>
          <t>—</t>
        </is>
      </c>
    </row>
    <row r="14" ht="20" customHeight="1" s="215">
      <c r="A14" s="50" t="n">
        <v>9</v>
      </c>
      <c r="B14" s="51" t="inlineStr">
        <is>
          <t>REG</t>
        </is>
      </c>
      <c r="C14" s="52" t="inlineStr">
        <is>
          <t>Regency Centers</t>
        </is>
      </c>
      <c r="D14" s="53" t="inlineStr">
        <is>
          <t>REIT - Retail</t>
        </is>
      </c>
      <c r="E14" s="288" t="n">
        <v>72.41</v>
      </c>
      <c r="F14" s="289" t="n">
        <v>0.0034645796</v>
      </c>
      <c r="G14" s="290" t="n">
        <v>13.537682432</v>
      </c>
      <c r="H14" s="289" t="n">
        <v>0.089</v>
      </c>
      <c r="I14" s="291" t="n">
        <v>0.71539</v>
      </c>
      <c r="J14" s="292" t="n">
        <v>24.380472</v>
      </c>
      <c r="K14" s="299" t="n">
        <v>743.363968</v>
      </c>
      <c r="L14" s="290" t="n">
        <v>2.629481026553033</v>
      </c>
      <c r="M14" s="300" t="n">
        <v>-0.805765791910029</v>
      </c>
      <c r="N14" s="292" t="n">
        <v>17.83750542005017</v>
      </c>
      <c r="O14" s="206" t="inlineStr">
        <is>
          <t>—</t>
        </is>
      </c>
      <c r="P14" s="206" t="inlineStr">
        <is>
          <t>—</t>
        </is>
      </c>
      <c r="Q14" s="206" t="inlineStr">
        <is>
          <t>—</t>
        </is>
      </c>
      <c r="R14" s="206" t="inlineStr">
        <is>
          <t>—</t>
        </is>
      </c>
      <c r="S14" s="206" t="inlineStr">
        <is>
          <t>—</t>
        </is>
      </c>
    </row>
    <row r="15" ht="20" customHeight="1" s="215">
      <c r="A15" s="54" t="n">
        <v>10</v>
      </c>
      <c r="B15" s="55" t="inlineStr">
        <is>
          <t>V</t>
        </is>
      </c>
      <c r="C15" s="56" t="inlineStr">
        <is>
          <t>Visa</t>
        </is>
      </c>
      <c r="D15" s="57" t="inlineStr">
        <is>
          <t>Credit Services</t>
        </is>
      </c>
      <c r="E15" s="294" t="n">
        <v>402.92</v>
      </c>
      <c r="F15" s="289" t="n">
        <v>0.16045046</v>
      </c>
      <c r="G15" s="295" t="n">
        <v>756.4239831039999</v>
      </c>
      <c r="H15" s="289" t="n">
        <v>0.144</v>
      </c>
      <c r="I15" s="296" t="n">
        <v>0.97725</v>
      </c>
      <c r="J15" s="297" t="n">
        <v>34.291065</v>
      </c>
      <c r="K15" s="301" t="n">
        <v>20404.000768</v>
      </c>
      <c r="L15" s="295" t="n">
        <v>52.81722623501865</v>
      </c>
      <c r="M15" s="300" t="n">
        <v>-0.9301751036260349</v>
      </c>
      <c r="N15" s="297" t="n">
        <v>33.65129684484827</v>
      </c>
      <c r="O15" s="211" t="inlineStr">
        <is>
          <t>SOLD</t>
        </is>
      </c>
      <c r="P15" s="212" t="inlineStr">
        <is>
          <t>—</t>
        </is>
      </c>
      <c r="Q15" s="211" t="inlineStr">
        <is>
          <t>Sold</t>
        </is>
      </c>
      <c r="R15" s="212" t="n">
        <v>130</v>
      </c>
      <c r="S15" s="213" t="inlineStr">
        <is>
          <t>Held unchanged 2025 → Q1-26: ABEL FULLY EXITED. Combs-era position (since 2011). Symbolic: "no longer a fan of payments processors" (Kiplinger)</t>
        </is>
      </c>
    </row>
    <row r="16" ht="20" customHeight="1" s="215">
      <c r="A16" s="50" t="n">
        <v>11</v>
      </c>
      <c r="B16" s="51" t="inlineStr">
        <is>
          <t>EXR</t>
        </is>
      </c>
      <c r="C16" s="52" t="inlineStr">
        <is>
          <t>Extra Space Storage</t>
        </is>
      </c>
      <c r="D16" s="53" t="inlineStr">
        <is>
          <t>REIT - Industrial</t>
        </is>
      </c>
      <c r="E16" s="288" t="n">
        <v>138.18</v>
      </c>
      <c r="F16" s="300" t="n">
        <v>-0.08216542</v>
      </c>
      <c r="G16" s="290" t="n">
        <v>30.49667584</v>
      </c>
      <c r="H16" s="289" t="n">
        <v>0.038</v>
      </c>
      <c r="I16" s="291" t="n">
        <v>0.74919</v>
      </c>
      <c r="J16" s="292" t="n">
        <v>30.503307</v>
      </c>
      <c r="K16" s="299" t="n">
        <v>1499.437568</v>
      </c>
      <c r="L16" s="290" t="n">
        <v>4.643654363140464</v>
      </c>
      <c r="M16" s="300" t="n">
        <v>-0.8477324418076491</v>
      </c>
      <c r="N16" s="292" t="n">
        <v>19.46945184478665</v>
      </c>
      <c r="O16" s="206" t="inlineStr">
        <is>
          <t>—</t>
        </is>
      </c>
      <c r="P16" s="206" t="inlineStr">
        <is>
          <t>—</t>
        </is>
      </c>
      <c r="Q16" s="206" t="inlineStr">
        <is>
          <t>—</t>
        </is>
      </c>
      <c r="R16" s="206" t="inlineStr">
        <is>
          <t>—</t>
        </is>
      </c>
      <c r="S16" s="206" t="inlineStr">
        <is>
          <t>—</t>
        </is>
      </c>
    </row>
    <row r="17" ht="20" customHeight="1" s="215">
      <c r="A17" s="54" t="n">
        <v>12</v>
      </c>
      <c r="B17" s="55" t="inlineStr">
        <is>
          <t>GS</t>
        </is>
      </c>
      <c r="C17" s="56" t="inlineStr">
        <is>
          <t>Goldman Sachs Group</t>
        </is>
      </c>
      <c r="D17" s="57" t="inlineStr">
        <is>
          <t>Capital Markets</t>
        </is>
      </c>
      <c r="E17" s="294" t="n">
        <v>875.78</v>
      </c>
      <c r="F17" s="289" t="n">
        <v>0.15389073</v>
      </c>
      <c r="G17" s="295" t="n">
        <v>255.002083328</v>
      </c>
      <c r="H17" s="289" t="n">
        <v>0.233</v>
      </c>
      <c r="I17" s="296" t="n">
        <v>0.81287</v>
      </c>
      <c r="J17" s="297" t="n">
        <v>12.592092</v>
      </c>
      <c r="K17" s="298" t="inlineStr">
        <is>
          <t>—</t>
        </is>
      </c>
      <c r="L17" s="295" t="n">
        <v>103.3588943774418</v>
      </c>
      <c r="M17" s="300" t="n">
        <v>-0.5946743139172909</v>
      </c>
      <c r="N17" s="298" t="inlineStr">
        <is>
          <t>—</t>
        </is>
      </c>
      <c r="O17" s="207" t="inlineStr">
        <is>
          <t>—</t>
        </is>
      </c>
      <c r="P17" s="207" t="inlineStr">
        <is>
          <t>—</t>
        </is>
      </c>
      <c r="Q17" s="207" t="inlineStr">
        <is>
          <t>—</t>
        </is>
      </c>
      <c r="R17" s="207" t="inlineStr">
        <is>
          <t>—</t>
        </is>
      </c>
      <c r="S17" s="207" t="inlineStr">
        <is>
          <t>—</t>
        </is>
      </c>
    </row>
    <row r="18" ht="20" customHeight="1" s="215">
      <c r="A18" s="50" t="n">
        <v>13</v>
      </c>
      <c r="B18" s="51" t="inlineStr">
        <is>
          <t>SYF</t>
        </is>
      </c>
      <c r="C18" s="52" t="inlineStr">
        <is>
          <t>Synchrony Finl</t>
        </is>
      </c>
      <c r="D18" s="53" t="inlineStr">
        <is>
          <t>Credit Services</t>
        </is>
      </c>
      <c r="E18" s="288" t="n">
        <v>74.23999999999999</v>
      </c>
      <c r="F18" s="289" t="n">
        <v>0.003243208</v>
      </c>
      <c r="G18" s="290" t="n">
        <v>24.155531264</v>
      </c>
      <c r="H18" s="289" t="n">
        <v>0.006</v>
      </c>
      <c r="I18" s="291" t="n">
        <v>0</v>
      </c>
      <c r="J18" s="292" t="n">
        <v>7.598771</v>
      </c>
      <c r="K18" s="293" t="inlineStr">
        <is>
          <t>—</t>
        </is>
      </c>
      <c r="L18" s="290" t="n">
        <v>17.08695980469648</v>
      </c>
      <c r="M18" s="300" t="n">
        <v>-0.292627447604024</v>
      </c>
      <c r="N18" s="293" t="inlineStr">
        <is>
          <t>—</t>
        </is>
      </c>
      <c r="O18" s="206" t="inlineStr">
        <is>
          <t>—</t>
        </is>
      </c>
      <c r="P18" s="206" t="inlineStr">
        <is>
          <t>—</t>
        </is>
      </c>
      <c r="Q18" s="206" t="inlineStr">
        <is>
          <t>—</t>
        </is>
      </c>
      <c r="R18" s="206" t="inlineStr">
        <is>
          <t>—</t>
        </is>
      </c>
      <c r="S18" s="206" t="inlineStr">
        <is>
          <t>—</t>
        </is>
      </c>
    </row>
    <row r="19" ht="20" customHeight="1" s="215">
      <c r="A19" s="50" t="n">
        <v>14</v>
      </c>
      <c r="B19" s="51" t="inlineStr">
        <is>
          <t>SPG</t>
        </is>
      </c>
      <c r="C19" s="52" t="inlineStr">
        <is>
          <t>Simon Property Group</t>
        </is>
      </c>
      <c r="D19" s="53" t="inlineStr">
        <is>
          <t>REIT - Retail</t>
        </is>
      </c>
      <c r="E19" s="294" t="n">
        <v>202.49</v>
      </c>
      <c r="F19" s="289" t="n">
        <v>0.13300133</v>
      </c>
      <c r="G19" s="295" t="n">
        <v>76.86995967999999</v>
      </c>
      <c r="H19" s="289" t="n">
        <v>0.195</v>
      </c>
      <c r="I19" s="296" t="n">
        <v>0.81426</v>
      </c>
      <c r="J19" s="297" t="n">
        <v>14.29005</v>
      </c>
      <c r="K19" s="301" t="n">
        <v>2595.271168</v>
      </c>
      <c r="L19" s="295" t="n">
        <v>6.352417017973859</v>
      </c>
      <c r="M19" s="300" t="n">
        <v>-0.9173615148958295</v>
      </c>
      <c r="N19" s="297" t="n">
        <v>25.24435484051507</v>
      </c>
      <c r="O19" s="207" t="inlineStr">
        <is>
          <t>—</t>
        </is>
      </c>
      <c r="P19" s="207" t="inlineStr">
        <is>
          <t>—</t>
        </is>
      </c>
      <c r="Q19" s="207" t="inlineStr">
        <is>
          <t>—</t>
        </is>
      </c>
      <c r="R19" s="207" t="inlineStr">
        <is>
          <t>—</t>
        </is>
      </c>
      <c r="S19" s="207" t="inlineStr">
        <is>
          <t>—</t>
        </is>
      </c>
    </row>
    <row r="20" ht="20" customHeight="1" s="215">
      <c r="A20" s="54" t="n">
        <v>15</v>
      </c>
      <c r="B20" s="55" t="inlineStr">
        <is>
          <t>AVB</t>
        </is>
      </c>
      <c r="C20" s="56" t="inlineStr">
        <is>
          <t>AvalonBay Communities</t>
        </is>
      </c>
      <c r="D20" s="57" t="inlineStr">
        <is>
          <t>REIT - Residential</t>
        </is>
      </c>
      <c r="E20" s="288" t="n">
        <v>184.06</v>
      </c>
      <c r="F20" s="300" t="n">
        <v>-0.008827567</v>
      </c>
      <c r="G20" s="290" t="n">
        <v>26.283393024</v>
      </c>
      <c r="H20" s="289" t="n">
        <v>0.023</v>
      </c>
      <c r="I20" s="291" t="n">
        <v>0.62721</v>
      </c>
      <c r="J20" s="292" t="n">
        <v>25.248285</v>
      </c>
      <c r="K20" s="299" t="n">
        <v>1409.144064</v>
      </c>
      <c r="L20" s="290" t="n">
        <v>5.027458158517021</v>
      </c>
      <c r="M20" s="300" t="n">
        <v>-0.8087211132167629</v>
      </c>
      <c r="N20" s="292" t="n">
        <v>18.65202695824577</v>
      </c>
      <c r="O20" s="206" t="inlineStr">
        <is>
          <t>—</t>
        </is>
      </c>
      <c r="P20" s="206" t="inlineStr">
        <is>
          <t>—</t>
        </is>
      </c>
      <c r="Q20" s="206" t="inlineStr">
        <is>
          <t>—</t>
        </is>
      </c>
      <c r="R20" s="206" t="inlineStr">
        <is>
          <t>—</t>
        </is>
      </c>
      <c r="S20" s="206" t="inlineStr">
        <is>
          <t>—</t>
        </is>
      </c>
    </row>
    <row r="21" ht="20" customHeight="1" s="215">
      <c r="A21" s="50" t="n">
        <v>16</v>
      </c>
      <c r="B21" s="51" t="inlineStr">
        <is>
          <t>PSA</t>
        </is>
      </c>
      <c r="C21" s="52" t="inlineStr">
        <is>
          <t>Public Storage</t>
        </is>
      </c>
      <c r="D21" s="53" t="inlineStr">
        <is>
          <t>REIT - Industrial</t>
        </is>
      </c>
      <c r="E21" s="294" t="n">
        <v>295.69</v>
      </c>
      <c r="F21" s="300" t="n">
        <v>-0.04080838</v>
      </c>
      <c r="G21" s="295" t="n">
        <v>55.250354176</v>
      </c>
      <c r="H21" s="289" t="n">
        <v>0.033</v>
      </c>
      <c r="I21" s="296" t="n">
        <v>0.7442</v>
      </c>
      <c r="J21" s="297" t="n">
        <v>28.241642</v>
      </c>
      <c r="K21" s="301" t="n">
        <v>2334.240256</v>
      </c>
      <c r="L21" s="295" t="n">
        <v>5.688992965968466</v>
      </c>
      <c r="M21" s="300" t="n">
        <v>-0.8970324615866501</v>
      </c>
      <c r="N21" s="297" t="n">
        <v>23.66952372041946</v>
      </c>
      <c r="O21" s="207" t="inlineStr">
        <is>
          <t>—</t>
        </is>
      </c>
      <c r="P21" s="207" t="inlineStr">
        <is>
          <t>—</t>
        </is>
      </c>
      <c r="Q21" s="207" t="inlineStr">
        <is>
          <t>—</t>
        </is>
      </c>
      <c r="R21" s="207" t="inlineStr">
        <is>
          <t>—</t>
        </is>
      </c>
      <c r="S21" s="207" t="inlineStr">
        <is>
          <t>—</t>
        </is>
      </c>
    </row>
    <row r="22" ht="20" customHeight="1" s="215">
      <c r="A22" s="54" t="n">
        <v>17</v>
      </c>
      <c r="B22" s="55" t="inlineStr">
        <is>
          <t>KIM</t>
        </is>
      </c>
      <c r="C22" s="56" t="inlineStr">
        <is>
          <t>Kimco Realty</t>
        </is>
      </c>
      <c r="D22" s="57" t="inlineStr">
        <is>
          <t>REIT - Retail</t>
        </is>
      </c>
      <c r="E22" s="288" t="n">
        <v>22.69</v>
      </c>
      <c r="F22" s="289" t="n">
        <v>0.021611929</v>
      </c>
      <c r="G22" s="290" t="n">
        <v>15.220211712</v>
      </c>
      <c r="H22" s="289" t="n">
        <v>0.049</v>
      </c>
      <c r="I22" s="291" t="n">
        <v>0.68933</v>
      </c>
      <c r="J22" s="292" t="n">
        <v>26.694117</v>
      </c>
      <c r="K22" s="299" t="n">
        <v>871.483392</v>
      </c>
      <c r="L22" s="290" t="n">
        <v>2.874425928568622</v>
      </c>
      <c r="M22" s="300" t="n">
        <v>-0.8111441560105007</v>
      </c>
      <c r="N22" s="292" t="n">
        <v>17.46471707101677</v>
      </c>
      <c r="O22" s="206" t="inlineStr">
        <is>
          <t>—</t>
        </is>
      </c>
      <c r="P22" s="206" t="inlineStr">
        <is>
          <t>—</t>
        </is>
      </c>
      <c r="Q22" s="206" t="inlineStr">
        <is>
          <t>—</t>
        </is>
      </c>
      <c r="R22" s="206" t="inlineStr">
        <is>
          <t>—</t>
        </is>
      </c>
      <c r="S22" s="206" t="inlineStr">
        <is>
          <t>—</t>
        </is>
      </c>
    </row>
    <row r="23" ht="20" customHeight="1" s="215">
      <c r="A23" s="50" t="n">
        <v>18</v>
      </c>
      <c r="B23" s="51" t="inlineStr">
        <is>
          <t>CME</t>
        </is>
      </c>
      <c r="C23" s="52" t="inlineStr">
        <is>
          <t>CME Group</t>
        </is>
      </c>
      <c r="D23" s="53" t="inlineStr">
        <is>
          <t>Financial Data &amp; Stock Exchanges</t>
        </is>
      </c>
      <c r="E23" s="294" t="n">
        <v>293.53</v>
      </c>
      <c r="F23" s="289" t="n">
        <v>0.092773914</v>
      </c>
      <c r="G23" s="295" t="n">
        <v>105.547300864</v>
      </c>
      <c r="H23" s="289" t="n">
        <v>0.008</v>
      </c>
      <c r="I23" s="296" t="n">
        <v>1</v>
      </c>
      <c r="J23" s="297" t="n">
        <v>24.896523</v>
      </c>
      <c r="K23" s="301" t="n">
        <v>2909.01248</v>
      </c>
      <c r="L23" s="295" t="n">
        <v>22.39819613929609</v>
      </c>
      <c r="M23" s="300" t="n">
        <v>-0.7877899675695482</v>
      </c>
      <c r="N23" s="297" t="n">
        <v>36.28254629256524</v>
      </c>
      <c r="O23" s="207" t="inlineStr">
        <is>
          <t>—</t>
        </is>
      </c>
      <c r="P23" s="207" t="inlineStr">
        <is>
          <t>—</t>
        </is>
      </c>
      <c r="Q23" s="207" t="inlineStr">
        <is>
          <t>—</t>
        </is>
      </c>
      <c r="R23" s="207" t="inlineStr">
        <is>
          <t>—</t>
        </is>
      </c>
      <c r="S23" s="207" t="inlineStr">
        <is>
          <t>—</t>
        </is>
      </c>
    </row>
    <row r="24" ht="20" customHeight="1" s="215">
      <c r="A24" s="54" t="n">
        <v>19</v>
      </c>
      <c r="B24" s="55" t="inlineStr">
        <is>
          <t>MAA</t>
        </is>
      </c>
      <c r="C24" s="56" t="inlineStr">
        <is>
          <t>Mid-America Apartment</t>
        </is>
      </c>
      <c r="D24" s="57" t="inlineStr">
        <is>
          <t>REIT - Residential</t>
        </is>
      </c>
      <c r="E24" s="288" t="n">
        <v>115.8</v>
      </c>
      <c r="F24" s="300" t="n">
        <v>-0.13193405</v>
      </c>
      <c r="G24" s="290" t="n">
        <v>13.81802496</v>
      </c>
      <c r="H24" s="289" t="n">
        <v>0.01</v>
      </c>
      <c r="I24" s="291" t="n">
        <v>0.58392</v>
      </c>
      <c r="J24" s="292" t="n">
        <v>33.85965</v>
      </c>
      <c r="K24" s="299" t="n">
        <v>921.182272</v>
      </c>
      <c r="L24" s="290" t="n">
        <v>1.878897854689284</v>
      </c>
      <c r="M24" s="300" t="n">
        <v>-0.8640255854126577</v>
      </c>
      <c r="N24" s="292" t="n">
        <v>14.63050308419309</v>
      </c>
      <c r="O24" s="206" t="inlineStr">
        <is>
          <t>—</t>
        </is>
      </c>
      <c r="P24" s="206" t="inlineStr">
        <is>
          <t>—</t>
        </is>
      </c>
      <c r="Q24" s="206" t="inlineStr">
        <is>
          <t>—</t>
        </is>
      </c>
      <c r="R24" s="206" t="inlineStr">
        <is>
          <t>—</t>
        </is>
      </c>
      <c r="S24" s="206" t="inlineStr">
        <is>
          <t>—</t>
        </is>
      </c>
    </row>
    <row r="25" ht="20" customHeight="1" s="215">
      <c r="A25" s="50" t="n">
        <v>20</v>
      </c>
      <c r="B25" s="51" t="inlineStr">
        <is>
          <t>STT</t>
        </is>
      </c>
      <c r="C25" s="52" t="inlineStr">
        <is>
          <t>State Street</t>
        </is>
      </c>
      <c r="D25" s="53" t="inlineStr">
        <is>
          <t>Asset Management</t>
        </is>
      </c>
      <c r="E25" s="294" t="n">
        <v>165.43</v>
      </c>
      <c r="F25" s="289" t="n">
        <v>0.44657218</v>
      </c>
      <c r="G25" s="295" t="n">
        <v>45.44391168</v>
      </c>
      <c r="H25" s="289" t="n">
        <v>0.133</v>
      </c>
      <c r="I25" s="296" t="n">
        <v>0</v>
      </c>
      <c r="J25" s="297" t="n">
        <v>13.515523</v>
      </c>
      <c r="K25" s="298" t="inlineStr">
        <is>
          <t>—</t>
        </is>
      </c>
      <c r="L25" s="295" t="n">
        <v>17.1459550978456</v>
      </c>
      <c r="M25" s="300" t="n">
        <v>-0.6227007213071495</v>
      </c>
      <c r="N25" s="298" t="inlineStr">
        <is>
          <t>—</t>
        </is>
      </c>
      <c r="O25" s="207" t="inlineStr">
        <is>
          <t>—</t>
        </is>
      </c>
      <c r="P25" s="207" t="inlineStr">
        <is>
          <t>—</t>
        </is>
      </c>
      <c r="Q25" s="207" t="inlineStr">
        <is>
          <t>—</t>
        </is>
      </c>
      <c r="R25" s="207" t="inlineStr">
        <is>
          <t>—</t>
        </is>
      </c>
      <c r="S25" s="207" t="inlineStr">
        <is>
          <t>—</t>
        </is>
      </c>
    </row>
    <row r="26" ht="20" customHeight="1" s="215">
      <c r="A26" s="54" t="n">
        <v>21</v>
      </c>
      <c r="B26" s="55" t="inlineStr">
        <is>
          <t>DLR</t>
        </is>
      </c>
      <c r="C26" s="56" t="inlineStr">
        <is>
          <t>Digital Realty Trust</t>
        </is>
      </c>
      <c r="D26" s="57" t="inlineStr">
        <is>
          <t>REIT - Office</t>
        </is>
      </c>
      <c r="E26" s="288" t="n">
        <v>173</v>
      </c>
      <c r="F26" s="289" t="n">
        <v>0.007982253999999999</v>
      </c>
      <c r="G26" s="290" t="n">
        <v>65.33582028799999</v>
      </c>
      <c r="H26" s="289" t="n">
        <v>0.299</v>
      </c>
      <c r="I26" s="291" t="n">
        <v>0.56994</v>
      </c>
      <c r="J26" s="292" t="n">
        <v>83.98058</v>
      </c>
      <c r="K26" s="299" t="n">
        <v>3768.482048</v>
      </c>
      <c r="L26" s="290" t="n">
        <v>3.811699252091184</v>
      </c>
      <c r="M26" s="300" t="n">
        <v>-0.9416598852621849</v>
      </c>
      <c r="N26" s="292" t="n">
        <v>17.03146756531929</v>
      </c>
      <c r="O26" s="206" t="inlineStr">
        <is>
          <t>—</t>
        </is>
      </c>
      <c r="P26" s="206" t="inlineStr">
        <is>
          <t>—</t>
        </is>
      </c>
      <c r="Q26" s="206" t="inlineStr">
        <is>
          <t>—</t>
        </is>
      </c>
      <c r="R26" s="206" t="inlineStr">
        <is>
          <t>—</t>
        </is>
      </c>
      <c r="S26" s="206" t="inlineStr">
        <is>
          <t>—</t>
        </is>
      </c>
    </row>
    <row r="27" ht="20" customHeight="1" s="215">
      <c r="A27" s="50" t="n">
        <v>22</v>
      </c>
      <c r="B27" s="51" t="inlineStr">
        <is>
          <t>EQR</t>
        </is>
      </c>
      <c r="C27" s="52" t="inlineStr">
        <is>
          <t>Equity Residential</t>
        </is>
      </c>
      <c r="D27" s="53" t="inlineStr">
        <is>
          <t>REIT - Residential</t>
        </is>
      </c>
      <c r="E27" s="294" t="n">
        <v>63.66</v>
      </c>
      <c r="F27" s="300" t="n">
        <v>-0.012717128</v>
      </c>
      <c r="G27" s="295" t="n">
        <v>24.609972224</v>
      </c>
      <c r="H27" s="289" t="n">
        <v>0.021</v>
      </c>
      <c r="I27" s="296" t="n">
        <v>0.62336</v>
      </c>
      <c r="J27" s="297" t="n">
        <v>28.675674</v>
      </c>
      <c r="K27" s="301" t="n">
        <v>1423.153408</v>
      </c>
      <c r="L27" s="295" t="n">
        <v>4.11840995076882</v>
      </c>
      <c r="M27" s="300" t="n">
        <v>-0.8326527997153736</v>
      </c>
      <c r="N27" s="297" t="n">
        <v>16.77082131356565</v>
      </c>
      <c r="O27" s="207" t="inlineStr">
        <is>
          <t>—</t>
        </is>
      </c>
      <c r="P27" s="207" t="inlineStr">
        <is>
          <t>—</t>
        </is>
      </c>
      <c r="Q27" s="207" t="inlineStr">
        <is>
          <t>—</t>
        </is>
      </c>
      <c r="R27" s="207" t="inlineStr">
        <is>
          <t>—</t>
        </is>
      </c>
      <c r="S27" s="207" t="inlineStr">
        <is>
          <t>—</t>
        </is>
      </c>
    </row>
    <row r="28" ht="20" customHeight="1" s="215">
      <c r="A28" s="54" t="n">
        <v>23</v>
      </c>
      <c r="B28" s="55" t="inlineStr">
        <is>
          <t>KEY</t>
        </is>
      </c>
      <c r="C28" s="56" t="inlineStr">
        <is>
          <t>KeyCorp</t>
        </is>
      </c>
      <c r="D28" s="57" t="inlineStr">
        <is>
          <t>Banks - Regional</t>
        </is>
      </c>
      <c r="E28" s="288" t="n">
        <v>19.92</v>
      </c>
      <c r="F28" s="289" t="n">
        <v>0.13568985</v>
      </c>
      <c r="G28" s="290" t="n">
        <v>21.257201664</v>
      </c>
      <c r="H28" s="289" t="n">
        <v>0.101</v>
      </c>
      <c r="I28" s="291" t="n">
        <v>0</v>
      </c>
      <c r="J28" s="292" t="n">
        <v>11.581395</v>
      </c>
      <c r="K28" s="293" t="inlineStr">
        <is>
          <t>—</t>
        </is>
      </c>
      <c r="L28" s="290" t="n">
        <v>8.859944000175178</v>
      </c>
      <c r="M28" s="300" t="n">
        <v>-0.5832027121810732</v>
      </c>
      <c r="N28" s="293" t="inlineStr">
        <is>
          <t>—</t>
        </is>
      </c>
      <c r="O28" s="206" t="inlineStr">
        <is>
          <t>—</t>
        </is>
      </c>
      <c r="P28" s="206" t="inlineStr">
        <is>
          <t>—</t>
        </is>
      </c>
      <c r="Q28" s="206" t="inlineStr">
        <is>
          <t>—</t>
        </is>
      </c>
      <c r="R28" s="206" t="inlineStr">
        <is>
          <t>—</t>
        </is>
      </c>
      <c r="S28" s="206" t="inlineStr">
        <is>
          <t>—</t>
        </is>
      </c>
    </row>
    <row r="29" ht="20" customHeight="1" s="215">
      <c r="A29" s="50" t="n">
        <v>24</v>
      </c>
      <c r="B29" s="51" t="inlineStr">
        <is>
          <t>MKTX</t>
        </is>
      </c>
      <c r="C29" s="52" t="inlineStr">
        <is>
          <t>MarketAxess Holdings</t>
        </is>
      </c>
      <c r="D29" s="53" t="inlineStr">
        <is>
          <t>Capital Markets</t>
        </is>
      </c>
      <c r="E29" s="294" t="n">
        <v>164.53</v>
      </c>
      <c r="F29" s="300" t="n">
        <v>-0.048574567</v>
      </c>
      <c r="G29" s="295" t="n">
        <v>5.790994432</v>
      </c>
      <c r="H29" s="300" t="n">
        <v>-0.005</v>
      </c>
      <c r="I29" s="296" t="n">
        <v>0.61662996</v>
      </c>
      <c r="J29" s="297" t="n">
        <v>19.44799</v>
      </c>
      <c r="K29" s="301" t="n">
        <v>-457.790016</v>
      </c>
      <c r="L29" s="295" t="n">
        <v>1.557105802728801</v>
      </c>
      <c r="M29" s="300" t="n">
        <v>-0.7311159903514132</v>
      </c>
      <c r="N29" s="297" t="n">
        <v>-12.6498932261773</v>
      </c>
      <c r="O29" s="207" t="inlineStr">
        <is>
          <t>—</t>
        </is>
      </c>
      <c r="P29" s="207" t="inlineStr">
        <is>
          <t>—</t>
        </is>
      </c>
      <c r="Q29" s="207" t="inlineStr">
        <is>
          <t>—</t>
        </is>
      </c>
      <c r="R29" s="207" t="inlineStr">
        <is>
          <t>—</t>
        </is>
      </c>
      <c r="S29" s="207" t="inlineStr">
        <is>
          <t>—</t>
        </is>
      </c>
    </row>
    <row r="30" ht="20" customHeight="1" s="215">
      <c r="A30" s="54" t="n">
        <v>25</v>
      </c>
      <c r="B30" s="55" t="inlineStr">
        <is>
          <t>ARE</t>
        </is>
      </c>
      <c r="C30" s="56" t="inlineStr">
        <is>
          <t>Alexandria Real Estate</t>
        </is>
      </c>
      <c r="D30" s="57" t="inlineStr">
        <is>
          <t>REIT - Office</t>
        </is>
      </c>
      <c r="E30" s="288" t="n">
        <v>40.63</v>
      </c>
      <c r="F30" s="300" t="n">
        <v>-0.47089463</v>
      </c>
      <c r="G30" s="290" t="n">
        <v>6.992231424</v>
      </c>
      <c r="H30" s="300" t="n">
        <v>-0.119</v>
      </c>
      <c r="I30" s="291" t="n">
        <v>0.6819899699999999</v>
      </c>
      <c r="J30" s="292" t="n">
        <v>-50.160496</v>
      </c>
      <c r="K30" s="299" t="n">
        <v>1344.973952</v>
      </c>
      <c r="L30" s="290" t="n">
        <v>2.069548274710092</v>
      </c>
      <c r="M30" s="300" t="n">
        <v>-0.7040217708460543</v>
      </c>
      <c r="N30" s="292" t="n">
        <v>5.198785518568913</v>
      </c>
      <c r="O30" s="206" t="inlineStr">
        <is>
          <t>—</t>
        </is>
      </c>
      <c r="P30" s="206" t="inlineStr">
        <is>
          <t>—</t>
        </is>
      </c>
      <c r="Q30" s="206" t="inlineStr">
        <is>
          <t>—</t>
        </is>
      </c>
      <c r="R30" s="206" t="inlineStr">
        <is>
          <t>—</t>
        </is>
      </c>
      <c r="S30" s="206" t="inlineStr">
        <is>
          <t>—</t>
        </is>
      </c>
    </row>
    <row r="31" ht="20" customHeight="1" s="215">
      <c r="A31" s="50" t="n">
        <v>26</v>
      </c>
      <c r="B31" s="51" t="inlineStr">
        <is>
          <t>BIIB</t>
        </is>
      </c>
      <c r="C31" s="52" t="inlineStr">
        <is>
          <t>Biogen</t>
        </is>
      </c>
      <c r="D31" s="53" t="inlineStr">
        <is>
          <t>Drug Manufacturers - General</t>
        </is>
      </c>
      <c r="E31" s="294" t="n">
        <v>233.48</v>
      </c>
      <c r="F31" s="289" t="n">
        <v>0.59677196</v>
      </c>
      <c r="G31" s="295" t="n">
        <v>34.497601536</v>
      </c>
      <c r="H31" s="289" t="n">
        <v>0.034</v>
      </c>
      <c r="I31" s="296" t="n">
        <v>0.78322</v>
      </c>
      <c r="J31" s="297" t="n">
        <v>41.47069</v>
      </c>
      <c r="K31" s="301" t="n">
        <v>1266.98752</v>
      </c>
      <c r="L31" s="295" t="n">
        <v>11.54148521858589</v>
      </c>
      <c r="M31" s="300" t="n">
        <v>-0.6654409377839858</v>
      </c>
      <c r="N31" s="297" t="n">
        <v>27.2280530853532</v>
      </c>
      <c r="O31" s="207" t="inlineStr">
        <is>
          <t>—</t>
        </is>
      </c>
      <c r="P31" s="207" t="inlineStr">
        <is>
          <t>—</t>
        </is>
      </c>
      <c r="Q31" s="207" t="inlineStr">
        <is>
          <t>—</t>
        </is>
      </c>
      <c r="R31" s="207" t="inlineStr">
        <is>
          <t>—</t>
        </is>
      </c>
      <c r="S31" s="207" t="inlineStr">
        <is>
          <t>—</t>
        </is>
      </c>
    </row>
    <row r="32" ht="20" customHeight="1" s="215">
      <c r="A32" s="54" t="n">
        <v>27</v>
      </c>
      <c r="B32" s="55" t="inlineStr">
        <is>
          <t>MA</t>
        </is>
      </c>
      <c r="C32" s="56" t="inlineStr">
        <is>
          <t>Mastercard</t>
        </is>
      </c>
      <c r="D32" s="57" t="inlineStr">
        <is>
          <t>Credit Services</t>
        </is>
      </c>
      <c r="E32" s="288" t="n">
        <v>616.4</v>
      </c>
      <c r="F32" s="289" t="n">
        <v>0.07756591</v>
      </c>
      <c r="G32" s="290" t="n">
        <v>539.972534272</v>
      </c>
      <c r="H32" s="289" t="n">
        <v>0.141</v>
      </c>
      <c r="I32" s="291" t="n">
        <v>1</v>
      </c>
      <c r="J32" s="292" t="n">
        <v>33.90539</v>
      </c>
      <c r="K32" s="299" t="n">
        <v>16961.250304</v>
      </c>
      <c r="L32" s="290" t="n">
        <v>9.13409439764445</v>
      </c>
      <c r="M32" s="300" t="n">
        <v>-0.9830841499930005</v>
      </c>
      <c r="N32" s="292" t="n">
        <v>31.5977696738317</v>
      </c>
      <c r="O32" s="208" t="inlineStr">
        <is>
          <t>SOLD</t>
        </is>
      </c>
      <c r="P32" s="208" t="inlineStr">
        <is>
          <t>—</t>
        </is>
      </c>
      <c r="Q32" s="208" t="inlineStr">
        <is>
          <t>Sold</t>
        </is>
      </c>
      <c r="R32" s="209" t="n">
        <v>90</v>
      </c>
      <c r="S32" s="210" t="inlineStr">
        <is>
          <t>Held since 2011 → Q1-26: ABEL FULLY EXITED with V. Combs-era payments exposure ended entirely</t>
        </is>
      </c>
    </row>
    <row r="33" ht="20" customHeight="1" s="215">
      <c r="A33" s="50" t="n">
        <v>28</v>
      </c>
      <c r="B33" s="51" t="inlineStr">
        <is>
          <t>RF</t>
        </is>
      </c>
      <c r="C33" s="52" t="inlineStr">
        <is>
          <t>Regions Financial</t>
        </is>
      </c>
      <c r="D33" s="53" t="inlineStr">
        <is>
          <t>Banks - Regional</t>
        </is>
      </c>
      <c r="E33" s="294" t="n">
        <v>27.2</v>
      </c>
      <c r="F33" s="289" t="n">
        <v>0.11658454</v>
      </c>
      <c r="G33" s="295" t="n">
        <v>23.172483072</v>
      </c>
      <c r="H33" s="289" t="n">
        <v>0.052</v>
      </c>
      <c r="I33" s="296" t="n">
        <v>0</v>
      </c>
      <c r="J33" s="297" t="n">
        <v>11.102041</v>
      </c>
      <c r="K33" s="298" t="inlineStr">
        <is>
          <t>—</t>
        </is>
      </c>
      <c r="L33" s="295" t="n">
        <v>10.27006381314328</v>
      </c>
      <c r="M33" s="300" t="n">
        <v>-0.5567991664409542</v>
      </c>
      <c r="N33" s="298" t="inlineStr">
        <is>
          <t>—</t>
        </is>
      </c>
      <c r="O33" s="207" t="inlineStr">
        <is>
          <t>—</t>
        </is>
      </c>
      <c r="P33" s="207" t="inlineStr">
        <is>
          <t>—</t>
        </is>
      </c>
      <c r="Q33" s="207" t="inlineStr">
        <is>
          <t>—</t>
        </is>
      </c>
      <c r="R33" s="207" t="inlineStr">
        <is>
          <t>—</t>
        </is>
      </c>
      <c r="S33" s="207" t="inlineStr">
        <is>
          <t>—</t>
        </is>
      </c>
    </row>
    <row r="34" ht="20" customHeight="1" s="215">
      <c r="A34" s="54" t="n">
        <v>29</v>
      </c>
      <c r="B34" s="55" t="inlineStr">
        <is>
          <t>MSCI</t>
        </is>
      </c>
      <c r="C34" s="56" t="inlineStr">
        <is>
          <t>MSCI</t>
        </is>
      </c>
      <c r="D34" s="57" t="inlineStr">
        <is>
          <t>Financial Data &amp; Stock Exchanges</t>
        </is>
      </c>
      <c r="E34" s="288" t="n">
        <v>563.49</v>
      </c>
      <c r="F34" s="289" t="n">
        <v>0.042804837</v>
      </c>
      <c r="G34" s="290" t="n">
        <v>40.965722112</v>
      </c>
      <c r="H34" s="289" t="n">
        <v>0.122</v>
      </c>
      <c r="I34" s="291" t="n">
        <v>0.82975</v>
      </c>
      <c r="J34" s="292" t="n">
        <v>30.791803</v>
      </c>
      <c r="K34" s="299" t="n">
        <v>1194.70592</v>
      </c>
      <c r="L34" s="307" t="inlineStr">
        <is>
          <t>—</t>
        </is>
      </c>
      <c r="M34" s="308" t="inlineStr">
        <is>
          <t>—</t>
        </is>
      </c>
      <c r="N34" s="292" t="n">
        <v>34.28937809230911</v>
      </c>
      <c r="O34" s="206" t="inlineStr">
        <is>
          <t>—</t>
        </is>
      </c>
      <c r="P34" s="206" t="inlineStr">
        <is>
          <t>—</t>
        </is>
      </c>
      <c r="Q34" s="206" t="inlineStr">
        <is>
          <t>—</t>
        </is>
      </c>
      <c r="R34" s="206" t="inlineStr">
        <is>
          <t>—</t>
        </is>
      </c>
      <c r="S34" s="206" t="inlineStr">
        <is>
          <t>—</t>
        </is>
      </c>
    </row>
    <row r="35" ht="20" customHeight="1" s="215">
      <c r="A35" s="50" t="n">
        <v>30</v>
      </c>
      <c r="B35" s="51" t="inlineStr">
        <is>
          <t>AVGO</t>
        </is>
      </c>
      <c r="C35" s="52" t="inlineStr">
        <is>
          <t>Broadcom</t>
        </is>
      </c>
      <c r="D35" s="53" t="inlineStr">
        <is>
          <t>Semiconductors</t>
        </is>
      </c>
      <c r="E35" s="294" t="n">
        <v>334.59</v>
      </c>
      <c r="F35" s="300" t="n">
        <v>-0.023551047</v>
      </c>
      <c r="G35" s="295" t="n">
        <v>1597.208788992</v>
      </c>
      <c r="H35" s="289" t="n">
        <v>0.855</v>
      </c>
      <c r="I35" s="296" t="n">
        <v>0.75515</v>
      </c>
      <c r="J35" s="297" t="n">
        <v>42.7318</v>
      </c>
      <c r="K35" s="301" t="n">
        <v>30596.499456</v>
      </c>
      <c r="L35" s="295" t="n">
        <v>331.5586439964858</v>
      </c>
      <c r="M35" s="300" t="n">
        <v>-0.7924137117942278</v>
      </c>
      <c r="N35" s="297" t="n">
        <v>52.20233833701312</v>
      </c>
      <c r="O35" s="207" t="inlineStr">
        <is>
          <t>—</t>
        </is>
      </c>
      <c r="P35" s="207" t="inlineStr">
        <is>
          <t>—</t>
        </is>
      </c>
      <c r="Q35" s="207" t="inlineStr">
        <is>
          <t>—</t>
        </is>
      </c>
      <c r="R35" s="207" t="inlineStr">
        <is>
          <t>—</t>
        </is>
      </c>
      <c r="S35" s="207" t="inlineStr">
        <is>
          <t>—</t>
        </is>
      </c>
    </row>
    <row r="36" ht="20" customHeight="1" s="215">
      <c r="A36" s="54" t="n">
        <v>31</v>
      </c>
      <c r="B36" s="55" t="inlineStr">
        <is>
          <t>PNC</t>
        </is>
      </c>
      <c r="C36" s="56" t="inlineStr">
        <is>
          <t>PNC Financial Services Gr</t>
        </is>
      </c>
      <c r="D36" s="57" t="inlineStr">
        <is>
          <t>Banks - Regional</t>
        </is>
      </c>
      <c r="E36" s="288" t="n">
        <v>216.21</v>
      </c>
      <c r="F36" s="289" t="n">
        <v>0.18855476</v>
      </c>
      <c r="G36" s="290" t="n">
        <v>86.255616</v>
      </c>
      <c r="H36" s="289" t="n">
        <v>0.109</v>
      </c>
      <c r="I36" s="291" t="n">
        <v>0</v>
      </c>
      <c r="J36" s="292" t="n">
        <v>11.574411</v>
      </c>
      <c r="K36" s="293" t="inlineStr">
        <is>
          <t>—</t>
        </is>
      </c>
      <c r="L36" s="290" t="n">
        <v>41.31308506335315</v>
      </c>
      <c r="M36" s="300" t="n">
        <v>-0.5210388960255857</v>
      </c>
      <c r="N36" s="293" t="inlineStr">
        <is>
          <t>—</t>
        </is>
      </c>
      <c r="O36" s="206" t="inlineStr">
        <is>
          <t>—</t>
        </is>
      </c>
      <c r="P36" s="206" t="inlineStr">
        <is>
          <t>—</t>
        </is>
      </c>
      <c r="Q36" s="206" t="inlineStr">
        <is>
          <t>—</t>
        </is>
      </c>
      <c r="R36" s="206" t="inlineStr">
        <is>
          <t>—</t>
        </is>
      </c>
      <c r="S36" s="206" t="inlineStr">
        <is>
          <t>—</t>
        </is>
      </c>
    </row>
    <row r="37" ht="20" customHeight="1" s="215">
      <c r="A37" s="50" t="n">
        <v>32</v>
      </c>
      <c r="B37" s="51" t="inlineStr">
        <is>
          <t>SBAC</t>
        </is>
      </c>
      <c r="C37" s="52" t="inlineStr">
        <is>
          <t>SBA Communications</t>
        </is>
      </c>
      <c r="D37" s="53" t="inlineStr">
        <is>
          <t>REIT - Specialty</t>
        </is>
      </c>
      <c r="E37" s="294" t="n">
        <v>183.09</v>
      </c>
      <c r="F37" s="300" t="n">
        <v>-0.07375932</v>
      </c>
      <c r="G37" s="295" t="n">
        <v>19.42367232</v>
      </c>
      <c r="H37" s="289" t="n">
        <v>0.023</v>
      </c>
      <c r="I37" s="296" t="n">
        <v>0.742</v>
      </c>
      <c r="J37" s="297" t="n">
        <v>19.750807</v>
      </c>
      <c r="K37" s="301" t="n">
        <v>752.056384</v>
      </c>
      <c r="L37" s="302" t="inlineStr">
        <is>
          <t>—</t>
        </is>
      </c>
      <c r="M37" s="303" t="inlineStr">
        <is>
          <t>—</t>
        </is>
      </c>
      <c r="N37" s="297" t="n">
        <v>25.82741463690574</v>
      </c>
      <c r="O37" s="207" t="inlineStr">
        <is>
          <t>—</t>
        </is>
      </c>
      <c r="P37" s="207" t="inlineStr">
        <is>
          <t>—</t>
        </is>
      </c>
      <c r="Q37" s="207" t="inlineStr">
        <is>
          <t>—</t>
        </is>
      </c>
      <c r="R37" s="207" t="inlineStr">
        <is>
          <t>—</t>
        </is>
      </c>
      <c r="S37" s="207" t="inlineStr">
        <is>
          <t>—</t>
        </is>
      </c>
    </row>
    <row r="38" ht="20" customHeight="1" s="215">
      <c r="A38" s="54" t="n">
        <v>33</v>
      </c>
      <c r="B38" s="55" t="inlineStr">
        <is>
          <t>TXN</t>
        </is>
      </c>
      <c r="C38" s="56" t="inlineStr">
        <is>
          <t>Texas Instruments</t>
        </is>
      </c>
      <c r="D38" s="57" t="inlineStr">
        <is>
          <t>Semiconductors</t>
        </is>
      </c>
      <c r="E38" s="288" t="n">
        <v>276.15</v>
      </c>
      <c r="F38" s="289" t="n">
        <v>0.5270405</v>
      </c>
      <c r="G38" s="290" t="n">
        <v>252.19334144</v>
      </c>
      <c r="H38" s="289" t="n">
        <v>0.228</v>
      </c>
      <c r="I38" s="291" t="n">
        <v>0.58325</v>
      </c>
      <c r="J38" s="292" t="n">
        <v>42.031963</v>
      </c>
      <c r="K38" s="299" t="n">
        <v>3545.250048</v>
      </c>
      <c r="L38" s="290" t="n">
        <v>41.24746829826025</v>
      </c>
      <c r="M38" s="300" t="n">
        <v>-0.8364450541685948</v>
      </c>
      <c r="N38" s="292" t="n">
        <v>71.13556027766535</v>
      </c>
      <c r="O38" s="206" t="inlineStr">
        <is>
          <t>—</t>
        </is>
      </c>
      <c r="P38" s="206" t="inlineStr">
        <is>
          <t>—</t>
        </is>
      </c>
      <c r="Q38" s="206" t="inlineStr">
        <is>
          <t>—</t>
        </is>
      </c>
      <c r="R38" s="206" t="inlineStr">
        <is>
          <t>—</t>
        </is>
      </c>
      <c r="S38" s="206" t="inlineStr">
        <is>
          <t>—</t>
        </is>
      </c>
    </row>
    <row r="39" ht="20" customHeight="1" s="215">
      <c r="A39" s="50" t="n">
        <v>34</v>
      </c>
      <c r="B39" s="51" t="inlineStr">
        <is>
          <t>BXP</t>
        </is>
      </c>
      <c r="C39" s="52" t="inlineStr">
        <is>
          <t>Boston Properties</t>
        </is>
      </c>
      <c r="D39" s="53" t="inlineStr">
        <is>
          <t>REIT - Office</t>
        </is>
      </c>
      <c r="E39" s="294" t="n">
        <v>57.94</v>
      </c>
      <c r="F39" s="300" t="n">
        <v>-0.19494236</v>
      </c>
      <c r="G39" s="295" t="n">
        <v>10.480037888</v>
      </c>
      <c r="H39" s="289" t="n">
        <v>0.037</v>
      </c>
      <c r="I39" s="296" t="n">
        <v>0.56452</v>
      </c>
      <c r="J39" s="297" t="n">
        <v>31.150537</v>
      </c>
      <c r="K39" s="301" t="n">
        <v>880.6368639999999</v>
      </c>
      <c r="L39" s="295" t="n">
        <v>1.338933593767654</v>
      </c>
      <c r="M39" s="300" t="n">
        <v>-0.872239622787931</v>
      </c>
      <c r="N39" s="297" t="n">
        <v>10.50465967620451</v>
      </c>
      <c r="O39" s="207" t="inlineStr">
        <is>
          <t>—</t>
        </is>
      </c>
      <c r="P39" s="207" t="inlineStr">
        <is>
          <t>—</t>
        </is>
      </c>
      <c r="Q39" s="207" t="inlineStr">
        <is>
          <t>—</t>
        </is>
      </c>
      <c r="R39" s="207" t="inlineStr">
        <is>
          <t>—</t>
        </is>
      </c>
      <c r="S39" s="207" t="inlineStr">
        <is>
          <t>—</t>
        </is>
      </c>
    </row>
    <row r="40" ht="20" customHeight="1" s="215">
      <c r="A40" s="54" t="n">
        <v>35</v>
      </c>
      <c r="B40" s="55" t="inlineStr">
        <is>
          <t>SPGI</t>
        </is>
      </c>
      <c r="C40" s="56" t="inlineStr">
        <is>
          <t>S&amp;P Global</t>
        </is>
      </c>
      <c r="D40" s="57" t="inlineStr">
        <is>
          <t>Financial Data &amp; Stock Exchanges</t>
        </is>
      </c>
      <c r="E40" s="288" t="n">
        <v>427.83</v>
      </c>
      <c r="F40" s="300" t="n">
        <v>-0.06526321</v>
      </c>
      <c r="G40" s="290" t="n">
        <v>126.12427776</v>
      </c>
      <c r="H40" s="289" t="n">
        <v>0.104</v>
      </c>
      <c r="I40" s="291" t="n">
        <v>0.70903</v>
      </c>
      <c r="J40" s="292" t="n">
        <v>26.135</v>
      </c>
      <c r="K40" s="299" t="n">
        <v>5448.249856</v>
      </c>
      <c r="L40" s="290" t="n">
        <v>23.8412244695625</v>
      </c>
      <c r="M40" s="300" t="n">
        <v>-0.8109703786377305</v>
      </c>
      <c r="N40" s="292" t="n">
        <v>23.14950439747233</v>
      </c>
      <c r="O40" s="206" t="inlineStr">
        <is>
          <t>—</t>
        </is>
      </c>
      <c r="P40" s="206" t="inlineStr">
        <is>
          <t>—</t>
        </is>
      </c>
      <c r="Q40" s="206" t="inlineStr">
        <is>
          <t>—</t>
        </is>
      </c>
      <c r="R40" s="206" t="inlineStr">
        <is>
          <t>—</t>
        </is>
      </c>
      <c r="S40" s="206" t="inlineStr">
        <is>
          <t>—</t>
        </is>
      </c>
    </row>
    <row r="41" ht="20" customHeight="1" s="215">
      <c r="A41" s="50" t="n">
        <v>36</v>
      </c>
      <c r="B41" s="51" t="inlineStr">
        <is>
          <t>NVDA</t>
        </is>
      </c>
      <c r="C41" s="52" t="inlineStr">
        <is>
          <t>NVIDIA</t>
        </is>
      </c>
      <c r="D41" s="53" t="inlineStr">
        <is>
          <t>Semiconductors</t>
        </is>
      </c>
      <c r="E41" s="294" t="n">
        <v>217.09</v>
      </c>
      <c r="F41" s="289" t="n">
        <v>0.1983329</v>
      </c>
      <c r="G41" s="295" t="n">
        <v>5242.072072192</v>
      </c>
      <c r="H41" s="289" t="n">
        <v>1.059</v>
      </c>
      <c r="I41" s="296" t="n">
        <v>0.74674004</v>
      </c>
      <c r="J41" s="297" t="n">
        <v>27.445007</v>
      </c>
      <c r="K41" s="301" t="n">
        <v>41809.874944</v>
      </c>
      <c r="L41" s="295" t="n">
        <v>472.9761957825635</v>
      </c>
      <c r="M41" s="300" t="n">
        <v>-0.9097730459885139</v>
      </c>
      <c r="N41" s="297" t="n">
        <v>125.3788067297789</v>
      </c>
      <c r="O41" s="207" t="inlineStr">
        <is>
          <t>—</t>
        </is>
      </c>
      <c r="P41" s="207" t="inlineStr">
        <is>
          <t>—</t>
        </is>
      </c>
      <c r="Q41" s="207" t="inlineStr">
        <is>
          <t>—</t>
        </is>
      </c>
      <c r="R41" s="207" t="inlineStr">
        <is>
          <t>—</t>
        </is>
      </c>
      <c r="S41" s="207" t="inlineStr">
        <is>
          <t>—</t>
        </is>
      </c>
    </row>
    <row r="42" ht="20" customHeight="1" s="215">
      <c r="A42" s="54" t="n">
        <v>37</v>
      </c>
      <c r="B42" s="55" t="inlineStr">
        <is>
          <t>UDR</t>
        </is>
      </c>
      <c r="C42" s="56" t="inlineStr">
        <is>
          <t>UDR</t>
        </is>
      </c>
      <c r="D42" s="57" t="inlineStr">
        <is>
          <t>REIT - Residential</t>
        </is>
      </c>
      <c r="E42" s="288" t="n">
        <v>33.84</v>
      </c>
      <c r="F42" s="300" t="n">
        <v>-0.075157166</v>
      </c>
      <c r="G42" s="290" t="n">
        <v>12.538249216</v>
      </c>
      <c r="H42" s="300" t="n">
        <v>-0.001</v>
      </c>
      <c r="I42" s="291" t="n">
        <v>0.66581</v>
      </c>
      <c r="J42" s="292" t="n">
        <v>21.41772</v>
      </c>
      <c r="K42" s="299" t="n">
        <v>779.827776</v>
      </c>
      <c r="L42" s="290" t="n">
        <v>1.967004239157876</v>
      </c>
      <c r="M42" s="300" t="n">
        <v>-0.8431197047313598</v>
      </c>
      <c r="N42" s="292" t="n">
        <v>14.09945379724459</v>
      </c>
      <c r="O42" s="206" t="inlineStr">
        <is>
          <t>—</t>
        </is>
      </c>
      <c r="P42" s="206" t="inlineStr">
        <is>
          <t>—</t>
        </is>
      </c>
      <c r="Q42" s="206" t="inlineStr">
        <is>
          <t>—</t>
        </is>
      </c>
      <c r="R42" s="206" t="inlineStr">
        <is>
          <t>—</t>
        </is>
      </c>
      <c r="S42" s="206" t="inlineStr">
        <is>
          <t>—</t>
        </is>
      </c>
    </row>
    <row r="43" ht="20" customHeight="1" s="215">
      <c r="A43" s="50" t="n">
        <v>38</v>
      </c>
      <c r="B43" s="51" t="inlineStr">
        <is>
          <t>ABBV</t>
        </is>
      </c>
      <c r="C43" s="52" t="inlineStr">
        <is>
          <t>AbbVie</t>
        </is>
      </c>
      <c r="D43" s="53" t="inlineStr">
        <is>
          <t>Drug Manufacturers - General</t>
        </is>
      </c>
      <c r="E43" s="294" t="n">
        <v>282.68</v>
      </c>
      <c r="F43" s="289" t="n">
        <v>0.22166038</v>
      </c>
      <c r="G43" s="295" t="n">
        <v>499.528695808</v>
      </c>
      <c r="H43" s="289" t="n">
        <v>0.102</v>
      </c>
      <c r="I43" s="296" t="n">
        <v>0.72792</v>
      </c>
      <c r="J43" s="297" t="n">
        <v>79.8531</v>
      </c>
      <c r="K43" s="301" t="n">
        <v>16870.250496</v>
      </c>
      <c r="L43" s="295" t="n">
        <v>207.4101429224325</v>
      </c>
      <c r="M43" s="300" t="n">
        <v>-0.5847883321558905</v>
      </c>
      <c r="N43" s="297" t="n">
        <v>29.61003538401757</v>
      </c>
      <c r="O43" s="207" t="inlineStr">
        <is>
          <t>—</t>
        </is>
      </c>
      <c r="P43" s="207" t="inlineStr">
        <is>
          <t>—</t>
        </is>
      </c>
      <c r="Q43" s="207" t="inlineStr">
        <is>
          <t>—</t>
        </is>
      </c>
      <c r="R43" s="207" t="inlineStr">
        <is>
          <t>—</t>
        </is>
      </c>
      <c r="S43" s="207" t="inlineStr">
        <is>
          <t>—</t>
        </is>
      </c>
    </row>
    <row r="44" ht="20" customHeight="1" s="215">
      <c r="A44" s="54" t="n">
        <v>39</v>
      </c>
      <c r="B44" s="55" t="inlineStr">
        <is>
          <t>MO</t>
        </is>
      </c>
      <c r="C44" s="56" t="inlineStr">
        <is>
          <t>Altria Group</t>
        </is>
      </c>
      <c r="D44" s="57" t="inlineStr">
        <is>
          <t>Tobacco</t>
        </is>
      </c>
      <c r="E44" s="288" t="n">
        <v>74.09</v>
      </c>
      <c r="F44" s="289" t="n">
        <v>0.16219604</v>
      </c>
      <c r="G44" s="290" t="n">
        <v>123.711315968</v>
      </c>
      <c r="H44" s="289" t="n">
        <v>0.012</v>
      </c>
      <c r="I44" s="291" t="n">
        <v>0.8717</v>
      </c>
      <c r="J44" s="292" t="n">
        <v>15.597894</v>
      </c>
      <c r="K44" s="299" t="n">
        <v>9054.000128</v>
      </c>
      <c r="L44" s="290" t="n">
        <v>57.14101270475866</v>
      </c>
      <c r="M44" s="300" t="n">
        <v>-0.5381100568072597</v>
      </c>
      <c r="N44" s="292" t="n">
        <v>13.66372053549633</v>
      </c>
      <c r="O44" s="206" t="inlineStr">
        <is>
          <t>—</t>
        </is>
      </c>
      <c r="P44" s="206" t="inlineStr">
        <is>
          <t>—</t>
        </is>
      </c>
      <c r="Q44" s="206" t="inlineStr">
        <is>
          <t>—</t>
        </is>
      </c>
      <c r="R44" s="206" t="inlineStr">
        <is>
          <t>—</t>
        </is>
      </c>
      <c r="S44" s="206" t="inlineStr">
        <is>
          <t>—</t>
        </is>
      </c>
    </row>
    <row r="45" ht="20" customHeight="1" s="215">
      <c r="A45" s="50" t="n">
        <v>40</v>
      </c>
      <c r="B45" s="51" t="inlineStr">
        <is>
          <t>AXP</t>
        </is>
      </c>
      <c r="C45" s="52" t="inlineStr">
        <is>
          <t>American Express</t>
        </is>
      </c>
      <c r="D45" s="53" t="inlineStr">
        <is>
          <t>Credit Services</t>
        </is>
      </c>
      <c r="E45" s="294" t="n">
        <v>316.41</v>
      </c>
      <c r="F45" s="300" t="n">
        <v>-0.10925621</v>
      </c>
      <c r="G45" s="295" t="n">
        <v>213.674786816</v>
      </c>
      <c r="H45" s="289" t="n">
        <v>0.128</v>
      </c>
      <c r="I45" s="296" t="n">
        <v>0.62338</v>
      </c>
      <c r="J45" s="297" t="n">
        <v>19.199636</v>
      </c>
      <c r="K45" s="298" t="inlineStr">
        <is>
          <t>—</t>
        </is>
      </c>
      <c r="L45" s="295" t="n">
        <v>56.33053920967645</v>
      </c>
      <c r="M45" s="300" t="n">
        <v>-0.7363725498498618</v>
      </c>
      <c r="N45" s="298" t="inlineStr">
        <is>
          <t>—</t>
        </is>
      </c>
      <c r="O45" s="211" t="inlineStr">
        <is>
          <t>YES</t>
        </is>
      </c>
      <c r="P45" s="212" t="n">
        <v>45.86</v>
      </c>
      <c r="Q45" s="211" t="inlineStr">
        <is>
          <t>Hold</t>
        </is>
      </c>
      <c r="R45" s="212" t="n">
        <v>8.49</v>
      </c>
      <c r="S45" s="213" t="inlineStr">
        <is>
          <t>151.6M sh, 17.4% of portfolio, 22.2% of AXP outstanding. Q1-26: UNCHANGED. Drop from $56.1B is price ($370→$302). "Core four" forever</t>
        </is>
      </c>
    </row>
    <row r="46" ht="20" customHeight="1" s="215">
      <c r="A46" s="54" t="n">
        <v>41</v>
      </c>
      <c r="B46" s="55" t="inlineStr">
        <is>
          <t>NTRS</t>
        </is>
      </c>
      <c r="C46" s="56" t="inlineStr">
        <is>
          <t>Northern Trust</t>
        </is>
      </c>
      <c r="D46" s="57" t="inlineStr">
        <is>
          <t>Asset Management</t>
        </is>
      </c>
      <c r="E46" s="288" t="n">
        <v>164.46</v>
      </c>
      <c r="F46" s="289" t="n">
        <v>0.2796452</v>
      </c>
      <c r="G46" s="290" t="n">
        <v>30.088886272</v>
      </c>
      <c r="H46" s="289" t="n">
        <v>0.364</v>
      </c>
      <c r="I46" s="291" t="n">
        <v>0</v>
      </c>
      <c r="J46" s="292" t="n">
        <v>14.128866</v>
      </c>
      <c r="K46" s="293" t="inlineStr">
        <is>
          <t>—</t>
        </is>
      </c>
      <c r="L46" s="290" t="n">
        <v>11.45233678327127</v>
      </c>
      <c r="M46" s="300" t="n">
        <v>-0.6193831609537326</v>
      </c>
      <c r="N46" s="293" t="inlineStr">
        <is>
          <t>—</t>
        </is>
      </c>
      <c r="O46" s="206" t="inlineStr">
        <is>
          <t>—</t>
        </is>
      </c>
      <c r="P46" s="206" t="inlineStr">
        <is>
          <t>—</t>
        </is>
      </c>
      <c r="Q46" s="206" t="inlineStr">
        <is>
          <t>—</t>
        </is>
      </c>
      <c r="R46" s="206" t="inlineStr">
        <is>
          <t>—</t>
        </is>
      </c>
      <c r="S46" s="206" t="inlineStr">
        <is>
          <t>—</t>
        </is>
      </c>
    </row>
    <row r="47" ht="20" customHeight="1" s="215">
      <c r="A47" s="50" t="n">
        <v>42</v>
      </c>
      <c r="B47" s="51" t="inlineStr">
        <is>
          <t>GILD</t>
        </is>
      </c>
      <c r="C47" s="52" t="inlineStr">
        <is>
          <t>Gilead Sciences</t>
        </is>
      </c>
      <c r="D47" s="53" t="inlineStr">
        <is>
          <t>Drug Manufacturers - General</t>
        </is>
      </c>
      <c r="E47" s="294" t="n">
        <v>153.07</v>
      </c>
      <c r="F47" s="289" t="n">
        <v>0.2336396</v>
      </c>
      <c r="G47" s="295" t="n">
        <v>189.79995648</v>
      </c>
      <c r="H47" s="289" t="n">
        <v>0.102</v>
      </c>
      <c r="I47" s="296" t="n">
        <v>0.79603994</v>
      </c>
      <c r="J47" s="297" t="n">
        <v>15.379083</v>
      </c>
      <c r="K47" s="301" t="n">
        <v>9768.875008000001</v>
      </c>
      <c r="L47" s="295" t="n">
        <v>120.8682600961108</v>
      </c>
      <c r="M47" s="300" t="n">
        <v>-0.3631807807666845</v>
      </c>
      <c r="N47" s="297" t="n">
        <v>19.42904740007602</v>
      </c>
      <c r="O47" s="207" t="inlineStr">
        <is>
          <t>—</t>
        </is>
      </c>
      <c r="P47" s="207" t="inlineStr">
        <is>
          <t>—</t>
        </is>
      </c>
      <c r="Q47" s="207" t="inlineStr">
        <is>
          <t>—</t>
        </is>
      </c>
      <c r="R47" s="207" t="inlineStr">
        <is>
          <t>—</t>
        </is>
      </c>
      <c r="S47" s="207" t="inlineStr">
        <is>
          <t>—</t>
        </is>
      </c>
    </row>
    <row r="48" ht="20" customHeight="1" s="215">
      <c r="A48" s="54" t="n">
        <v>43</v>
      </c>
      <c r="B48" s="55" t="inlineStr">
        <is>
          <t>ADBE</t>
        </is>
      </c>
      <c r="C48" s="56" t="inlineStr">
        <is>
          <t>Adobe</t>
        </is>
      </c>
      <c r="D48" s="57" t="inlineStr">
        <is>
          <t>Software - Infrastructure</t>
        </is>
      </c>
      <c r="E48" s="288" t="n">
        <v>247.09</v>
      </c>
      <c r="F48" s="300" t="n">
        <v>-0.30893582</v>
      </c>
      <c r="G48" s="290" t="n">
        <v>96.16742809599999</v>
      </c>
      <c r="H48" s="289" t="n">
        <v>0.129</v>
      </c>
      <c r="I48" s="291" t="n">
        <v>0.89252996</v>
      </c>
      <c r="J48" s="292" t="n">
        <v>13.796204</v>
      </c>
      <c r="K48" s="299" t="n">
        <v>9345.125376</v>
      </c>
      <c r="L48" s="290" t="n">
        <v>111.0490109404385</v>
      </c>
      <c r="M48" s="289" t="n">
        <v>0.1547466032842512</v>
      </c>
      <c r="N48" s="292" t="n">
        <v>10.29065144989661</v>
      </c>
      <c r="O48" s="206" t="inlineStr">
        <is>
          <t>—</t>
        </is>
      </c>
      <c r="P48" s="206" t="inlineStr">
        <is>
          <t>—</t>
        </is>
      </c>
      <c r="Q48" s="206" t="inlineStr">
        <is>
          <t>—</t>
        </is>
      </c>
      <c r="R48" s="206" t="inlineStr">
        <is>
          <t>—</t>
        </is>
      </c>
      <c r="S48" s="206" t="inlineStr">
        <is>
          <t>—</t>
        </is>
      </c>
    </row>
    <row r="49" ht="20" customHeight="1" s="215">
      <c r="A49" s="50" t="n">
        <v>44</v>
      </c>
      <c r="B49" s="51" t="inlineStr">
        <is>
          <t>AMGN</t>
        </is>
      </c>
      <c r="C49" s="52" t="inlineStr">
        <is>
          <t>Amgen</t>
        </is>
      </c>
      <c r="D49" s="53" t="inlineStr">
        <is>
          <t>Drug Manufacturers - General</t>
        </is>
      </c>
      <c r="E49" s="294" t="n">
        <v>424.94</v>
      </c>
      <c r="F49" s="289" t="n">
        <v>0.41110444</v>
      </c>
      <c r="G49" s="295" t="n">
        <v>229.736169472</v>
      </c>
      <c r="H49" s="289" t="n">
        <v>0.095</v>
      </c>
      <c r="I49" s="296" t="n">
        <v>0.71891</v>
      </c>
      <c r="J49" s="297" t="n">
        <v>26.39379</v>
      </c>
      <c r="K49" s="301" t="n">
        <v>8645.624832</v>
      </c>
      <c r="L49" s="295" t="n">
        <v>110.0825935782806</v>
      </c>
      <c r="M49" s="300" t="n">
        <v>-0.5208303775966923</v>
      </c>
      <c r="N49" s="297" t="n">
        <v>26.57253450952196</v>
      </c>
      <c r="O49" s="207" t="inlineStr">
        <is>
          <t>—</t>
        </is>
      </c>
      <c r="P49" s="207" t="inlineStr">
        <is>
          <t>—</t>
        </is>
      </c>
      <c r="Q49" s="207" t="inlineStr">
        <is>
          <t>—</t>
        </is>
      </c>
      <c r="R49" s="207" t="inlineStr">
        <is>
          <t>—</t>
        </is>
      </c>
      <c r="S49" s="207" t="inlineStr">
        <is>
          <t>—</t>
        </is>
      </c>
    </row>
    <row r="50" ht="20" customHeight="1" s="215">
      <c r="A50" s="54" t="n">
        <v>45</v>
      </c>
      <c r="B50" s="55" t="inlineStr">
        <is>
          <t>AMT</t>
        </is>
      </c>
      <c r="C50" s="56" t="inlineStr">
        <is>
          <t>American Tower</t>
        </is>
      </c>
      <c r="D50" s="57" t="inlineStr">
        <is>
          <t>REIT - Specialty</t>
        </is>
      </c>
      <c r="E50" s="288" t="n">
        <v>183.03</v>
      </c>
      <c r="F50" s="300" t="n">
        <v>-0.048552275</v>
      </c>
      <c r="G50" s="290" t="n">
        <v>85.284667392</v>
      </c>
      <c r="H50" s="289" t="n">
        <v>0.047</v>
      </c>
      <c r="I50" s="291" t="n">
        <v>0.73774004</v>
      </c>
      <c r="J50" s="292" t="n">
        <v>25.176065</v>
      </c>
      <c r="K50" s="299" t="n">
        <v>2920.012544</v>
      </c>
      <c r="L50" s="290" t="n">
        <v>5.455646626003199</v>
      </c>
      <c r="M50" s="300" t="n">
        <v>-0.9360301588452351</v>
      </c>
      <c r="N50" s="292" t="n">
        <v>29.20695247035213</v>
      </c>
      <c r="O50" s="206" t="inlineStr">
        <is>
          <t>—</t>
        </is>
      </c>
      <c r="P50" s="206" t="inlineStr">
        <is>
          <t>—</t>
        </is>
      </c>
      <c r="Q50" s="206" t="inlineStr">
        <is>
          <t>—</t>
        </is>
      </c>
      <c r="R50" s="206" t="inlineStr">
        <is>
          <t>—</t>
        </is>
      </c>
      <c r="S50" s="206" t="inlineStr">
        <is>
          <t>—</t>
        </is>
      </c>
    </row>
    <row r="51" ht="20" customHeight="1" s="215">
      <c r="A51" s="50" t="n">
        <v>46</v>
      </c>
      <c r="B51" s="51" t="inlineStr">
        <is>
          <t>ICE</t>
        </is>
      </c>
      <c r="C51" s="52" t="inlineStr">
        <is>
          <t>Intercontinental Exchange</t>
        </is>
      </c>
      <c r="D51" s="53" t="inlineStr">
        <is>
          <t>Financial Data &amp; Stock Exchanges</t>
        </is>
      </c>
      <c r="E51" s="294" t="n">
        <v>158.4</v>
      </c>
      <c r="F51" s="289" t="n">
        <v>0.010268569</v>
      </c>
      <c r="G51" s="295" t="n">
        <v>88.924880896</v>
      </c>
      <c r="H51" s="289" t="n">
        <v>0.048</v>
      </c>
      <c r="I51" s="296" t="n">
        <v>1</v>
      </c>
      <c r="J51" s="297" t="n">
        <v>22.341324</v>
      </c>
      <c r="K51" s="301" t="n">
        <v>3633.625088</v>
      </c>
      <c r="L51" s="295" t="n">
        <v>22.11358391251517</v>
      </c>
      <c r="M51" s="300" t="n">
        <v>-0.7513228728596488</v>
      </c>
      <c r="N51" s="297" t="n">
        <v>24.47277431963834</v>
      </c>
      <c r="O51" s="207" t="inlineStr">
        <is>
          <t>—</t>
        </is>
      </c>
      <c r="P51" s="207" t="inlineStr">
        <is>
          <t>—</t>
        </is>
      </c>
      <c r="Q51" s="207" t="inlineStr">
        <is>
          <t>—</t>
        </is>
      </c>
      <c r="R51" s="207" t="inlineStr">
        <is>
          <t>—</t>
        </is>
      </c>
      <c r="S51" s="207" t="inlineStr">
        <is>
          <t>—</t>
        </is>
      </c>
    </row>
    <row r="52" ht="20" customHeight="1" s="215">
      <c r="A52" s="54" t="n">
        <v>47</v>
      </c>
      <c r="B52" s="55" t="inlineStr">
        <is>
          <t>VRTX</t>
        </is>
      </c>
      <c r="C52" s="56" t="inlineStr">
        <is>
          <t>Vertex Pharmaceuticals</t>
        </is>
      </c>
      <c r="D52" s="57" t="inlineStr">
        <is>
          <t>Biotechnology</t>
        </is>
      </c>
      <c r="E52" s="288" t="n">
        <v>501.95</v>
      </c>
      <c r="F52" s="289" t="n">
        <v>0.17754006</v>
      </c>
      <c r="G52" s="290" t="n">
        <v>127.143936</v>
      </c>
      <c r="H52" s="289" t="n">
        <v>0.125</v>
      </c>
      <c r="I52" s="291" t="n">
        <v>0.54957</v>
      </c>
      <c r="J52" s="292" t="n">
        <v>29.234129</v>
      </c>
      <c r="K52" s="299" t="n">
        <v>2627.887616</v>
      </c>
      <c r="L52" s="290" t="n">
        <v>31.71394134474395</v>
      </c>
      <c r="M52" s="300" t="n">
        <v>-0.7505666228175919</v>
      </c>
      <c r="N52" s="292" t="n">
        <v>48.38256180586986</v>
      </c>
      <c r="O52" s="206" t="inlineStr">
        <is>
          <t>—</t>
        </is>
      </c>
      <c r="P52" s="206" t="inlineStr">
        <is>
          <t>—</t>
        </is>
      </c>
      <c r="Q52" s="206" t="inlineStr">
        <is>
          <t>—</t>
        </is>
      </c>
      <c r="R52" s="206" t="inlineStr">
        <is>
          <t>—</t>
        </is>
      </c>
      <c r="S52" s="206" t="inlineStr">
        <is>
          <t>—</t>
        </is>
      </c>
    </row>
    <row r="53" ht="20" customHeight="1" s="215">
      <c r="A53" s="50" t="n">
        <v>48</v>
      </c>
      <c r="B53" s="51" t="inlineStr">
        <is>
          <t>MTB</t>
        </is>
      </c>
      <c r="C53" s="52" t="inlineStr">
        <is>
          <t>M&amp;T Bank</t>
        </is>
      </c>
      <c r="D53" s="53" t="inlineStr">
        <is>
          <t>Banks - Regional</t>
        </is>
      </c>
      <c r="E53" s="294" t="n">
        <v>213.74</v>
      </c>
      <c r="F53" s="289" t="n">
        <v>0.17633462</v>
      </c>
      <c r="G53" s="295" t="n">
        <v>30.977978368</v>
      </c>
      <c r="H53" s="289" t="n">
        <v>0.005</v>
      </c>
      <c r="I53" s="296" t="n">
        <v>0</v>
      </c>
      <c r="J53" s="297" t="n">
        <v>11.29704</v>
      </c>
      <c r="K53" s="298" t="inlineStr">
        <is>
          <t>—</t>
        </is>
      </c>
      <c r="L53" s="295" t="n">
        <v>13.40915336507184</v>
      </c>
      <c r="M53" s="300" t="n">
        <v>-0.5671391720344351</v>
      </c>
      <c r="N53" s="298" t="inlineStr">
        <is>
          <t>—</t>
        </is>
      </c>
      <c r="O53" s="207" t="inlineStr">
        <is>
          <t>—</t>
        </is>
      </c>
      <c r="P53" s="207" t="inlineStr">
        <is>
          <t>—</t>
        </is>
      </c>
      <c r="Q53" s="207" t="inlineStr">
        <is>
          <t>—</t>
        </is>
      </c>
      <c r="R53" s="207" t="inlineStr">
        <is>
          <t>—</t>
        </is>
      </c>
      <c r="S53" s="207" t="inlineStr">
        <is>
          <t>—</t>
        </is>
      </c>
    </row>
    <row r="54" ht="20" customHeight="1" s="215">
      <c r="A54" s="54" t="n">
        <v>49</v>
      </c>
      <c r="B54" s="55" t="inlineStr">
        <is>
          <t>ADI</t>
        </is>
      </c>
      <c r="C54" s="56" t="inlineStr">
        <is>
          <t>Analog Devices</t>
        </is>
      </c>
      <c r="D54" s="57" t="inlineStr">
        <is>
          <t>Semiconductors</t>
        </is>
      </c>
      <c r="E54" s="288" t="n">
        <v>394.35</v>
      </c>
      <c r="F54" s="289" t="n">
        <v>0.60064137</v>
      </c>
      <c r="G54" s="290" t="n">
        <v>191.08839424</v>
      </c>
      <c r="H54" s="289" t="n">
        <v>0.396</v>
      </c>
      <c r="I54" s="291" t="n">
        <v>0.6580000499999999</v>
      </c>
      <c r="J54" s="292" t="n">
        <v>46.83492</v>
      </c>
      <c r="K54" s="299" t="n">
        <v>4147.339008</v>
      </c>
      <c r="L54" s="290" t="n">
        <v>44.32293628533363</v>
      </c>
      <c r="M54" s="300" t="n">
        <v>-0.7680500877009534</v>
      </c>
      <c r="N54" s="292" t="n">
        <v>46.07493883527498</v>
      </c>
      <c r="O54" s="206" t="inlineStr">
        <is>
          <t>—</t>
        </is>
      </c>
      <c r="P54" s="206" t="inlineStr">
        <is>
          <t>—</t>
        </is>
      </c>
      <c r="Q54" s="206" t="inlineStr">
        <is>
          <t>—</t>
        </is>
      </c>
      <c r="R54" s="206" t="inlineStr">
        <is>
          <t>—</t>
        </is>
      </c>
      <c r="S54" s="206" t="inlineStr">
        <is>
          <t>—</t>
        </is>
      </c>
    </row>
    <row r="55" ht="20" customHeight="1" s="215">
      <c r="A55" s="50" t="n">
        <v>50</v>
      </c>
      <c r="B55" s="51" t="inlineStr">
        <is>
          <t>MCO</t>
        </is>
      </c>
      <c r="C55" s="52" t="inlineStr">
        <is>
          <t>Moody's</t>
        </is>
      </c>
      <c r="D55" s="53" t="inlineStr">
        <is>
          <t>Financial Data &amp; Stock Exchanges</t>
        </is>
      </c>
      <c r="E55" s="294" t="n">
        <v>481.26</v>
      </c>
      <c r="F55" s="300" t="n">
        <v>-0.007547617</v>
      </c>
      <c r="G55" s="295" t="n">
        <v>83.345088512</v>
      </c>
      <c r="H55" s="289" t="n">
        <v>0.151</v>
      </c>
      <c r="I55" s="296" t="n">
        <v>0.74974996</v>
      </c>
      <c r="J55" s="297" t="n">
        <v>30.536802</v>
      </c>
      <c r="K55" s="301" t="n">
        <v>2579.124992</v>
      </c>
      <c r="L55" s="295" t="n">
        <v>4.96848406656474</v>
      </c>
      <c r="M55" s="300" t="n">
        <v>-0.9403866003951825</v>
      </c>
      <c r="N55" s="297" t="n">
        <v>32.31525444418632</v>
      </c>
      <c r="O55" s="211" t="inlineStr">
        <is>
          <t>YES</t>
        </is>
      </c>
      <c r="P55" s="212" t="n">
        <v>11.97</v>
      </c>
      <c r="Q55" s="211" t="inlineStr">
        <is>
          <t>Hold</t>
        </is>
      </c>
      <c r="R55" s="212" t="n">
        <v>10.05</v>
      </c>
      <c r="S55" s="213" t="inlineStr">
        <is>
          <t>24.67M sh since 2000. Q1-26: UNCHANGED. ~$485/sh value. "Core four" forever</t>
        </is>
      </c>
    </row>
    <row r="56" ht="20" customHeight="1" s="215">
      <c r="A56" s="54" t="n">
        <v>51</v>
      </c>
      <c r="B56" s="55" t="inlineStr">
        <is>
          <t>FTNT</t>
        </is>
      </c>
      <c r="C56" s="56" t="inlineStr">
        <is>
          <t>Fortinet</t>
        </is>
      </c>
      <c r="D56" s="57" t="inlineStr">
        <is>
          <t>Software - Infrastructure</t>
        </is>
      </c>
      <c r="E56" s="288" t="n">
        <v>171.5</v>
      </c>
      <c r="F56" s="289" t="n">
        <v>1.0228827</v>
      </c>
      <c r="G56" s="290" t="n">
        <v>125.831897088</v>
      </c>
      <c r="H56" s="289" t="n">
        <v>0.256</v>
      </c>
      <c r="I56" s="291" t="n">
        <v>0.80204004</v>
      </c>
      <c r="J56" s="292" t="n">
        <v>62.82051</v>
      </c>
      <c r="K56" s="299" t="n">
        <v>2265.587456</v>
      </c>
      <c r="L56" s="290" t="n">
        <v>29.60320383699095</v>
      </c>
      <c r="M56" s="300" t="n">
        <v>-0.7647400657379578</v>
      </c>
      <c r="N56" s="292" t="n">
        <v>55.54051385491958</v>
      </c>
      <c r="O56" s="206" t="inlineStr">
        <is>
          <t>—</t>
        </is>
      </c>
      <c r="P56" s="206" t="inlineStr">
        <is>
          <t>—</t>
        </is>
      </c>
      <c r="Q56" s="206" t="inlineStr">
        <is>
          <t>—</t>
        </is>
      </c>
      <c r="R56" s="206" t="inlineStr">
        <is>
          <t>—</t>
        </is>
      </c>
      <c r="S56" s="206" t="inlineStr">
        <is>
          <t>—</t>
        </is>
      </c>
    </row>
    <row r="57" ht="20" customHeight="1" s="215">
      <c r="A57" s="50" t="n">
        <v>52</v>
      </c>
      <c r="B57" s="51" t="inlineStr">
        <is>
          <t>EA</t>
        </is>
      </c>
      <c r="C57" s="52" t="inlineStr">
        <is>
          <t>Electronic Arts</t>
        </is>
      </c>
      <c r="D57" s="53" t="inlineStr">
        <is>
          <t>Electronic Gaming &amp; Multimedia</t>
        </is>
      </c>
      <c r="E57" s="294" t="n">
        <v>209.7</v>
      </c>
      <c r="F57" s="289" t="n">
        <v>0.2005496</v>
      </c>
      <c r="G57" s="295" t="n">
        <v>52.925640704</v>
      </c>
      <c r="H57" s="289" t="n">
        <v>0.189</v>
      </c>
      <c r="I57" s="296" t="n">
        <v>0.79875</v>
      </c>
      <c r="J57" s="297" t="n">
        <v>59.743587</v>
      </c>
      <c r="K57" s="301" t="n">
        <v>1692.499968</v>
      </c>
      <c r="L57" s="295" t="n">
        <v>23.19857888013217</v>
      </c>
      <c r="M57" s="300" t="n">
        <v>-0.5616759934966856</v>
      </c>
      <c r="N57" s="297" t="n">
        <v>31.27068884943104</v>
      </c>
      <c r="O57" s="207" t="inlineStr">
        <is>
          <t>—</t>
        </is>
      </c>
      <c r="P57" s="207" t="inlineStr">
        <is>
          <t>—</t>
        </is>
      </c>
      <c r="Q57" s="207" t="inlineStr">
        <is>
          <t>—</t>
        </is>
      </c>
      <c r="R57" s="207" t="inlineStr">
        <is>
          <t>—</t>
        </is>
      </c>
      <c r="S57" s="207" t="inlineStr">
        <is>
          <t>—</t>
        </is>
      </c>
    </row>
    <row r="58" ht="20" customHeight="1" s="215">
      <c r="A58" s="54" t="n">
        <v>53</v>
      </c>
      <c r="B58" s="55" t="inlineStr">
        <is>
          <t>HBAN</t>
        </is>
      </c>
      <c r="C58" s="56" t="inlineStr">
        <is>
          <t>Huntington Bancshares</t>
        </is>
      </c>
      <c r="D58" s="57" t="inlineStr">
        <is>
          <t>Banks - Regional</t>
        </is>
      </c>
      <c r="E58" s="288" t="n">
        <v>15.23</v>
      </c>
      <c r="F58" s="300" t="n">
        <v>-0.044542015</v>
      </c>
      <c r="G58" s="290" t="n">
        <v>30.770917376</v>
      </c>
      <c r="H58" s="289" t="n">
        <v>0.476</v>
      </c>
      <c r="I58" s="291" t="n">
        <v>0</v>
      </c>
      <c r="J58" s="292" t="n">
        <v>11.7153845</v>
      </c>
      <c r="K58" s="293" t="inlineStr">
        <is>
          <t>—</t>
        </is>
      </c>
      <c r="L58" s="290" t="n">
        <v>13.2362143966922</v>
      </c>
      <c r="M58" s="300" t="n">
        <v>-0.5698466108450869</v>
      </c>
      <c r="N58" s="293" t="inlineStr">
        <is>
          <t>—</t>
        </is>
      </c>
      <c r="O58" s="206" t="inlineStr">
        <is>
          <t>—</t>
        </is>
      </c>
      <c r="P58" s="206" t="inlineStr">
        <is>
          <t>—</t>
        </is>
      </c>
      <c r="Q58" s="206" t="inlineStr">
        <is>
          <t>—</t>
        </is>
      </c>
      <c r="R58" s="206" t="inlineStr">
        <is>
          <t>—</t>
        </is>
      </c>
      <c r="S58" s="206" t="inlineStr">
        <is>
          <t>—</t>
        </is>
      </c>
    </row>
    <row r="59" ht="20" customHeight="1" s="215">
      <c r="A59" s="50" t="n">
        <v>54</v>
      </c>
      <c r="B59" s="51" t="inlineStr">
        <is>
          <t>ORCL</t>
        </is>
      </c>
      <c r="C59" s="52" t="inlineStr">
        <is>
          <t>Oracle</t>
        </is>
      </c>
      <c r="D59" s="53" t="inlineStr">
        <is>
          <t>Software - Infrastructure</t>
        </is>
      </c>
      <c r="E59" s="294" t="n">
        <v>129.59</v>
      </c>
      <c r="F59" s="300" t="n">
        <v>-0.52902055</v>
      </c>
      <c r="G59" s="295" t="n">
        <v>392.852209664</v>
      </c>
      <c r="H59" s="289" t="n">
        <v>0.296</v>
      </c>
      <c r="I59" s="296" t="n">
        <v>0.63957</v>
      </c>
      <c r="J59" s="297" t="n">
        <v>20.31191</v>
      </c>
      <c r="K59" s="301" t="n">
        <v>-45853.626368</v>
      </c>
      <c r="L59" s="298" t="inlineStr">
        <is>
          <t>—</t>
        </is>
      </c>
      <c r="M59" s="298" t="inlineStr">
        <is>
          <t>—</t>
        </is>
      </c>
      <c r="N59" s="297" t="n">
        <v>-8.567528132803711</v>
      </c>
      <c r="O59" s="207" t="inlineStr">
        <is>
          <t>—</t>
        </is>
      </c>
      <c r="P59" s="207" t="inlineStr">
        <is>
          <t>—</t>
        </is>
      </c>
      <c r="Q59" s="207" t="inlineStr">
        <is>
          <t>—</t>
        </is>
      </c>
      <c r="R59" s="207" t="inlineStr">
        <is>
          <t>—</t>
        </is>
      </c>
      <c r="S59" s="207" t="inlineStr">
        <is>
          <t>—</t>
        </is>
      </c>
    </row>
    <row r="60" ht="20" customHeight="1" s="215">
      <c r="A60" s="54" t="n">
        <v>55</v>
      </c>
      <c r="B60" s="55" t="inlineStr">
        <is>
          <t>PM</t>
        </is>
      </c>
      <c r="C60" s="56" t="inlineStr">
        <is>
          <t>Philip Morris Intl</t>
        </is>
      </c>
      <c r="D60" s="57" t="inlineStr">
        <is>
          <t>Tobacco</t>
        </is>
      </c>
      <c r="E60" s="288" t="n">
        <v>201.05</v>
      </c>
      <c r="F60" s="289" t="n">
        <v>0.3226974</v>
      </c>
      <c r="G60" s="290" t="n">
        <v>313.35923712</v>
      </c>
      <c r="H60" s="289" t="n">
        <v>0.104</v>
      </c>
      <c r="I60" s="291" t="n">
        <v>0.6748100500000001</v>
      </c>
      <c r="J60" s="292" t="n">
        <v>28.886494</v>
      </c>
      <c r="K60" s="299" t="n">
        <v>9714.374656</v>
      </c>
      <c r="L60" s="290" t="n">
        <v>100.174291402595</v>
      </c>
      <c r="M60" s="300" t="n">
        <v>-0.6803212430459371</v>
      </c>
      <c r="N60" s="292" t="n">
        <v>32.25727265083464</v>
      </c>
      <c r="O60" s="206" t="inlineStr">
        <is>
          <t>—</t>
        </is>
      </c>
      <c r="P60" s="206" t="inlineStr">
        <is>
          <t>—</t>
        </is>
      </c>
      <c r="Q60" s="206" t="inlineStr">
        <is>
          <t>—</t>
        </is>
      </c>
      <c r="R60" s="206" t="inlineStr">
        <is>
          <t>—</t>
        </is>
      </c>
      <c r="S60" s="206" t="inlineStr">
        <is>
          <t>—</t>
        </is>
      </c>
    </row>
    <row r="61" ht="20" customHeight="1" s="215">
      <c r="A61" s="50" t="n">
        <v>56</v>
      </c>
      <c r="B61" s="51" t="inlineStr">
        <is>
          <t>PRU</t>
        </is>
      </c>
      <c r="C61" s="52" t="inlineStr">
        <is>
          <t>Prudential Financial</t>
        </is>
      </c>
      <c r="D61" s="53" t="inlineStr">
        <is>
          <t>Insurance - Life</t>
        </is>
      </c>
      <c r="E61" s="294" t="n">
        <v>113.67</v>
      </c>
      <c r="F61" s="289" t="n">
        <v>0.11594343</v>
      </c>
      <c r="G61" s="295" t="n">
        <v>39.21614848</v>
      </c>
      <c r="H61" s="289" t="n">
        <v>0.141</v>
      </c>
      <c r="I61" s="296" t="n">
        <v>0.29015</v>
      </c>
      <c r="J61" s="297" t="n">
        <v>10.296196</v>
      </c>
      <c r="K61" s="301" t="n">
        <v>7527.750144</v>
      </c>
      <c r="L61" s="295" t="n">
        <v>28.83347987644852</v>
      </c>
      <c r="M61" s="300" t="n">
        <v>-0.2647549289254291</v>
      </c>
      <c r="N61" s="297" t="n">
        <v>5.209544585012199</v>
      </c>
      <c r="O61" s="207" t="inlineStr">
        <is>
          <t>—</t>
        </is>
      </c>
      <c r="P61" s="207" t="inlineStr">
        <is>
          <t>—</t>
        </is>
      </c>
      <c r="Q61" s="207" t="inlineStr">
        <is>
          <t>—</t>
        </is>
      </c>
      <c r="R61" s="207" t="inlineStr">
        <is>
          <t>—</t>
        </is>
      </c>
      <c r="S61" s="207" t="inlineStr">
        <is>
          <t>—</t>
        </is>
      </c>
    </row>
    <row r="62" ht="20" customHeight="1" s="215">
      <c r="A62" s="54" t="n">
        <v>57</v>
      </c>
      <c r="B62" s="55" t="inlineStr">
        <is>
          <t>MSFT</t>
        </is>
      </c>
      <c r="C62" s="56" t="inlineStr">
        <is>
          <t>Microsoft</t>
        </is>
      </c>
      <c r="D62" s="57" t="inlineStr">
        <is>
          <t>Software - Infrastructure</t>
        </is>
      </c>
      <c r="E62" s="288" t="n">
        <v>533.52</v>
      </c>
      <c r="F62" s="289" t="n">
        <v>0.03063786</v>
      </c>
      <c r="G62" s="290" t="n">
        <v>3961.6774144</v>
      </c>
      <c r="H62" s="289" t="n">
        <v>0.177</v>
      </c>
      <c r="I62" s="291" t="n">
        <v>0.67944</v>
      </c>
      <c r="J62" s="292" t="n">
        <v>29.722563</v>
      </c>
      <c r="K62" s="299" t="n">
        <v>16545.50016</v>
      </c>
      <c r="L62" s="290" t="n">
        <v>248.7058625505512</v>
      </c>
      <c r="M62" s="300" t="n">
        <v>-0.9372220813217782</v>
      </c>
      <c r="N62" s="292" t="n">
        <v>239.441358196954</v>
      </c>
      <c r="O62" s="206" t="inlineStr">
        <is>
          <t>—</t>
        </is>
      </c>
      <c r="P62" s="206" t="inlineStr">
        <is>
          <t>—</t>
        </is>
      </c>
      <c r="Q62" s="206" t="inlineStr">
        <is>
          <t>—</t>
        </is>
      </c>
      <c r="R62" s="206" t="inlineStr">
        <is>
          <t>—</t>
        </is>
      </c>
      <c r="S62" s="206" t="inlineStr">
        <is>
          <t>—</t>
        </is>
      </c>
    </row>
    <row r="63" ht="20" customHeight="1" s="215">
      <c r="A63" s="50" t="n">
        <v>58</v>
      </c>
      <c r="B63" s="51" t="inlineStr">
        <is>
          <t>BKNG</t>
        </is>
      </c>
      <c r="C63" s="52" t="inlineStr">
        <is>
          <t>Booking Holdings</t>
        </is>
      </c>
      <c r="D63" s="53" t="inlineStr">
        <is>
          <t>Travel Services</t>
        </is>
      </c>
      <c r="E63" s="294" t="n">
        <v>162.6</v>
      </c>
      <c r="F63" s="300" t="n">
        <v>-0.23098749</v>
      </c>
      <c r="G63" s="295" t="n">
        <v>125.995245568</v>
      </c>
      <c r="H63" s="289" t="n">
        <v>0.081</v>
      </c>
      <c r="I63" s="296" t="n">
        <v>0.87227994</v>
      </c>
      <c r="J63" s="297" t="n">
        <v>18.026608</v>
      </c>
      <c r="K63" s="301" t="n">
        <v>7725.8752</v>
      </c>
      <c r="L63" s="295" t="n">
        <v>64.58558907299631</v>
      </c>
      <c r="M63" s="300" t="n">
        <v>-0.4873966173736351</v>
      </c>
      <c r="N63" s="297" t="n">
        <v>16.30821498302225</v>
      </c>
      <c r="O63" s="207" t="inlineStr">
        <is>
          <t>—</t>
        </is>
      </c>
      <c r="P63" s="207" t="inlineStr">
        <is>
          <t>—</t>
        </is>
      </c>
      <c r="Q63" s="207" t="inlineStr">
        <is>
          <t>—</t>
        </is>
      </c>
      <c r="R63" s="207" t="inlineStr">
        <is>
          <t>—</t>
        </is>
      </c>
      <c r="S63" s="207" t="inlineStr">
        <is>
          <t>—</t>
        </is>
      </c>
    </row>
    <row r="64" ht="20" customHeight="1" s="215">
      <c r="A64" s="50" t="n">
        <v>59</v>
      </c>
      <c r="B64" s="51" t="inlineStr">
        <is>
          <t>INTU</t>
        </is>
      </c>
      <c r="C64" s="52" t="inlineStr">
        <is>
          <t>Intuit</t>
        </is>
      </c>
      <c r="D64" s="53" t="inlineStr">
        <is>
          <t>Software - Application</t>
        </is>
      </c>
      <c r="E64" s="288" t="n">
        <v>325.62</v>
      </c>
      <c r="F64" s="300" t="n">
        <v>-0.51762855</v>
      </c>
      <c r="G64" s="290" t="n">
        <v>87.017381888</v>
      </c>
      <c r="H64" s="289" t="n">
        <v>0.137</v>
      </c>
      <c r="I64" s="291" t="n">
        <v>0.80982</v>
      </c>
      <c r="J64" s="292" t="n">
        <v>19.782503</v>
      </c>
      <c r="K64" s="299" t="n">
        <v>6353.625088</v>
      </c>
      <c r="L64" s="290" t="n">
        <v>80.1125398406096</v>
      </c>
      <c r="M64" s="300" t="n">
        <v>-0.07935014703473404</v>
      </c>
      <c r="N64" s="292" t="n">
        <v>13.69570679962664</v>
      </c>
      <c r="O64" s="206" t="inlineStr">
        <is>
          <t>—</t>
        </is>
      </c>
      <c r="P64" s="206" t="inlineStr">
        <is>
          <t>—</t>
        </is>
      </c>
      <c r="Q64" s="206" t="inlineStr">
        <is>
          <t>—</t>
        </is>
      </c>
      <c r="R64" s="206" t="inlineStr">
        <is>
          <t>—</t>
        </is>
      </c>
      <c r="S64" s="206" t="inlineStr">
        <is>
          <t>—</t>
        </is>
      </c>
    </row>
    <row r="65" ht="20" customHeight="1" s="215">
      <c r="A65" s="54" t="n">
        <v>60</v>
      </c>
      <c r="B65" s="55" t="inlineStr">
        <is>
          <t>WELL</t>
        </is>
      </c>
      <c r="C65" s="56" t="inlineStr">
        <is>
          <t>Welltower</t>
        </is>
      </c>
      <c r="D65" s="57" t="inlineStr">
        <is>
          <t>REIT - Healthcare Facilities</t>
        </is>
      </c>
      <c r="E65" s="294" t="n">
        <v>233.51</v>
      </c>
      <c r="F65" s="289" t="n">
        <v>0.3334285</v>
      </c>
      <c r="G65" s="295" t="n">
        <v>168.260763648</v>
      </c>
      <c r="H65" s="289" t="n">
        <v>0.391</v>
      </c>
      <c r="I65" s="296" t="n">
        <v>0.39560002</v>
      </c>
      <c r="J65" s="297" t="n">
        <v>104.713</v>
      </c>
      <c r="K65" s="301" t="n">
        <v>2756.164352</v>
      </c>
      <c r="L65" s="295" t="n">
        <v>6.606165285959406</v>
      </c>
      <c r="M65" s="300" t="n">
        <v>-0.9607385278496688</v>
      </c>
      <c r="N65" s="297" t="n">
        <v>61.04888852746107</v>
      </c>
      <c r="O65" s="207" t="inlineStr">
        <is>
          <t>—</t>
        </is>
      </c>
      <c r="P65" s="207" t="inlineStr">
        <is>
          <t>—</t>
        </is>
      </c>
      <c r="Q65" s="207" t="inlineStr">
        <is>
          <t>—</t>
        </is>
      </c>
      <c r="R65" s="207" t="inlineStr">
        <is>
          <t>—</t>
        </is>
      </c>
      <c r="S65" s="207" t="inlineStr">
        <is>
          <t>—</t>
        </is>
      </c>
    </row>
    <row r="66" ht="20" customHeight="1" s="215">
      <c r="A66" s="50" t="n">
        <v>61</v>
      </c>
      <c r="B66" s="51" t="inlineStr">
        <is>
          <t>INCY</t>
        </is>
      </c>
      <c r="C66" s="52" t="inlineStr">
        <is>
          <t>Incyte</t>
        </is>
      </c>
      <c r="D66" s="53" t="inlineStr">
        <is>
          <t>Biotechnology</t>
        </is>
      </c>
      <c r="E66" s="288" t="n">
        <v>113.25</v>
      </c>
      <c r="F66" s="289" t="n">
        <v>0.29725087</v>
      </c>
      <c r="G66" s="290" t="n">
        <v>22.95552</v>
      </c>
      <c r="H66" s="289" t="n">
        <v>0.377</v>
      </c>
      <c r="I66" s="291" t="n">
        <v>0.55659</v>
      </c>
      <c r="J66" s="292" t="n">
        <v>14.426752</v>
      </c>
      <c r="K66" s="299" t="n">
        <v>1180.664576</v>
      </c>
      <c r="L66" s="290" t="n">
        <v>15.87119960977452</v>
      </c>
      <c r="M66" s="300" t="n">
        <v>-0.3086107563769186</v>
      </c>
      <c r="N66" s="292" t="n">
        <v>19.44288005342849</v>
      </c>
      <c r="O66" s="206" t="inlineStr">
        <is>
          <t>—</t>
        </is>
      </c>
      <c r="P66" s="206" t="inlineStr">
        <is>
          <t>—</t>
        </is>
      </c>
      <c r="Q66" s="206" t="inlineStr">
        <is>
          <t>—</t>
        </is>
      </c>
      <c r="R66" s="206" t="inlineStr">
        <is>
          <t>—</t>
        </is>
      </c>
      <c r="S66" s="206" t="inlineStr">
        <is>
          <t>—</t>
        </is>
      </c>
    </row>
    <row r="67" ht="20" customHeight="1" s="215">
      <c r="A67" s="54" t="n">
        <v>62</v>
      </c>
      <c r="B67" s="55" t="inlineStr">
        <is>
          <t>GL</t>
        </is>
      </c>
      <c r="C67" s="56" t="inlineStr">
        <is>
          <t>Globe Life</t>
        </is>
      </c>
      <c r="D67" s="57" t="inlineStr">
        <is>
          <t>Insurance - Life</t>
        </is>
      </c>
      <c r="E67" s="294" t="n">
        <v>167.85</v>
      </c>
      <c r="F67" s="289" t="n">
        <v>0.23410046</v>
      </c>
      <c r="G67" s="295" t="n">
        <v>12.899180544</v>
      </c>
      <c r="H67" s="289" t="n">
        <v>0.08</v>
      </c>
      <c r="I67" s="296" t="n">
        <v>0.33905998</v>
      </c>
      <c r="J67" s="297" t="n">
        <v>11.042764</v>
      </c>
      <c r="K67" s="301" t="n">
        <v>1163.50336</v>
      </c>
      <c r="L67" s="295" t="n">
        <v>11.497887742439</v>
      </c>
      <c r="M67" s="300" t="n">
        <v>-0.1086342498099852</v>
      </c>
      <c r="N67" s="297" t="n">
        <v>11.08649972351605</v>
      </c>
      <c r="O67" s="207" t="inlineStr">
        <is>
          <t>—</t>
        </is>
      </c>
      <c r="P67" s="207" t="inlineStr">
        <is>
          <t>—</t>
        </is>
      </c>
      <c r="Q67" s="207" t="inlineStr">
        <is>
          <t>—</t>
        </is>
      </c>
      <c r="R67" s="207" t="inlineStr">
        <is>
          <t>—</t>
        </is>
      </c>
      <c r="S67" s="207" t="inlineStr">
        <is>
          <t>—</t>
        </is>
      </c>
    </row>
    <row r="68" ht="20" customHeight="1" s="215">
      <c r="A68" s="50" t="n">
        <v>63</v>
      </c>
      <c r="B68" s="51" t="inlineStr">
        <is>
          <t>CSCO</t>
        </is>
      </c>
      <c r="C68" s="52" t="inlineStr">
        <is>
          <t>Cisco Systems</t>
        </is>
      </c>
      <c r="D68" s="53" t="inlineStr">
        <is>
          <t>Communication Equipment</t>
        </is>
      </c>
      <c r="E68" s="288" t="n">
        <v>106.5</v>
      </c>
      <c r="F68" s="289" t="n">
        <v>0.5059389</v>
      </c>
      <c r="G68" s="290" t="n">
        <v>419.885514752</v>
      </c>
      <c r="H68" s="289" t="n">
        <v>0.176</v>
      </c>
      <c r="I68" s="291" t="n">
        <v>0.64524</v>
      </c>
      <c r="J68" s="292" t="n">
        <v>31.981983</v>
      </c>
      <c r="K68" s="299" t="n">
        <v>11182.624768</v>
      </c>
      <c r="L68" s="290" t="n">
        <v>132.2053204769664</v>
      </c>
      <c r="M68" s="300" t="n">
        <v>-0.6851396015529334</v>
      </c>
      <c r="N68" s="292" t="n">
        <v>37.54802746990464</v>
      </c>
      <c r="O68" s="206" t="inlineStr">
        <is>
          <t>—</t>
        </is>
      </c>
      <c r="P68" s="206" t="inlineStr">
        <is>
          <t>—</t>
        </is>
      </c>
      <c r="Q68" s="206" t="inlineStr">
        <is>
          <t>—</t>
        </is>
      </c>
      <c r="R68" s="206" t="inlineStr">
        <is>
          <t>—</t>
        </is>
      </c>
      <c r="S68" s="206" t="inlineStr">
        <is>
          <t>—</t>
        </is>
      </c>
    </row>
    <row r="69" ht="20" customHeight="1" s="215">
      <c r="A69" s="54" t="n">
        <v>64</v>
      </c>
      <c r="B69" s="55" t="inlineStr">
        <is>
          <t>QCOM</t>
        </is>
      </c>
      <c r="C69" s="56" t="inlineStr">
        <is>
          <t>Qualcomm</t>
        </is>
      </c>
      <c r="D69" s="57" t="inlineStr">
        <is>
          <t>Semiconductors</t>
        </is>
      </c>
      <c r="E69" s="294" t="n">
        <v>173.53</v>
      </c>
      <c r="F69" s="289" t="n">
        <v>0.027838707</v>
      </c>
      <c r="G69" s="295" t="n">
        <v>185.302188032</v>
      </c>
      <c r="H69" s="300" t="n">
        <v>-0.04</v>
      </c>
      <c r="I69" s="296" t="n">
        <v>0.54226</v>
      </c>
      <c r="J69" s="297" t="n">
        <v>20.08449</v>
      </c>
      <c r="K69" s="301" t="n">
        <v>10241.000448</v>
      </c>
      <c r="L69" s="295" t="n">
        <v>49.98333561457887</v>
      </c>
      <c r="M69" s="300" t="n">
        <v>-0.7302604132988046</v>
      </c>
      <c r="N69" s="297" t="n">
        <v>18.0941491596066</v>
      </c>
      <c r="O69" s="207" t="inlineStr">
        <is>
          <t>—</t>
        </is>
      </c>
      <c r="P69" s="207" t="inlineStr">
        <is>
          <t>—</t>
        </is>
      </c>
      <c r="Q69" s="207" t="inlineStr">
        <is>
          <t>—</t>
        </is>
      </c>
      <c r="R69" s="207" t="inlineStr">
        <is>
          <t>—</t>
        </is>
      </c>
      <c r="S69" s="207" t="inlineStr">
        <is>
          <t>—</t>
        </is>
      </c>
    </row>
    <row r="70" ht="20" customHeight="1" s="215">
      <c r="A70" s="50" t="n">
        <v>65</v>
      </c>
      <c r="B70" s="51" t="inlineStr">
        <is>
          <t>TTWO</t>
        </is>
      </c>
      <c r="C70" s="52" t="inlineStr">
        <is>
          <t>Take-Two Interactive</t>
        </is>
      </c>
      <c r="D70" s="53" t="inlineStr">
        <is>
          <t>Electronic Gaming &amp; Multimedia</t>
        </is>
      </c>
      <c r="E70" s="288" t="n">
        <v>204.92</v>
      </c>
      <c r="F70" s="300" t="n">
        <v>-0.21269405</v>
      </c>
      <c r="G70" s="290" t="n">
        <v>38.316032</v>
      </c>
      <c r="H70" s="289" t="n">
        <v>0.02</v>
      </c>
      <c r="I70" s="291" t="n">
        <v>0.57126</v>
      </c>
      <c r="J70" s="292" t="n">
        <v>19.910282</v>
      </c>
      <c r="K70" s="299" t="n">
        <v>1256.137472</v>
      </c>
      <c r="L70" s="290" t="n">
        <v>10.22949144067861</v>
      </c>
      <c r="M70" s="300" t="n">
        <v>-0.7330232044727749</v>
      </c>
      <c r="N70" s="292" t="n">
        <v>30.50305657911302</v>
      </c>
      <c r="O70" s="206" t="inlineStr">
        <is>
          <t>—</t>
        </is>
      </c>
      <c r="P70" s="206" t="inlineStr">
        <is>
          <t>—</t>
        </is>
      </c>
      <c r="Q70" s="206" t="inlineStr">
        <is>
          <t>—</t>
        </is>
      </c>
      <c r="R70" s="206" t="inlineStr">
        <is>
          <t>—</t>
        </is>
      </c>
      <c r="S70" s="206" t="inlineStr">
        <is>
          <t>—</t>
        </is>
      </c>
    </row>
    <row r="71" ht="20" customHeight="1" s="215">
      <c r="A71" s="54" t="n">
        <v>66</v>
      </c>
      <c r="B71" s="55" t="inlineStr">
        <is>
          <t>PAYX</t>
        </is>
      </c>
      <c r="C71" s="56" t="inlineStr">
        <is>
          <t>Paychex</t>
        </is>
      </c>
      <c r="D71" s="57" t="inlineStr">
        <is>
          <t>Staffing &amp; Employment Services</t>
        </is>
      </c>
      <c r="E71" s="294" t="n">
        <v>110.75</v>
      </c>
      <c r="F71" s="300" t="n">
        <v>-0.13164496</v>
      </c>
      <c r="G71" s="295" t="n">
        <v>39.42483968</v>
      </c>
      <c r="H71" s="289" t="n">
        <v>0.059</v>
      </c>
      <c r="I71" s="296" t="n">
        <v>0.74391997</v>
      </c>
      <c r="J71" s="297" t="n">
        <v>21.974207</v>
      </c>
      <c r="K71" s="301" t="n">
        <v>1887.112448</v>
      </c>
      <c r="L71" s="295" t="n">
        <v>15.68545765993868</v>
      </c>
      <c r="M71" s="300" t="n">
        <v>-0.602142766153192</v>
      </c>
      <c r="N71" s="297" t="n">
        <v>20.89162064853805</v>
      </c>
      <c r="O71" s="207" t="inlineStr">
        <is>
          <t>—</t>
        </is>
      </c>
      <c r="P71" s="207" t="inlineStr">
        <is>
          <t>—</t>
        </is>
      </c>
      <c r="Q71" s="207" t="inlineStr">
        <is>
          <t>—</t>
        </is>
      </c>
      <c r="R71" s="207" t="inlineStr">
        <is>
          <t>—</t>
        </is>
      </c>
      <c r="S71" s="207" t="inlineStr">
        <is>
          <t>—</t>
        </is>
      </c>
    </row>
    <row r="72" ht="20" customHeight="1" s="215">
      <c r="A72" s="50" t="n">
        <v>67</v>
      </c>
      <c r="B72" s="51" t="inlineStr">
        <is>
          <t>MCHP</t>
        </is>
      </c>
      <c r="C72" s="52" t="inlineStr">
        <is>
          <t>Microchip Technology</t>
        </is>
      </c>
      <c r="D72" s="53" t="inlineStr">
        <is>
          <t>Semiconductors</t>
        </is>
      </c>
      <c r="E72" s="288" t="n">
        <v>74.43000000000001</v>
      </c>
      <c r="F72" s="289" t="n">
        <v>0.1023401</v>
      </c>
      <c r="G72" s="290" t="n">
        <v>40.416137216</v>
      </c>
      <c r="H72" s="289" t="n">
        <v>0.38</v>
      </c>
      <c r="I72" s="291" t="n">
        <v>0.60194</v>
      </c>
      <c r="J72" s="292" t="n">
        <v>109.45588</v>
      </c>
      <c r="K72" s="299" t="n">
        <v>1364.762496</v>
      </c>
      <c r="L72" s="290" t="n">
        <v>14.25517118104004</v>
      </c>
      <c r="M72" s="300" t="n">
        <v>-0.6472901132323778</v>
      </c>
      <c r="N72" s="292" t="n">
        <v>29.61404419419949</v>
      </c>
      <c r="O72" s="206" t="inlineStr">
        <is>
          <t>—</t>
        </is>
      </c>
      <c r="P72" s="206" t="inlineStr">
        <is>
          <t>—</t>
        </is>
      </c>
      <c r="Q72" s="206" t="inlineStr">
        <is>
          <t>—</t>
        </is>
      </c>
      <c r="R72" s="206" t="inlineStr">
        <is>
          <t>—</t>
        </is>
      </c>
      <c r="S72" s="206" t="inlineStr">
        <is>
          <t>—</t>
        </is>
      </c>
    </row>
    <row r="73" ht="20" customHeight="1" s="215">
      <c r="A73" s="54" t="n">
        <v>68</v>
      </c>
      <c r="B73" s="55" t="inlineStr">
        <is>
          <t>VRSK</t>
        </is>
      </c>
      <c r="C73" s="56" t="inlineStr">
        <is>
          <t>Verisk Analytics</t>
        </is>
      </c>
      <c r="D73" s="57" t="inlineStr">
        <is>
          <t>Consulting Services</t>
        </is>
      </c>
      <c r="E73" s="294" t="n">
        <v>189.21</v>
      </c>
      <c r="F73" s="300" t="n">
        <v>-0.20174664</v>
      </c>
      <c r="G73" s="295" t="n">
        <v>24.790642688</v>
      </c>
      <c r="H73" s="289" t="n">
        <v>0.044</v>
      </c>
      <c r="I73" s="296" t="n">
        <v>0.70179003</v>
      </c>
      <c r="J73" s="297" t="n">
        <v>29.064516</v>
      </c>
      <c r="K73" s="301" t="n">
        <v>1055.550016</v>
      </c>
      <c r="L73" s="295" t="n">
        <v>6.87941984169682</v>
      </c>
      <c r="M73" s="300" t="n">
        <v>-0.7224993345966449</v>
      </c>
      <c r="N73" s="297" t="n">
        <v>23.48599495109098</v>
      </c>
      <c r="O73" s="207" t="inlineStr">
        <is>
          <t>—</t>
        </is>
      </c>
      <c r="P73" s="207" t="inlineStr">
        <is>
          <t>—</t>
        </is>
      </c>
      <c r="Q73" s="207" t="inlineStr">
        <is>
          <t>—</t>
        </is>
      </c>
      <c r="R73" s="207" t="inlineStr">
        <is>
          <t>—</t>
        </is>
      </c>
      <c r="S73" s="207" t="inlineStr">
        <is>
          <t>—</t>
        </is>
      </c>
    </row>
    <row r="74" ht="20" customHeight="1" s="215">
      <c r="A74" s="50" t="n">
        <v>69</v>
      </c>
      <c r="B74" s="51" t="inlineStr">
        <is>
          <t>CDNS</t>
        </is>
      </c>
      <c r="C74" s="52" t="inlineStr">
        <is>
          <t>Cadence Design Systems</t>
        </is>
      </c>
      <c r="D74" s="53" t="inlineStr">
        <is>
          <t>Software - Application</t>
        </is>
      </c>
      <c r="E74" s="288" t="n">
        <v>325.86</v>
      </c>
      <c r="F74" s="300" t="n">
        <v>-0.02276206</v>
      </c>
      <c r="G74" s="290" t="n">
        <v>89.877397504</v>
      </c>
      <c r="H74" s="289" t="n">
        <v>0.242</v>
      </c>
      <c r="I74" s="291" t="n">
        <v>0.85871005</v>
      </c>
      <c r="J74" s="292" t="n">
        <v>64.783295</v>
      </c>
      <c r="K74" s="299" t="n">
        <v>1609.676544</v>
      </c>
      <c r="L74" s="290" t="n">
        <v>20.09466534547617</v>
      </c>
      <c r="M74" s="300" t="n">
        <v>-0.776421370627895</v>
      </c>
      <c r="N74" s="292" t="n">
        <v>55.8356907758979</v>
      </c>
      <c r="O74" s="206" t="inlineStr">
        <is>
          <t>—</t>
        </is>
      </c>
      <c r="P74" s="206" t="inlineStr">
        <is>
          <t>—</t>
        </is>
      </c>
      <c r="Q74" s="206" t="inlineStr">
        <is>
          <t>—</t>
        </is>
      </c>
      <c r="R74" s="206" t="inlineStr">
        <is>
          <t>—</t>
        </is>
      </c>
      <c r="S74" s="206" t="inlineStr">
        <is>
          <t>—</t>
        </is>
      </c>
    </row>
    <row r="75" ht="20" customHeight="1" s="215">
      <c r="A75" s="54" t="n">
        <v>70</v>
      </c>
      <c r="B75" s="55" t="inlineStr">
        <is>
          <t>BMY</t>
        </is>
      </c>
      <c r="C75" s="56" t="inlineStr">
        <is>
          <t>Bristol-Myers Squibb</t>
        </is>
      </c>
      <c r="D75" s="57" t="inlineStr">
        <is>
          <t>Drug Manufacturers - General</t>
        </is>
      </c>
      <c r="E75" s="294" t="n">
        <v>58.83</v>
      </c>
      <c r="F75" s="289" t="n">
        <v>0.32083523</v>
      </c>
      <c r="G75" s="295" t="n">
        <v>120.172904448</v>
      </c>
      <c r="H75" s="289" t="n">
        <v>0.057</v>
      </c>
      <c r="I75" s="296" t="n">
        <v>0.71661</v>
      </c>
      <c r="J75" s="297" t="n">
        <v>12.95815</v>
      </c>
      <c r="K75" s="301" t="n">
        <v>8114.375168</v>
      </c>
      <c r="L75" s="295" t="n">
        <v>84.7684103350099</v>
      </c>
      <c r="M75" s="300" t="n">
        <v>-0.2946129518597927</v>
      </c>
      <c r="N75" s="297" t="n">
        <v>14.80987762143364</v>
      </c>
      <c r="O75" s="207" t="inlineStr">
        <is>
          <t>—</t>
        </is>
      </c>
      <c r="P75" s="207" t="inlineStr">
        <is>
          <t>—</t>
        </is>
      </c>
      <c r="Q75" s="207" t="inlineStr">
        <is>
          <t>—</t>
        </is>
      </c>
      <c r="R75" s="207" t="inlineStr">
        <is>
          <t>—</t>
        </is>
      </c>
      <c r="S75" s="207" t="inlineStr">
        <is>
          <t>—</t>
        </is>
      </c>
    </row>
    <row r="76" ht="20" customHeight="1" s="215">
      <c r="A76" s="50" t="n">
        <v>71</v>
      </c>
      <c r="B76" s="51" t="inlineStr">
        <is>
          <t>MCD</t>
        </is>
      </c>
      <c r="C76" s="52" t="inlineStr">
        <is>
          <t>McDonald's</t>
        </is>
      </c>
      <c r="D76" s="53" t="inlineStr">
        <is>
          <t>Restaurants</t>
        </is>
      </c>
      <c r="E76" s="288" t="n">
        <v>242.67</v>
      </c>
      <c r="F76" s="300" t="n">
        <v>-0.21077794</v>
      </c>
      <c r="G76" s="290" t="n">
        <v>171.723374592</v>
      </c>
      <c r="H76" s="289" t="n">
        <v>0.037</v>
      </c>
      <c r="I76" s="291" t="n">
        <v>0.57382</v>
      </c>
      <c r="J76" s="292" t="n">
        <v>19.71324</v>
      </c>
      <c r="K76" s="299" t="n">
        <v>6262.374912</v>
      </c>
      <c r="L76" s="290" t="n">
        <v>38.09575020886079</v>
      </c>
      <c r="M76" s="300" t="n">
        <v>-0.7781562917723169</v>
      </c>
      <c r="N76" s="292" t="n">
        <v>27.42144517708651</v>
      </c>
      <c r="O76" s="206" t="inlineStr">
        <is>
          <t>—</t>
        </is>
      </c>
      <c r="P76" s="206" t="inlineStr">
        <is>
          <t>—</t>
        </is>
      </c>
      <c r="Q76" s="206" t="inlineStr">
        <is>
          <t>—</t>
        </is>
      </c>
      <c r="R76" s="206" t="inlineStr">
        <is>
          <t>—</t>
        </is>
      </c>
      <c r="S76" s="206" t="inlineStr">
        <is>
          <t>—</t>
        </is>
      </c>
    </row>
    <row r="77" ht="20" customHeight="1" s="215">
      <c r="A77" s="54" t="n">
        <v>72</v>
      </c>
      <c r="B77" s="55" t="inlineStr">
        <is>
          <t>CSX</t>
        </is>
      </c>
      <c r="C77" s="56" t="inlineStr">
        <is>
          <t>CSX</t>
        </is>
      </c>
      <c r="D77" s="57" t="inlineStr">
        <is>
          <t>Railroads</t>
        </is>
      </c>
      <c r="E77" s="294" t="n">
        <v>47.88</v>
      </c>
      <c r="F77" s="289" t="n">
        <v>0.34005034</v>
      </c>
      <c r="G77" s="295" t="n">
        <v>88.69649612800001</v>
      </c>
      <c r="H77" s="289" t="n">
        <v>0.101</v>
      </c>
      <c r="I77" s="296" t="n">
        <v>0.47070998</v>
      </c>
      <c r="J77" s="297" t="n">
        <v>27.83721</v>
      </c>
      <c r="K77" s="301" t="n">
        <v>1953.250048</v>
      </c>
      <c r="L77" s="295" t="n">
        <v>17.04186331304648</v>
      </c>
      <c r="M77" s="300" t="n">
        <v>-0.8078631732142726</v>
      </c>
      <c r="N77" s="297" t="n">
        <v>45.4097001644922</v>
      </c>
      <c r="O77" s="207" t="inlineStr">
        <is>
          <t>—</t>
        </is>
      </c>
      <c r="P77" s="207" t="inlineStr">
        <is>
          <t>—</t>
        </is>
      </c>
      <c r="Q77" s="207" t="inlineStr">
        <is>
          <t>—</t>
        </is>
      </c>
      <c r="R77" s="207" t="inlineStr">
        <is>
          <t>—</t>
        </is>
      </c>
      <c r="S77" s="207" t="inlineStr">
        <is>
          <t>—</t>
        </is>
      </c>
    </row>
    <row r="78" ht="20" customHeight="1" s="215">
      <c r="A78" s="50" t="n">
        <v>73</v>
      </c>
      <c r="B78" s="51" t="inlineStr">
        <is>
          <t>ISRG</t>
        </is>
      </c>
      <c r="C78" s="52" t="inlineStr">
        <is>
          <t>Intuitive Surgical</t>
        </is>
      </c>
      <c r="D78" s="53" t="inlineStr">
        <is>
          <t>Medical Instruments &amp; Supplies</t>
        </is>
      </c>
      <c r="E78" s="288" t="n">
        <v>433.18</v>
      </c>
      <c r="F78" s="300" t="n">
        <v>-0.063880384</v>
      </c>
      <c r="G78" s="290" t="n">
        <v>153.032982528</v>
      </c>
      <c r="H78" s="289" t="n">
        <v>0.185</v>
      </c>
      <c r="I78" s="291" t="n">
        <v>0.66679</v>
      </c>
      <c r="J78" s="292" t="n">
        <v>49.6766</v>
      </c>
      <c r="K78" s="299" t="n">
        <v>2615.2</v>
      </c>
      <c r="L78" s="290" t="n">
        <v>38.24114005930413</v>
      </c>
      <c r="M78" s="300" t="n">
        <v>-0.7501117770327239</v>
      </c>
      <c r="N78" s="292" t="n">
        <v>58.51674078496482</v>
      </c>
      <c r="O78" s="206" t="inlineStr">
        <is>
          <t>—</t>
        </is>
      </c>
      <c r="P78" s="206" t="inlineStr">
        <is>
          <t>—</t>
        </is>
      </c>
      <c r="Q78" s="206" t="inlineStr">
        <is>
          <t>—</t>
        </is>
      </c>
      <c r="R78" s="206" t="inlineStr">
        <is>
          <t>—</t>
        </is>
      </c>
      <c r="S78" s="206" t="inlineStr">
        <is>
          <t>—</t>
        </is>
      </c>
    </row>
    <row r="79" ht="20" customHeight="1" s="215">
      <c r="A79" s="54" t="n">
        <v>74</v>
      </c>
      <c r="B79" s="55" t="inlineStr">
        <is>
          <t>ROP</t>
        </is>
      </c>
      <c r="C79" s="56" t="inlineStr">
        <is>
          <t>Roper Technologies</t>
        </is>
      </c>
      <c r="D79" s="57" t="inlineStr">
        <is>
          <t>Specialty Industrial Machinery</t>
        </is>
      </c>
      <c r="E79" s="294" t="n">
        <v>383.5</v>
      </c>
      <c r="F79" s="300" t="n">
        <v>-0.2546451</v>
      </c>
      <c r="G79" s="295" t="n">
        <v>37.928484864</v>
      </c>
      <c r="H79" s="289" t="n">
        <v>0.08500000000000001</v>
      </c>
      <c r="I79" s="296" t="n">
        <v>0.69525003</v>
      </c>
      <c r="J79" s="297" t="n">
        <v>15.979167</v>
      </c>
      <c r="K79" s="301" t="n">
        <v>2265.687552</v>
      </c>
      <c r="L79" s="295" t="n">
        <v>20.93172983578339</v>
      </c>
      <c r="M79" s="300" t="n">
        <v>-0.4481263907367194</v>
      </c>
      <c r="N79" s="297" t="n">
        <v>16.74038644274637</v>
      </c>
      <c r="O79" s="207" t="inlineStr">
        <is>
          <t>—</t>
        </is>
      </c>
      <c r="P79" s="207" t="inlineStr">
        <is>
          <t>—</t>
        </is>
      </c>
      <c r="Q79" s="207" t="inlineStr">
        <is>
          <t>—</t>
        </is>
      </c>
      <c r="R79" s="207" t="inlineStr">
        <is>
          <t>—</t>
        </is>
      </c>
      <c r="S79" s="207" t="inlineStr">
        <is>
          <t>—</t>
        </is>
      </c>
    </row>
    <row r="80" ht="20" customHeight="1" s="215">
      <c r="A80" s="50" t="n">
        <v>75</v>
      </c>
      <c r="B80" s="51" t="inlineStr">
        <is>
          <t>FFIV</t>
        </is>
      </c>
      <c r="C80" s="52" t="inlineStr">
        <is>
          <t>F5 Networks</t>
        </is>
      </c>
      <c r="D80" s="53" t="inlineStr">
        <is>
          <t>Software - Infrastructure</t>
        </is>
      </c>
      <c r="E80" s="288" t="n">
        <v>450.8</v>
      </c>
      <c r="F80" s="289" t="n">
        <v>0.5066341</v>
      </c>
      <c r="G80" s="290" t="n">
        <v>25.527533568</v>
      </c>
      <c r="H80" s="289" t="n">
        <v>0.109</v>
      </c>
      <c r="I80" s="291" t="n">
        <v>0.81865996</v>
      </c>
      <c r="J80" s="292" t="n">
        <v>35.92032</v>
      </c>
      <c r="K80" s="299" t="n">
        <v>717.135488</v>
      </c>
      <c r="L80" s="290" t="n">
        <v>8.522724356699449</v>
      </c>
      <c r="M80" s="300" t="n">
        <v>-0.6661360043265951</v>
      </c>
      <c r="N80" s="292" t="n">
        <v>35.5965282331698</v>
      </c>
      <c r="O80" s="206" t="inlineStr">
        <is>
          <t>—</t>
        </is>
      </c>
      <c r="P80" s="206" t="inlineStr">
        <is>
          <t>—</t>
        </is>
      </c>
      <c r="Q80" s="206" t="inlineStr">
        <is>
          <t>—</t>
        </is>
      </c>
      <c r="R80" s="206" t="inlineStr">
        <is>
          <t>—</t>
        </is>
      </c>
      <c r="S80" s="206" t="inlineStr">
        <is>
          <t>—</t>
        </is>
      </c>
    </row>
    <row r="81" ht="20" customHeight="1" s="215">
      <c r="A81" s="54" t="n">
        <v>76</v>
      </c>
      <c r="B81" s="55" t="inlineStr">
        <is>
          <t>NOW</t>
        </is>
      </c>
      <c r="C81" s="56" t="inlineStr">
        <is>
          <t>ServiceNow</t>
        </is>
      </c>
      <c r="D81" s="57" t="inlineStr">
        <is>
          <t>Software - Application</t>
        </is>
      </c>
      <c r="E81" s="294" t="n">
        <v>145.36</v>
      </c>
      <c r="F81" s="300" t="n">
        <v>-0.22804034</v>
      </c>
      <c r="G81" s="295" t="n">
        <v>150.282190848</v>
      </c>
      <c r="H81" s="289" t="n">
        <v>0.24</v>
      </c>
      <c r="I81" s="296" t="n">
        <v>0.74768996</v>
      </c>
      <c r="J81" s="297" t="n">
        <v>90.84999999999999</v>
      </c>
      <c r="K81" s="301" t="n">
        <v>5149.374976</v>
      </c>
      <c r="L81" s="295" t="n">
        <v>64.11999284013598</v>
      </c>
      <c r="M81" s="300" t="n">
        <v>-0.5733360521408095</v>
      </c>
      <c r="N81" s="297" t="n">
        <v>29.18454783744225</v>
      </c>
      <c r="O81" s="207" t="inlineStr">
        <is>
          <t>—</t>
        </is>
      </c>
      <c r="P81" s="207" t="inlineStr">
        <is>
          <t>—</t>
        </is>
      </c>
      <c r="Q81" s="207" t="inlineStr">
        <is>
          <t>—</t>
        </is>
      </c>
      <c r="R81" s="207" t="inlineStr">
        <is>
          <t>—</t>
        </is>
      </c>
      <c r="S81" s="207" t="inlineStr">
        <is>
          <t>—</t>
        </is>
      </c>
    </row>
    <row r="82" ht="20" customHeight="1" s="215">
      <c r="A82" s="50" t="n">
        <v>77</v>
      </c>
      <c r="B82" s="51" t="inlineStr">
        <is>
          <t>REGN</t>
        </is>
      </c>
      <c r="C82" s="52" t="inlineStr">
        <is>
          <t>Regeneron Pharmaceuticals</t>
        </is>
      </c>
      <c r="D82" s="53" t="inlineStr">
        <is>
          <t>Biotechnology</t>
        </is>
      </c>
      <c r="E82" s="288" t="n">
        <v>782.04</v>
      </c>
      <c r="F82" s="289" t="n">
        <v>0.34988093</v>
      </c>
      <c r="G82" s="290" t="n">
        <v>80.514916352</v>
      </c>
      <c r="H82" s="289" t="n">
        <v>0.167</v>
      </c>
      <c r="I82" s="291" t="n">
        <v>0.44458</v>
      </c>
      <c r="J82" s="292" t="n">
        <v>19.33828</v>
      </c>
      <c r="K82" s="299" t="n">
        <v>3065.299968</v>
      </c>
      <c r="L82" s="290" t="n">
        <v>38.67211632334682</v>
      </c>
      <c r="M82" s="300" t="n">
        <v>-0.5196900391192395</v>
      </c>
      <c r="N82" s="292" t="n">
        <v>25.80296831741591</v>
      </c>
      <c r="O82" s="206" t="inlineStr">
        <is>
          <t>—</t>
        </is>
      </c>
      <c r="P82" s="206" t="inlineStr">
        <is>
          <t>—</t>
        </is>
      </c>
      <c r="Q82" s="206" t="inlineStr">
        <is>
          <t>—</t>
        </is>
      </c>
      <c r="R82" s="206" t="inlineStr">
        <is>
          <t>—</t>
        </is>
      </c>
      <c r="S82" s="206" t="inlineStr">
        <is>
          <t>—</t>
        </is>
      </c>
    </row>
    <row r="83" ht="20" customHeight="1" s="215">
      <c r="A83" s="54" t="n">
        <v>78</v>
      </c>
      <c r="B83" s="55" t="inlineStr">
        <is>
          <t>ALGN</t>
        </is>
      </c>
      <c r="C83" s="56" t="inlineStr">
        <is>
          <t>Align Tech</t>
        </is>
      </c>
      <c r="D83" s="57" t="inlineStr">
        <is>
          <t>Medical Devices</t>
        </is>
      </c>
      <c r="E83" s="294" t="n">
        <v>149</v>
      </c>
      <c r="F83" s="289" t="n">
        <v>0.093818784</v>
      </c>
      <c r="G83" s="295" t="n">
        <v>10.584938496</v>
      </c>
      <c r="H83" s="289" t="n">
        <v>0.043</v>
      </c>
      <c r="I83" s="296" t="n">
        <v>0.70741</v>
      </c>
      <c r="J83" s="297" t="n">
        <v>25.913044</v>
      </c>
      <c r="K83" s="301" t="n">
        <v>594.11136</v>
      </c>
      <c r="L83" s="295" t="n">
        <v>6.011081299997973</v>
      </c>
      <c r="M83" s="300" t="n">
        <v>-0.4321099454409175</v>
      </c>
      <c r="N83" s="297" t="n">
        <v>17.8164207262423</v>
      </c>
      <c r="O83" s="207" t="inlineStr">
        <is>
          <t>—</t>
        </is>
      </c>
      <c r="P83" s="207" t="inlineStr">
        <is>
          <t>—</t>
        </is>
      </c>
      <c r="Q83" s="207" t="inlineStr">
        <is>
          <t>—</t>
        </is>
      </c>
      <c r="R83" s="207" t="inlineStr">
        <is>
          <t>—</t>
        </is>
      </c>
      <c r="S83" s="207" t="inlineStr">
        <is>
          <t>—</t>
        </is>
      </c>
    </row>
    <row r="84" ht="20" customHeight="1" s="215">
      <c r="A84" s="50" t="n">
        <v>79</v>
      </c>
      <c r="B84" s="51" t="inlineStr">
        <is>
          <t>SWKS</t>
        </is>
      </c>
      <c r="C84" s="52" t="inlineStr">
        <is>
          <t>Skyworks Solutions</t>
        </is>
      </c>
      <c r="D84" s="53" t="inlineStr">
        <is>
          <t>Semiconductors</t>
        </is>
      </c>
      <c r="E84" s="288" t="n">
        <v>80.23</v>
      </c>
      <c r="F84" s="289" t="n">
        <v>0.050130844</v>
      </c>
      <c r="G84" s="290" t="n">
        <v>18.86733312</v>
      </c>
      <c r="H84" s="300" t="n">
        <v>-0.031</v>
      </c>
      <c r="I84" s="291" t="n">
        <v>0.40734002</v>
      </c>
      <c r="J84" s="292" t="n">
        <v>41.56995</v>
      </c>
      <c r="K84" s="299" t="n">
        <v>448.812512</v>
      </c>
      <c r="L84" s="290" t="n">
        <v>2.482158301966117</v>
      </c>
      <c r="M84" s="300" t="n">
        <v>-0.8684414863415463</v>
      </c>
      <c r="N84" s="292" t="n">
        <v>42.03833781770772</v>
      </c>
      <c r="O84" s="206" t="inlineStr">
        <is>
          <t>—</t>
        </is>
      </c>
      <c r="P84" s="206" t="inlineStr">
        <is>
          <t>—</t>
        </is>
      </c>
      <c r="Q84" s="206" t="inlineStr">
        <is>
          <t>—</t>
        </is>
      </c>
      <c r="R84" s="206" t="inlineStr">
        <is>
          <t>—</t>
        </is>
      </c>
      <c r="S84" s="206" t="inlineStr">
        <is>
          <t>—</t>
        </is>
      </c>
    </row>
    <row r="85" ht="20" customHeight="1" s="215">
      <c r="A85" s="54" t="n">
        <v>80</v>
      </c>
      <c r="B85" s="55" t="inlineStr">
        <is>
          <t>AFL</t>
        </is>
      </c>
      <c r="C85" s="56" t="inlineStr">
        <is>
          <t>Aflac</t>
        </is>
      </c>
      <c r="D85" s="57" t="inlineStr">
        <is>
          <t>Insurance - Life</t>
        </is>
      </c>
      <c r="E85" s="294" t="n">
        <v>118.67</v>
      </c>
      <c r="F85" s="289" t="n">
        <v>0.096968055</v>
      </c>
      <c r="G85" s="295" t="n">
        <v>59.494408192</v>
      </c>
      <c r="H85" s="300" t="n">
        <v>-0.01</v>
      </c>
      <c r="I85" s="296" t="n">
        <v>0.50888</v>
      </c>
      <c r="J85" s="297" t="n">
        <v>12.760215</v>
      </c>
      <c r="K85" s="301" t="n">
        <v>5152.249856</v>
      </c>
      <c r="L85" s="295" t="n">
        <v>43.55167163011981</v>
      </c>
      <c r="M85" s="300" t="n">
        <v>-0.2679703361436909</v>
      </c>
      <c r="N85" s="297" t="n">
        <v>11.54726786092805</v>
      </c>
      <c r="O85" s="207" t="inlineStr">
        <is>
          <t>—</t>
        </is>
      </c>
      <c r="P85" s="207" t="inlineStr">
        <is>
          <t>—</t>
        </is>
      </c>
      <c r="Q85" s="207" t="inlineStr">
        <is>
          <t>—</t>
        </is>
      </c>
      <c r="R85" s="207" t="inlineStr">
        <is>
          <t>—</t>
        </is>
      </c>
      <c r="S85" s="207" t="inlineStr">
        <is>
          <t>—</t>
        </is>
      </c>
    </row>
    <row r="86" ht="20" customHeight="1" s="215">
      <c r="A86" s="50" t="n">
        <v>81</v>
      </c>
      <c r="B86" s="51" t="inlineStr">
        <is>
          <t>JNJ</t>
        </is>
      </c>
      <c r="C86" s="52" t="inlineStr">
        <is>
          <t>Johnson &amp; Johnson</t>
        </is>
      </c>
      <c r="D86" s="53" t="inlineStr">
        <is>
          <t>Drug Manufacturers - General</t>
        </is>
      </c>
      <c r="E86" s="288" t="n">
        <v>253.79</v>
      </c>
      <c r="F86" s="289" t="n">
        <v>0.3226496</v>
      </c>
      <c r="G86" s="290" t="n">
        <v>611.608100864</v>
      </c>
      <c r="H86" s="289" t="n">
        <v>0.059</v>
      </c>
      <c r="I86" s="291" t="n">
        <v>0.67754996</v>
      </c>
      <c r="J86" s="292" t="n">
        <v>38.51138</v>
      </c>
      <c r="K86" s="306" t="inlineStr">
        <is>
          <t>—</t>
        </is>
      </c>
      <c r="L86" s="307" t="inlineStr">
        <is>
          <t>—</t>
        </is>
      </c>
      <c r="M86" s="308" t="inlineStr">
        <is>
          <t>—</t>
        </is>
      </c>
      <c r="N86" s="309" t="inlineStr">
        <is>
          <t>—</t>
        </is>
      </c>
      <c r="O86" s="206" t="inlineStr">
        <is>
          <t>—</t>
        </is>
      </c>
      <c r="P86" s="206" t="inlineStr">
        <is>
          <t>—</t>
        </is>
      </c>
      <c r="Q86" s="206" t="inlineStr">
        <is>
          <t>—</t>
        </is>
      </c>
      <c r="R86" s="206" t="inlineStr">
        <is>
          <t>—</t>
        </is>
      </c>
      <c r="S86" s="206" t="inlineStr">
        <is>
          <t>—</t>
        </is>
      </c>
    </row>
    <row r="87" ht="20" customHeight="1" s="215">
      <c r="A87" s="54" t="n">
        <v>82</v>
      </c>
      <c r="B87" s="55" t="inlineStr">
        <is>
          <t>LRCX</t>
        </is>
      </c>
      <c r="C87" s="56" t="inlineStr">
        <is>
          <t>Lam Research</t>
        </is>
      </c>
      <c r="D87" s="57" t="inlineStr">
        <is>
          <t>Semiconductor Equipment &amp; Materials</t>
        </is>
      </c>
      <c r="E87" s="294" t="n">
        <v>272.2</v>
      </c>
      <c r="F87" s="289" t="n">
        <v>0.87672365</v>
      </c>
      <c r="G87" s="295" t="n">
        <v>340.637745152</v>
      </c>
      <c r="H87" s="289" t="n">
        <v>0.3</v>
      </c>
      <c r="I87" s="296" t="n">
        <v>0.50469</v>
      </c>
      <c r="J87" s="297" t="n">
        <v>47.256947</v>
      </c>
      <c r="K87" s="301" t="n">
        <v>3090.48448</v>
      </c>
      <c r="L87" s="295" t="n">
        <v>39.30624526037913</v>
      </c>
      <c r="M87" s="300" t="n">
        <v>-0.8846098360507881</v>
      </c>
      <c r="N87" s="297" t="n">
        <v>110.2214599493475</v>
      </c>
      <c r="O87" s="207" t="inlineStr">
        <is>
          <t>—</t>
        </is>
      </c>
      <c r="P87" s="207" t="inlineStr">
        <is>
          <t>—</t>
        </is>
      </c>
      <c r="Q87" s="207" t="inlineStr">
        <is>
          <t>—</t>
        </is>
      </c>
      <c r="R87" s="207" t="inlineStr">
        <is>
          <t>—</t>
        </is>
      </c>
      <c r="S87" s="207" t="inlineStr">
        <is>
          <t>—</t>
        </is>
      </c>
    </row>
    <row r="88" ht="20" customHeight="1" s="215">
      <c r="A88" s="50" t="n">
        <v>83</v>
      </c>
      <c r="B88" s="51" t="inlineStr">
        <is>
          <t>QRVO</t>
        </is>
      </c>
      <c r="C88" s="52" t="inlineStr">
        <is>
          <t>Qorvo</t>
        </is>
      </c>
      <c r="D88" s="53" t="inlineStr">
        <is>
          <t>Semiconductors</t>
        </is>
      </c>
      <c r="E88" s="288" t="n">
        <v>114.17</v>
      </c>
      <c r="F88" s="289" t="n">
        <v>0.2993058</v>
      </c>
      <c r="G88" s="290" t="n">
        <v>10.071849984</v>
      </c>
      <c r="H88" s="300" t="n">
        <v>-0.042</v>
      </c>
      <c r="I88" s="291" t="n">
        <v>0.48535</v>
      </c>
      <c r="J88" s="292" t="n">
        <v>26.48956</v>
      </c>
      <c r="K88" s="299" t="n">
        <v>476.142016</v>
      </c>
      <c r="L88" s="290" t="n">
        <v>2.955625994596339</v>
      </c>
      <c r="M88" s="300" t="n">
        <v>-0.7065458680091934</v>
      </c>
      <c r="N88" s="292" t="n">
        <v>21.15303689319869</v>
      </c>
      <c r="O88" s="206" t="inlineStr">
        <is>
          <t>—</t>
        </is>
      </c>
      <c r="P88" s="206" t="inlineStr">
        <is>
          <t>—</t>
        </is>
      </c>
      <c r="Q88" s="206" t="inlineStr">
        <is>
          <t>—</t>
        </is>
      </c>
      <c r="R88" s="206" t="inlineStr">
        <is>
          <t>—</t>
        </is>
      </c>
      <c r="S88" s="206" t="inlineStr">
        <is>
          <t>—</t>
        </is>
      </c>
    </row>
    <row r="89" ht="20" customHeight="1" s="215">
      <c r="A89" s="54" t="n">
        <v>84</v>
      </c>
      <c r="B89" s="55" t="inlineStr">
        <is>
          <t>AAPL</t>
        </is>
      </c>
      <c r="C89" s="56" t="inlineStr">
        <is>
          <t>Apple</t>
        </is>
      </c>
      <c r="D89" s="57" t="inlineStr">
        <is>
          <t>Consumer Electronics</t>
        </is>
      </c>
      <c r="E89" s="294" t="n">
        <v>342.94</v>
      </c>
      <c r="F89" s="289" t="n">
        <v>0.30509567</v>
      </c>
      <c r="G89" s="295" t="n">
        <v>5004.928221184</v>
      </c>
      <c r="H89" s="289" t="n">
        <v>0.164</v>
      </c>
      <c r="I89" s="296" t="n">
        <v>0.48653</v>
      </c>
      <c r="J89" s="297" t="n">
        <v>39.32798</v>
      </c>
      <c r="K89" s="301" t="n">
        <v>107721.875456</v>
      </c>
      <c r="L89" s="295" t="n">
        <v>1212.600866284285</v>
      </c>
      <c r="M89" s="300" t="n">
        <v>-0.7577186299791882</v>
      </c>
      <c r="N89" s="297" t="n">
        <v>46.46157586853665</v>
      </c>
      <c r="O89" s="211" t="inlineStr">
        <is>
          <t>YES</t>
        </is>
      </c>
      <c r="P89" s="212" t="n">
        <v>57.93</v>
      </c>
      <c r="Q89" s="211" t="inlineStr">
        <is>
          <t>Hold</t>
        </is>
      </c>
      <c r="R89" s="212" t="n">
        <v>39</v>
      </c>
      <c r="S89" s="213" t="inlineStr">
        <is>
          <t>227.9M sh, ~22.0% of portfolio. Q1-26 13F: UNCHANGED — Abel paused the trim. Drop from $61.96B is price (Q4 $271→Q1 $254). "Core four" — untouchable</t>
        </is>
      </c>
    </row>
    <row r="90" ht="20" customHeight="1" s="215">
      <c r="A90" s="50" t="n">
        <v>85</v>
      </c>
      <c r="B90" s="51" t="inlineStr">
        <is>
          <t>CF</t>
        </is>
      </c>
      <c r="C90" s="52" t="inlineStr">
        <is>
          <t>CF Industries Holdings</t>
        </is>
      </c>
      <c r="D90" s="53" t="inlineStr">
        <is>
          <t>Agricultural Inputs</t>
        </is>
      </c>
      <c r="E90" s="288" t="n">
        <v>118.51</v>
      </c>
      <c r="F90" s="289" t="n">
        <v>0.4228599</v>
      </c>
      <c r="G90" s="290" t="n">
        <v>17.935081472</v>
      </c>
      <c r="H90" s="289" t="n">
        <v>0.176</v>
      </c>
      <c r="I90" s="291" t="n">
        <v>0.42486</v>
      </c>
      <c r="J90" s="292" t="n">
        <v>8.791543000000001</v>
      </c>
      <c r="K90" s="299" t="n">
        <v>1276.749952</v>
      </c>
      <c r="L90" s="290" t="n">
        <v>16.35826549276725</v>
      </c>
      <c r="M90" s="300" t="n">
        <v>-0.08791797136212928</v>
      </c>
      <c r="N90" s="292" t="n">
        <v>14.04745052718044</v>
      </c>
      <c r="O90" s="206" t="inlineStr">
        <is>
          <t>—</t>
        </is>
      </c>
      <c r="P90" s="206" t="inlineStr">
        <is>
          <t>—</t>
        </is>
      </c>
      <c r="Q90" s="206" t="inlineStr">
        <is>
          <t>—</t>
        </is>
      </c>
      <c r="R90" s="206" t="inlineStr">
        <is>
          <t>—</t>
        </is>
      </c>
      <c r="S90" s="206" t="inlineStr">
        <is>
          <t>—</t>
        </is>
      </c>
    </row>
    <row r="91" ht="20" customHeight="1" s="215">
      <c r="A91" s="54" t="n">
        <v>86</v>
      </c>
      <c r="B91" s="55" t="inlineStr">
        <is>
          <t>MNST</t>
        </is>
      </c>
      <c r="C91" s="56" t="inlineStr">
        <is>
          <t>Monster Beverage</t>
        </is>
      </c>
      <c r="D91" s="57" t="inlineStr">
        <is>
          <t>Beverages - Non-Alcoholic</t>
        </is>
      </c>
      <c r="E91" s="294" t="n">
        <v>46.8</v>
      </c>
      <c r="F91" s="289" t="n">
        <v>0.3584906</v>
      </c>
      <c r="G91" s="295" t="n">
        <v>91.68361881600001</v>
      </c>
      <c r="H91" s="289" t="n">
        <v>0.202</v>
      </c>
      <c r="I91" s="296" t="n">
        <v>0.55546004</v>
      </c>
      <c r="J91" s="297" t="n">
        <v>43.333332</v>
      </c>
      <c r="K91" s="301" t="n">
        <v>1681.231104</v>
      </c>
      <c r="L91" s="295" t="n">
        <v>21.64585226483921</v>
      </c>
      <c r="M91" s="300" t="n">
        <v>-0.7639070910990075</v>
      </c>
      <c r="N91" s="297" t="n">
        <v>54.53362261563298</v>
      </c>
      <c r="O91" s="207" t="inlineStr">
        <is>
          <t>—</t>
        </is>
      </c>
      <c r="P91" s="207" t="inlineStr">
        <is>
          <t>—</t>
        </is>
      </c>
      <c r="Q91" s="207" t="inlineStr">
        <is>
          <t>—</t>
        </is>
      </c>
      <c r="R91" s="207" t="inlineStr">
        <is>
          <t>—</t>
        </is>
      </c>
      <c r="S91" s="207" t="inlineStr">
        <is>
          <t>—</t>
        </is>
      </c>
    </row>
    <row r="92" ht="20" customHeight="1" s="215">
      <c r="A92" s="50" t="n">
        <v>87</v>
      </c>
      <c r="B92" s="51" t="inlineStr">
        <is>
          <t>EBAY</t>
        </is>
      </c>
      <c r="C92" s="52" t="inlineStr">
        <is>
          <t>eBay</t>
        </is>
      </c>
      <c r="D92" s="53" t="inlineStr">
        <is>
          <t>Internet Retail</t>
        </is>
      </c>
      <c r="E92" s="288" t="n">
        <v>120.47</v>
      </c>
      <c r="F92" s="289" t="n">
        <v>0.2683723</v>
      </c>
      <c r="G92" s="290" t="n">
        <v>53.609152512</v>
      </c>
      <c r="H92" s="289" t="n">
        <v>0.148</v>
      </c>
      <c r="I92" s="291" t="n">
        <v>0.72052</v>
      </c>
      <c r="J92" s="292" t="n">
        <v>25.362106</v>
      </c>
      <c r="K92" s="299" t="n">
        <v>1579.62496</v>
      </c>
      <c r="L92" s="290" t="n">
        <v>17.41838147475374</v>
      </c>
      <c r="M92" s="300" t="n">
        <v>-0.6750856773784147</v>
      </c>
      <c r="N92" s="292" t="n">
        <v>33.9378975120778</v>
      </c>
      <c r="O92" s="206" t="inlineStr">
        <is>
          <t>—</t>
        </is>
      </c>
      <c r="P92" s="206" t="inlineStr">
        <is>
          <t>—</t>
        </is>
      </c>
      <c r="Q92" s="206" t="inlineStr">
        <is>
          <t>—</t>
        </is>
      </c>
      <c r="R92" s="206" t="inlineStr">
        <is>
          <t>—</t>
        </is>
      </c>
      <c r="S92" s="206" t="inlineStr">
        <is>
          <t>—</t>
        </is>
      </c>
    </row>
    <row r="93" ht="20" customHeight="1" s="215">
      <c r="A93" s="54" t="n">
        <v>88</v>
      </c>
      <c r="B93" s="55" t="inlineStr">
        <is>
          <t>UNP</t>
        </is>
      </c>
      <c r="C93" s="56" t="inlineStr">
        <is>
          <t>Union Pacific</t>
        </is>
      </c>
      <c r="D93" s="57" t="inlineStr">
        <is>
          <t>Railroads</t>
        </is>
      </c>
      <c r="E93" s="294" t="n">
        <v>287.01</v>
      </c>
      <c r="F93" s="289" t="n">
        <v>0.26692855</v>
      </c>
      <c r="G93" s="295" t="n">
        <v>170.505617408</v>
      </c>
      <c r="H93" s="289" t="n">
        <v>0.115</v>
      </c>
      <c r="I93" s="296" t="n">
        <v>0.56285</v>
      </c>
      <c r="J93" s="297" t="n">
        <v>23.258509</v>
      </c>
      <c r="K93" s="301" t="n">
        <v>4720.75008</v>
      </c>
      <c r="L93" s="295" t="n">
        <v>43.22683123046433</v>
      </c>
      <c r="M93" s="300" t="n">
        <v>-0.7464785507504565</v>
      </c>
      <c r="N93" s="297" t="n">
        <v>36.11832988222498</v>
      </c>
      <c r="O93" s="207" t="inlineStr">
        <is>
          <t>—</t>
        </is>
      </c>
      <c r="P93" s="207" t="inlineStr">
        <is>
          <t>—</t>
        </is>
      </c>
      <c r="Q93" s="207" t="inlineStr">
        <is>
          <t>—</t>
        </is>
      </c>
      <c r="R93" s="207" t="inlineStr">
        <is>
          <t>—</t>
        </is>
      </c>
      <c r="S93" s="207" t="inlineStr">
        <is>
          <t>—</t>
        </is>
      </c>
    </row>
    <row r="94" ht="20" customHeight="1" s="215">
      <c r="A94" s="54" t="n">
        <v>89</v>
      </c>
      <c r="B94" s="55" t="inlineStr">
        <is>
          <t>KLAC</t>
        </is>
      </c>
      <c r="C94" s="56" t="inlineStr">
        <is>
          <t>KLA</t>
        </is>
      </c>
      <c r="D94" s="57" t="inlineStr">
        <is>
          <t>Semiconductor Equipment &amp; Materials</t>
        </is>
      </c>
      <c r="E94" s="288" t="n">
        <v>166.4</v>
      </c>
      <c r="F94" s="289" t="n">
        <v>0.45019734</v>
      </c>
      <c r="G94" s="290" t="n">
        <v>217.153060864</v>
      </c>
      <c r="H94" s="289" t="n">
        <v>0.152</v>
      </c>
      <c r="I94" s="291" t="n">
        <v>0.6130100000000001</v>
      </c>
      <c r="J94" s="292" t="n">
        <v>45.464478</v>
      </c>
      <c r="K94" s="299" t="n">
        <v>2624.58752</v>
      </c>
      <c r="L94" s="290" t="n">
        <v>33.49329872346417</v>
      </c>
      <c r="M94" s="300" t="n">
        <v>-0.845761793132446</v>
      </c>
      <c r="N94" s="292" t="n">
        <v>82.73798401236016</v>
      </c>
      <c r="O94" s="206" t="inlineStr">
        <is>
          <t>—</t>
        </is>
      </c>
      <c r="P94" s="206" t="inlineStr">
        <is>
          <t>—</t>
        </is>
      </c>
      <c r="Q94" s="206" t="inlineStr">
        <is>
          <t>—</t>
        </is>
      </c>
      <c r="R94" s="206" t="inlineStr">
        <is>
          <t>—</t>
        </is>
      </c>
      <c r="S94" s="206" t="inlineStr">
        <is>
          <t>—</t>
        </is>
      </c>
    </row>
    <row r="95" ht="20" customHeight="1" s="215">
      <c r="A95" s="50" t="n">
        <v>90</v>
      </c>
      <c r="B95" s="51" t="inlineStr">
        <is>
          <t>TROW</t>
        </is>
      </c>
      <c r="C95" s="52" t="inlineStr">
        <is>
          <t>T. Rowe Price Group</t>
        </is>
      </c>
      <c r="D95" s="53" t="inlineStr">
        <is>
          <t>Asset Management</t>
        </is>
      </c>
      <c r="E95" s="294" t="n">
        <v>100.1</v>
      </c>
      <c r="F95" s="300" t="n">
        <v>-0.039808154</v>
      </c>
      <c r="G95" s="295" t="n">
        <v>21.352916992</v>
      </c>
      <c r="H95" s="289" t="n">
        <v>0.107</v>
      </c>
      <c r="I95" s="296" t="n">
        <v>0.51614</v>
      </c>
      <c r="J95" s="297" t="n">
        <v>10.0502</v>
      </c>
      <c r="K95" s="301" t="n">
        <v>2023.912448</v>
      </c>
      <c r="L95" s="295" t="n">
        <v>11.51148870125841</v>
      </c>
      <c r="M95" s="300" t="n">
        <v>-0.4608938579412236</v>
      </c>
      <c r="N95" s="297" t="n">
        <v>10.55031634698459</v>
      </c>
      <c r="O95" s="207" t="inlineStr">
        <is>
          <t>—</t>
        </is>
      </c>
      <c r="P95" s="207" t="inlineStr">
        <is>
          <t>—</t>
        </is>
      </c>
      <c r="Q95" s="207" t="inlineStr">
        <is>
          <t>—</t>
        </is>
      </c>
      <c r="R95" s="207" t="inlineStr">
        <is>
          <t>—</t>
        </is>
      </c>
      <c r="S95" s="207" t="inlineStr">
        <is>
          <t>—</t>
        </is>
      </c>
    </row>
    <row r="96" ht="20" customHeight="1" s="215">
      <c r="A96" s="54" t="n">
        <v>91</v>
      </c>
      <c r="B96" s="55" t="inlineStr">
        <is>
          <t>KO</t>
        </is>
      </c>
      <c r="C96" s="56" t="inlineStr">
        <is>
          <t>Coca-Cola</t>
        </is>
      </c>
      <c r="D96" s="57" t="inlineStr">
        <is>
          <t>Beverages - Non-Alcoholic</t>
        </is>
      </c>
      <c r="E96" s="288" t="n">
        <v>93.42</v>
      </c>
      <c r="F96" s="289" t="n">
        <v>0.31171024</v>
      </c>
      <c r="G96" s="290" t="n">
        <v>401.944117248</v>
      </c>
      <c r="H96" s="289" t="n">
        <v>0.067</v>
      </c>
      <c r="I96" s="291" t="n">
        <v>0.61888003</v>
      </c>
      <c r="J96" s="292" t="n">
        <v>28.054054</v>
      </c>
      <c r="K96" s="299" t="n">
        <v>5218.749952</v>
      </c>
      <c r="L96" s="290" t="n">
        <v>53.82003175972289</v>
      </c>
      <c r="M96" s="300" t="n">
        <v>-0.8661007103967244</v>
      </c>
      <c r="N96" s="292" t="n">
        <v>77.01923908560163</v>
      </c>
      <c r="O96" s="208" t="inlineStr">
        <is>
          <t>YES</t>
        </is>
      </c>
      <c r="P96" s="209" t="n">
        <v>30.41</v>
      </c>
      <c r="Q96" s="208" t="inlineStr">
        <is>
          <t>Hold</t>
        </is>
      </c>
      <c r="R96" s="209" t="n">
        <v>3.25</v>
      </c>
      <c r="S96" s="210" t="inlineStr">
        <is>
          <t>400M sh (9.3% of KO), 11.6% of portfolio. Q1-26: UNCHANGED. Held since 1988. "Core four" forever</t>
        </is>
      </c>
    </row>
    <row r="97" ht="20" customHeight="1" s="215">
      <c r="A97" s="54" t="n">
        <v>92</v>
      </c>
      <c r="B97" s="55" t="inlineStr">
        <is>
          <t>CFG</t>
        </is>
      </c>
      <c r="C97" s="56" t="inlineStr">
        <is>
          <t>Citizens Financial Group</t>
        </is>
      </c>
      <c r="D97" s="57" t="inlineStr">
        <is>
          <t>Banks - Regional</t>
        </is>
      </c>
      <c r="E97" s="294" t="n">
        <v>62.76</v>
      </c>
      <c r="F97" s="289" t="n">
        <v>0.2347039</v>
      </c>
      <c r="G97" s="295" t="n">
        <v>26.43305472</v>
      </c>
      <c r="H97" s="289" t="n">
        <v>0.119</v>
      </c>
      <c r="I97" s="296" t="n">
        <v>0</v>
      </c>
      <c r="J97" s="297" t="n">
        <v>13.673202</v>
      </c>
      <c r="K97" s="298" t="inlineStr">
        <is>
          <t>—</t>
        </is>
      </c>
      <c r="L97" s="295" t="n">
        <v>10.08580410922913</v>
      </c>
      <c r="M97" s="300" t="n">
        <v>-0.6184397067964329</v>
      </c>
      <c r="N97" s="298" t="inlineStr">
        <is>
          <t>—</t>
        </is>
      </c>
      <c r="O97" s="207" t="inlineStr">
        <is>
          <t>—</t>
        </is>
      </c>
      <c r="P97" s="207" t="inlineStr">
        <is>
          <t>—</t>
        </is>
      </c>
      <c r="Q97" s="207" t="inlineStr">
        <is>
          <t>—</t>
        </is>
      </c>
      <c r="R97" s="207" t="inlineStr">
        <is>
          <t>—</t>
        </is>
      </c>
      <c r="S97" s="207" t="inlineStr">
        <is>
          <t>—</t>
        </is>
      </c>
    </row>
    <row r="98" ht="20" customHeight="1" s="215">
      <c r="A98" s="50" t="n">
        <v>93</v>
      </c>
      <c r="B98" s="51" t="inlineStr">
        <is>
          <t>PYPL</t>
        </is>
      </c>
      <c r="C98" s="52" t="inlineStr">
        <is>
          <t>PayPal Holdings</t>
        </is>
      </c>
      <c r="D98" s="53" t="inlineStr">
        <is>
          <t>Credit Services</t>
        </is>
      </c>
      <c r="E98" s="288" t="n">
        <v>56.51</v>
      </c>
      <c r="F98" s="300" t="n">
        <v>-0.19329053</v>
      </c>
      <c r="G98" s="290" t="n">
        <v>48.71161856</v>
      </c>
      <c r="H98" s="289" t="n">
        <v>0.048</v>
      </c>
      <c r="I98" s="291" t="n">
        <v>0.40477002</v>
      </c>
      <c r="J98" s="292" t="n">
        <v>10.68242</v>
      </c>
      <c r="K98" s="299" t="n">
        <v>4423.124992</v>
      </c>
      <c r="L98" s="290" t="n">
        <v>26.4191475544875</v>
      </c>
      <c r="M98" s="300" t="n">
        <v>-0.4576417631874414</v>
      </c>
      <c r="N98" s="292" t="n">
        <v>11.01294222706877</v>
      </c>
      <c r="O98" s="206" t="inlineStr">
        <is>
          <t>—</t>
        </is>
      </c>
      <c r="P98" s="206" t="inlineStr">
        <is>
          <t>—</t>
        </is>
      </c>
      <c r="Q98" s="206" t="inlineStr">
        <is>
          <t>—</t>
        </is>
      </c>
      <c r="R98" s="206" t="inlineStr">
        <is>
          <t>—</t>
        </is>
      </c>
      <c r="S98" s="206" t="inlineStr">
        <is>
          <t>—</t>
        </is>
      </c>
    </row>
    <row r="99" ht="20" customHeight="1" s="215">
      <c r="A99" s="54" t="n">
        <v>94</v>
      </c>
      <c r="B99" s="55" t="inlineStr">
        <is>
          <t>CRM</t>
        </is>
      </c>
      <c r="C99" s="56" t="inlineStr">
        <is>
          <t>Salesforce</t>
        </is>
      </c>
      <c r="D99" s="57" t="inlineStr">
        <is>
          <t>Software - Application</t>
        </is>
      </c>
      <c r="E99" s="294" t="n">
        <v>242.45</v>
      </c>
      <c r="F99" s="300" t="n">
        <v>-0.07957177999999999</v>
      </c>
      <c r="G99" s="295" t="n">
        <v>199.536345088</v>
      </c>
      <c r="H99" s="289" t="n">
        <v>0.108</v>
      </c>
      <c r="I99" s="296" t="n">
        <v>0.77282</v>
      </c>
      <c r="J99" s="297" t="n">
        <v>22.182066</v>
      </c>
      <c r="K99" s="301" t="n">
        <v>17731.874816</v>
      </c>
      <c r="L99" s="295" t="n">
        <v>190.2566133505375</v>
      </c>
      <c r="M99" s="300" t="n">
        <v>-0.04650647346161401</v>
      </c>
      <c r="N99" s="297" t="n">
        <v>11.25297533794635</v>
      </c>
      <c r="O99" s="207" t="inlineStr">
        <is>
          <t>—</t>
        </is>
      </c>
      <c r="P99" s="207" t="inlineStr">
        <is>
          <t>—</t>
        </is>
      </c>
      <c r="Q99" s="207" t="inlineStr">
        <is>
          <t>—</t>
        </is>
      </c>
      <c r="R99" s="207" t="inlineStr">
        <is>
          <t>—</t>
        </is>
      </c>
      <c r="S99" s="207" t="inlineStr">
        <is>
          <t>—</t>
        </is>
      </c>
    </row>
    <row r="100" ht="20" customHeight="1" s="215">
      <c r="A100" s="50" t="n">
        <v>95</v>
      </c>
      <c r="B100" s="51" t="inlineStr">
        <is>
          <t>MDT</t>
        </is>
      </c>
      <c r="C100" s="52" t="inlineStr">
        <is>
          <t>Medtronic</t>
        </is>
      </c>
      <c r="D100" s="53" t="inlineStr">
        <is>
          <t>Medical Devices</t>
        </is>
      </c>
      <c r="E100" s="288" t="n">
        <v>92.77</v>
      </c>
      <c r="F100" s="300" t="n">
        <v>-0.03193152</v>
      </c>
      <c r="G100" s="290" t="n">
        <v>118.665617408</v>
      </c>
      <c r="H100" s="289" t="n">
        <v>0.137</v>
      </c>
      <c r="I100" s="291" t="n">
        <v>0.65271</v>
      </c>
      <c r="J100" s="292" t="n">
        <v>22.79361</v>
      </c>
      <c r="K100" s="299" t="n">
        <v>5412.499968</v>
      </c>
      <c r="L100" s="290" t="n">
        <v>77.74166923949244</v>
      </c>
      <c r="M100" s="300" t="n">
        <v>-0.3448677811012562</v>
      </c>
      <c r="N100" s="292" t="n">
        <v>21.92436448164058</v>
      </c>
      <c r="O100" s="206" t="inlineStr">
        <is>
          <t>—</t>
        </is>
      </c>
      <c r="P100" s="206" t="inlineStr">
        <is>
          <t>—</t>
        </is>
      </c>
      <c r="Q100" s="206" t="inlineStr">
        <is>
          <t>—</t>
        </is>
      </c>
      <c r="R100" s="206" t="inlineStr">
        <is>
          <t>—</t>
        </is>
      </c>
      <c r="S100" s="206" t="inlineStr">
        <is>
          <t>—</t>
        </is>
      </c>
    </row>
    <row r="101" ht="20" customHeight="1" s="215">
      <c r="A101" s="54" t="n">
        <v>96</v>
      </c>
      <c r="B101" s="55" t="inlineStr">
        <is>
          <t>MRK</t>
        </is>
      </c>
      <c r="C101" s="56" t="inlineStr">
        <is>
          <t>Merck &amp; Co</t>
        </is>
      </c>
      <c r="D101" s="57" t="inlineStr">
        <is>
          <t>Drug Manufacturers - General</t>
        </is>
      </c>
      <c r="E101" s="294" t="n">
        <v>143.63</v>
      </c>
      <c r="F101" s="289" t="n">
        <v>0.6392376400000001</v>
      </c>
      <c r="G101" s="295" t="n">
        <v>354.35986944</v>
      </c>
      <c r="H101" s="289" t="n">
        <v>0.051</v>
      </c>
      <c r="I101" s="296" t="n">
        <v>0.759</v>
      </c>
      <c r="J101" s="297" t="n">
        <v>113.992065</v>
      </c>
      <c r="K101" s="301" t="n">
        <v>15171.500032</v>
      </c>
      <c r="L101" s="295" t="n">
        <v>144.3698066555691</v>
      </c>
      <c r="M101" s="300" t="n">
        <v>-0.5925898525594371</v>
      </c>
      <c r="N101" s="297" t="n">
        <v>23.35694305892745</v>
      </c>
      <c r="O101" s="207" t="inlineStr">
        <is>
          <t>—</t>
        </is>
      </c>
      <c r="P101" s="207" t="inlineStr">
        <is>
          <t>—</t>
        </is>
      </c>
      <c r="Q101" s="207" t="inlineStr">
        <is>
          <t>—</t>
        </is>
      </c>
      <c r="R101" s="207" t="inlineStr">
        <is>
          <t>—</t>
        </is>
      </c>
      <c r="S101" s="207" t="inlineStr">
        <is>
          <t>—</t>
        </is>
      </c>
    </row>
    <row r="102" ht="20" customHeight="1" s="215">
      <c r="A102" s="50" t="n">
        <v>97</v>
      </c>
      <c r="B102" s="51" t="inlineStr">
        <is>
          <t>SNPS</t>
        </is>
      </c>
      <c r="C102" s="52" t="inlineStr">
        <is>
          <t>Synopsys</t>
        </is>
      </c>
      <c r="D102" s="53" t="inlineStr">
        <is>
          <t>Software - Infrastructure</t>
        </is>
      </c>
      <c r="E102" s="288" t="n">
        <v>454.58</v>
      </c>
      <c r="F102" s="300" t="n">
        <v>-0.009715915</v>
      </c>
      <c r="G102" s="290" t="n">
        <v>87.11417856</v>
      </c>
      <c r="H102" s="289" t="n">
        <v>0.424</v>
      </c>
      <c r="I102" s="291" t="n">
        <v>0.82921</v>
      </c>
      <c r="J102" s="292" t="n">
        <v>80.31448</v>
      </c>
      <c r="K102" s="299" t="n">
        <v>3425.5424</v>
      </c>
      <c r="L102" s="290" t="n">
        <v>43.00329798465903</v>
      </c>
      <c r="M102" s="300" t="n">
        <v>-0.5063570741812086</v>
      </c>
      <c r="N102" s="292" t="n">
        <v>25.430771646172</v>
      </c>
      <c r="O102" s="206" t="inlineStr">
        <is>
          <t>—</t>
        </is>
      </c>
      <c r="P102" s="206" t="inlineStr">
        <is>
          <t>—</t>
        </is>
      </c>
      <c r="Q102" s="206" t="inlineStr">
        <is>
          <t>—</t>
        </is>
      </c>
      <c r="R102" s="206" t="inlineStr">
        <is>
          <t>—</t>
        </is>
      </c>
      <c r="S102" s="206" t="inlineStr">
        <is>
          <t>—</t>
        </is>
      </c>
    </row>
    <row r="103" ht="20" customHeight="1" s="215">
      <c r="A103" s="54" t="n">
        <v>98</v>
      </c>
      <c r="B103" s="55" t="inlineStr">
        <is>
          <t>USB</t>
        </is>
      </c>
      <c r="C103" s="56" t="inlineStr">
        <is>
          <t>U.S. Bancorp</t>
        </is>
      </c>
      <c r="D103" s="57" t="inlineStr">
        <is>
          <t>Banks - Regional</t>
        </is>
      </c>
      <c r="E103" s="294" t="n">
        <v>57.85</v>
      </c>
      <c r="F103" s="289" t="n">
        <v>0.21508086</v>
      </c>
      <c r="G103" s="295" t="n">
        <v>90.13327462399999</v>
      </c>
      <c r="H103" s="289" t="n">
        <v>0.08400000000000001</v>
      </c>
      <c r="I103" s="296" t="n">
        <v>0</v>
      </c>
      <c r="J103" s="297" t="n">
        <v>11.254864</v>
      </c>
      <c r="K103" s="298" t="inlineStr">
        <is>
          <t>—</t>
        </is>
      </c>
      <c r="L103" s="295" t="n">
        <v>38.51847714310412</v>
      </c>
      <c r="M103" s="300" t="n">
        <v>-0.5726497533370687</v>
      </c>
      <c r="N103" s="298" t="inlineStr">
        <is>
          <t>—</t>
        </is>
      </c>
      <c r="O103" s="207" t="inlineStr">
        <is>
          <t>—</t>
        </is>
      </c>
      <c r="P103" s="207" t="inlineStr">
        <is>
          <t>—</t>
        </is>
      </c>
      <c r="Q103" s="207" t="inlineStr">
        <is>
          <t>—</t>
        </is>
      </c>
      <c r="R103" s="207" t="inlineStr">
        <is>
          <t>—</t>
        </is>
      </c>
      <c r="S103" s="207" t="inlineStr">
        <is>
          <t>—</t>
        </is>
      </c>
    </row>
    <row r="104" ht="20" customHeight="1" s="215">
      <c r="A104" s="50" t="n">
        <v>99</v>
      </c>
      <c r="B104" s="51" t="inlineStr">
        <is>
          <t>ZTS</t>
        </is>
      </c>
      <c r="C104" s="52" t="inlineStr">
        <is>
          <t>Zoetis</t>
        </is>
      </c>
      <c r="D104" s="53" t="inlineStr">
        <is>
          <t>Drug Manufacturers - Specialty &amp; Generic</t>
        </is>
      </c>
      <c r="E104" s="288" t="n">
        <v>79.59</v>
      </c>
      <c r="F104" s="300" t="n">
        <v>-0.45519882</v>
      </c>
      <c r="G104" s="290" t="n">
        <v>32.888465408</v>
      </c>
      <c r="H104" s="300" t="n">
        <v>-0.002</v>
      </c>
      <c r="I104" s="291" t="n">
        <v>0.71738</v>
      </c>
      <c r="J104" s="292" t="n">
        <v>13.09046</v>
      </c>
      <c r="K104" s="299" t="n">
        <v>2016.999936</v>
      </c>
      <c r="L104" s="290" t="n">
        <v>15.15974512369204</v>
      </c>
      <c r="M104" s="300" t="n">
        <v>-0.5390558685050569</v>
      </c>
      <c r="N104" s="292" t="n">
        <v>16.30563585857248</v>
      </c>
      <c r="O104" s="206" t="inlineStr">
        <is>
          <t>—</t>
        </is>
      </c>
      <c r="P104" s="206" t="inlineStr">
        <is>
          <t>—</t>
        </is>
      </c>
      <c r="Q104" s="206" t="inlineStr">
        <is>
          <t>—</t>
        </is>
      </c>
      <c r="R104" s="206" t="inlineStr">
        <is>
          <t>—</t>
        </is>
      </c>
      <c r="S104" s="206" t="inlineStr">
        <is>
          <t>—</t>
        </is>
      </c>
    </row>
    <row r="105" ht="20" customHeight="1" s="215">
      <c r="A105" s="54" t="n">
        <v>100</v>
      </c>
      <c r="B105" s="55" t="inlineStr">
        <is>
          <t>EW</t>
        </is>
      </c>
      <c r="C105" s="56" t="inlineStr">
        <is>
          <t>Edwards Lifesciences</t>
        </is>
      </c>
      <c r="D105" s="57" t="inlineStr">
        <is>
          <t>Medical Devices</t>
        </is>
      </c>
      <c r="E105" s="294" t="n">
        <v>87.22</v>
      </c>
      <c r="F105" s="289" t="n">
        <v>0.14732969</v>
      </c>
      <c r="G105" s="295" t="n">
        <v>50.221277184</v>
      </c>
      <c r="H105" s="289" t="n">
        <v>0.136</v>
      </c>
      <c r="I105" s="296" t="n">
        <v>0.77839</v>
      </c>
      <c r="J105" s="297" t="n">
        <v>51.916668</v>
      </c>
      <c r="K105" s="301" t="n">
        <v>1232.412544</v>
      </c>
      <c r="L105" s="295" t="n">
        <v>19.29527278088243</v>
      </c>
      <c r="M105" s="300" t="n">
        <v>-0.6157948610070453</v>
      </c>
      <c r="N105" s="297" t="n">
        <v>40.75037717240242</v>
      </c>
      <c r="O105" s="207" t="inlineStr">
        <is>
          <t>—</t>
        </is>
      </c>
      <c r="P105" s="207" t="inlineStr">
        <is>
          <t>—</t>
        </is>
      </c>
      <c r="Q105" s="207" t="inlineStr">
        <is>
          <t>—</t>
        </is>
      </c>
      <c r="R105" s="207" t="inlineStr">
        <is>
          <t>—</t>
        </is>
      </c>
      <c r="S105" s="207" t="inlineStr">
        <is>
          <t>—</t>
        </is>
      </c>
    </row>
    <row r="106" ht="20" customHeight="1" s="215">
      <c r="A106" s="50" t="n">
        <v>101</v>
      </c>
      <c r="B106" s="51" t="inlineStr">
        <is>
          <t>FITB</t>
        </is>
      </c>
      <c r="C106" s="52" t="inlineStr">
        <is>
          <t>Fifth Third Bancorp</t>
        </is>
      </c>
      <c r="D106" s="53" t="inlineStr">
        <is>
          <t>Banks - Regional</t>
        </is>
      </c>
      <c r="E106" s="288" t="n">
        <v>50.51</v>
      </c>
      <c r="F106" s="289" t="n">
        <v>0.19777095</v>
      </c>
      <c r="G106" s="290" t="n">
        <v>45.790998528</v>
      </c>
      <c r="H106" s="289" t="n">
        <v>0.518</v>
      </c>
      <c r="I106" s="291" t="n">
        <v>0</v>
      </c>
      <c r="J106" s="292" t="n">
        <v>16.949663</v>
      </c>
      <c r="K106" s="293" t="inlineStr">
        <is>
          <t>—</t>
        </is>
      </c>
      <c r="L106" s="290" t="n">
        <v>11.36798660608803</v>
      </c>
      <c r="M106" s="300" t="n">
        <v>-0.7517418931334986</v>
      </c>
      <c r="N106" s="293" t="inlineStr">
        <is>
          <t>—</t>
        </is>
      </c>
      <c r="O106" s="206" t="inlineStr">
        <is>
          <t>—</t>
        </is>
      </c>
      <c r="P106" s="206" t="inlineStr">
        <is>
          <t>—</t>
        </is>
      </c>
      <c r="Q106" s="206" t="inlineStr">
        <is>
          <t>—</t>
        </is>
      </c>
      <c r="R106" s="206" t="inlineStr">
        <is>
          <t>—</t>
        </is>
      </c>
      <c r="S106" s="206" t="inlineStr">
        <is>
          <t>—</t>
        </is>
      </c>
    </row>
    <row r="107" ht="20" customHeight="1" s="215">
      <c r="A107" s="54" t="n">
        <v>102</v>
      </c>
      <c r="B107" s="55" t="inlineStr">
        <is>
          <t>MSI</t>
        </is>
      </c>
      <c r="C107" s="56" t="inlineStr">
        <is>
          <t>Motorola Solutions</t>
        </is>
      </c>
      <c r="D107" s="57" t="inlineStr">
        <is>
          <t>Communication Equipment</t>
        </is>
      </c>
      <c r="E107" s="294" t="n">
        <v>458.9</v>
      </c>
      <c r="F107" s="289" t="n">
        <v>0.024101734</v>
      </c>
      <c r="G107" s="295" t="n">
        <v>75.94509926400001</v>
      </c>
      <c r="H107" s="289" t="n">
        <v>0.133</v>
      </c>
      <c r="I107" s="296" t="n">
        <v>0.52112</v>
      </c>
      <c r="J107" s="297" t="n">
        <v>36.133858</v>
      </c>
      <c r="K107" s="301" t="n">
        <v>1979.000064</v>
      </c>
      <c r="L107" s="295" t="n">
        <v>21.22909207891033</v>
      </c>
      <c r="M107" s="300" t="n">
        <v>-0.7204679132077521</v>
      </c>
      <c r="N107" s="297" t="n">
        <v>38.37549108497654</v>
      </c>
      <c r="O107" s="207" t="inlineStr">
        <is>
          <t>—</t>
        </is>
      </c>
      <c r="P107" s="207" t="inlineStr">
        <is>
          <t>—</t>
        </is>
      </c>
      <c r="Q107" s="207" t="inlineStr">
        <is>
          <t>—</t>
        </is>
      </c>
      <c r="R107" s="207" t="inlineStr">
        <is>
          <t>—</t>
        </is>
      </c>
      <c r="S107" s="207" t="inlineStr">
        <is>
          <t>—</t>
        </is>
      </c>
    </row>
    <row r="108" ht="20" customHeight="1" s="215">
      <c r="A108" s="50" t="n">
        <v>103</v>
      </c>
      <c r="B108" s="51" t="inlineStr">
        <is>
          <t>YUM</t>
        </is>
      </c>
      <c r="C108" s="52" t="inlineStr">
        <is>
          <t>Yum Brands</t>
        </is>
      </c>
      <c r="D108" s="53" t="inlineStr">
        <is>
          <t>Restaurants</t>
        </is>
      </c>
      <c r="E108" s="288" t="n">
        <v>149.83</v>
      </c>
      <c r="F108" s="289" t="n">
        <v>0.008752464999999999</v>
      </c>
      <c r="G108" s="290" t="n">
        <v>40.88877056</v>
      </c>
      <c r="H108" s="289" t="n">
        <v>0.122</v>
      </c>
      <c r="I108" s="291" t="n">
        <v>0.45311</v>
      </c>
      <c r="J108" s="292" t="n">
        <v>18.870277</v>
      </c>
      <c r="K108" s="299" t="n">
        <v>833.249984</v>
      </c>
      <c r="L108" s="290" t="n">
        <v>8.165037095242477</v>
      </c>
      <c r="M108" s="300" t="n">
        <v>-0.8003110148968373</v>
      </c>
      <c r="N108" s="292" t="n">
        <v>49.07143156398789</v>
      </c>
      <c r="O108" s="206" t="inlineStr">
        <is>
          <t>—</t>
        </is>
      </c>
      <c r="P108" s="206" t="inlineStr">
        <is>
          <t>—</t>
        </is>
      </c>
      <c r="Q108" s="206" t="inlineStr">
        <is>
          <t>—</t>
        </is>
      </c>
      <c r="R108" s="206" t="inlineStr">
        <is>
          <t>—</t>
        </is>
      </c>
      <c r="S108" s="206" t="inlineStr">
        <is>
          <t>—</t>
        </is>
      </c>
    </row>
    <row r="109" ht="20" customHeight="1" s="215">
      <c r="A109" s="54" t="n">
        <v>104</v>
      </c>
      <c r="B109" s="55" t="inlineStr">
        <is>
          <t>AMAT</t>
        </is>
      </c>
      <c r="C109" s="56" t="inlineStr">
        <is>
          <t>Applied Materials</t>
        </is>
      </c>
      <c r="D109" s="57" t="inlineStr">
        <is>
          <t>Semiconductor Equipment &amp; Materials</t>
        </is>
      </c>
      <c r="E109" s="294" t="n">
        <v>413.11</v>
      </c>
      <c r="F109" s="289" t="n">
        <v>0.8279203000000001</v>
      </c>
      <c r="G109" s="295" t="n">
        <v>327.8430208</v>
      </c>
      <c r="H109" s="289" t="n">
        <v>0.248</v>
      </c>
      <c r="I109" s="296" t="n">
        <v>0.49398</v>
      </c>
      <c r="J109" s="297" t="n">
        <v>35.643658</v>
      </c>
      <c r="K109" s="301" t="n">
        <v>3075.375104</v>
      </c>
      <c r="L109" s="295" t="n">
        <v>41.63563480312664</v>
      </c>
      <c r="M109" s="300" t="n">
        <v>-0.8730013080604012</v>
      </c>
      <c r="N109" s="297" t="n">
        <v>106.6026187346446</v>
      </c>
      <c r="O109" s="207" t="inlineStr">
        <is>
          <t>—</t>
        </is>
      </c>
      <c r="P109" s="207" t="inlineStr">
        <is>
          <t>—</t>
        </is>
      </c>
      <c r="Q109" s="207" t="inlineStr">
        <is>
          <t>—</t>
        </is>
      </c>
      <c r="R109" s="207" t="inlineStr">
        <is>
          <t>—</t>
        </is>
      </c>
      <c r="S109" s="207" t="inlineStr">
        <is>
          <t>—</t>
        </is>
      </c>
    </row>
    <row r="110" ht="20" customHeight="1" s="215">
      <c r="A110" s="50" t="n">
        <v>105</v>
      </c>
      <c r="B110" s="51" t="inlineStr">
        <is>
          <t>MET</t>
        </is>
      </c>
      <c r="C110" s="52" t="inlineStr">
        <is>
          <t>MetLife</t>
        </is>
      </c>
      <c r="D110" s="53" t="inlineStr">
        <is>
          <t>Insurance - Life</t>
        </is>
      </c>
      <c r="E110" s="288" t="n">
        <v>99.58</v>
      </c>
      <c r="F110" s="289" t="n">
        <v>0.26018727</v>
      </c>
      <c r="G110" s="290" t="n">
        <v>63.280795648</v>
      </c>
      <c r="H110" s="289" t="n">
        <v>0.105</v>
      </c>
      <c r="I110" s="291" t="n">
        <v>0.23951</v>
      </c>
      <c r="J110" s="292" t="n">
        <v>19.07663</v>
      </c>
      <c r="K110" s="299" t="n">
        <v>-20953.99936</v>
      </c>
      <c r="L110" s="290" t="n">
        <v>28.1620722433956</v>
      </c>
      <c r="M110" s="300" t="n">
        <v>-0.554966527285033</v>
      </c>
      <c r="N110" s="292" t="n">
        <v>-3.019986366490945</v>
      </c>
      <c r="O110" s="206" t="inlineStr">
        <is>
          <t>—</t>
        </is>
      </c>
      <c r="P110" s="206" t="inlineStr">
        <is>
          <t>—</t>
        </is>
      </c>
      <c r="Q110" s="206" t="inlineStr">
        <is>
          <t>—</t>
        </is>
      </c>
      <c r="R110" s="206" t="inlineStr">
        <is>
          <t>—</t>
        </is>
      </c>
      <c r="S110" s="206" t="inlineStr">
        <is>
          <t>—</t>
        </is>
      </c>
    </row>
    <row r="111" ht="20" customHeight="1" s="215">
      <c r="A111" s="54" t="n">
        <v>106</v>
      </c>
      <c r="B111" s="55" t="inlineStr">
        <is>
          <t>WAT</t>
        </is>
      </c>
      <c r="C111" s="56" t="inlineStr">
        <is>
          <t>Waters</t>
        </is>
      </c>
      <c r="D111" s="57" t="inlineStr">
        <is>
          <t>Diagnostics &amp; Research</t>
        </is>
      </c>
      <c r="E111" s="294" t="n">
        <v>434.27</v>
      </c>
      <c r="F111" s="289" t="n">
        <v>0.24350715</v>
      </c>
      <c r="G111" s="295" t="n">
        <v>42.639171584</v>
      </c>
      <c r="H111" s="289" t="n">
        <v>1.134</v>
      </c>
      <c r="I111" s="296" t="n">
        <v>0.56337</v>
      </c>
      <c r="J111" s="297" t="n">
        <v>109.941765</v>
      </c>
      <c r="K111" s="301" t="n">
        <v>-142.067632</v>
      </c>
      <c r="L111" s="302" t="inlineStr">
        <is>
          <t>—</t>
        </is>
      </c>
      <c r="M111" s="303" t="inlineStr">
        <is>
          <t>—</t>
        </is>
      </c>
      <c r="N111" s="297" t="n">
        <v>-300.1329060714547</v>
      </c>
      <c r="O111" s="207" t="inlineStr">
        <is>
          <t>—</t>
        </is>
      </c>
      <c r="P111" s="207" t="inlineStr">
        <is>
          <t>—</t>
        </is>
      </c>
      <c r="Q111" s="207" t="inlineStr">
        <is>
          <t>—</t>
        </is>
      </c>
      <c r="R111" s="207" t="inlineStr">
        <is>
          <t>—</t>
        </is>
      </c>
      <c r="S111" s="207" t="inlineStr">
        <is>
          <t>—</t>
        </is>
      </c>
    </row>
    <row r="112" ht="20" customHeight="1" s="215">
      <c r="A112" s="50" t="n">
        <v>107</v>
      </c>
      <c r="B112" s="51" t="inlineStr">
        <is>
          <t>AME</t>
        </is>
      </c>
      <c r="C112" s="52" t="inlineStr">
        <is>
          <t>AMETEK</t>
        </is>
      </c>
      <c r="D112" s="53" t="inlineStr">
        <is>
          <t>Specialty Industrial Machinery</t>
        </is>
      </c>
      <c r="E112" s="288" t="n">
        <v>247.22</v>
      </c>
      <c r="F112" s="289" t="n">
        <v>0.31290495</v>
      </c>
      <c r="G112" s="290" t="n">
        <v>56.663568384</v>
      </c>
      <c r="H112" s="289" t="n">
        <v>0.15</v>
      </c>
      <c r="I112" s="291" t="n">
        <v>0.36905998</v>
      </c>
      <c r="J112" s="292" t="n">
        <v>36.143272</v>
      </c>
      <c r="K112" s="299" t="n">
        <v>1492.221312</v>
      </c>
      <c r="L112" s="290" t="n">
        <v>15.71896888418838</v>
      </c>
      <c r="M112" s="300" t="n">
        <v>-0.7225912639729388</v>
      </c>
      <c r="N112" s="292" t="n">
        <v>37.97262892492451</v>
      </c>
      <c r="O112" s="206" t="inlineStr">
        <is>
          <t>—</t>
        </is>
      </c>
      <c r="P112" s="206" t="inlineStr">
        <is>
          <t>—</t>
        </is>
      </c>
      <c r="Q112" s="206" t="inlineStr">
        <is>
          <t>—</t>
        </is>
      </c>
      <c r="R112" s="206" t="inlineStr">
        <is>
          <t>—</t>
        </is>
      </c>
      <c r="S112" s="206" t="inlineStr">
        <is>
          <t>—</t>
        </is>
      </c>
    </row>
    <row r="113" ht="20" customHeight="1" s="215">
      <c r="A113" s="54" t="n">
        <v>108</v>
      </c>
      <c r="B113" s="55" t="inlineStr">
        <is>
          <t>NDAQ</t>
        </is>
      </c>
      <c r="C113" s="56" t="inlineStr">
        <is>
          <t>Nasdaq</t>
        </is>
      </c>
      <c r="D113" s="57" t="inlineStr">
        <is>
          <t>Financial Data &amp; Stock Exchanges</t>
        </is>
      </c>
      <c r="E113" s="294" t="n">
        <v>93.2</v>
      </c>
      <c r="F113" s="289" t="n">
        <v>0.031772375</v>
      </c>
      <c r="G113" s="295" t="n">
        <v>52.096688128</v>
      </c>
      <c r="H113" s="289" t="n">
        <v>0.149</v>
      </c>
      <c r="I113" s="296" t="n">
        <v>1</v>
      </c>
      <c r="J113" s="297" t="n">
        <v>27.17201</v>
      </c>
      <c r="K113" s="301" t="n">
        <v>1691.500032</v>
      </c>
      <c r="L113" s="295" t="n">
        <v>10.54473656360698</v>
      </c>
      <c r="M113" s="300" t="n">
        <v>-0.7975929575849643</v>
      </c>
      <c r="N113" s="297" t="n">
        <v>30.79910735136185</v>
      </c>
      <c r="O113" s="207" t="inlineStr">
        <is>
          <t>—</t>
        </is>
      </c>
      <c r="P113" s="207" t="inlineStr">
        <is>
          <t>—</t>
        </is>
      </c>
      <c r="Q113" s="207" t="inlineStr">
        <is>
          <t>—</t>
        </is>
      </c>
      <c r="R113" s="207" t="inlineStr">
        <is>
          <t>—</t>
        </is>
      </c>
      <c r="S113" s="207" t="inlineStr">
        <is>
          <t>—</t>
        </is>
      </c>
    </row>
    <row r="114" ht="20" customHeight="1" s="215">
      <c r="A114" s="50" t="n">
        <v>109</v>
      </c>
      <c r="B114" s="51" t="inlineStr">
        <is>
          <t>PFE</t>
        </is>
      </c>
      <c r="C114" s="52" t="inlineStr">
        <is>
          <t>Pfizer</t>
        </is>
      </c>
      <c r="D114" s="53" t="inlineStr">
        <is>
          <t>Drug Manufacturers - General</t>
        </is>
      </c>
      <c r="E114" s="288" t="n">
        <v>29.44</v>
      </c>
      <c r="F114" s="289" t="n">
        <v>0.18470824</v>
      </c>
      <c r="G114" s="290" t="n">
        <v>167.798390784</v>
      </c>
      <c r="H114" s="289" t="n">
        <v>0.026</v>
      </c>
      <c r="I114" s="291" t="n">
        <v>0.74716</v>
      </c>
      <c r="J114" s="292" t="n">
        <v>38.736843</v>
      </c>
      <c r="K114" s="299" t="n">
        <v>12485.624832</v>
      </c>
      <c r="L114" s="290" t="n">
        <v>108.6931564531236</v>
      </c>
      <c r="M114" s="300" t="n">
        <v>-0.3522395778333782</v>
      </c>
      <c r="N114" s="292" t="n">
        <v>13.43932664307689</v>
      </c>
      <c r="O114" s="206" t="inlineStr">
        <is>
          <t>—</t>
        </is>
      </c>
      <c r="P114" s="206" t="inlineStr">
        <is>
          <t>—</t>
        </is>
      </c>
      <c r="Q114" s="206" t="inlineStr">
        <is>
          <t>—</t>
        </is>
      </c>
      <c r="R114" s="206" t="inlineStr">
        <is>
          <t>—</t>
        </is>
      </c>
      <c r="S114" s="206" t="inlineStr">
        <is>
          <t>—</t>
        </is>
      </c>
    </row>
    <row r="115" ht="20" customHeight="1" s="215">
      <c r="A115" s="54" t="n">
        <v>110</v>
      </c>
      <c r="B115" s="55" t="inlineStr">
        <is>
          <t>IEX</t>
        </is>
      </c>
      <c r="C115" s="56" t="inlineStr">
        <is>
          <t>IDEX</t>
        </is>
      </c>
      <c r="D115" s="57" t="inlineStr">
        <is>
          <t>Specialty Industrial Machinery</t>
        </is>
      </c>
      <c r="E115" s="294" t="n">
        <v>233.86</v>
      </c>
      <c r="F115" s="289" t="n">
        <v>0.38109016</v>
      </c>
      <c r="G115" s="295" t="n">
        <v>17.24013568</v>
      </c>
      <c r="H115" s="289" t="n">
        <v>0.064</v>
      </c>
      <c r="I115" s="296" t="n">
        <v>0.4473</v>
      </c>
      <c r="J115" s="297" t="n">
        <v>33.648922</v>
      </c>
      <c r="K115" s="301" t="n">
        <v>555.61248</v>
      </c>
      <c r="L115" s="295" t="n">
        <v>4.211128241324742</v>
      </c>
      <c r="M115" s="300" t="n">
        <v>-0.7557369431720887</v>
      </c>
      <c r="N115" s="297" t="n">
        <v>31.02906341945379</v>
      </c>
      <c r="O115" s="207" t="inlineStr">
        <is>
          <t>—</t>
        </is>
      </c>
      <c r="P115" s="207" t="inlineStr">
        <is>
          <t>—</t>
        </is>
      </c>
      <c r="Q115" s="207" t="inlineStr">
        <is>
          <t>—</t>
        </is>
      </c>
      <c r="R115" s="207" t="inlineStr">
        <is>
          <t>—</t>
        </is>
      </c>
      <c r="S115" s="207" t="inlineStr">
        <is>
          <t>—</t>
        </is>
      </c>
    </row>
    <row r="116" ht="20" customHeight="1" s="215">
      <c r="A116" s="50" t="n">
        <v>111</v>
      </c>
      <c r="B116" s="51" t="inlineStr">
        <is>
          <t>ITW</t>
        </is>
      </c>
      <c r="C116" s="52" t="inlineStr">
        <is>
          <t>Illinois Tool Works</t>
        </is>
      </c>
      <c r="D116" s="53" t="inlineStr">
        <is>
          <t>Specialty Industrial Machinery</t>
        </is>
      </c>
      <c r="E116" s="288" t="n">
        <v>270.17</v>
      </c>
      <c r="F116" s="289" t="n">
        <v>0.05067277</v>
      </c>
      <c r="G116" s="290" t="n">
        <v>76.944416768</v>
      </c>
      <c r="H116" s="289" t="n">
        <v>0.061</v>
      </c>
      <c r="I116" s="291" t="n">
        <v>0.44162</v>
      </c>
      <c r="J116" s="292" t="n">
        <v>24.494108</v>
      </c>
      <c r="K116" s="299" t="n">
        <v>2432.999936</v>
      </c>
      <c r="L116" s="290" t="n">
        <v>16.92703873159939</v>
      </c>
      <c r="M116" s="300" t="n">
        <v>-0.7800095258030588</v>
      </c>
      <c r="N116" s="292" t="n">
        <v>31.62532594493254</v>
      </c>
      <c r="O116" s="206" t="inlineStr">
        <is>
          <t>—</t>
        </is>
      </c>
      <c r="P116" s="206" t="inlineStr">
        <is>
          <t>—</t>
        </is>
      </c>
      <c r="Q116" s="206" t="inlineStr">
        <is>
          <t>—</t>
        </is>
      </c>
      <c r="R116" s="206" t="inlineStr">
        <is>
          <t>—</t>
        </is>
      </c>
      <c r="S116" s="206" t="inlineStr">
        <is>
          <t>—</t>
        </is>
      </c>
    </row>
    <row r="117" ht="20" customHeight="1" s="215">
      <c r="A117" s="54" t="n">
        <v>112</v>
      </c>
      <c r="B117" s="55" t="inlineStr">
        <is>
          <t>KEYS</t>
        </is>
      </c>
      <c r="C117" s="56" t="inlineStr">
        <is>
          <t>Keysight Technologies</t>
        </is>
      </c>
      <c r="D117" s="57" t="inlineStr">
        <is>
          <t>Scientific &amp; Technical Instruments</t>
        </is>
      </c>
      <c r="E117" s="294" t="n">
        <v>335.86</v>
      </c>
      <c r="F117" s="289" t="n">
        <v>1.0070515</v>
      </c>
      <c r="G117" s="295" t="n">
        <v>57.17839872</v>
      </c>
      <c r="H117" s="289" t="n">
        <v>0.365</v>
      </c>
      <c r="I117" s="296" t="n">
        <v>0.63278997</v>
      </c>
      <c r="J117" s="297" t="n">
        <v>45.447903</v>
      </c>
      <c r="K117" s="301" t="n">
        <v>1867.124992</v>
      </c>
      <c r="L117" s="295" t="n">
        <v>22.03851568686804</v>
      </c>
      <c r="M117" s="300" t="n">
        <v>-0.6145657069763418</v>
      </c>
      <c r="N117" s="297" t="n">
        <v>30.62376664695194</v>
      </c>
      <c r="O117" s="207" t="inlineStr">
        <is>
          <t>—</t>
        </is>
      </c>
      <c r="P117" s="207" t="inlineStr">
        <is>
          <t>—</t>
        </is>
      </c>
      <c r="Q117" s="207" t="inlineStr">
        <is>
          <t>—</t>
        </is>
      </c>
      <c r="R117" s="207" t="inlineStr">
        <is>
          <t>—</t>
        </is>
      </c>
      <c r="S117" s="207" t="inlineStr">
        <is>
          <t>—</t>
        </is>
      </c>
    </row>
    <row r="118" ht="20" customHeight="1" s="215">
      <c r="A118" s="50" t="n">
        <v>113</v>
      </c>
      <c r="B118" s="51" t="inlineStr">
        <is>
          <t>KMI</t>
        </is>
      </c>
      <c r="C118" s="52" t="inlineStr">
        <is>
          <t>Kinder Morgan</t>
        </is>
      </c>
      <c r="D118" s="53" t="inlineStr">
        <is>
          <t>Oil &amp; Gas Midstream</t>
        </is>
      </c>
      <c r="E118" s="288" t="n">
        <v>33.39</v>
      </c>
      <c r="F118" s="289" t="n">
        <v>0.21418178</v>
      </c>
      <c r="G118" s="290" t="n">
        <v>74.286931968</v>
      </c>
      <c r="H118" s="289" t="n">
        <v>0.108</v>
      </c>
      <c r="I118" s="291" t="n">
        <v>0.49407002</v>
      </c>
      <c r="J118" s="292" t="n">
        <v>21.541935</v>
      </c>
      <c r="K118" s="299" t="n">
        <v>1075.000064</v>
      </c>
      <c r="L118" s="290" t="n">
        <v>23.05140638726191</v>
      </c>
      <c r="M118" s="300" t="n">
        <v>-0.6896976927625496</v>
      </c>
      <c r="N118" s="292" t="n">
        <v>69.104118700992</v>
      </c>
      <c r="O118" s="206" t="inlineStr">
        <is>
          <t>—</t>
        </is>
      </c>
      <c r="P118" s="206" t="inlineStr">
        <is>
          <t>—</t>
        </is>
      </c>
      <c r="Q118" s="206" t="inlineStr">
        <is>
          <t>—</t>
        </is>
      </c>
      <c r="R118" s="206" t="inlineStr">
        <is>
          <t>—</t>
        </is>
      </c>
      <c r="S118" s="206" t="inlineStr">
        <is>
          <t>—</t>
        </is>
      </c>
    </row>
    <row r="119" ht="20" customHeight="1" s="215">
      <c r="A119" s="54" t="n">
        <v>114</v>
      </c>
      <c r="B119" s="55" t="inlineStr">
        <is>
          <t>WMB</t>
        </is>
      </c>
      <c r="C119" s="56" t="inlineStr">
        <is>
          <t>Williams Companies</t>
        </is>
      </c>
      <c r="D119" s="57" t="inlineStr">
        <is>
          <t>Oil &amp; Gas Midstream</t>
        </is>
      </c>
      <c r="E119" s="294" t="n">
        <v>70.38</v>
      </c>
      <c r="F119" s="289" t="n">
        <v>0.12897015</v>
      </c>
      <c r="G119" s="295" t="n">
        <v>86.086524928</v>
      </c>
      <c r="H119" s="289" t="n">
        <v>0.078</v>
      </c>
      <c r="I119" s="296" t="n">
        <v>0.63637</v>
      </c>
      <c r="J119" s="297" t="n">
        <v>28.039839</v>
      </c>
      <c r="K119" s="301" t="n">
        <v>-1516.749952</v>
      </c>
      <c r="L119" s="298" t="inlineStr">
        <is>
          <t>—</t>
        </is>
      </c>
      <c r="M119" s="298" t="inlineStr">
        <is>
          <t>—</t>
        </is>
      </c>
      <c r="N119" s="297" t="n">
        <v>-56.75723052823937</v>
      </c>
      <c r="O119" s="207" t="inlineStr">
        <is>
          <t>—</t>
        </is>
      </c>
      <c r="P119" s="207" t="inlineStr">
        <is>
          <t>—</t>
        </is>
      </c>
      <c r="Q119" s="207" t="inlineStr">
        <is>
          <t>—</t>
        </is>
      </c>
      <c r="R119" s="207" t="inlineStr">
        <is>
          <t>—</t>
        </is>
      </c>
      <c r="S119" s="207" t="inlineStr">
        <is>
          <t>—</t>
        </is>
      </c>
    </row>
    <row r="120" ht="20" customHeight="1" s="215">
      <c r="A120" s="50" t="n">
        <v>115</v>
      </c>
      <c r="B120" s="51" t="inlineStr">
        <is>
          <t>STZ</t>
        </is>
      </c>
      <c r="C120" s="52" t="inlineStr">
        <is>
          <t>Constellation Brands</t>
        </is>
      </c>
      <c r="D120" s="53" t="inlineStr">
        <is>
          <t>Beverages - Wineries &amp; Distilleries</t>
        </is>
      </c>
      <c r="E120" s="288" t="n">
        <v>131.07</v>
      </c>
      <c r="F120" s="300" t="n">
        <v>-0.074168265</v>
      </c>
      <c r="G120" s="290" t="n">
        <v>22.180220928</v>
      </c>
      <c r="H120" s="289" t="n">
        <v>0.061</v>
      </c>
      <c r="I120" s="291" t="n">
        <v>0.52771</v>
      </c>
      <c r="J120" s="292" t="n">
        <v>11.73411</v>
      </c>
      <c r="K120" s="299" t="n">
        <v>1118.4</v>
      </c>
      <c r="L120" s="290" t="n">
        <v>8.917916849568371</v>
      </c>
      <c r="M120" s="300" t="n">
        <v>-0.5979338132601503</v>
      </c>
      <c r="N120" s="292" t="n">
        <v>19.82908234181867</v>
      </c>
      <c r="O120" s="208" t="inlineStr">
        <is>
          <t>YES</t>
        </is>
      </c>
      <c r="P120" s="209" t="n">
        <v>0.06</v>
      </c>
      <c r="Q120" s="208" t="inlineStr">
        <is>
          <t>Sell</t>
        </is>
      </c>
      <c r="R120" s="209" t="n">
        <v>218</v>
      </c>
      <c r="S120" s="210" t="inlineStr">
        <is>
          <t>Added Q1-25 → Hold → Trim 0.4M Q4 → Q1-26: CUT 95% — position virtually eliminated (~$55M remnant). One of Abel's most decisive moves</t>
        </is>
      </c>
    </row>
    <row r="121" ht="20" customHeight="1" s="215">
      <c r="A121" s="54" t="n">
        <v>116</v>
      </c>
      <c r="B121" s="55" t="inlineStr">
        <is>
          <t>CB</t>
        </is>
      </c>
      <c r="C121" s="56" t="inlineStr">
        <is>
          <t>Chubb</t>
        </is>
      </c>
      <c r="D121" s="57" t="inlineStr">
        <is>
          <t>Insurance - Property &amp; Casualty</t>
        </is>
      </c>
      <c r="E121" s="294" t="n">
        <v>356.27</v>
      </c>
      <c r="F121" s="289" t="n">
        <v>0.3231449</v>
      </c>
      <c r="G121" s="295" t="n">
        <v>137.448914944</v>
      </c>
      <c r="H121" s="289" t="n">
        <v>0.061</v>
      </c>
      <c r="I121" s="296" t="n">
        <v>0.31129998</v>
      </c>
      <c r="J121" s="297" t="n">
        <v>12.620262</v>
      </c>
      <c r="K121" s="301" t="n">
        <v>10488.000512</v>
      </c>
      <c r="L121" s="295" t="n">
        <v>91.65049972858192</v>
      </c>
      <c r="M121" s="300" t="n">
        <v>-0.3332031775883968</v>
      </c>
      <c r="N121" s="297" t="n">
        <v>13.10534983371385</v>
      </c>
      <c r="O121" s="211" t="inlineStr">
        <is>
          <t>YES</t>
        </is>
      </c>
      <c r="P121" s="212" t="n">
        <v>11.5</v>
      </c>
      <c r="Q121" s="211" t="inlineStr">
        <is>
          <t>Hold</t>
        </is>
      </c>
      <c r="R121" s="212" t="n">
        <v>255</v>
      </c>
      <c r="S121" s="213" t="inlineStr">
        <is>
          <t>34.25M sh. Q1-26: UNCHANGED at this size (after Q3/Q4-25 adds of 7.2M). CB named lead underwriter of US Hormuz shipping insurance</t>
        </is>
      </c>
    </row>
    <row r="122" ht="20" customHeight="1" s="215">
      <c r="A122" s="50" t="n">
        <v>117</v>
      </c>
      <c r="B122" s="51" t="inlineStr">
        <is>
          <t>DHR</t>
        </is>
      </c>
      <c r="C122" s="52" t="inlineStr">
        <is>
          <t>Danaher</t>
        </is>
      </c>
      <c r="D122" s="53" t="inlineStr">
        <is>
          <t>Diagnostics &amp; Research</t>
        </is>
      </c>
      <c r="E122" s="288" t="n">
        <v>224.43</v>
      </c>
      <c r="F122" s="289" t="n">
        <v>0.016578317</v>
      </c>
      <c r="G122" s="290" t="n">
        <v>157.771153408</v>
      </c>
      <c r="H122" s="289" t="n">
        <v>0.055</v>
      </c>
      <c r="I122" s="291" t="n">
        <v>0.58752996</v>
      </c>
      <c r="J122" s="292" t="n">
        <v>40.005344</v>
      </c>
      <c r="K122" s="299" t="n">
        <v>4325.12512</v>
      </c>
      <c r="L122" s="290" t="n">
        <v>43.64997963967853</v>
      </c>
      <c r="M122" s="300" t="n">
        <v>-0.723333583504973</v>
      </c>
      <c r="N122" s="292" t="n">
        <v>36.477825663277</v>
      </c>
      <c r="O122" s="206" t="inlineStr">
        <is>
          <t>—</t>
        </is>
      </c>
      <c r="P122" s="206" t="inlineStr">
        <is>
          <t>—</t>
        </is>
      </c>
      <c r="Q122" s="206" t="inlineStr">
        <is>
          <t>—</t>
        </is>
      </c>
      <c r="R122" s="206" t="inlineStr">
        <is>
          <t>—</t>
        </is>
      </c>
      <c r="S122" s="206" t="inlineStr">
        <is>
          <t>—</t>
        </is>
      </c>
    </row>
    <row r="123" ht="20" customHeight="1" s="215">
      <c r="A123" s="54" t="n">
        <v>118</v>
      </c>
      <c r="B123" s="55" t="inlineStr">
        <is>
          <t>PG</t>
        </is>
      </c>
      <c r="C123" s="56" t="inlineStr">
        <is>
          <t>Procter &amp; Gamble</t>
        </is>
      </c>
      <c r="D123" s="57" t="inlineStr">
        <is>
          <t>Household &amp; Personal Products</t>
        </is>
      </c>
      <c r="E123" s="294" t="n">
        <v>157.69</v>
      </c>
      <c r="F123" s="289" t="n">
        <v>0.040034294</v>
      </c>
      <c r="G123" s="295" t="n">
        <v>366.539866112</v>
      </c>
      <c r="H123" s="289" t="n">
        <v>0.015</v>
      </c>
      <c r="I123" s="296" t="n">
        <v>0.50873</v>
      </c>
      <c r="J123" s="297" t="n">
        <v>23.820242</v>
      </c>
      <c r="K123" s="301" t="n">
        <v>13280.874496</v>
      </c>
      <c r="L123" s="295" t="n">
        <v>89.53207837392134</v>
      </c>
      <c r="M123" s="300" t="n">
        <v>-0.7557371335248869</v>
      </c>
      <c r="N123" s="297" t="n">
        <v>27.59907484569607</v>
      </c>
      <c r="O123" s="207" t="inlineStr">
        <is>
          <t>—</t>
        </is>
      </c>
      <c r="P123" s="207" t="inlineStr">
        <is>
          <t>—</t>
        </is>
      </c>
      <c r="Q123" s="207" t="inlineStr">
        <is>
          <t>—</t>
        </is>
      </c>
      <c r="R123" s="207" t="inlineStr">
        <is>
          <t>—</t>
        </is>
      </c>
      <c r="S123" s="207" t="inlineStr">
        <is>
          <t>—</t>
        </is>
      </c>
    </row>
    <row r="124" ht="20" customHeight="1" s="215">
      <c r="A124" s="50" t="n">
        <v>119</v>
      </c>
      <c r="B124" s="51" t="inlineStr">
        <is>
          <t>BLK</t>
        </is>
      </c>
      <c r="C124" s="52" t="inlineStr">
        <is>
          <t>BlackRock</t>
        </is>
      </c>
      <c r="D124" s="53" t="inlineStr">
        <is>
          <t>Asset Management</t>
        </is>
      </c>
      <c r="E124" s="288" t="n">
        <v>1124.6</v>
      </c>
      <c r="F124" s="300" t="n">
        <v>-0.004778743</v>
      </c>
      <c r="G124" s="290" t="n">
        <v>182.720724992</v>
      </c>
      <c r="H124" s="289" t="n">
        <v>0.191</v>
      </c>
      <c r="I124" s="291" t="n">
        <v>0.48283002</v>
      </c>
      <c r="J124" s="292" t="n">
        <v>25.605648</v>
      </c>
      <c r="K124" s="306" t="inlineStr">
        <is>
          <t>—</t>
        </is>
      </c>
      <c r="L124" s="307" t="inlineStr">
        <is>
          <t>—</t>
        </is>
      </c>
      <c r="M124" s="308" t="inlineStr">
        <is>
          <t>—</t>
        </is>
      </c>
      <c r="N124" s="309" t="inlineStr">
        <is>
          <t>—</t>
        </is>
      </c>
      <c r="O124" s="206" t="inlineStr">
        <is>
          <t>—</t>
        </is>
      </c>
      <c r="P124" s="206" t="inlineStr">
        <is>
          <t>—</t>
        </is>
      </c>
      <c r="Q124" s="206" t="inlineStr">
        <is>
          <t>—</t>
        </is>
      </c>
      <c r="R124" s="206" t="inlineStr">
        <is>
          <t>—</t>
        </is>
      </c>
      <c r="S124" s="206" t="inlineStr">
        <is>
          <t>—</t>
        </is>
      </c>
    </row>
    <row r="125" ht="20" customHeight="1" s="215">
      <c r="A125" s="54" t="n">
        <v>120</v>
      </c>
      <c r="B125" s="55" t="inlineStr">
        <is>
          <t>CHD</t>
        </is>
      </c>
      <c r="C125" s="56" t="inlineStr">
        <is>
          <t>Church &amp; Dwight Co</t>
        </is>
      </c>
      <c r="D125" s="57" t="inlineStr">
        <is>
          <t>Household &amp; Personal Products</t>
        </is>
      </c>
      <c r="E125" s="294" t="n">
        <v>104.09</v>
      </c>
      <c r="F125" s="289" t="n">
        <v>0.18297529</v>
      </c>
      <c r="G125" s="295" t="n">
        <v>24.690552832</v>
      </c>
      <c r="H125" s="289" t="n">
        <v>0.016</v>
      </c>
      <c r="I125" s="296" t="n">
        <v>0.45562</v>
      </c>
      <c r="J125" s="297" t="n">
        <v>33.36218</v>
      </c>
      <c r="K125" s="301" t="n">
        <v>939.262528</v>
      </c>
      <c r="L125" s="295" t="n">
        <v>6.055424153746066</v>
      </c>
      <c r="M125" s="300" t="n">
        <v>-0.7547473240089634</v>
      </c>
      <c r="N125" s="297" t="n">
        <v>26.28717099169744</v>
      </c>
      <c r="O125" s="207" t="inlineStr">
        <is>
          <t>—</t>
        </is>
      </c>
      <c r="P125" s="207" t="inlineStr">
        <is>
          <t>—</t>
        </is>
      </c>
      <c r="Q125" s="207" t="inlineStr">
        <is>
          <t>—</t>
        </is>
      </c>
      <c r="R125" s="207" t="inlineStr">
        <is>
          <t>—</t>
        </is>
      </c>
      <c r="S125" s="207" t="inlineStr">
        <is>
          <t>—</t>
        </is>
      </c>
    </row>
    <row r="126" ht="20" customHeight="1" s="215">
      <c r="A126" s="50" t="n">
        <v>121</v>
      </c>
      <c r="B126" s="51" t="inlineStr">
        <is>
          <t>HSY</t>
        </is>
      </c>
      <c r="C126" s="52" t="inlineStr">
        <is>
          <t>Hershey</t>
        </is>
      </c>
      <c r="D126" s="53" t="inlineStr">
        <is>
          <t>Confectioners</t>
        </is>
      </c>
      <c r="E126" s="288" t="n">
        <v>167</v>
      </c>
      <c r="F126" s="300" t="n">
        <v>-0.1027776</v>
      </c>
      <c r="G126" s="290" t="n">
        <v>33.5545856</v>
      </c>
      <c r="H126" s="289" t="n">
        <v>0.066</v>
      </c>
      <c r="I126" s="291" t="n">
        <v>0.38377</v>
      </c>
      <c r="J126" s="292" t="n">
        <v>22.814207</v>
      </c>
      <c r="K126" s="299" t="n">
        <v>1743.636352</v>
      </c>
      <c r="L126" s="290" t="n">
        <v>14.70330490636443</v>
      </c>
      <c r="M126" s="300" t="n">
        <v>-0.5618093728934496</v>
      </c>
      <c r="N126" s="292" t="n">
        <v>14.01331639649137</v>
      </c>
      <c r="O126" s="206" t="inlineStr">
        <is>
          <t>—</t>
        </is>
      </c>
      <c r="P126" s="206" t="inlineStr">
        <is>
          <t>—</t>
        </is>
      </c>
      <c r="Q126" s="206" t="inlineStr">
        <is>
          <t>—</t>
        </is>
      </c>
      <c r="R126" s="206" t="inlineStr">
        <is>
          <t>—</t>
        </is>
      </c>
      <c r="S126" s="206" t="inlineStr">
        <is>
          <t>—</t>
        </is>
      </c>
    </row>
    <row r="127" ht="20" customHeight="1" s="215">
      <c r="A127" s="54" t="n">
        <v>122</v>
      </c>
      <c r="B127" s="55" t="inlineStr">
        <is>
          <t>LNT</t>
        </is>
      </c>
      <c r="C127" s="56" t="inlineStr">
        <is>
          <t>Alliant Energy</t>
        </is>
      </c>
      <c r="D127" s="57" t="inlineStr">
        <is>
          <t>Utilities - Regulated Electric</t>
        </is>
      </c>
      <c r="E127" s="294" t="n">
        <v>66.84999999999999</v>
      </c>
      <c r="F127" s="300" t="n">
        <v>-0.020082116</v>
      </c>
      <c r="G127" s="295" t="n">
        <v>17.333182464</v>
      </c>
      <c r="H127" s="289" t="n">
        <v>0.01</v>
      </c>
      <c r="I127" s="296" t="n">
        <v>0.44502</v>
      </c>
      <c r="J127" s="297" t="n">
        <v>20.760868</v>
      </c>
      <c r="K127" s="301" t="n">
        <v>-1138.625024</v>
      </c>
      <c r="L127" s="298" t="inlineStr">
        <is>
          <t>—</t>
        </is>
      </c>
      <c r="M127" s="298" t="inlineStr">
        <is>
          <t>—</t>
        </is>
      </c>
      <c r="N127" s="297" t="n">
        <v>-15.22290636759271</v>
      </c>
      <c r="O127" s="207" t="inlineStr">
        <is>
          <t>—</t>
        </is>
      </c>
      <c r="P127" s="207" t="inlineStr">
        <is>
          <t>—</t>
        </is>
      </c>
      <c r="Q127" s="207" t="inlineStr">
        <is>
          <t>—</t>
        </is>
      </c>
      <c r="R127" s="207" t="inlineStr">
        <is>
          <t>—</t>
        </is>
      </c>
      <c r="S127" s="207" t="inlineStr">
        <is>
          <t>—</t>
        </is>
      </c>
    </row>
    <row r="128" ht="20" customHeight="1" s="215">
      <c r="A128" s="50" t="n">
        <v>123</v>
      </c>
      <c r="B128" s="51" t="inlineStr">
        <is>
          <t>CL</t>
        </is>
      </c>
      <c r="C128" s="52" t="inlineStr">
        <is>
          <t>Colgate-Palmolive</t>
        </is>
      </c>
      <c r="D128" s="53" t="inlineStr">
        <is>
          <t>Household &amp; Personal Products</t>
        </is>
      </c>
      <c r="E128" s="288" t="n">
        <v>93.39</v>
      </c>
      <c r="F128" s="289" t="n">
        <v>0.18786573</v>
      </c>
      <c r="G128" s="290" t="n">
        <v>74.44797030399999</v>
      </c>
      <c r="H128" s="289" t="n">
        <v>0.049</v>
      </c>
      <c r="I128" s="291" t="n">
        <v>0.60431</v>
      </c>
      <c r="J128" s="292" t="n">
        <v>36.767715</v>
      </c>
      <c r="K128" s="299" t="n">
        <v>3458.374912</v>
      </c>
      <c r="L128" s="290" t="n">
        <v>26.70788301351808</v>
      </c>
      <c r="M128" s="300" t="n">
        <v>-0.6412543833705685</v>
      </c>
      <c r="N128" s="292" t="n">
        <v>21.52686518803604</v>
      </c>
      <c r="O128" s="206" t="inlineStr">
        <is>
          <t>—</t>
        </is>
      </c>
      <c r="P128" s="206" t="inlineStr">
        <is>
          <t>—</t>
        </is>
      </c>
      <c r="Q128" s="206" t="inlineStr">
        <is>
          <t>—</t>
        </is>
      </c>
      <c r="R128" s="206" t="inlineStr">
        <is>
          <t>—</t>
        </is>
      </c>
      <c r="S128" s="206" t="inlineStr">
        <is>
          <t>—</t>
        </is>
      </c>
    </row>
    <row r="129" ht="20" customHeight="1" s="215">
      <c r="A129" s="54" t="n">
        <v>124</v>
      </c>
      <c r="B129" s="55" t="inlineStr">
        <is>
          <t>TDG</t>
        </is>
      </c>
      <c r="C129" s="56" t="inlineStr">
        <is>
          <t>TransDigm Gr</t>
        </is>
      </c>
      <c r="D129" s="57" t="inlineStr">
        <is>
          <t>Aerospace &amp; Defense</t>
        </is>
      </c>
      <c r="E129" s="294" t="n">
        <v>1142.45</v>
      </c>
      <c r="F129" s="300" t="n">
        <v>-0.14047867</v>
      </c>
      <c r="G129" s="295" t="n">
        <v>63.901319168</v>
      </c>
      <c r="H129" s="289" t="n">
        <v>0.225</v>
      </c>
      <c r="I129" s="296" t="n">
        <v>0.59824</v>
      </c>
      <c r="J129" s="297" t="n">
        <v>34.651196</v>
      </c>
      <c r="K129" s="301" t="n">
        <v>1457.374976</v>
      </c>
      <c r="L129" s="295" t="n">
        <v>27.20698851445784</v>
      </c>
      <c r="M129" s="300" t="n">
        <v>-0.5742343214710605</v>
      </c>
      <c r="N129" s="297" t="n">
        <v>43.84686367659301</v>
      </c>
      <c r="O129" s="207" t="inlineStr">
        <is>
          <t>—</t>
        </is>
      </c>
      <c r="P129" s="207" t="inlineStr">
        <is>
          <t>—</t>
        </is>
      </c>
      <c r="Q129" s="207" t="inlineStr">
        <is>
          <t>—</t>
        </is>
      </c>
      <c r="R129" s="207" t="inlineStr">
        <is>
          <t>—</t>
        </is>
      </c>
      <c r="S129" s="207" t="inlineStr">
        <is>
          <t>—</t>
        </is>
      </c>
    </row>
    <row r="130" ht="20" customHeight="1" s="215">
      <c r="A130" s="50" t="n">
        <v>125</v>
      </c>
      <c r="B130" s="51" t="inlineStr">
        <is>
          <t>GOOG</t>
        </is>
      </c>
      <c r="C130" s="52" t="inlineStr">
        <is>
          <t>Alphabet</t>
        </is>
      </c>
      <c r="D130" s="53" t="inlineStr">
        <is>
          <t>Internet Content &amp; Information</t>
        </is>
      </c>
      <c r="E130" s="288" t="n">
        <v>340.16</v>
      </c>
      <c r="F130" s="289" t="n">
        <v>0.3533858</v>
      </c>
      <c r="G130" s="290" t="n">
        <v>4160.13484032</v>
      </c>
      <c r="H130" s="289" t="n">
        <v>0.242</v>
      </c>
      <c r="I130" s="291" t="n">
        <v>0.60897</v>
      </c>
      <c r="J130" s="292" t="n">
        <v>17.067738</v>
      </c>
      <c r="K130" s="299" t="n">
        <v>22665.00096</v>
      </c>
      <c r="L130" s="290" t="n">
        <v>457.858919020906</v>
      </c>
      <c r="M130" s="300" t="n">
        <v>-0.8899413272417662</v>
      </c>
      <c r="N130" s="292" t="n">
        <v>82.95010987725102</v>
      </c>
      <c r="O130" s="208" t="inlineStr">
        <is>
          <t>YES</t>
        </is>
      </c>
      <c r="P130" s="209" t="n">
        <v>1</v>
      </c>
      <c r="Q130" s="208" t="inlineStr">
        <is>
          <t>Buy</t>
        </is>
      </c>
      <c r="R130" s="209" t="n">
        <v>285</v>
      </c>
      <c r="S130" s="210" t="inlineStr">
        <is>
          <t>NEW Q1-26: 3.6M sh ($1B). Alphabet Class C, complementing GOOGL triple. 19th-largest. Total Alphabet exposure now $16.6B</t>
        </is>
      </c>
    </row>
    <row r="131" ht="20" customHeight="1" s="215">
      <c r="A131" s="54" t="n">
        <v>126</v>
      </c>
      <c r="B131" s="55" t="inlineStr">
        <is>
          <t>GOOGL</t>
        </is>
      </c>
      <c r="C131" s="56" t="inlineStr">
        <is>
          <t>Alphabet</t>
        </is>
      </c>
      <c r="D131" s="57" t="inlineStr">
        <is>
          <t>Internet Content &amp; Information</t>
        </is>
      </c>
      <c r="E131" s="294" t="n">
        <v>344.18</v>
      </c>
      <c r="F131" s="289" t="n">
        <v>0.37419152</v>
      </c>
      <c r="G131" s="295" t="n">
        <v>4209.298898944</v>
      </c>
      <c r="H131" s="289" t="n">
        <v>0.242</v>
      </c>
      <c r="I131" s="296" t="n">
        <v>0.60897</v>
      </c>
      <c r="J131" s="297" t="n">
        <v>17.269442</v>
      </c>
      <c r="K131" s="301" t="n">
        <v>22665.00096</v>
      </c>
      <c r="L131" s="295" t="n">
        <v>457.858919020906</v>
      </c>
      <c r="M131" s="300" t="n">
        <v>-0.8912267980932002</v>
      </c>
      <c r="N131" s="297" t="n">
        <v>89.0958567955075</v>
      </c>
      <c r="O131" s="211" t="inlineStr">
        <is>
          <t>YES</t>
        </is>
      </c>
      <c r="P131" s="212" t="n">
        <v>15.6</v>
      </c>
      <c r="Q131" s="211" t="inlineStr">
        <is>
          <t>Buy</t>
        </is>
      </c>
      <c r="R131" s="212" t="n">
        <v>163</v>
      </c>
      <c r="S131" s="213" t="inlineStr">
        <is>
          <t>TRIPLED — Abel added 36M sh to total 54M ($15.6B), 7th-largest holding. 5.9% of portfolio. +224%. First bought Q3-25. AI conviction</t>
        </is>
      </c>
    </row>
    <row r="132" ht="20" customHeight="1" s="215">
      <c r="A132" s="50" t="n">
        <v>127</v>
      </c>
      <c r="B132" s="51" t="inlineStr">
        <is>
          <t>PAYC</t>
        </is>
      </c>
      <c r="C132" s="52" t="inlineStr">
        <is>
          <t>Paycom Software</t>
        </is>
      </c>
      <c r="D132" s="53" t="inlineStr">
        <is>
          <t>Software - Application</t>
        </is>
      </c>
      <c r="E132" s="288" t="n">
        <v>253</v>
      </c>
      <c r="F132" s="289" t="n">
        <v>0.2230494</v>
      </c>
      <c r="G132" s="290" t="n">
        <v>11.403119616</v>
      </c>
      <c r="H132" s="289" t="n">
        <v>0.098</v>
      </c>
      <c r="I132" s="291" t="n">
        <v>0.8805500000000001</v>
      </c>
      <c r="J132" s="292" t="n">
        <v>26.772488</v>
      </c>
      <c r="K132" s="299" t="n">
        <v>423.724992</v>
      </c>
      <c r="L132" s="290" t="n">
        <v>4.274609632729493</v>
      </c>
      <c r="M132" s="300" t="n">
        <v>-0.6251368242483678</v>
      </c>
      <c r="N132" s="292" t="n">
        <v>26.91160498505597</v>
      </c>
      <c r="O132" s="206" t="inlineStr">
        <is>
          <t>—</t>
        </is>
      </c>
      <c r="P132" s="206" t="inlineStr">
        <is>
          <t>—</t>
        </is>
      </c>
      <c r="Q132" s="206" t="inlineStr">
        <is>
          <t>—</t>
        </is>
      </c>
      <c r="R132" s="206" t="inlineStr">
        <is>
          <t>—</t>
        </is>
      </c>
      <c r="S132" s="206" t="inlineStr">
        <is>
          <t>—</t>
        </is>
      </c>
    </row>
    <row r="133" ht="20" customHeight="1" s="215">
      <c r="A133" s="54" t="n">
        <v>128</v>
      </c>
      <c r="B133" s="55" t="inlineStr">
        <is>
          <t>AKAM</t>
        </is>
      </c>
      <c r="C133" s="56" t="inlineStr">
        <is>
          <t>Akamai Technologies</t>
        </is>
      </c>
      <c r="D133" s="57" t="inlineStr">
        <is>
          <t>Software - Infrastructure</t>
        </is>
      </c>
      <c r="E133" s="294" t="n">
        <v>87.25</v>
      </c>
      <c r="F133" s="289" t="n">
        <v>0.14606595</v>
      </c>
      <c r="G133" s="295" t="n">
        <v>12.53927424</v>
      </c>
      <c r="H133" s="289" t="n">
        <v>0.054</v>
      </c>
      <c r="I133" s="296" t="n">
        <v>0.57452</v>
      </c>
      <c r="J133" s="297" t="n">
        <v>31.612318</v>
      </c>
      <c r="K133" s="301" t="n">
        <v>710.060096</v>
      </c>
      <c r="L133" s="295" t="n">
        <v>7.828718937405323</v>
      </c>
      <c r="M133" s="300" t="n">
        <v>-0.3756641104130343</v>
      </c>
      <c r="N133" s="297" t="n">
        <v>17.6594547502216</v>
      </c>
      <c r="O133" s="207" t="inlineStr">
        <is>
          <t>—</t>
        </is>
      </c>
      <c r="P133" s="207" t="inlineStr">
        <is>
          <t>—</t>
        </is>
      </c>
      <c r="Q133" s="207" t="inlineStr">
        <is>
          <t>—</t>
        </is>
      </c>
      <c r="R133" s="207" t="inlineStr">
        <is>
          <t>—</t>
        </is>
      </c>
      <c r="S133" s="207" t="inlineStr">
        <is>
          <t>—</t>
        </is>
      </c>
    </row>
    <row r="134" ht="20" customHeight="1" s="215">
      <c r="A134" s="50" t="n">
        <v>129</v>
      </c>
      <c r="B134" s="51" t="inlineStr">
        <is>
          <t>CE</t>
        </is>
      </c>
      <c r="C134" s="52" t="inlineStr">
        <is>
          <t>Celanese</t>
        </is>
      </c>
      <c r="D134" s="53" t="inlineStr">
        <is>
          <t>Chemicals</t>
        </is>
      </c>
      <c r="E134" s="288" t="n">
        <v>47.88</v>
      </c>
      <c r="F134" s="289" t="n">
        <v>0.15068495</v>
      </c>
      <c r="G134" s="290" t="n">
        <v>5.25477888</v>
      </c>
      <c r="H134" s="289" t="n">
        <v>0.08699999999999999</v>
      </c>
      <c r="I134" s="291" t="n">
        <v>0.21375999</v>
      </c>
      <c r="J134" s="292" t="n">
        <v>7.958406</v>
      </c>
      <c r="K134" s="299" t="n">
        <v>949.875008</v>
      </c>
      <c r="L134" s="290" t="n">
        <v>9.360253108693296</v>
      </c>
      <c r="M134" s="289" t="n">
        <v>0.7812839174487388</v>
      </c>
      <c r="N134" s="292" t="n">
        <v>5.532073728252044</v>
      </c>
      <c r="O134" s="206" t="inlineStr">
        <is>
          <t>—</t>
        </is>
      </c>
      <c r="P134" s="206" t="inlineStr">
        <is>
          <t>—</t>
        </is>
      </c>
      <c r="Q134" s="206" t="inlineStr">
        <is>
          <t>—</t>
        </is>
      </c>
      <c r="R134" s="206" t="inlineStr">
        <is>
          <t>—</t>
        </is>
      </c>
      <c r="S134" s="206" t="inlineStr">
        <is>
          <t>—</t>
        </is>
      </c>
    </row>
    <row r="135" ht="20" customHeight="1" s="215">
      <c r="A135" s="54" t="n">
        <v>130</v>
      </c>
      <c r="B135" s="55" t="inlineStr">
        <is>
          <t>MTD</t>
        </is>
      </c>
      <c r="C135" s="56" t="inlineStr">
        <is>
          <t>Mettler-Toledo Intl</t>
        </is>
      </c>
      <c r="D135" s="57" t="inlineStr">
        <is>
          <t>Diagnostics &amp; Research</t>
        </is>
      </c>
      <c r="E135" s="294" t="n">
        <v>1625.73</v>
      </c>
      <c r="F135" s="289" t="n">
        <v>0.17332935</v>
      </c>
      <c r="G135" s="295" t="n">
        <v>32.574035968</v>
      </c>
      <c r="H135" s="289" t="n">
        <v>0.045</v>
      </c>
      <c r="I135" s="296" t="n">
        <v>0.60256</v>
      </c>
      <c r="J135" s="297" t="n">
        <v>36.640297</v>
      </c>
      <c r="K135" s="301" t="n">
        <v>693.5896320000001</v>
      </c>
      <c r="L135" s="295" t="n">
        <v>6.205284034597826</v>
      </c>
      <c r="M135" s="300" t="n">
        <v>-0.809502143342208</v>
      </c>
      <c r="N135" s="297" t="n">
        <v>46.96442040106793</v>
      </c>
      <c r="O135" s="207" t="inlineStr">
        <is>
          <t>—</t>
        </is>
      </c>
      <c r="P135" s="207" t="inlineStr">
        <is>
          <t>—</t>
        </is>
      </c>
      <c r="Q135" s="207" t="inlineStr">
        <is>
          <t>—</t>
        </is>
      </c>
      <c r="R135" s="207" t="inlineStr">
        <is>
          <t>—</t>
        </is>
      </c>
      <c r="S135" s="207" t="inlineStr">
        <is>
          <t>—</t>
        </is>
      </c>
    </row>
    <row r="136" ht="20" customHeight="1" s="215">
      <c r="A136" s="50" t="n">
        <v>131</v>
      </c>
      <c r="B136" s="51" t="inlineStr">
        <is>
          <t>NTAP</t>
        </is>
      </c>
      <c r="C136" s="52" t="inlineStr">
        <is>
          <t>NetApp</t>
        </is>
      </c>
      <c r="D136" s="53" t="inlineStr">
        <is>
          <t>Computer Hardware</t>
        </is>
      </c>
      <c r="E136" s="288" t="n">
        <v>207.37</v>
      </c>
      <c r="F136" s="289" t="n">
        <v>0.74143434</v>
      </c>
      <c r="G136" s="290" t="n">
        <v>40.731410432</v>
      </c>
      <c r="H136" s="289" t="n">
        <v>0.299</v>
      </c>
      <c r="I136" s="291" t="n">
        <v>0.70625997</v>
      </c>
      <c r="J136" s="292" t="n">
        <v>29.248236</v>
      </c>
      <c r="K136" s="299" t="n">
        <v>1171.374976</v>
      </c>
      <c r="L136" s="290" t="n">
        <v>16.32133164975627</v>
      </c>
      <c r="M136" s="300" t="n">
        <v>-0.5992937274537964</v>
      </c>
      <c r="N136" s="292" t="n">
        <v>34.77230596639449</v>
      </c>
      <c r="O136" s="206" t="inlineStr">
        <is>
          <t>—</t>
        </is>
      </c>
      <c r="P136" s="206" t="inlineStr">
        <is>
          <t>—</t>
        </is>
      </c>
      <c r="Q136" s="206" t="inlineStr">
        <is>
          <t>—</t>
        </is>
      </c>
      <c r="R136" s="206" t="inlineStr">
        <is>
          <t>—</t>
        </is>
      </c>
      <c r="S136" s="206" t="inlineStr">
        <is>
          <t>—</t>
        </is>
      </c>
    </row>
    <row r="137" ht="20" customHeight="1" s="215">
      <c r="A137" s="54" t="n">
        <v>132</v>
      </c>
      <c r="B137" s="55" t="inlineStr">
        <is>
          <t>HON</t>
        </is>
      </c>
      <c r="C137" s="56" t="inlineStr">
        <is>
          <t>Honeywell International</t>
        </is>
      </c>
      <c r="D137" s="57" t="inlineStr">
        <is>
          <t>Specialty Industrial Machinery</t>
        </is>
      </c>
      <c r="E137" s="294" t="n">
        <v>209.98</v>
      </c>
      <c r="F137" s="289" t="n">
        <v>0.016018271</v>
      </c>
      <c r="G137" s="295" t="n">
        <v>66.551058432</v>
      </c>
      <c r="H137" s="289" t="n">
        <v>0.043</v>
      </c>
      <c r="I137" s="296" t="n">
        <v>0.36511</v>
      </c>
      <c r="J137" s="297" t="n">
        <v>7.7511997</v>
      </c>
      <c r="K137" s="301" t="n">
        <v>2610.374912</v>
      </c>
      <c r="L137" s="295" t="n">
        <v>22.17716040174919</v>
      </c>
      <c r="M137" s="300" t="n">
        <v>-0.6667647228419487</v>
      </c>
      <c r="N137" s="297" t="n">
        <v>25.49482949512809</v>
      </c>
      <c r="O137" s="207" t="inlineStr">
        <is>
          <t>—</t>
        </is>
      </c>
      <c r="P137" s="207" t="inlineStr">
        <is>
          <t>—</t>
        </is>
      </c>
      <c r="Q137" s="207" t="inlineStr">
        <is>
          <t>—</t>
        </is>
      </c>
      <c r="R137" s="207" t="inlineStr">
        <is>
          <t>—</t>
        </is>
      </c>
      <c r="S137" s="207" t="inlineStr">
        <is>
          <t>—</t>
        </is>
      </c>
    </row>
    <row r="138" ht="20" customHeight="1" s="215">
      <c r="A138" s="50" t="n">
        <v>133</v>
      </c>
      <c r="B138" s="51" t="inlineStr">
        <is>
          <t>NSC</t>
        </is>
      </c>
      <c r="C138" s="52" t="inlineStr">
        <is>
          <t>Norfolk Southern</t>
        </is>
      </c>
      <c r="D138" s="53" t="inlineStr">
        <is>
          <t>Railroads</t>
        </is>
      </c>
      <c r="E138" s="288" t="n">
        <v>323.48</v>
      </c>
      <c r="F138" s="289" t="n">
        <v>0.1162951</v>
      </c>
      <c r="G138" s="290" t="n">
        <v>72.656314368</v>
      </c>
      <c r="H138" s="289" t="n">
        <v>0.114</v>
      </c>
      <c r="I138" s="291" t="n">
        <v>0.45159</v>
      </c>
      <c r="J138" s="292" t="n">
        <v>27.600683</v>
      </c>
      <c r="K138" s="299" t="n">
        <v>1382.249984</v>
      </c>
      <c r="L138" s="290" t="n">
        <v>12.89640848752459</v>
      </c>
      <c r="M138" s="300" t="n">
        <v>-0.8225012017234313</v>
      </c>
      <c r="N138" s="292" t="n">
        <v>52.56380346468501</v>
      </c>
      <c r="O138" s="206" t="inlineStr">
        <is>
          <t>—</t>
        </is>
      </c>
      <c r="P138" s="206" t="inlineStr">
        <is>
          <t>—</t>
        </is>
      </c>
      <c r="Q138" s="206" t="inlineStr">
        <is>
          <t>—</t>
        </is>
      </c>
      <c r="R138" s="206" t="inlineStr">
        <is>
          <t>—</t>
        </is>
      </c>
      <c r="S138" s="206" t="inlineStr">
        <is>
          <t>—</t>
        </is>
      </c>
    </row>
    <row r="139" ht="20" customHeight="1" s="215">
      <c r="A139" s="54" t="n">
        <v>134</v>
      </c>
      <c r="B139" s="55" t="inlineStr">
        <is>
          <t>TRV</t>
        </is>
      </c>
      <c r="C139" s="56" t="inlineStr">
        <is>
          <t>Travelers Companies</t>
        </is>
      </c>
      <c r="D139" s="57" t="inlineStr">
        <is>
          <t>Insurance - Property &amp; Casualty</t>
        </is>
      </c>
      <c r="E139" s="294" t="n">
        <v>385.45</v>
      </c>
      <c r="F139" s="289" t="n">
        <v>0.43109083</v>
      </c>
      <c r="G139" s="295" t="n">
        <v>80.39524761600001</v>
      </c>
      <c r="H139" s="300" t="n">
        <v>-0.005</v>
      </c>
      <c r="I139" s="296" t="n">
        <v>0.34858</v>
      </c>
      <c r="J139" s="297" t="n">
        <v>10.35321</v>
      </c>
      <c r="K139" s="301" t="n">
        <v>15819.7504</v>
      </c>
      <c r="L139" s="295" t="n">
        <v>76.03511198381126</v>
      </c>
      <c r="M139" s="300" t="n">
        <v>-0.05423374840531001</v>
      </c>
      <c r="N139" s="297" t="n">
        <v>5.081953899215756</v>
      </c>
      <c r="O139" s="207" t="inlineStr">
        <is>
          <t>—</t>
        </is>
      </c>
      <c r="P139" s="207" t="inlineStr">
        <is>
          <t>—</t>
        </is>
      </c>
      <c r="Q139" s="207" t="inlineStr">
        <is>
          <t>—</t>
        </is>
      </c>
      <c r="R139" s="207" t="inlineStr">
        <is>
          <t>—</t>
        </is>
      </c>
      <c r="S139" s="207" t="inlineStr">
        <is>
          <t>—</t>
        </is>
      </c>
    </row>
    <row r="140" ht="20" customHeight="1" s="215">
      <c r="A140" s="50" t="n">
        <v>135</v>
      </c>
      <c r="B140" s="51" t="inlineStr">
        <is>
          <t>FOX</t>
        </is>
      </c>
      <c r="C140" s="52" t="inlineStr">
        <is>
          <t>Fox</t>
        </is>
      </c>
      <c r="D140" s="53" t="inlineStr">
        <is>
          <t>Broadcasting</t>
        </is>
      </c>
      <c r="E140" s="288" t="n">
        <v>58.33</v>
      </c>
      <c r="F140" s="289" t="n">
        <v>0.11168289</v>
      </c>
      <c r="G140" s="290" t="n">
        <v>24.596224</v>
      </c>
      <c r="H140" s="289" t="n">
        <v>0.281</v>
      </c>
      <c r="I140" s="291" t="n">
        <v>0.36629</v>
      </c>
      <c r="J140" s="292" t="n">
        <v>15.190105</v>
      </c>
      <c r="K140" s="299" t="n">
        <v>555.3749759999999</v>
      </c>
      <c r="L140" s="290" t="n">
        <v>10.00366267608621</v>
      </c>
      <c r="M140" s="300" t="n">
        <v>-0.593284616529504</v>
      </c>
      <c r="N140" s="292" t="n">
        <v>23.13231772999438</v>
      </c>
      <c r="O140" s="206" t="inlineStr">
        <is>
          <t>—</t>
        </is>
      </c>
      <c r="P140" s="206" t="inlineStr">
        <is>
          <t>—</t>
        </is>
      </c>
      <c r="Q140" s="206" t="inlineStr">
        <is>
          <t>—</t>
        </is>
      </c>
      <c r="R140" s="206" t="inlineStr">
        <is>
          <t>—</t>
        </is>
      </c>
      <c r="S140" s="206" t="inlineStr">
        <is>
          <t>—</t>
        </is>
      </c>
    </row>
    <row r="141" ht="20" customHeight="1" s="215">
      <c r="A141" s="54" t="n">
        <v>136</v>
      </c>
      <c r="B141" s="55" t="inlineStr">
        <is>
          <t>FOXA</t>
        </is>
      </c>
      <c r="C141" s="56" t="inlineStr">
        <is>
          <t>Fox</t>
        </is>
      </c>
      <c r="D141" s="57" t="inlineStr">
        <is>
          <t>Broadcasting</t>
        </is>
      </c>
      <c r="E141" s="294" t="n">
        <v>65.27</v>
      </c>
      <c r="F141" s="289" t="n">
        <v>0.11135709</v>
      </c>
      <c r="G141" s="295" t="n">
        <v>27.522635776</v>
      </c>
      <c r="H141" s="289" t="n">
        <v>0.281</v>
      </c>
      <c r="I141" s="296" t="n">
        <v>0.36629</v>
      </c>
      <c r="J141" s="297" t="n">
        <v>16.997395</v>
      </c>
      <c r="K141" s="301" t="n">
        <v>555.3749759999999</v>
      </c>
      <c r="L141" s="295" t="n">
        <v>10.00366267608621</v>
      </c>
      <c r="M141" s="300" t="n">
        <v>-0.6365296275580734</v>
      </c>
      <c r="N141" s="297" t="n">
        <v>23.67229538563149</v>
      </c>
      <c r="O141" s="207" t="inlineStr">
        <is>
          <t>—</t>
        </is>
      </c>
      <c r="P141" s="207" t="inlineStr">
        <is>
          <t>—</t>
        </is>
      </c>
      <c r="Q141" s="207" t="inlineStr">
        <is>
          <t>—</t>
        </is>
      </c>
      <c r="R141" s="207" t="inlineStr">
        <is>
          <t>—</t>
        </is>
      </c>
      <c r="S141" s="207" t="inlineStr">
        <is>
          <t>—</t>
        </is>
      </c>
    </row>
    <row r="142" ht="20" customHeight="1" s="215">
      <c r="A142" s="50" t="n">
        <v>137</v>
      </c>
      <c r="B142" s="51" t="inlineStr">
        <is>
          <t>IVZ</t>
        </is>
      </c>
      <c r="C142" s="52" t="inlineStr">
        <is>
          <t>Invesco</t>
        </is>
      </c>
      <c r="D142" s="53" t="inlineStr">
        <is>
          <t>Asset Management</t>
        </is>
      </c>
      <c r="E142" s="288" t="n">
        <v>28.29</v>
      </c>
      <c r="F142" s="289" t="n">
        <v>0.23321712</v>
      </c>
      <c r="G142" s="290" t="n">
        <v>12.490029056</v>
      </c>
      <c r="H142" s="289" t="n">
        <v>0.205</v>
      </c>
      <c r="I142" s="291" t="n">
        <v>0.2952</v>
      </c>
      <c r="J142" s="292" t="n">
        <v>8.700146</v>
      </c>
      <c r="K142" s="299" t="n">
        <v>1140.787456</v>
      </c>
      <c r="L142" s="290" t="n">
        <v>1.3448105373789</v>
      </c>
      <c r="M142" s="300" t="n">
        <v>-0.8923292707047087</v>
      </c>
      <c r="N142" s="292" t="n">
        <v>10.94860283614479</v>
      </c>
      <c r="O142" s="206" t="inlineStr">
        <is>
          <t>—</t>
        </is>
      </c>
      <c r="P142" s="206" t="inlineStr">
        <is>
          <t>—</t>
        </is>
      </c>
      <c r="Q142" s="206" t="inlineStr">
        <is>
          <t>—</t>
        </is>
      </c>
      <c r="R142" s="206" t="inlineStr">
        <is>
          <t>—</t>
        </is>
      </c>
      <c r="S142" s="206" t="inlineStr">
        <is>
          <t>—</t>
        </is>
      </c>
    </row>
    <row r="143" ht="20" customHeight="1" s="215">
      <c r="A143" s="54" t="n">
        <v>138</v>
      </c>
      <c r="B143" s="55" t="inlineStr">
        <is>
          <t>BDX</t>
        </is>
      </c>
      <c r="C143" s="56" t="inlineStr">
        <is>
          <t>Becton, Dickinson</t>
        </is>
      </c>
      <c r="D143" s="57" t="inlineStr">
        <is>
          <t>Medical Instruments &amp; Supplies</t>
        </is>
      </c>
      <c r="E143" s="294" t="n">
        <v>190.74</v>
      </c>
      <c r="F143" s="289" t="n">
        <v>0.28350675</v>
      </c>
      <c r="G143" s="295" t="n">
        <v>51.955060736</v>
      </c>
      <c r="H143" s="289" t="n">
        <v>0.054</v>
      </c>
      <c r="I143" s="296" t="n">
        <v>0.46936</v>
      </c>
      <c r="J143" s="297" t="n">
        <v>44.35814</v>
      </c>
      <c r="K143" s="301" t="n">
        <v>4478.374912</v>
      </c>
      <c r="L143" s="295" t="n">
        <v>42.28153325902647</v>
      </c>
      <c r="M143" s="300" t="n">
        <v>-0.1861902832936287</v>
      </c>
      <c r="N143" s="297" t="n">
        <v>11.60131950828506</v>
      </c>
      <c r="O143" s="207" t="inlineStr">
        <is>
          <t>—</t>
        </is>
      </c>
      <c r="P143" s="207" t="inlineStr">
        <is>
          <t>—</t>
        </is>
      </c>
      <c r="Q143" s="207" t="inlineStr">
        <is>
          <t>—</t>
        </is>
      </c>
      <c r="R143" s="207" t="inlineStr">
        <is>
          <t>—</t>
        </is>
      </c>
      <c r="S143" s="207" t="inlineStr">
        <is>
          <t>—</t>
        </is>
      </c>
    </row>
    <row r="144" ht="20" customHeight="1" s="215">
      <c r="A144" s="50" t="n">
        <v>139</v>
      </c>
      <c r="B144" s="51" t="inlineStr">
        <is>
          <t>IP</t>
        </is>
      </c>
      <c r="C144" s="52" t="inlineStr">
        <is>
          <t>International Paper</t>
        </is>
      </c>
      <c r="D144" s="53" t="inlineStr">
        <is>
          <t>Packaging &amp; Containers</t>
        </is>
      </c>
      <c r="E144" s="288" t="n">
        <v>33.75</v>
      </c>
      <c r="F144" s="300" t="n">
        <v>-0.29215604</v>
      </c>
      <c r="G144" s="290" t="n">
        <v>17.872984064</v>
      </c>
      <c r="H144" s="300" t="n">
        <v>-0.022</v>
      </c>
      <c r="I144" s="291" t="n">
        <v>0.29608</v>
      </c>
      <c r="J144" s="292" t="n">
        <v>11.023468</v>
      </c>
      <c r="K144" s="299" t="n">
        <v>1646.499968</v>
      </c>
      <c r="L144" s="290" t="n">
        <v>7.289790671743686</v>
      </c>
      <c r="M144" s="300" t="n">
        <v>-0.5921335438088999</v>
      </c>
      <c r="N144" s="292" t="n">
        <v>10.85513774893071</v>
      </c>
      <c r="O144" s="206" t="inlineStr">
        <is>
          <t>—</t>
        </is>
      </c>
      <c r="P144" s="206" t="inlineStr">
        <is>
          <t>—</t>
        </is>
      </c>
      <c r="Q144" s="206" t="inlineStr">
        <is>
          <t>—</t>
        </is>
      </c>
      <c r="R144" s="206" t="inlineStr">
        <is>
          <t>—</t>
        </is>
      </c>
      <c r="S144" s="206" t="inlineStr">
        <is>
          <t>—</t>
        </is>
      </c>
    </row>
    <row r="145" ht="20" customHeight="1" s="215">
      <c r="A145" s="54" t="n">
        <v>140</v>
      </c>
      <c r="B145" s="55" t="inlineStr">
        <is>
          <t>T</t>
        </is>
      </c>
      <c r="C145" s="56" t="inlineStr">
        <is>
          <t>AT&amp;T</t>
        </is>
      </c>
      <c r="D145" s="57" t="inlineStr">
        <is>
          <t>Telecom Services</t>
        </is>
      </c>
      <c r="E145" s="294" t="n">
        <v>23.2</v>
      </c>
      <c r="F145" s="300" t="n">
        <v>-0.10940498</v>
      </c>
      <c r="G145" s="295" t="n">
        <v>158.975361024</v>
      </c>
      <c r="H145" s="289" t="n">
        <v>0.023</v>
      </c>
      <c r="I145" s="296" t="n">
        <v>0.59721</v>
      </c>
      <c r="J145" s="297" t="n">
        <v>7.656766</v>
      </c>
      <c r="K145" s="301" t="n">
        <v>10142.000128</v>
      </c>
      <c r="L145" s="295" t="n">
        <v>85.72620898258137</v>
      </c>
      <c r="M145" s="300" t="n">
        <v>-0.4607578908429743</v>
      </c>
      <c r="N145" s="297" t="n">
        <v>15.67495021431733</v>
      </c>
      <c r="O145" s="207" t="inlineStr">
        <is>
          <t>—</t>
        </is>
      </c>
      <c r="P145" s="207" t="inlineStr">
        <is>
          <t>—</t>
        </is>
      </c>
      <c r="Q145" s="207" t="inlineStr">
        <is>
          <t>—</t>
        </is>
      </c>
      <c r="R145" s="207" t="inlineStr">
        <is>
          <t>—</t>
        </is>
      </c>
      <c r="S145" s="207" t="inlineStr">
        <is>
          <t>—</t>
        </is>
      </c>
    </row>
    <row r="146" ht="20" customHeight="1" s="215">
      <c r="A146" s="50" t="n">
        <v>141</v>
      </c>
      <c r="B146" s="51" t="inlineStr">
        <is>
          <t>ROK</t>
        </is>
      </c>
      <c r="C146" s="52" t="inlineStr">
        <is>
          <t>Rockwell Automation</t>
        </is>
      </c>
      <c r="D146" s="53" t="inlineStr">
        <is>
          <t>Specialty Industrial Machinery</t>
        </is>
      </c>
      <c r="E146" s="288" t="n">
        <v>424.47</v>
      </c>
      <c r="F146" s="289" t="n">
        <v>0.19852614</v>
      </c>
      <c r="G146" s="290" t="n">
        <v>47.13682944</v>
      </c>
      <c r="H146" s="289" t="n">
        <v>0.079</v>
      </c>
      <c r="I146" s="291" t="n">
        <v>0.49091998</v>
      </c>
      <c r="J146" s="292" t="n">
        <v>39.74438</v>
      </c>
      <c r="K146" s="299" t="n">
        <v>1303.874944</v>
      </c>
      <c r="L146" s="290" t="n">
        <v>9.934904391735484</v>
      </c>
      <c r="M146" s="300" t="n">
        <v>-0.7892326550223</v>
      </c>
      <c r="N146" s="292" t="n">
        <v>36.15134389891305</v>
      </c>
      <c r="O146" s="206" t="inlineStr">
        <is>
          <t>—</t>
        </is>
      </c>
      <c r="P146" s="206" t="inlineStr">
        <is>
          <t>—</t>
        </is>
      </c>
      <c r="Q146" s="206" t="inlineStr">
        <is>
          <t>—</t>
        </is>
      </c>
      <c r="R146" s="206" t="inlineStr">
        <is>
          <t>—</t>
        </is>
      </c>
      <c r="S146" s="206" t="inlineStr">
        <is>
          <t>—</t>
        </is>
      </c>
    </row>
    <row r="147" ht="20" customHeight="1" s="215">
      <c r="A147" s="54" t="n">
        <v>142</v>
      </c>
      <c r="B147" s="55" t="inlineStr">
        <is>
          <t>HOLX</t>
        </is>
      </c>
      <c r="C147" s="56" t="inlineStr">
        <is>
          <t>Hologic</t>
        </is>
      </c>
      <c r="D147" s="57" t="inlineStr">
        <is>
          <t>Medical Instruments &amp; Supplies</t>
        </is>
      </c>
      <c r="E147" s="310" t="inlineStr">
        <is>
          <t>—</t>
        </is>
      </c>
      <c r="F147" s="303" t="inlineStr">
        <is>
          <t>—</t>
        </is>
      </c>
      <c r="G147" s="302" t="inlineStr">
        <is>
          <t>—</t>
        </is>
      </c>
      <c r="H147" s="303" t="inlineStr">
        <is>
          <t>—</t>
        </is>
      </c>
      <c r="I147" s="303" t="inlineStr">
        <is>
          <t>—</t>
        </is>
      </c>
      <c r="J147" s="305" t="inlineStr">
        <is>
          <t>—</t>
        </is>
      </c>
      <c r="K147" s="304" t="inlineStr">
        <is>
          <t>—</t>
        </is>
      </c>
      <c r="L147" s="302" t="inlineStr">
        <is>
          <t>—</t>
        </is>
      </c>
      <c r="M147" s="303" t="inlineStr">
        <is>
          <t>—</t>
        </is>
      </c>
      <c r="N147" s="305" t="inlineStr">
        <is>
          <t>—</t>
        </is>
      </c>
      <c r="O147" s="207" t="inlineStr">
        <is>
          <t>—</t>
        </is>
      </c>
      <c r="P147" s="207" t="inlineStr">
        <is>
          <t>—</t>
        </is>
      </c>
      <c r="Q147" s="207" t="inlineStr">
        <is>
          <t>—</t>
        </is>
      </c>
      <c r="R147" s="207" t="inlineStr">
        <is>
          <t>—</t>
        </is>
      </c>
      <c r="S147" s="207" t="inlineStr">
        <is>
          <t>—</t>
        </is>
      </c>
    </row>
    <row r="148" ht="20" customHeight="1" s="215">
      <c r="A148" s="50" t="n">
        <v>143</v>
      </c>
      <c r="B148" s="51" t="inlineStr">
        <is>
          <t>TMO</t>
        </is>
      </c>
      <c r="C148" s="52" t="inlineStr">
        <is>
          <t>Thermo Fisher Scientific</t>
        </is>
      </c>
      <c r="D148" s="53" t="inlineStr">
        <is>
          <t>Diagnostics &amp; Research</t>
        </is>
      </c>
      <c r="E148" s="288" t="n">
        <v>679.38</v>
      </c>
      <c r="F148" s="289" t="n">
        <v>0.21754873</v>
      </c>
      <c r="G148" s="290" t="n">
        <v>251.19891456</v>
      </c>
      <c r="H148" s="289" t="n">
        <v>0.105</v>
      </c>
      <c r="I148" s="291" t="n">
        <v>0.40987998</v>
      </c>
      <c r="J148" s="292" t="n">
        <v>36.565125</v>
      </c>
      <c r="K148" s="299" t="n">
        <v>6237.250048</v>
      </c>
      <c r="L148" s="290" t="n">
        <v>79.03417827854601</v>
      </c>
      <c r="M148" s="300" t="n">
        <v>-0.6853721346010501</v>
      </c>
      <c r="N148" s="292" t="n">
        <v>40.27398440491061</v>
      </c>
      <c r="O148" s="206" t="inlineStr">
        <is>
          <t>—</t>
        </is>
      </c>
      <c r="P148" s="206" t="inlineStr">
        <is>
          <t>—</t>
        </is>
      </c>
      <c r="Q148" s="206" t="inlineStr">
        <is>
          <t>—</t>
        </is>
      </c>
      <c r="R148" s="206" t="inlineStr">
        <is>
          <t>—</t>
        </is>
      </c>
      <c r="S148" s="206" t="inlineStr">
        <is>
          <t>—</t>
        </is>
      </c>
    </row>
    <row r="149" ht="20" customHeight="1" s="215">
      <c r="A149" s="54" t="n">
        <v>144</v>
      </c>
      <c r="B149" s="55" t="inlineStr">
        <is>
          <t>LLY</t>
        </is>
      </c>
      <c r="C149" s="56" t="inlineStr">
        <is>
          <t>Eli Lilly</t>
        </is>
      </c>
      <c r="D149" s="57" t="inlineStr">
        <is>
          <t>Drug Manufacturers - General</t>
        </is>
      </c>
      <c r="E149" s="294" t="n">
        <v>1240.34</v>
      </c>
      <c r="F149" s="289" t="n">
        <v>0.5512588</v>
      </c>
      <c r="G149" s="295" t="n">
        <v>1105.5857664</v>
      </c>
      <c r="H149" s="289" t="n">
        <v>0.477</v>
      </c>
      <c r="I149" s="296" t="n">
        <v>0.83399004</v>
      </c>
      <c r="J149" s="297" t="n">
        <v>41.636116</v>
      </c>
      <c r="K149" s="301" t="n">
        <v>11065.900032</v>
      </c>
      <c r="L149" s="295" t="n">
        <v>152.4963047889822</v>
      </c>
      <c r="M149" s="300" t="n">
        <v>-0.8620674131093967</v>
      </c>
      <c r="N149" s="297" t="n">
        <v>99.90925444880251</v>
      </c>
      <c r="O149" s="207" t="inlineStr">
        <is>
          <t>—</t>
        </is>
      </c>
      <c r="P149" s="207" t="inlineStr">
        <is>
          <t>—</t>
        </is>
      </c>
      <c r="Q149" s="207" t="inlineStr">
        <is>
          <t>—</t>
        </is>
      </c>
      <c r="R149" s="207" t="inlineStr">
        <is>
          <t>—</t>
        </is>
      </c>
      <c r="S149" s="207" t="inlineStr">
        <is>
          <t>—</t>
        </is>
      </c>
    </row>
    <row r="150" ht="20" customHeight="1" s="215">
      <c r="A150" s="50" t="n">
        <v>145</v>
      </c>
      <c r="B150" s="51" t="inlineStr">
        <is>
          <t>ADP</t>
        </is>
      </c>
      <c r="C150" s="52" t="inlineStr">
        <is>
          <t>Automatic Data Processing</t>
        </is>
      </c>
      <c r="D150" s="53" t="inlineStr">
        <is>
          <t>Staffing &amp; Employment Services</t>
        </is>
      </c>
      <c r="E150" s="288" t="n">
        <v>287.03</v>
      </c>
      <c r="F150" s="289" t="n">
        <v>0.010740161</v>
      </c>
      <c r="G150" s="290" t="n">
        <v>113.736081408</v>
      </c>
      <c r="H150" s="289" t="n">
        <v>0.068</v>
      </c>
      <c r="I150" s="291" t="n">
        <v>0.48653</v>
      </c>
      <c r="J150" s="292" t="n">
        <v>26.236746</v>
      </c>
      <c r="K150" s="299" t="n">
        <v>5243.049984</v>
      </c>
      <c r="L150" s="290" t="n">
        <v>46.71736008724888</v>
      </c>
      <c r="M150" s="300" t="n">
        <v>-0.589247673131432</v>
      </c>
      <c r="N150" s="292" t="n">
        <v>21.69273269748023</v>
      </c>
      <c r="O150" s="206" t="inlineStr">
        <is>
          <t>—</t>
        </is>
      </c>
      <c r="P150" s="206" t="inlineStr">
        <is>
          <t>—</t>
        </is>
      </c>
      <c r="Q150" s="206" t="inlineStr">
        <is>
          <t>—</t>
        </is>
      </c>
      <c r="R150" s="206" t="inlineStr">
        <is>
          <t>—</t>
        </is>
      </c>
      <c r="S150" s="206" t="inlineStr">
        <is>
          <t>—</t>
        </is>
      </c>
    </row>
    <row r="151" ht="20" customHeight="1" s="215">
      <c r="A151" s="54" t="n">
        <v>146</v>
      </c>
      <c r="B151" s="55" t="inlineStr">
        <is>
          <t>FIS</t>
        </is>
      </c>
      <c r="C151" s="56" t="inlineStr">
        <is>
          <t>Fidelity National Info</t>
        </is>
      </c>
      <c r="D151" s="57" t="inlineStr">
        <is>
          <t>Information Technology Services</t>
        </is>
      </c>
      <c r="E151" s="294" t="n">
        <v>35.98</v>
      </c>
      <c r="F151" s="300" t="n">
        <v>-0.4685377</v>
      </c>
      <c r="G151" s="295" t="n">
        <v>18.597310464</v>
      </c>
      <c r="H151" s="289" t="n">
        <v>0.291</v>
      </c>
      <c r="I151" s="296" t="n">
        <v>0.35836</v>
      </c>
      <c r="J151" s="297" t="n">
        <v>5.526881</v>
      </c>
      <c r="K151" s="301" t="n">
        <v>2653.12512</v>
      </c>
      <c r="L151" s="295" t="n">
        <v>29.33442188530773</v>
      </c>
      <c r="M151" s="289" t="n">
        <v>0.5773475386181373</v>
      </c>
      <c r="N151" s="297" t="n">
        <v>7.009587189382157</v>
      </c>
      <c r="O151" s="207" t="inlineStr">
        <is>
          <t>—</t>
        </is>
      </c>
      <c r="P151" s="207" t="inlineStr">
        <is>
          <t>—</t>
        </is>
      </c>
      <c r="Q151" s="207" t="inlineStr">
        <is>
          <t>—</t>
        </is>
      </c>
      <c r="R151" s="207" t="inlineStr">
        <is>
          <t>—</t>
        </is>
      </c>
      <c r="S151" s="207" t="inlineStr">
        <is>
          <t>—</t>
        </is>
      </c>
    </row>
    <row r="152" ht="20" customHeight="1" s="215">
      <c r="A152" s="50" t="n">
        <v>147</v>
      </c>
      <c r="B152" s="51" t="inlineStr">
        <is>
          <t>GRMN</t>
        </is>
      </c>
      <c r="C152" s="52" t="inlineStr">
        <is>
          <t>Garmin</t>
        </is>
      </c>
      <c r="D152" s="53" t="inlineStr">
        <is>
          <t>Scientific &amp; Technical Instruments</t>
        </is>
      </c>
      <c r="E152" s="288" t="n">
        <v>286.16</v>
      </c>
      <c r="F152" s="289" t="n">
        <v>0.1385374</v>
      </c>
      <c r="G152" s="290" t="n">
        <v>55.187734528</v>
      </c>
      <c r="H152" s="289" t="n">
        <v>0.114</v>
      </c>
      <c r="I152" s="291" t="n">
        <v>0.60081</v>
      </c>
      <c r="J152" s="292" t="n">
        <v>29.531477</v>
      </c>
      <c r="K152" s="299" t="n">
        <v>1043.656256</v>
      </c>
      <c r="L152" s="290" t="n">
        <v>11.71605265787293</v>
      </c>
      <c r="M152" s="300" t="n">
        <v>-0.7877054972798587</v>
      </c>
      <c r="N152" s="292" t="n">
        <v>52.87922301206424</v>
      </c>
      <c r="O152" s="206" t="inlineStr">
        <is>
          <t>—</t>
        </is>
      </c>
      <c r="P152" s="206" t="inlineStr">
        <is>
          <t>—</t>
        </is>
      </c>
      <c r="Q152" s="206" t="inlineStr">
        <is>
          <t>—</t>
        </is>
      </c>
      <c r="R152" s="206" t="inlineStr">
        <is>
          <t>—</t>
        </is>
      </c>
      <c r="S152" s="206" t="inlineStr">
        <is>
          <t>—</t>
        </is>
      </c>
    </row>
    <row r="153" ht="20" customHeight="1" s="215">
      <c r="A153" s="54" t="n">
        <v>148</v>
      </c>
      <c r="B153" s="55" t="inlineStr">
        <is>
          <t>IBM</t>
        </is>
      </c>
      <c r="C153" s="56" t="inlineStr">
        <is>
          <t>IBM</t>
        </is>
      </c>
      <c r="D153" s="57" t="inlineStr">
        <is>
          <t>Information Technology Services</t>
        </is>
      </c>
      <c r="E153" s="294" t="n">
        <v>236.39</v>
      </c>
      <c r="F153" s="300" t="n">
        <v>-0.16188622</v>
      </c>
      <c r="G153" s="295" t="n">
        <v>222.71115264</v>
      </c>
      <c r="H153" s="289" t="n">
        <v>0.011</v>
      </c>
      <c r="I153" s="296" t="n">
        <v>0.5809800000000001</v>
      </c>
      <c r="J153" s="297" t="n">
        <v>21.012444</v>
      </c>
      <c r="K153" s="301" t="n">
        <v>12049.750016</v>
      </c>
      <c r="L153" s="295" t="n">
        <v>72.83910954045253</v>
      </c>
      <c r="M153" s="300" t="n">
        <v>-0.6729435922852375</v>
      </c>
      <c r="N153" s="297" t="n">
        <v>18.48263641622256</v>
      </c>
      <c r="O153" s="207" t="inlineStr">
        <is>
          <t>—</t>
        </is>
      </c>
      <c r="P153" s="207" t="inlineStr">
        <is>
          <t>—</t>
        </is>
      </c>
      <c r="Q153" s="207" t="inlineStr">
        <is>
          <t>—</t>
        </is>
      </c>
      <c r="R153" s="207" t="inlineStr">
        <is>
          <t>—</t>
        </is>
      </c>
      <c r="S153" s="207" t="inlineStr">
        <is>
          <t>—</t>
        </is>
      </c>
    </row>
    <row r="154" ht="20" customHeight="1" s="215">
      <c r="A154" s="50" t="n">
        <v>149</v>
      </c>
      <c r="B154" s="51" t="inlineStr">
        <is>
          <t>PGR</t>
        </is>
      </c>
      <c r="C154" s="52" t="inlineStr">
        <is>
          <t>Progressive</t>
        </is>
      </c>
      <c r="D154" s="53" t="inlineStr">
        <is>
          <t>Insurance - Property &amp; Casualty</t>
        </is>
      </c>
      <c r="E154" s="288" t="n">
        <v>219.11</v>
      </c>
      <c r="F154" s="300" t="n">
        <v>-0.011236489</v>
      </c>
      <c r="G154" s="290" t="n">
        <v>127.171444736</v>
      </c>
      <c r="H154" s="289" t="n">
        <v>0.03</v>
      </c>
      <c r="I154" s="291" t="n">
        <v>0.1728</v>
      </c>
      <c r="J154" s="292" t="n">
        <v>11.038287</v>
      </c>
      <c r="K154" s="306" t="inlineStr">
        <is>
          <t>—</t>
        </is>
      </c>
      <c r="L154" s="290" t="n">
        <v>98.25679172117647</v>
      </c>
      <c r="M154" s="300" t="n">
        <v>-0.2273674964914376</v>
      </c>
      <c r="N154" s="309" t="inlineStr">
        <is>
          <t>—</t>
        </is>
      </c>
      <c r="O154" s="206" t="inlineStr">
        <is>
          <t>—</t>
        </is>
      </c>
      <c r="P154" s="206" t="inlineStr">
        <is>
          <t>—</t>
        </is>
      </c>
      <c r="Q154" s="206" t="inlineStr">
        <is>
          <t>—</t>
        </is>
      </c>
      <c r="R154" s="206" t="inlineStr">
        <is>
          <t>—</t>
        </is>
      </c>
      <c r="S154" s="206" t="inlineStr">
        <is>
          <t>—</t>
        </is>
      </c>
    </row>
    <row r="155" ht="20" customHeight="1" s="215">
      <c r="A155" s="54" t="n">
        <v>150</v>
      </c>
      <c r="B155" s="55" t="inlineStr">
        <is>
          <t>ALLE</t>
        </is>
      </c>
      <c r="C155" s="56" t="inlineStr">
        <is>
          <t>Allegion</t>
        </is>
      </c>
      <c r="D155" s="57" t="inlineStr">
        <is>
          <t>Security &amp; Protection Services</t>
        </is>
      </c>
      <c r="E155" s="294" t="n">
        <v>155.44</v>
      </c>
      <c r="F155" s="300" t="n">
        <v>-0.13389426</v>
      </c>
      <c r="G155" s="295" t="n">
        <v>13.218117632</v>
      </c>
      <c r="H155" s="289" t="n">
        <v>0.127</v>
      </c>
      <c r="I155" s="296" t="n">
        <v>0.44801</v>
      </c>
      <c r="J155" s="297" t="n">
        <v>20.372215</v>
      </c>
      <c r="K155" s="301" t="n">
        <v>484.449984</v>
      </c>
      <c r="L155" s="295" t="n">
        <v>4.774956993967228</v>
      </c>
      <c r="M155" s="300" t="n">
        <v>-0.6387566575737349</v>
      </c>
      <c r="N155" s="297" t="n">
        <v>27.28479399813542</v>
      </c>
      <c r="O155" s="211" t="inlineStr">
        <is>
          <t>SOLD</t>
        </is>
      </c>
      <c r="P155" s="212" t="inlineStr">
        <is>
          <t>—</t>
        </is>
      </c>
      <c r="Q155" s="211" t="inlineStr">
        <is>
          <t>Sold</t>
        </is>
      </c>
      <c r="R155" s="212" t="n">
        <v>135</v>
      </c>
      <c r="S155" s="213" t="inlineStr">
        <is>
          <t>New Q2-25: 0.8M @~$135 → Held → Q1-26: FULLY EXITED. Tiny position swept clean</t>
        </is>
      </c>
    </row>
    <row r="156" ht="20" customHeight="1" s="215">
      <c r="A156" s="50" t="n">
        <v>151</v>
      </c>
      <c r="B156" s="51" t="inlineStr">
        <is>
          <t>CINF</t>
        </is>
      </c>
      <c r="C156" s="52" t="inlineStr">
        <is>
          <t>Cincinnati Financial</t>
        </is>
      </c>
      <c r="D156" s="53" t="inlineStr">
        <is>
          <t>Insurance - Property &amp; Casualty</t>
        </is>
      </c>
      <c r="E156" s="288" t="n">
        <v>169.89</v>
      </c>
      <c r="F156" s="289" t="n">
        <v>0.08701777500000001</v>
      </c>
      <c r="G156" s="290" t="n">
        <v>26.074386432</v>
      </c>
      <c r="H156" s="289" t="n">
        <v>0.316</v>
      </c>
      <c r="I156" s="291" t="n">
        <v>0.31066</v>
      </c>
      <c r="J156" s="292" t="n">
        <v>8.021246</v>
      </c>
      <c r="K156" s="299" t="n">
        <v>2984.875008</v>
      </c>
      <c r="L156" s="290" t="n">
        <v>32.20209605769285</v>
      </c>
      <c r="M156" s="289" t="n">
        <v>0.2350087754384344</v>
      </c>
      <c r="N156" s="292" t="n">
        <v>8.735503160154437</v>
      </c>
      <c r="O156" s="206" t="inlineStr">
        <is>
          <t>—</t>
        </is>
      </c>
      <c r="P156" s="206" t="inlineStr">
        <is>
          <t>—</t>
        </is>
      </c>
      <c r="Q156" s="206" t="inlineStr">
        <is>
          <t>—</t>
        </is>
      </c>
      <c r="R156" s="206" t="inlineStr">
        <is>
          <t>—</t>
        </is>
      </c>
      <c r="S156" s="206" t="inlineStr">
        <is>
          <t>—</t>
        </is>
      </c>
    </row>
    <row r="157" ht="20" customHeight="1" s="215">
      <c r="A157" s="54" t="n">
        <v>152</v>
      </c>
      <c r="B157" s="55" t="inlineStr">
        <is>
          <t>RMD</t>
        </is>
      </c>
      <c r="C157" s="56" t="inlineStr">
        <is>
          <t>ResMed</t>
        </is>
      </c>
      <c r="D157" s="57" t="inlineStr">
        <is>
          <t>Medical Instruments &amp; Supplies</t>
        </is>
      </c>
      <c r="E157" s="294" t="n">
        <v>239.77</v>
      </c>
      <c r="F157" s="300" t="n">
        <v>-0.106069624</v>
      </c>
      <c r="G157" s="295" t="n">
        <v>33.721073664</v>
      </c>
      <c r="H157" s="289" t="n">
        <v>0.08599999999999999</v>
      </c>
      <c r="I157" s="296" t="n">
        <v>0.6161799999999999</v>
      </c>
      <c r="J157" s="297" t="n">
        <v>22.988495</v>
      </c>
      <c r="K157" s="301" t="n">
        <v>939.248256</v>
      </c>
      <c r="L157" s="295" t="n">
        <v>11.41990714016657</v>
      </c>
      <c r="M157" s="300" t="n">
        <v>-0.6613421252847519</v>
      </c>
      <c r="N157" s="297" t="n">
        <v>35.90219207615969</v>
      </c>
      <c r="O157" s="207" t="inlineStr">
        <is>
          <t>—</t>
        </is>
      </c>
      <c r="P157" s="207" t="inlineStr">
        <is>
          <t>—</t>
        </is>
      </c>
      <c r="Q157" s="207" t="inlineStr">
        <is>
          <t>—</t>
        </is>
      </c>
      <c r="R157" s="207" t="inlineStr">
        <is>
          <t>—</t>
        </is>
      </c>
      <c r="S157" s="207" t="inlineStr">
        <is>
          <t>—</t>
        </is>
      </c>
    </row>
    <row r="158" ht="20" customHeight="1" s="215">
      <c r="A158" s="50" t="n">
        <v>153</v>
      </c>
      <c r="B158" s="51" t="inlineStr">
        <is>
          <t>GIS</t>
        </is>
      </c>
      <c r="C158" s="52" t="inlineStr">
        <is>
          <t>General Mills</t>
        </is>
      </c>
      <c r="D158" s="53" t="inlineStr">
        <is>
          <t>Packaged Foods</t>
        </is>
      </c>
      <c r="E158" s="288" t="n">
        <v>32.57</v>
      </c>
      <c r="F158" s="300" t="n">
        <v>-0.32942146</v>
      </c>
      <c r="G158" s="290" t="n">
        <v>17.414760448</v>
      </c>
      <c r="H158" s="300" t="n">
        <v>-0.028</v>
      </c>
      <c r="I158" s="291" t="n">
        <v>0.33728</v>
      </c>
      <c r="J158" s="292" t="n">
        <v>10.33227</v>
      </c>
      <c r="K158" s="299" t="n">
        <v>1302.61248</v>
      </c>
      <c r="L158" s="290" t="n">
        <v>6.782621533468465</v>
      </c>
      <c r="M158" s="300" t="n">
        <v>-0.6105245573879016</v>
      </c>
      <c r="N158" s="292" t="n">
        <v>13.36910289703351</v>
      </c>
      <c r="O158" s="206" t="inlineStr">
        <is>
          <t>—</t>
        </is>
      </c>
      <c r="P158" s="206" t="inlineStr">
        <is>
          <t>—</t>
        </is>
      </c>
      <c r="Q158" s="206" t="inlineStr">
        <is>
          <t>—</t>
        </is>
      </c>
      <c r="R158" s="206" t="inlineStr">
        <is>
          <t>—</t>
        </is>
      </c>
      <c r="S158" s="206" t="inlineStr">
        <is>
          <t>—</t>
        </is>
      </c>
    </row>
    <row r="159" ht="20" customHeight="1" s="215">
      <c r="A159" s="54" t="n">
        <v>154</v>
      </c>
      <c r="B159" s="55" t="inlineStr">
        <is>
          <t>AON</t>
        </is>
      </c>
      <c r="C159" s="56" t="inlineStr">
        <is>
          <t>Aon</t>
        </is>
      </c>
      <c r="D159" s="57" t="inlineStr">
        <is>
          <t>Insurance Brokers</t>
        </is>
      </c>
      <c r="E159" s="294" t="n">
        <v>289.74</v>
      </c>
      <c r="F159" s="300" t="n">
        <v>-0.15633464</v>
      </c>
      <c r="G159" s="295" t="n">
        <v>61.461221376</v>
      </c>
      <c r="H159" s="289" t="n">
        <v>0.022</v>
      </c>
      <c r="I159" s="296" t="n">
        <v>0.48154</v>
      </c>
      <c r="J159" s="297" t="n">
        <v>15.972437</v>
      </c>
      <c r="K159" s="301" t="n">
        <v>3190.87488</v>
      </c>
      <c r="L159" s="295" t="n">
        <v>27.32130450875442</v>
      </c>
      <c r="M159" s="300" t="n">
        <v>-0.5554708497963056</v>
      </c>
      <c r="N159" s="297" t="n">
        <v>19.26155852502747</v>
      </c>
      <c r="O159" s="211" t="inlineStr">
        <is>
          <t>SOLD</t>
        </is>
      </c>
      <c r="P159" s="212" t="inlineStr">
        <is>
          <t>—</t>
        </is>
      </c>
      <c r="Q159" s="211" t="inlineStr">
        <is>
          <t>Sold</t>
        </is>
      </c>
      <c r="R159" s="212" t="n">
        <v>285</v>
      </c>
      <c r="S159" s="213" t="inlineStr">
        <is>
          <t>Held → Trim Q4-25 → Q1-26: FULLY EXITED. Insurance broker exit (kept CB)</t>
        </is>
      </c>
    </row>
    <row r="160" ht="20" customHeight="1" s="215">
      <c r="A160" s="50" t="n">
        <v>155</v>
      </c>
      <c r="B160" s="51" t="inlineStr">
        <is>
          <t>CTAS</t>
        </is>
      </c>
      <c r="C160" s="52" t="inlineStr">
        <is>
          <t>Cintas</t>
        </is>
      </c>
      <c r="D160" s="53" t="inlineStr">
        <is>
          <t>Specialty Business Services</t>
        </is>
      </c>
      <c r="E160" s="288" t="n">
        <v>212.3</v>
      </c>
      <c r="F160" s="289" t="n">
        <v>0.08046209999999999</v>
      </c>
      <c r="G160" s="290" t="n">
        <v>84.29904691199999</v>
      </c>
      <c r="H160" s="289" t="n">
        <v>0.109</v>
      </c>
      <c r="I160" s="291" t="n">
        <v>0.5099000299999999</v>
      </c>
      <c r="J160" s="292" t="n">
        <v>41.873768</v>
      </c>
      <c r="K160" s="299" t="n">
        <v>1743.98528</v>
      </c>
      <c r="L160" s="290" t="n">
        <v>15.22632750809699</v>
      </c>
      <c r="M160" s="300" t="n">
        <v>-0.8193772282622389</v>
      </c>
      <c r="N160" s="292" t="n">
        <v>48.3370147733701</v>
      </c>
      <c r="O160" s="206" t="inlineStr">
        <is>
          <t>—</t>
        </is>
      </c>
      <c r="P160" s="206" t="inlineStr">
        <is>
          <t>—</t>
        </is>
      </c>
      <c r="Q160" s="206" t="inlineStr">
        <is>
          <t>—</t>
        </is>
      </c>
      <c r="R160" s="206" t="inlineStr">
        <is>
          <t>—</t>
        </is>
      </c>
      <c r="S160" s="206" t="inlineStr">
        <is>
          <t>—</t>
        </is>
      </c>
    </row>
    <row r="161" ht="20" customHeight="1" s="215">
      <c r="A161" s="54" t="n">
        <v>156</v>
      </c>
      <c r="B161" s="55" t="inlineStr">
        <is>
          <t>APH</t>
        </is>
      </c>
      <c r="C161" s="56" t="inlineStr">
        <is>
          <t>Amphenol</t>
        </is>
      </c>
      <c r="D161" s="57" t="inlineStr">
        <is>
          <t>Electronic Components</t>
        </is>
      </c>
      <c r="E161" s="294" t="n">
        <v>80.28</v>
      </c>
      <c r="F161" s="289" t="n">
        <v>0.29026031</v>
      </c>
      <c r="G161" s="295" t="n">
        <v>197.967822848</v>
      </c>
      <c r="H161" s="289" t="n">
        <v>0.55</v>
      </c>
      <c r="I161" s="296" t="n">
        <v>0.38952</v>
      </c>
      <c r="J161" s="297" t="n">
        <v>40.14</v>
      </c>
      <c r="K161" s="301" t="n">
        <v>3818.374912</v>
      </c>
      <c r="L161" s="295" t="n">
        <v>45.13145466335362</v>
      </c>
      <c r="M161" s="300" t="n">
        <v>-0.7720263120840318</v>
      </c>
      <c r="N161" s="297" t="n">
        <v>51.84609380125741</v>
      </c>
      <c r="O161" s="207" t="inlineStr">
        <is>
          <t>—</t>
        </is>
      </c>
      <c r="P161" s="207" t="inlineStr">
        <is>
          <t>—</t>
        </is>
      </c>
      <c r="Q161" s="207" t="inlineStr">
        <is>
          <t>—</t>
        </is>
      </c>
      <c r="R161" s="207" t="inlineStr">
        <is>
          <t>—</t>
        </is>
      </c>
      <c r="S161" s="207" t="inlineStr">
        <is>
          <t>—</t>
        </is>
      </c>
    </row>
    <row r="162" ht="20" customHeight="1" s="215">
      <c r="A162" s="50" t="n">
        <v>157</v>
      </c>
      <c r="B162" s="51" t="inlineStr">
        <is>
          <t>NEM</t>
        </is>
      </c>
      <c r="C162" s="52" t="inlineStr">
        <is>
          <t>Newmont</t>
        </is>
      </c>
      <c r="D162" s="53" t="inlineStr">
        <is>
          <t>Gold</t>
        </is>
      </c>
      <c r="E162" s="288" t="n">
        <v>118.01</v>
      </c>
      <c r="F162" s="289" t="n">
        <v>0.3671223</v>
      </c>
      <c r="G162" s="290" t="n">
        <v>124.346228736</v>
      </c>
      <c r="H162" s="289" t="n">
        <v>0.151</v>
      </c>
      <c r="I162" s="291" t="n">
        <v>0.68041</v>
      </c>
      <c r="J162" s="292" t="n">
        <v>14.881463</v>
      </c>
      <c r="K162" s="299" t="n">
        <v>8815.875072000001</v>
      </c>
      <c r="L162" s="290" t="n">
        <v>107.3938175608203</v>
      </c>
      <c r="M162" s="300" t="n">
        <v>-0.1363323306826736</v>
      </c>
      <c r="N162" s="292" t="n">
        <v>14.10480796122493</v>
      </c>
      <c r="O162" s="206" t="inlineStr">
        <is>
          <t>—</t>
        </is>
      </c>
      <c r="P162" s="206" t="inlineStr">
        <is>
          <t>—</t>
        </is>
      </c>
      <c r="Q162" s="206" t="inlineStr">
        <is>
          <t>—</t>
        </is>
      </c>
      <c r="R162" s="206" t="inlineStr">
        <is>
          <t>—</t>
        </is>
      </c>
      <c r="S162" s="206" t="inlineStr">
        <is>
          <t>—</t>
        </is>
      </c>
    </row>
    <row r="163" ht="20" customHeight="1" s="215">
      <c r="A163" s="54" t="n">
        <v>158</v>
      </c>
      <c r="B163" s="55" t="inlineStr">
        <is>
          <t>ABT</t>
        </is>
      </c>
      <c r="C163" s="56" t="inlineStr">
        <is>
          <t>Abbott Laboratories</t>
        </is>
      </c>
      <c r="D163" s="57" t="inlineStr">
        <is>
          <t>Medical Devices</t>
        </is>
      </c>
      <c r="E163" s="294" t="n">
        <v>104.06</v>
      </c>
      <c r="F163" s="300" t="n">
        <v>-0.18409908</v>
      </c>
      <c r="G163" s="295" t="n">
        <v>181.253062656</v>
      </c>
      <c r="H163" s="289" t="n">
        <v>0.13</v>
      </c>
      <c r="I163" s="296" t="n">
        <v>0.56847</v>
      </c>
      <c r="J163" s="297" t="n">
        <v>33.56774</v>
      </c>
      <c r="K163" s="301" t="n">
        <v>7209.124864</v>
      </c>
      <c r="L163" s="295" t="n">
        <v>99.18543496249242</v>
      </c>
      <c r="M163" s="300" t="n">
        <v>-0.4527792606145566</v>
      </c>
      <c r="N163" s="297" t="n">
        <v>25.14217470560931</v>
      </c>
      <c r="O163" s="207" t="inlineStr">
        <is>
          <t>—</t>
        </is>
      </c>
      <c r="P163" s="207" t="inlineStr">
        <is>
          <t>—</t>
        </is>
      </c>
      <c r="Q163" s="207" t="inlineStr">
        <is>
          <t>—</t>
        </is>
      </c>
      <c r="R163" s="207" t="inlineStr">
        <is>
          <t>—</t>
        </is>
      </c>
      <c r="S163" s="207" t="inlineStr">
        <is>
          <t>—</t>
        </is>
      </c>
    </row>
    <row r="164" ht="20" customHeight="1" s="215">
      <c r="A164" s="50" t="n">
        <v>159</v>
      </c>
      <c r="B164" s="51" t="inlineStr">
        <is>
          <t>SNA</t>
        </is>
      </c>
      <c r="C164" s="52" t="inlineStr">
        <is>
          <t>Snap-on</t>
        </is>
      </c>
      <c r="D164" s="53" t="inlineStr">
        <is>
          <t>Tools &amp; Accessories</t>
        </is>
      </c>
      <c r="E164" s="288" t="n">
        <v>364.87</v>
      </c>
      <c r="F164" s="289" t="n">
        <v>0.05536115</v>
      </c>
      <c r="G164" s="290" t="n">
        <v>18.873675776</v>
      </c>
      <c r="H164" s="289" t="n">
        <v>0.042</v>
      </c>
      <c r="I164" s="291" t="n">
        <v>0.5183</v>
      </c>
      <c r="J164" s="292" t="n">
        <v>18.596838</v>
      </c>
      <c r="K164" s="299" t="n">
        <v>1109.474944</v>
      </c>
      <c r="L164" s="290" t="n">
        <v>7.87406649231596</v>
      </c>
      <c r="M164" s="300" t="n">
        <v>-0.5828016446945262</v>
      </c>
      <c r="N164" s="292" t="n">
        <v>17.01135824287709</v>
      </c>
      <c r="O164" s="206" t="inlineStr">
        <is>
          <t>—</t>
        </is>
      </c>
      <c r="P164" s="206" t="inlineStr">
        <is>
          <t>—</t>
        </is>
      </c>
      <c r="Q164" s="206" t="inlineStr">
        <is>
          <t>—</t>
        </is>
      </c>
      <c r="R164" s="206" t="inlineStr">
        <is>
          <t>—</t>
        </is>
      </c>
      <c r="S164" s="206" t="inlineStr">
        <is>
          <t>—</t>
        </is>
      </c>
    </row>
    <row r="165" ht="20" customHeight="1" s="215">
      <c r="A165" s="54" t="n">
        <v>160</v>
      </c>
      <c r="B165" s="55" t="inlineStr">
        <is>
          <t>AJG</t>
        </is>
      </c>
      <c r="C165" s="56" t="inlineStr">
        <is>
          <t>Arthur J. Gallagher</t>
        </is>
      </c>
      <c r="D165" s="57" t="inlineStr">
        <is>
          <t>Insurance Brokers</t>
        </is>
      </c>
      <c r="E165" s="294" t="n">
        <v>253.01</v>
      </c>
      <c r="F165" s="300" t="n">
        <v>-0.09318662</v>
      </c>
      <c r="G165" s="295" t="n">
        <v>64.856834048</v>
      </c>
      <c r="H165" s="289" t="n">
        <v>0.309</v>
      </c>
      <c r="I165" s="296" t="n">
        <v>0.43186</v>
      </c>
      <c r="J165" s="297" t="n">
        <v>41.958538</v>
      </c>
      <c r="K165" s="301" t="n">
        <v>2082.300032</v>
      </c>
      <c r="L165" s="295" t="n">
        <v>8.204805310499788</v>
      </c>
      <c r="M165" s="300" t="n">
        <v>-0.8734935889034072</v>
      </c>
      <c r="N165" s="297" t="n">
        <v>31.1467297763553</v>
      </c>
      <c r="O165" s="207" t="inlineStr">
        <is>
          <t>—</t>
        </is>
      </c>
      <c r="P165" s="207" t="inlineStr">
        <is>
          <t>—</t>
        </is>
      </c>
      <c r="Q165" s="207" t="inlineStr">
        <is>
          <t>—</t>
        </is>
      </c>
      <c r="R165" s="207" t="inlineStr">
        <is>
          <t>—</t>
        </is>
      </c>
      <c r="S165" s="207" t="inlineStr">
        <is>
          <t>—</t>
        </is>
      </c>
    </row>
    <row r="166" ht="20" customHeight="1" s="215">
      <c r="A166" s="50" t="n">
        <v>161</v>
      </c>
      <c r="B166" s="51" t="inlineStr">
        <is>
          <t>EMR</t>
        </is>
      </c>
      <c r="C166" s="52" t="inlineStr">
        <is>
          <t>Emerson Electric</t>
        </is>
      </c>
      <c r="D166" s="53" t="inlineStr">
        <is>
          <t>Specialty Industrial Machinery</t>
        </is>
      </c>
      <c r="E166" s="288" t="n">
        <v>160.54</v>
      </c>
      <c r="F166" s="289" t="n">
        <v>0.21464777</v>
      </c>
      <c r="G166" s="290" t="n">
        <v>89.91844761599999</v>
      </c>
      <c r="H166" s="289" t="n">
        <v>0.07000000000000001</v>
      </c>
      <c r="I166" s="291" t="n">
        <v>0.53161</v>
      </c>
      <c r="J166" s="292" t="n">
        <v>35.675552</v>
      </c>
      <c r="K166" s="299" t="n">
        <v>3706.249984</v>
      </c>
      <c r="L166" s="290" t="n">
        <v>27.56172236947436</v>
      </c>
      <c r="M166" s="300" t="n">
        <v>-0.6934808918501607</v>
      </c>
      <c r="N166" s="292" t="n">
        <v>24.26130303896954</v>
      </c>
      <c r="O166" s="206" t="inlineStr">
        <is>
          <t>—</t>
        </is>
      </c>
      <c r="P166" s="206" t="inlineStr">
        <is>
          <t>—</t>
        </is>
      </c>
      <c r="Q166" s="206" t="inlineStr">
        <is>
          <t>—</t>
        </is>
      </c>
      <c r="R166" s="206" t="inlineStr">
        <is>
          <t>—</t>
        </is>
      </c>
      <c r="S166" s="206" t="inlineStr">
        <is>
          <t>—</t>
        </is>
      </c>
    </row>
    <row r="167" ht="20" customHeight="1" s="215">
      <c r="A167" s="54" t="n">
        <v>162</v>
      </c>
      <c r="B167" s="55" t="inlineStr">
        <is>
          <t>ZBRA</t>
        </is>
      </c>
      <c r="C167" s="56" t="inlineStr">
        <is>
          <t>Zebra Technologies</t>
        </is>
      </c>
      <c r="D167" s="57" t="inlineStr">
        <is>
          <t>Communication Equipment</t>
        </is>
      </c>
      <c r="E167" s="294" t="n">
        <v>375.77</v>
      </c>
      <c r="F167" s="289" t="n">
        <v>0.22716439</v>
      </c>
      <c r="G167" s="295" t="n">
        <v>17.899198464</v>
      </c>
      <c r="H167" s="289" t="n">
        <v>0.204</v>
      </c>
      <c r="I167" s="296" t="n">
        <v>0.49581</v>
      </c>
      <c r="J167" s="297" t="n">
        <v>34.44271</v>
      </c>
      <c r="K167" s="301" t="n">
        <v>576.750016</v>
      </c>
      <c r="L167" s="295" t="n">
        <v>6.37369570233427</v>
      </c>
      <c r="M167" s="300" t="n">
        <v>-0.643911669276507</v>
      </c>
      <c r="N167" s="297" t="n">
        <v>31.03458901653502</v>
      </c>
      <c r="O167" s="207" t="inlineStr">
        <is>
          <t>—</t>
        </is>
      </c>
      <c r="P167" s="207" t="inlineStr">
        <is>
          <t>—</t>
        </is>
      </c>
      <c r="Q167" s="207" t="inlineStr">
        <is>
          <t>—</t>
        </is>
      </c>
      <c r="R167" s="207" t="inlineStr">
        <is>
          <t>—</t>
        </is>
      </c>
      <c r="S167" s="207" t="inlineStr">
        <is>
          <t>—</t>
        </is>
      </c>
    </row>
    <row r="168" ht="20" customHeight="1" s="215">
      <c r="A168" s="50" t="n">
        <v>163</v>
      </c>
      <c r="B168" s="51" t="inlineStr">
        <is>
          <t>WRB</t>
        </is>
      </c>
      <c r="C168" s="52" t="inlineStr">
        <is>
          <t>WR Berkley</t>
        </is>
      </c>
      <c r="D168" s="53" t="inlineStr">
        <is>
          <t>Insurance - Property &amp; Casualty</t>
        </is>
      </c>
      <c r="E168" s="288" t="n">
        <v>74.08</v>
      </c>
      <c r="F168" s="300" t="n">
        <v>-0.0122666955</v>
      </c>
      <c r="G168" s="290" t="n">
        <v>27.500535808</v>
      </c>
      <c r="H168" s="300" t="n">
        <v>-0.008</v>
      </c>
      <c r="I168" s="291" t="n">
        <v>0.43605</v>
      </c>
      <c r="J168" s="292" t="n">
        <v>15.2115</v>
      </c>
      <c r="K168" s="306" t="inlineStr">
        <is>
          <t>—</t>
        </is>
      </c>
      <c r="L168" s="307" t="inlineStr">
        <is>
          <t>—</t>
        </is>
      </c>
      <c r="M168" s="308" t="inlineStr">
        <is>
          <t>—</t>
        </is>
      </c>
      <c r="N168" s="309" t="inlineStr">
        <is>
          <t>—</t>
        </is>
      </c>
      <c r="O168" s="206" t="inlineStr">
        <is>
          <t>—</t>
        </is>
      </c>
      <c r="P168" s="206" t="inlineStr">
        <is>
          <t>—</t>
        </is>
      </c>
      <c r="Q168" s="206" t="inlineStr">
        <is>
          <t>—</t>
        </is>
      </c>
      <c r="R168" s="206" t="inlineStr">
        <is>
          <t>—</t>
        </is>
      </c>
      <c r="S168" s="206" t="inlineStr">
        <is>
          <t>—</t>
        </is>
      </c>
    </row>
    <row r="169" ht="20" customHeight="1" s="215">
      <c r="A169" s="54" t="n">
        <v>164</v>
      </c>
      <c r="B169" s="55" t="inlineStr">
        <is>
          <t>COP</t>
        </is>
      </c>
      <c r="C169" s="56" t="inlineStr">
        <is>
          <t>ConocoPhillips</t>
        </is>
      </c>
      <c r="D169" s="57" t="inlineStr">
        <is>
          <t>Oil &amp; Gas E&amp;P</t>
        </is>
      </c>
      <c r="E169" s="294" t="n">
        <v>145.24</v>
      </c>
      <c r="F169" s="289" t="n">
        <v>0.6808239</v>
      </c>
      <c r="G169" s="295" t="n">
        <v>174.482259968</v>
      </c>
      <c r="H169" s="289" t="n">
        <v>0.355</v>
      </c>
      <c r="I169" s="296" t="n">
        <v>0.47574002</v>
      </c>
      <c r="J169" s="297" t="n">
        <v>19.237087</v>
      </c>
      <c r="K169" s="301" t="n">
        <v>7691.375104</v>
      </c>
      <c r="L169" s="295" t="n">
        <v>170.3489499853661</v>
      </c>
      <c r="M169" s="300" t="n">
        <v>-0.02368899843108362</v>
      </c>
      <c r="N169" s="297" t="n">
        <v>22.68544351181341</v>
      </c>
      <c r="O169" s="207" t="inlineStr">
        <is>
          <t>—</t>
        </is>
      </c>
      <c r="P169" s="207" t="inlineStr">
        <is>
          <t>—</t>
        </is>
      </c>
      <c r="Q169" s="207" t="inlineStr">
        <is>
          <t>—</t>
        </is>
      </c>
      <c r="R169" s="207" t="inlineStr">
        <is>
          <t>—</t>
        </is>
      </c>
      <c r="S169" s="207" t="inlineStr">
        <is>
          <t>—</t>
        </is>
      </c>
    </row>
    <row r="170" ht="20" customHeight="1" s="215">
      <c r="A170" s="50" t="n">
        <v>165</v>
      </c>
      <c r="B170" s="51" t="inlineStr">
        <is>
          <t>ETN</t>
        </is>
      </c>
      <c r="C170" s="52" t="inlineStr">
        <is>
          <t>Eaton Corp</t>
        </is>
      </c>
      <c r="D170" s="53" t="inlineStr">
        <is>
          <t>Specialty Industrial Machinery</t>
        </is>
      </c>
      <c r="E170" s="288" t="n">
        <v>391.5</v>
      </c>
      <c r="F170" s="289" t="n">
        <v>0.048305035</v>
      </c>
      <c r="G170" s="290" t="n">
        <v>152.019451904</v>
      </c>
      <c r="H170" s="289" t="n">
        <v>0.214</v>
      </c>
      <c r="I170" s="291" t="n">
        <v>0.36022</v>
      </c>
      <c r="J170" s="292" t="n">
        <v>39.82706</v>
      </c>
      <c r="K170" s="299" t="n">
        <v>3106.125056</v>
      </c>
      <c r="L170" s="290" t="n">
        <v>32.49441687318926</v>
      </c>
      <c r="M170" s="300" t="n">
        <v>-0.7862482960818105</v>
      </c>
      <c r="N170" s="292" t="n">
        <v>48.94183178695559</v>
      </c>
      <c r="O170" s="206" t="inlineStr">
        <is>
          <t>—</t>
        </is>
      </c>
      <c r="P170" s="206" t="inlineStr">
        <is>
          <t>—</t>
        </is>
      </c>
      <c r="Q170" s="206" t="inlineStr">
        <is>
          <t>—</t>
        </is>
      </c>
      <c r="R170" s="206" t="inlineStr">
        <is>
          <t>—</t>
        </is>
      </c>
      <c r="S170" s="206" t="inlineStr">
        <is>
          <t>—</t>
        </is>
      </c>
    </row>
    <row r="171" ht="20" customHeight="1" s="215">
      <c r="A171" s="54" t="n">
        <v>166</v>
      </c>
      <c r="B171" s="55" t="inlineStr">
        <is>
          <t>ACN</t>
        </is>
      </c>
      <c r="C171" s="56" t="inlineStr">
        <is>
          <t>Accenture</t>
        </is>
      </c>
      <c r="D171" s="57" t="inlineStr">
        <is>
          <t>Information Technology Services</t>
        </is>
      </c>
      <c r="E171" s="294" t="n">
        <v>236.93</v>
      </c>
      <c r="F171" s="300" t="n">
        <v>-0.05420941</v>
      </c>
      <c r="G171" s="295" t="n">
        <v>144.987439104</v>
      </c>
      <c r="H171" s="289" t="n">
        <v>0.062</v>
      </c>
      <c r="I171" s="296" t="n">
        <v>0.3205</v>
      </c>
      <c r="J171" s="297" t="n">
        <v>17.472713</v>
      </c>
      <c r="K171" s="301" t="n">
        <v>10684.486656</v>
      </c>
      <c r="L171" s="295" t="n">
        <v>86.37909380780719</v>
      </c>
      <c r="M171" s="300" t="n">
        <v>-0.4042305020240604</v>
      </c>
      <c r="N171" s="297" t="n">
        <v>13.56990265919332</v>
      </c>
      <c r="O171" s="207" t="inlineStr">
        <is>
          <t>—</t>
        </is>
      </c>
      <c r="P171" s="207" t="inlineStr">
        <is>
          <t>—</t>
        </is>
      </c>
      <c r="Q171" s="207" t="inlineStr">
        <is>
          <t>—</t>
        </is>
      </c>
      <c r="R171" s="207" t="inlineStr">
        <is>
          <t>—</t>
        </is>
      </c>
      <c r="S171" s="207" t="inlineStr">
        <is>
          <t>—</t>
        </is>
      </c>
    </row>
    <row r="172" ht="20" customHeight="1" s="215">
      <c r="A172" s="50" t="n">
        <v>167</v>
      </c>
      <c r="B172" s="51" t="inlineStr">
        <is>
          <t>CLX</t>
        </is>
      </c>
      <c r="C172" s="52" t="inlineStr">
        <is>
          <t>Clorox</t>
        </is>
      </c>
      <c r="D172" s="53" t="inlineStr">
        <is>
          <t>Household &amp; Personal Products</t>
        </is>
      </c>
      <c r="E172" s="288" t="n">
        <v>85.56</v>
      </c>
      <c r="F172" s="300" t="n">
        <v>-0.28634584</v>
      </c>
      <c r="G172" s="290" t="n">
        <v>10.347470848</v>
      </c>
      <c r="H172" s="300" t="n">
        <v>-0.02</v>
      </c>
      <c r="I172" s="291" t="n">
        <v>0.42321</v>
      </c>
      <c r="J172" s="292" t="n">
        <v>17.787941</v>
      </c>
      <c r="K172" s="299" t="n">
        <v>110.375</v>
      </c>
      <c r="L172" s="290" t="n">
        <v>0.6708870244002754</v>
      </c>
      <c r="M172" s="300" t="n">
        <v>-0.9351641541923312</v>
      </c>
      <c r="N172" s="292" t="n">
        <v>93.748321839547</v>
      </c>
      <c r="O172" s="206" t="inlineStr">
        <is>
          <t>—</t>
        </is>
      </c>
      <c r="P172" s="206" t="inlineStr">
        <is>
          <t>—</t>
        </is>
      </c>
      <c r="Q172" s="206" t="inlineStr">
        <is>
          <t>—</t>
        </is>
      </c>
      <c r="R172" s="206" t="inlineStr">
        <is>
          <t>—</t>
        </is>
      </c>
      <c r="S172" s="206" t="inlineStr">
        <is>
          <t>—</t>
        </is>
      </c>
    </row>
    <row r="173" ht="20" customHeight="1" s="215">
      <c r="A173" s="54" t="n">
        <v>168</v>
      </c>
      <c r="B173" s="55" t="inlineStr">
        <is>
          <t>WM</t>
        </is>
      </c>
      <c r="C173" s="56" t="inlineStr">
        <is>
          <t>Waste Management</t>
        </is>
      </c>
      <c r="D173" s="57" t="inlineStr">
        <is>
          <t>Waste Management</t>
        </is>
      </c>
      <c r="E173" s="294" t="n">
        <v>226.41</v>
      </c>
      <c r="F173" s="289" t="n">
        <v>0.053608775</v>
      </c>
      <c r="G173" s="295" t="n">
        <v>90.49952256</v>
      </c>
      <c r="H173" s="289" t="n">
        <v>0.04</v>
      </c>
      <c r="I173" s="296" t="n">
        <v>0.40601003</v>
      </c>
      <c r="J173" s="297" t="n">
        <v>32.069405</v>
      </c>
      <c r="K173" s="301" t="n">
        <v>2348.37504</v>
      </c>
      <c r="L173" s="295" t="n">
        <v>14.56243144377276</v>
      </c>
      <c r="M173" s="300" t="n">
        <v>-0.839088306414898</v>
      </c>
      <c r="N173" s="297" t="n">
        <v>38.53707915812289</v>
      </c>
      <c r="O173" s="207" t="inlineStr">
        <is>
          <t>—</t>
        </is>
      </c>
      <c r="P173" s="207" t="inlineStr">
        <is>
          <t>—</t>
        </is>
      </c>
      <c r="Q173" s="207" t="inlineStr">
        <is>
          <t>—</t>
        </is>
      </c>
      <c r="R173" s="207" t="inlineStr">
        <is>
          <t>—</t>
        </is>
      </c>
      <c r="S173" s="207" t="inlineStr">
        <is>
          <t>—</t>
        </is>
      </c>
    </row>
    <row r="174" ht="20" customHeight="1" s="215">
      <c r="A174" s="50" t="n">
        <v>169</v>
      </c>
      <c r="B174" s="51" t="inlineStr">
        <is>
          <t>AOS</t>
        </is>
      </c>
      <c r="C174" s="52" t="inlineStr">
        <is>
          <t>A.O. Smith</t>
        </is>
      </c>
      <c r="D174" s="53" t="inlineStr">
        <is>
          <t>Specialty Industrial Machinery</t>
        </is>
      </c>
      <c r="E174" s="288" t="n">
        <v>58.68</v>
      </c>
      <c r="F174" s="300" t="n">
        <v>-0.1735211</v>
      </c>
      <c r="G174" s="290" t="n">
        <v>7.975115264</v>
      </c>
      <c r="H174" s="300" t="n">
        <v>-0.007</v>
      </c>
      <c r="I174" s="291" t="n">
        <v>0.38592</v>
      </c>
      <c r="J174" s="292" t="n">
        <v>16.345404</v>
      </c>
      <c r="K174" s="299" t="n">
        <v>484.612512</v>
      </c>
      <c r="L174" s="290" t="n">
        <v>2.425098202092757</v>
      </c>
      <c r="M174" s="300" t="n">
        <v>-0.6959168461125884</v>
      </c>
      <c r="N174" s="292" t="n">
        <v>13.32522449919741</v>
      </c>
      <c r="O174" s="206" t="inlineStr">
        <is>
          <t>—</t>
        </is>
      </c>
      <c r="P174" s="206" t="inlineStr">
        <is>
          <t>—</t>
        </is>
      </c>
      <c r="Q174" s="206" t="inlineStr">
        <is>
          <t>—</t>
        </is>
      </c>
      <c r="R174" s="206" t="inlineStr">
        <is>
          <t>—</t>
        </is>
      </c>
      <c r="S174" s="206" t="inlineStr">
        <is>
          <t>—</t>
        </is>
      </c>
    </row>
    <row r="175" ht="20" customHeight="1" s="215">
      <c r="A175" s="50" t="n">
        <v>170</v>
      </c>
      <c r="B175" s="51" t="inlineStr">
        <is>
          <t>LUV</t>
        </is>
      </c>
      <c r="C175" s="52" t="inlineStr">
        <is>
          <t>Southwest Airlines</t>
        </is>
      </c>
      <c r="D175" s="53" t="inlineStr">
        <is>
          <t>Airlines</t>
        </is>
      </c>
      <c r="E175" s="294" t="n">
        <v>38.8</v>
      </c>
      <c r="F175" s="289" t="n">
        <v>0.11880052</v>
      </c>
      <c r="G175" s="295" t="n">
        <v>18.981277696</v>
      </c>
      <c r="H175" s="289" t="n">
        <v>0.164</v>
      </c>
      <c r="I175" s="296" t="n">
        <v>0.22399001</v>
      </c>
      <c r="J175" s="297" t="n">
        <v>24.25</v>
      </c>
      <c r="K175" s="301" t="n">
        <v>-834.750016</v>
      </c>
      <c r="L175" s="298" t="inlineStr">
        <is>
          <t>—</t>
        </is>
      </c>
      <c r="M175" s="298" t="inlineStr">
        <is>
          <t>—</t>
        </is>
      </c>
      <c r="N175" s="297" t="n">
        <v>-22.73887731054563</v>
      </c>
      <c r="O175" s="207" t="inlineStr">
        <is>
          <t>—</t>
        </is>
      </c>
      <c r="P175" s="207" t="inlineStr">
        <is>
          <t>—</t>
        </is>
      </c>
      <c r="Q175" s="207" t="inlineStr">
        <is>
          <t>—</t>
        </is>
      </c>
      <c r="R175" s="207" t="inlineStr">
        <is>
          <t>—</t>
        </is>
      </c>
      <c r="S175" s="207" t="inlineStr">
        <is>
          <t>—</t>
        </is>
      </c>
    </row>
    <row r="176" ht="20" customHeight="1" s="215">
      <c r="A176" s="54" t="n">
        <v>171</v>
      </c>
      <c r="B176" s="55" t="inlineStr">
        <is>
          <t>MKC</t>
        </is>
      </c>
      <c r="C176" s="56" t="inlineStr">
        <is>
          <t>McCormick &amp; Co</t>
        </is>
      </c>
      <c r="D176" s="57" t="inlineStr">
        <is>
          <t>Packaged Foods</t>
        </is>
      </c>
      <c r="E176" s="288" t="n">
        <v>45.86</v>
      </c>
      <c r="F176" s="300" t="n">
        <v>-0.31460172</v>
      </c>
      <c r="G176" s="290" t="n">
        <v>12.33929728</v>
      </c>
      <c r="H176" s="289" t="n">
        <v>0.174</v>
      </c>
      <c r="I176" s="291" t="n">
        <v>0.38914</v>
      </c>
      <c r="J176" s="292" t="n">
        <v>8.292948000000001</v>
      </c>
      <c r="K176" s="299" t="n">
        <v>742</v>
      </c>
      <c r="L176" s="290" t="n">
        <v>8.746344369059143</v>
      </c>
      <c r="M176" s="300" t="n">
        <v>-0.2911797024911987</v>
      </c>
      <c r="N176" s="292" t="n">
        <v>15.73218121819407</v>
      </c>
      <c r="O176" s="206" t="inlineStr">
        <is>
          <t>—</t>
        </is>
      </c>
      <c r="P176" s="206" t="inlineStr">
        <is>
          <t>—</t>
        </is>
      </c>
      <c r="Q176" s="206" t="inlineStr">
        <is>
          <t>—</t>
        </is>
      </c>
      <c r="R176" s="206" t="inlineStr">
        <is>
          <t>—</t>
        </is>
      </c>
      <c r="S176" s="206" t="inlineStr">
        <is>
          <t>—</t>
        </is>
      </c>
    </row>
    <row r="177" ht="20" customHeight="1" s="215">
      <c r="A177" s="50" t="n">
        <v>172</v>
      </c>
      <c r="B177" s="51" t="inlineStr">
        <is>
          <t>VZ</t>
        </is>
      </c>
      <c r="C177" s="52" t="inlineStr">
        <is>
          <t>Verizon Communications</t>
        </is>
      </c>
      <c r="D177" s="53" t="inlineStr">
        <is>
          <t>Telecom Services</t>
        </is>
      </c>
      <c r="E177" s="294" t="n">
        <v>44.15</v>
      </c>
      <c r="F177" s="289" t="n">
        <v>0.09553349</v>
      </c>
      <c r="G177" s="295" t="n">
        <v>183.433330688</v>
      </c>
      <c r="H177" s="300" t="n">
        <v>-0.007</v>
      </c>
      <c r="I177" s="296" t="n">
        <v>0.59453</v>
      </c>
      <c r="J177" s="297" t="n">
        <v>11.497396</v>
      </c>
      <c r="K177" s="301" t="n">
        <v>17466.624</v>
      </c>
      <c r="L177" s="295" t="n">
        <v>109.1140339389535</v>
      </c>
      <c r="M177" s="300" t="n">
        <v>-0.4051569933899062</v>
      </c>
      <c r="N177" s="297" t="n">
        <v>10.50193358306104</v>
      </c>
      <c r="O177" s="207" t="inlineStr">
        <is>
          <t>—</t>
        </is>
      </c>
      <c r="P177" s="207" t="inlineStr">
        <is>
          <t>—</t>
        </is>
      </c>
      <c r="Q177" s="207" t="inlineStr">
        <is>
          <t>—</t>
        </is>
      </c>
      <c r="R177" s="207" t="inlineStr">
        <is>
          <t>—</t>
        </is>
      </c>
      <c r="S177" s="207" t="inlineStr">
        <is>
          <t>—</t>
        </is>
      </c>
    </row>
    <row r="178" ht="20" customHeight="1" s="215">
      <c r="A178" s="54" t="n">
        <v>173</v>
      </c>
      <c r="B178" s="55" t="inlineStr">
        <is>
          <t>BSX</t>
        </is>
      </c>
      <c r="C178" s="56" t="inlineStr">
        <is>
          <t>Boston Scientific</t>
        </is>
      </c>
      <c r="D178" s="57" t="inlineStr">
        <is>
          <t>Medical Devices</t>
        </is>
      </c>
      <c r="E178" s="288" t="n">
        <v>45.05</v>
      </c>
      <c r="F178" s="300" t="n">
        <v>-0.549049</v>
      </c>
      <c r="G178" s="290" t="n">
        <v>65.28779059199999</v>
      </c>
      <c r="H178" s="289" t="n">
        <v>0.075</v>
      </c>
      <c r="I178" s="291" t="n">
        <v>0.69189</v>
      </c>
      <c r="J178" s="292" t="n">
        <v>18.238867</v>
      </c>
      <c r="K178" s="299" t="n">
        <v>2451.375104</v>
      </c>
      <c r="L178" s="290" t="n">
        <v>25.93857331418937</v>
      </c>
      <c r="M178" s="300" t="n">
        <v>-0.6027040725533797</v>
      </c>
      <c r="N178" s="292" t="n">
        <v>26.63312931577362</v>
      </c>
      <c r="O178" s="206" t="inlineStr">
        <is>
          <t>—</t>
        </is>
      </c>
      <c r="P178" s="206" t="inlineStr">
        <is>
          <t>—</t>
        </is>
      </c>
      <c r="Q178" s="206" t="inlineStr">
        <is>
          <t>—</t>
        </is>
      </c>
      <c r="R178" s="206" t="inlineStr">
        <is>
          <t>—</t>
        </is>
      </c>
      <c r="S178" s="206" t="inlineStr">
        <is>
          <t>—</t>
        </is>
      </c>
    </row>
    <row r="179" ht="20" customHeight="1" s="215">
      <c r="A179" s="50" t="n">
        <v>174</v>
      </c>
      <c r="B179" s="51" t="inlineStr">
        <is>
          <t>EXPE</t>
        </is>
      </c>
      <c r="C179" s="52" t="inlineStr">
        <is>
          <t>Expedia Group</t>
        </is>
      </c>
      <c r="D179" s="53" t="inlineStr">
        <is>
          <t>Travel Services</t>
        </is>
      </c>
      <c r="E179" s="294" t="n">
        <v>291.72</v>
      </c>
      <c r="F179" s="289" t="n">
        <v>0.28999734</v>
      </c>
      <c r="G179" s="295" t="n">
        <v>35.012042752</v>
      </c>
      <c r="H179" s="289" t="n">
        <v>0.14</v>
      </c>
      <c r="I179" s="296" t="n">
        <v>0.90433</v>
      </c>
      <c r="J179" s="297" t="n">
        <v>18.221111</v>
      </c>
      <c r="K179" s="301" t="n">
        <v>3434.374912</v>
      </c>
      <c r="L179" s="295" t="n">
        <v>36.52797324878988</v>
      </c>
      <c r="M179" s="289" t="n">
        <v>0.04329740219751359</v>
      </c>
      <c r="N179" s="297" t="n">
        <v>9.725420834462467</v>
      </c>
      <c r="O179" s="207" t="inlineStr">
        <is>
          <t>—</t>
        </is>
      </c>
      <c r="P179" s="207" t="inlineStr">
        <is>
          <t>—</t>
        </is>
      </c>
      <c r="Q179" s="207" t="inlineStr">
        <is>
          <t>—</t>
        </is>
      </c>
      <c r="R179" s="207" t="inlineStr">
        <is>
          <t>—</t>
        </is>
      </c>
      <c r="S179" s="207" t="inlineStr">
        <is>
          <t>—</t>
        </is>
      </c>
    </row>
    <row r="180" ht="20" customHeight="1" s="215">
      <c r="A180" s="54" t="n">
        <v>175</v>
      </c>
      <c r="B180" s="55" t="inlineStr">
        <is>
          <t>IDXX</t>
        </is>
      </c>
      <c r="C180" s="56" t="inlineStr">
        <is>
          <t>IDEXX Laboratories</t>
        </is>
      </c>
      <c r="D180" s="57" t="inlineStr">
        <is>
          <t>Diagnostics &amp; Research</t>
        </is>
      </c>
      <c r="E180" s="288" t="n">
        <v>555.8</v>
      </c>
      <c r="F180" s="300" t="n">
        <v>-0.12765056</v>
      </c>
      <c r="G180" s="290" t="n">
        <v>43.843170304</v>
      </c>
      <c r="H180" s="289" t="n">
        <v>0.097</v>
      </c>
      <c r="I180" s="291" t="n">
        <v>0.62446</v>
      </c>
      <c r="J180" s="292" t="n">
        <v>39.058327</v>
      </c>
      <c r="K180" s="299" t="n">
        <v>909.368384</v>
      </c>
      <c r="L180" s="290" t="n">
        <v>10.78524658231281</v>
      </c>
      <c r="M180" s="300" t="n">
        <v>-0.7540039530095564</v>
      </c>
      <c r="N180" s="292" t="n">
        <v>48.21277108815782</v>
      </c>
      <c r="O180" s="206" t="inlineStr">
        <is>
          <t>—</t>
        </is>
      </c>
      <c r="P180" s="206" t="inlineStr">
        <is>
          <t>—</t>
        </is>
      </c>
      <c r="Q180" s="206" t="inlineStr">
        <is>
          <t>—</t>
        </is>
      </c>
      <c r="R180" s="206" t="inlineStr">
        <is>
          <t>—</t>
        </is>
      </c>
      <c r="S180" s="206" t="inlineStr">
        <is>
          <t>—</t>
        </is>
      </c>
    </row>
    <row r="181" ht="20" customHeight="1" s="215">
      <c r="A181" s="50" t="n">
        <v>176</v>
      </c>
      <c r="B181" s="51" t="inlineStr">
        <is>
          <t>LVS</t>
        </is>
      </c>
      <c r="C181" s="52" t="inlineStr">
        <is>
          <t>Las Vegas Sands</t>
        </is>
      </c>
      <c r="D181" s="53" t="inlineStr">
        <is>
          <t>Resorts &amp; Casinos</t>
        </is>
      </c>
      <c r="E181" s="294" t="n">
        <v>38.01</v>
      </c>
      <c r="F181" s="300" t="n">
        <v>-0.249111</v>
      </c>
      <c r="G181" s="295" t="n">
        <v>24.61912064</v>
      </c>
      <c r="H181" s="300" t="n">
        <v>-0.007</v>
      </c>
      <c r="I181" s="296" t="n">
        <v>0.79335</v>
      </c>
      <c r="J181" s="297" t="n">
        <v>14.789883</v>
      </c>
      <c r="K181" s="301" t="n">
        <v>2212.875008</v>
      </c>
      <c r="L181" s="295" t="n">
        <v>12.01061201337234</v>
      </c>
      <c r="M181" s="300" t="n">
        <v>-0.5121429319511088</v>
      </c>
      <c r="N181" s="297" t="n">
        <v>11.12540107996918</v>
      </c>
      <c r="O181" s="207" t="inlineStr">
        <is>
          <t>—</t>
        </is>
      </c>
      <c r="P181" s="207" t="inlineStr">
        <is>
          <t>—</t>
        </is>
      </c>
      <c r="Q181" s="207" t="inlineStr">
        <is>
          <t>—</t>
        </is>
      </c>
      <c r="R181" s="207" t="inlineStr">
        <is>
          <t>—</t>
        </is>
      </c>
      <c r="S181" s="207" t="inlineStr">
        <is>
          <t>—</t>
        </is>
      </c>
    </row>
    <row r="182" ht="20" customHeight="1" s="215">
      <c r="A182" s="54" t="n">
        <v>177</v>
      </c>
      <c r="B182" s="55" t="inlineStr">
        <is>
          <t>CTSH</t>
        </is>
      </c>
      <c r="C182" s="56" t="inlineStr">
        <is>
          <t>Cognizant Tech Solns</t>
        </is>
      </c>
      <c r="D182" s="57" t="inlineStr">
        <is>
          <t>Information Technology Services</t>
        </is>
      </c>
      <c r="E182" s="288" t="n">
        <v>66.79000000000001</v>
      </c>
      <c r="F182" s="300" t="n">
        <v>-0.028791606</v>
      </c>
      <c r="G182" s="290" t="n">
        <v>31.59166976</v>
      </c>
      <c r="H182" s="289" t="n">
        <v>0.045</v>
      </c>
      <c r="I182" s="291" t="n">
        <v>0.3344</v>
      </c>
      <c r="J182" s="292" t="n">
        <v>14.3634405</v>
      </c>
      <c r="K182" s="299" t="n">
        <v>2215.500032</v>
      </c>
      <c r="L182" s="290" t="n">
        <v>15.47596268908736</v>
      </c>
      <c r="M182" s="300" t="n">
        <v>-0.5101252068454341</v>
      </c>
      <c r="N182" s="292" t="n">
        <v>14.25938593712465</v>
      </c>
      <c r="O182" s="206" t="inlineStr">
        <is>
          <t>—</t>
        </is>
      </c>
      <c r="P182" s="206" t="inlineStr">
        <is>
          <t>—</t>
        </is>
      </c>
      <c r="Q182" s="206" t="inlineStr">
        <is>
          <t>—</t>
        </is>
      </c>
      <c r="R182" s="206" t="inlineStr">
        <is>
          <t>—</t>
        </is>
      </c>
      <c r="S182" s="206" t="inlineStr">
        <is>
          <t>—</t>
        </is>
      </c>
    </row>
    <row r="183" ht="20" customHeight="1" s="215">
      <c r="A183" s="50" t="n">
        <v>178</v>
      </c>
      <c r="B183" s="51" t="inlineStr">
        <is>
          <t>HST</t>
        </is>
      </c>
      <c r="C183" s="52" t="inlineStr">
        <is>
          <t>Host Hotels &amp; Resorts</t>
        </is>
      </c>
      <c r="D183" s="53" t="inlineStr">
        <is>
          <t>REIT - Hotel &amp; Motel</t>
        </is>
      </c>
      <c r="E183" s="294" t="n">
        <v>24.19</v>
      </c>
      <c r="F183" s="289" t="n">
        <v>0.45285285</v>
      </c>
      <c r="G183" s="295" t="n">
        <v>16.805433344</v>
      </c>
      <c r="H183" s="289" t="n">
        <v>0.036</v>
      </c>
      <c r="I183" s="296" t="n">
        <v>0.29195</v>
      </c>
      <c r="J183" s="297" t="n">
        <v>16.344595</v>
      </c>
      <c r="K183" s="301" t="n">
        <v>1692.37504</v>
      </c>
      <c r="L183" s="295" t="n">
        <v>4.859916185278552</v>
      </c>
      <c r="M183" s="300" t="n">
        <v>-0.710812801681566</v>
      </c>
      <c r="N183" s="297" t="n">
        <v>9.792840723891793</v>
      </c>
      <c r="O183" s="207" t="inlineStr">
        <is>
          <t>—</t>
        </is>
      </c>
      <c r="P183" s="207" t="inlineStr">
        <is>
          <t>—</t>
        </is>
      </c>
      <c r="Q183" s="207" t="inlineStr">
        <is>
          <t>—</t>
        </is>
      </c>
      <c r="R183" s="207" t="inlineStr">
        <is>
          <t>—</t>
        </is>
      </c>
      <c r="S183" s="207" t="inlineStr">
        <is>
          <t>—</t>
        </is>
      </c>
    </row>
    <row r="184" ht="20" customHeight="1" s="215">
      <c r="A184" s="54" t="n">
        <v>179</v>
      </c>
      <c r="B184" s="55" t="inlineStr">
        <is>
          <t>SJM</t>
        </is>
      </c>
      <c r="C184" s="56" t="inlineStr">
        <is>
          <t>JM Smucker</t>
        </is>
      </c>
      <c r="D184" s="57" t="inlineStr">
        <is>
          <t>Packaged Foods</t>
        </is>
      </c>
      <c r="E184" s="288" t="n">
        <v>127.07</v>
      </c>
      <c r="F184" s="289" t="n">
        <v>0.21319461</v>
      </c>
      <c r="G184" s="290" t="n">
        <v>13.574022144</v>
      </c>
      <c r="H184" s="289" t="n">
        <v>0.05</v>
      </c>
      <c r="I184" s="291" t="n">
        <v>0.37951002</v>
      </c>
      <c r="J184" s="292" t="n">
        <v>59.3785</v>
      </c>
      <c r="K184" s="299" t="n">
        <v>1464.337536</v>
      </c>
      <c r="L184" s="290" t="n">
        <v>10.97353162707907</v>
      </c>
      <c r="M184" s="300" t="n">
        <v>-0.191578479048703</v>
      </c>
      <c r="N184" s="292" t="n">
        <v>9.269735651855884</v>
      </c>
      <c r="O184" s="206" t="inlineStr">
        <is>
          <t>—</t>
        </is>
      </c>
      <c r="P184" s="206" t="inlineStr">
        <is>
          <t>—</t>
        </is>
      </c>
      <c r="Q184" s="206" t="inlineStr">
        <is>
          <t>—</t>
        </is>
      </c>
      <c r="R184" s="206" t="inlineStr">
        <is>
          <t>—</t>
        </is>
      </c>
      <c r="S184" s="206" t="inlineStr">
        <is>
          <t>—</t>
        </is>
      </c>
    </row>
    <row r="185" ht="20" customHeight="1" s="215">
      <c r="A185" s="50" t="n">
        <v>180</v>
      </c>
      <c r="B185" s="51" t="inlineStr">
        <is>
          <t>TAP</t>
        </is>
      </c>
      <c r="C185" s="52" t="inlineStr">
        <is>
          <t>Molson Coors Beverage</t>
        </is>
      </c>
      <c r="D185" s="53" t="inlineStr">
        <is>
          <t>Beverages - Brewers</t>
        </is>
      </c>
      <c r="E185" s="294" t="n">
        <v>39.33</v>
      </c>
      <c r="F185" s="300" t="n">
        <v>-0.15492052</v>
      </c>
      <c r="G185" s="295" t="n">
        <v>7.333233664</v>
      </c>
      <c r="H185" s="300" t="n">
        <v>-0.033</v>
      </c>
      <c r="I185" s="296" t="n">
        <v>0.37013</v>
      </c>
      <c r="J185" s="297" t="n">
        <v>8.144662</v>
      </c>
      <c r="K185" s="301" t="n">
        <v>935.137472</v>
      </c>
      <c r="L185" s="295" t="n">
        <v>5.994488676661851</v>
      </c>
      <c r="M185" s="300" t="n">
        <v>-0.1825586158409568</v>
      </c>
      <c r="N185" s="297" t="n">
        <v>7.323052226806713</v>
      </c>
      <c r="O185" s="207" t="inlineStr">
        <is>
          <t>—</t>
        </is>
      </c>
      <c r="P185" s="207" t="inlineStr">
        <is>
          <t>—</t>
        </is>
      </c>
      <c r="Q185" s="207" t="inlineStr">
        <is>
          <t>—</t>
        </is>
      </c>
      <c r="R185" s="207" t="inlineStr">
        <is>
          <t>—</t>
        </is>
      </c>
      <c r="S185" s="207" t="inlineStr">
        <is>
          <t>—</t>
        </is>
      </c>
    </row>
    <row r="186" ht="20" customHeight="1" s="215">
      <c r="A186" s="54" t="n">
        <v>181</v>
      </c>
      <c r="B186" s="55" t="inlineStr">
        <is>
          <t>TFC</t>
        </is>
      </c>
      <c r="C186" s="56" t="inlineStr">
        <is>
          <t>Truist Financial</t>
        </is>
      </c>
      <c r="D186" s="57" t="inlineStr">
        <is>
          <t>Banks - Regional</t>
        </is>
      </c>
      <c r="E186" s="288" t="n">
        <v>46.32</v>
      </c>
      <c r="F186" s="289" t="n">
        <v>0.05681038</v>
      </c>
      <c r="G186" s="290" t="n">
        <v>56.585728</v>
      </c>
      <c r="H186" s="300" t="n">
        <v>-0.158</v>
      </c>
      <c r="I186" s="291" t="n">
        <v>0</v>
      </c>
      <c r="J186" s="292" t="n">
        <v>11.938144</v>
      </c>
      <c r="K186" s="293" t="inlineStr">
        <is>
          <t>—</t>
        </is>
      </c>
      <c r="L186" s="290" t="n">
        <v>22.91456991413914</v>
      </c>
      <c r="M186" s="300" t="n">
        <v>-0.5950468302866204</v>
      </c>
      <c r="N186" s="293" t="inlineStr">
        <is>
          <t>—</t>
        </is>
      </c>
      <c r="O186" s="206" t="inlineStr">
        <is>
          <t>—</t>
        </is>
      </c>
      <c r="P186" s="206" t="inlineStr">
        <is>
          <t>—</t>
        </is>
      </c>
      <c r="Q186" s="206" t="inlineStr">
        <is>
          <t>—</t>
        </is>
      </c>
      <c r="R186" s="206" t="inlineStr">
        <is>
          <t>—</t>
        </is>
      </c>
      <c r="S186" s="206" t="inlineStr">
        <is>
          <t>—</t>
        </is>
      </c>
    </row>
    <row r="187" ht="20" customHeight="1" s="215">
      <c r="A187" s="50" t="n">
        <v>182</v>
      </c>
      <c r="B187" s="51" t="inlineStr">
        <is>
          <t>HLT</t>
        </is>
      </c>
      <c r="C187" s="52" t="inlineStr">
        <is>
          <t>Hilton Worldwide Holdings</t>
        </is>
      </c>
      <c r="D187" s="53" t="inlineStr">
        <is>
          <t>Lodging</t>
        </is>
      </c>
      <c r="E187" s="294" t="n">
        <v>346.04</v>
      </c>
      <c r="F187" s="289" t="n">
        <v>0.30109787</v>
      </c>
      <c r="G187" s="295" t="n">
        <v>77.88146688</v>
      </c>
      <c r="H187" s="289" t="n">
        <v>0.025</v>
      </c>
      <c r="I187" s="296" t="n">
        <v>0.79036003</v>
      </c>
      <c r="J187" s="297" t="n">
        <v>50.739002</v>
      </c>
      <c r="K187" s="301" t="n">
        <v>1393.874944</v>
      </c>
      <c r="L187" s="295" t="n">
        <v>7.897732971737215</v>
      </c>
      <c r="M187" s="300" t="n">
        <v>-0.8985929093515141</v>
      </c>
      <c r="N187" s="297" t="n">
        <v>55.87406660234794</v>
      </c>
      <c r="O187" s="207" t="inlineStr">
        <is>
          <t>—</t>
        </is>
      </c>
      <c r="P187" s="207" t="inlineStr">
        <is>
          <t>—</t>
        </is>
      </c>
      <c r="Q187" s="207" t="inlineStr">
        <is>
          <t>—</t>
        </is>
      </c>
      <c r="R187" s="207" t="inlineStr">
        <is>
          <t>—</t>
        </is>
      </c>
      <c r="S187" s="207" t="inlineStr">
        <is>
          <t>—</t>
        </is>
      </c>
    </row>
    <row r="188" ht="20" customHeight="1" s="215">
      <c r="A188" s="54" t="n">
        <v>183</v>
      </c>
      <c r="B188" s="55" t="inlineStr">
        <is>
          <t>IR</t>
        </is>
      </c>
      <c r="C188" s="56" t="inlineStr">
        <is>
          <t>Ingersoll Rand</t>
        </is>
      </c>
      <c r="D188" s="57" t="inlineStr">
        <is>
          <t>Specialty Industrial Machinery</t>
        </is>
      </c>
      <c r="E188" s="288" t="n">
        <v>77.75</v>
      </c>
      <c r="F188" s="300" t="n">
        <v>-0.02275014</v>
      </c>
      <c r="G188" s="290" t="n">
        <v>30.166956032</v>
      </c>
      <c r="H188" s="289" t="n">
        <v>0.08500000000000001</v>
      </c>
      <c r="I188" s="291" t="n">
        <v>0.42821</v>
      </c>
      <c r="J188" s="292" t="n">
        <v>31.995884</v>
      </c>
      <c r="K188" s="299" t="n">
        <v>1107.425024</v>
      </c>
      <c r="L188" s="290" t="n">
        <v>9.21090527606728</v>
      </c>
      <c r="M188" s="300" t="n">
        <v>-0.6946690522472109</v>
      </c>
      <c r="N188" s="292" t="n">
        <v>27.24063024672088</v>
      </c>
      <c r="O188" s="206" t="inlineStr">
        <is>
          <t>—</t>
        </is>
      </c>
      <c r="P188" s="206" t="inlineStr">
        <is>
          <t>—</t>
        </is>
      </c>
      <c r="Q188" s="206" t="inlineStr">
        <is>
          <t>—</t>
        </is>
      </c>
      <c r="R188" s="206" t="inlineStr">
        <is>
          <t>—</t>
        </is>
      </c>
      <c r="S188" s="206" t="inlineStr">
        <is>
          <t>—</t>
        </is>
      </c>
    </row>
    <row r="189" ht="20" customHeight="1" s="215">
      <c r="A189" s="50" t="n">
        <v>184</v>
      </c>
      <c r="B189" s="51" t="inlineStr">
        <is>
          <t>NRG</t>
        </is>
      </c>
      <c r="C189" s="52" t="inlineStr">
        <is>
          <t>NRG Energy</t>
        </is>
      </c>
      <c r="D189" s="53" t="inlineStr">
        <is>
          <t>Utilities - Independent Power Producers</t>
        </is>
      </c>
      <c r="E189" s="294" t="n">
        <v>99.38</v>
      </c>
      <c r="F189" s="300" t="n">
        <v>-0.39250565</v>
      </c>
      <c r="G189" s="295" t="n">
        <v>20.89071616</v>
      </c>
      <c r="H189" s="289" t="n">
        <v>0.11</v>
      </c>
      <c r="I189" s="296" t="n">
        <v>0.18795</v>
      </c>
      <c r="J189" s="297" t="n">
        <v>26.015707</v>
      </c>
      <c r="K189" s="301" t="n">
        <v>772.3749759999999</v>
      </c>
      <c r="L189" s="295" t="n">
        <v>9.245645788710167</v>
      </c>
      <c r="M189" s="300" t="n">
        <v>-0.557428011663236</v>
      </c>
      <c r="N189" s="297" t="n">
        <v>27.04737782770943</v>
      </c>
      <c r="O189" s="207" t="inlineStr">
        <is>
          <t>—</t>
        </is>
      </c>
      <c r="P189" s="207" t="inlineStr">
        <is>
          <t>—</t>
        </is>
      </c>
      <c r="Q189" s="207" t="inlineStr">
        <is>
          <t>—</t>
        </is>
      </c>
      <c r="R189" s="207" t="inlineStr">
        <is>
          <t>—</t>
        </is>
      </c>
      <c r="S189" s="207" t="inlineStr">
        <is>
          <t>—</t>
        </is>
      </c>
    </row>
    <row r="190" ht="20" customHeight="1" s="215">
      <c r="A190" s="54" t="n">
        <v>185</v>
      </c>
      <c r="B190" s="55" t="inlineStr">
        <is>
          <t>ODFL</t>
        </is>
      </c>
      <c r="C190" s="56" t="inlineStr">
        <is>
          <t>Old Dominion Freight</t>
        </is>
      </c>
      <c r="D190" s="57" t="inlineStr">
        <is>
          <t>Trucking</t>
        </is>
      </c>
      <c r="E190" s="288" t="n">
        <v>186.85</v>
      </c>
      <c r="F190" s="289" t="n">
        <v>0.29433358</v>
      </c>
      <c r="G190" s="290" t="n">
        <v>38.744588288</v>
      </c>
      <c r="H190" s="289" t="n">
        <v>0.104</v>
      </c>
      <c r="I190" s="291" t="n">
        <v>0.39566</v>
      </c>
      <c r="J190" s="292" t="n">
        <v>35.932693</v>
      </c>
      <c r="K190" s="299" t="n">
        <v>970.776</v>
      </c>
      <c r="L190" s="290" t="n">
        <v>8.320459941630185</v>
      </c>
      <c r="M190" s="300" t="n">
        <v>-0.7852484615456038</v>
      </c>
      <c r="N190" s="292" t="n">
        <v>39.91094219541892</v>
      </c>
      <c r="O190" s="206" t="inlineStr">
        <is>
          <t>—</t>
        </is>
      </c>
      <c r="P190" s="206" t="inlineStr">
        <is>
          <t>—</t>
        </is>
      </c>
      <c r="Q190" s="206" t="inlineStr">
        <is>
          <t>—</t>
        </is>
      </c>
      <c r="R190" s="206" t="inlineStr">
        <is>
          <t>—</t>
        </is>
      </c>
      <c r="S190" s="206" t="inlineStr">
        <is>
          <t>—</t>
        </is>
      </c>
    </row>
    <row r="191" ht="20" customHeight="1" s="215">
      <c r="A191" s="50" t="n">
        <v>186</v>
      </c>
      <c r="B191" s="51" t="inlineStr">
        <is>
          <t>VMC</t>
        </is>
      </c>
      <c r="C191" s="52" t="inlineStr">
        <is>
          <t>Vulcan Materials</t>
        </is>
      </c>
      <c r="D191" s="53" t="inlineStr">
        <is>
          <t>Building Materials</t>
        </is>
      </c>
      <c r="E191" s="294" t="n">
        <v>257.45</v>
      </c>
      <c r="F191" s="300" t="n">
        <v>-0.13482541</v>
      </c>
      <c r="G191" s="295" t="n">
        <v>33.360048128</v>
      </c>
      <c r="H191" s="289" t="n">
        <v>0.025</v>
      </c>
      <c r="I191" s="296" t="n">
        <v>0.27506</v>
      </c>
      <c r="J191" s="297" t="n">
        <v>30.359673</v>
      </c>
      <c r="K191" s="301" t="n">
        <v>843.6</v>
      </c>
      <c r="L191" s="295" t="n">
        <v>5.554334196066246</v>
      </c>
      <c r="M191" s="300" t="n">
        <v>-0.8335034117830201</v>
      </c>
      <c r="N191" s="297" t="n">
        <v>39.54486291554054</v>
      </c>
      <c r="O191" s="207" t="inlineStr">
        <is>
          <t>—</t>
        </is>
      </c>
      <c r="P191" s="207" t="inlineStr">
        <is>
          <t>—</t>
        </is>
      </c>
      <c r="Q191" s="207" t="inlineStr">
        <is>
          <t>—</t>
        </is>
      </c>
      <c r="R191" s="207" t="inlineStr">
        <is>
          <t>—</t>
        </is>
      </c>
      <c r="S191" s="207" t="inlineStr">
        <is>
          <t>—</t>
        </is>
      </c>
    </row>
    <row r="192" ht="20" customHeight="1" s="215">
      <c r="A192" s="54" t="n">
        <v>187</v>
      </c>
      <c r="B192" s="55" t="inlineStr">
        <is>
          <t>AZO</t>
        </is>
      </c>
      <c r="C192" s="56" t="inlineStr">
        <is>
          <t>AutoZone</t>
        </is>
      </c>
      <c r="D192" s="57" t="inlineStr">
        <is>
          <t>Specialty Retail</t>
        </is>
      </c>
      <c r="E192" s="288" t="n">
        <v>3097.88</v>
      </c>
      <c r="F192" s="300" t="n">
        <v>-0.22673053</v>
      </c>
      <c r="G192" s="290" t="n">
        <v>50.102009856</v>
      </c>
      <c r="H192" s="289" t="n">
        <v>0.056</v>
      </c>
      <c r="I192" s="291" t="n">
        <v>0.52339</v>
      </c>
      <c r="J192" s="292" t="n">
        <v>20.307308</v>
      </c>
      <c r="K192" s="306" t="inlineStr">
        <is>
          <t>—</t>
        </is>
      </c>
      <c r="L192" s="307" t="inlineStr">
        <is>
          <t>—</t>
        </is>
      </c>
      <c r="M192" s="308" t="inlineStr">
        <is>
          <t>—</t>
        </is>
      </c>
      <c r="N192" s="309" t="inlineStr">
        <is>
          <t>—</t>
        </is>
      </c>
      <c r="O192" s="206" t="inlineStr">
        <is>
          <t>—</t>
        </is>
      </c>
      <c r="P192" s="206" t="inlineStr">
        <is>
          <t>—</t>
        </is>
      </c>
      <c r="Q192" s="206" t="inlineStr">
        <is>
          <t>—</t>
        </is>
      </c>
      <c r="R192" s="206" t="inlineStr">
        <is>
          <t>—</t>
        </is>
      </c>
      <c r="S192" s="206" t="inlineStr">
        <is>
          <t>—</t>
        </is>
      </c>
    </row>
    <row r="193" ht="20" customHeight="1" s="215">
      <c r="A193" s="50" t="n">
        <v>188</v>
      </c>
      <c r="B193" s="51" t="inlineStr">
        <is>
          <t>MLM</t>
        </is>
      </c>
      <c r="C193" s="52" t="inlineStr">
        <is>
          <t>Martin Marietta Materials</t>
        </is>
      </c>
      <c r="D193" s="53" t="inlineStr">
        <is>
          <t>Building Materials</t>
        </is>
      </c>
      <c r="E193" s="294" t="n">
        <v>501.65</v>
      </c>
      <c r="F193" s="300" t="n">
        <v>-0.20628768</v>
      </c>
      <c r="G193" s="295" t="n">
        <v>35.626872832</v>
      </c>
      <c r="H193" s="289" t="n">
        <v>0.21</v>
      </c>
      <c r="I193" s="296" t="n">
        <v>0.2823</v>
      </c>
      <c r="J193" s="297" t="n">
        <v>32.532425</v>
      </c>
      <c r="K193" s="301" t="n">
        <v>593.3749759999999</v>
      </c>
      <c r="L193" s="295" t="n">
        <v>6.889769000955507</v>
      </c>
      <c r="M193" s="300" t="n">
        <v>-0.8066131418986869</v>
      </c>
      <c r="N193" s="297" t="n">
        <v>60.04107760065028</v>
      </c>
      <c r="O193" s="207" t="inlineStr">
        <is>
          <t>—</t>
        </is>
      </c>
      <c r="P193" s="207" t="inlineStr">
        <is>
          <t>—</t>
        </is>
      </c>
      <c r="Q193" s="207" t="inlineStr">
        <is>
          <t>—</t>
        </is>
      </c>
      <c r="R193" s="207" t="inlineStr">
        <is>
          <t>—</t>
        </is>
      </c>
      <c r="S193" s="207" t="inlineStr">
        <is>
          <t>—</t>
        </is>
      </c>
    </row>
    <row r="194" ht="20" customHeight="1" s="215">
      <c r="A194" s="54" t="n">
        <v>189</v>
      </c>
      <c r="B194" s="55" t="inlineStr">
        <is>
          <t>CMCSA</t>
        </is>
      </c>
      <c r="C194" s="56" t="inlineStr">
        <is>
          <t>Comcast</t>
        </is>
      </c>
      <c r="D194" s="57" t="inlineStr">
        <is>
          <t>Entertainment</t>
        </is>
      </c>
      <c r="E194" s="288" t="n">
        <v>21.9</v>
      </c>
      <c r="F194" s="300" t="n">
        <v>-0.22031027</v>
      </c>
      <c r="G194" s="290" t="n">
        <v>77.715144704</v>
      </c>
      <c r="H194" s="300" t="n">
        <v>-0.012</v>
      </c>
      <c r="I194" s="291" t="n">
        <v>0.6939</v>
      </c>
      <c r="J194" s="292" t="n">
        <v>7.064516</v>
      </c>
      <c r="K194" s="299" t="n">
        <v>12697.624576</v>
      </c>
      <c r="L194" s="290" t="n">
        <v>81.71832049804668</v>
      </c>
      <c r="M194" s="289" t="n">
        <v>0.05151088387332874</v>
      </c>
      <c r="N194" s="292" t="n">
        <v>6.104158196856741</v>
      </c>
      <c r="O194" s="206" t="inlineStr">
        <is>
          <t>—</t>
        </is>
      </c>
      <c r="P194" s="206" t="inlineStr">
        <is>
          <t>—</t>
        </is>
      </c>
      <c r="Q194" s="206" t="inlineStr">
        <is>
          <t>—</t>
        </is>
      </c>
      <c r="R194" s="206" t="inlineStr">
        <is>
          <t>—</t>
        </is>
      </c>
      <c r="S194" s="206" t="inlineStr">
        <is>
          <t>—</t>
        </is>
      </c>
    </row>
    <row r="195" ht="20" customHeight="1" s="215">
      <c r="A195" s="50" t="n">
        <v>190</v>
      </c>
      <c r="B195" s="51" t="inlineStr">
        <is>
          <t>OMC</t>
        </is>
      </c>
      <c r="C195" s="52" t="inlineStr">
        <is>
          <t>Omnicom Group</t>
        </is>
      </c>
      <c r="D195" s="53" t="inlineStr">
        <is>
          <t>Advertising Agencies</t>
        </is>
      </c>
      <c r="E195" s="294" t="n">
        <v>79.44</v>
      </c>
      <c r="F195" s="289" t="n">
        <v>0.009274602</v>
      </c>
      <c r="G195" s="295" t="n">
        <v>22.640893952</v>
      </c>
      <c r="H195" s="289" t="n">
        <v>0.634</v>
      </c>
      <c r="I195" s="296" t="n">
        <v>0.18959999</v>
      </c>
      <c r="J195" s="297" t="n">
        <v>209.05264</v>
      </c>
      <c r="K195" s="301" t="n">
        <v>4260.624896</v>
      </c>
      <c r="L195" s="295" t="n">
        <v>56.49821433436345</v>
      </c>
      <c r="M195" s="289" t="n">
        <v>1.49540563434213</v>
      </c>
      <c r="N195" s="297" t="n">
        <v>5.313983925572968</v>
      </c>
      <c r="O195" s="207" t="inlineStr">
        <is>
          <t>—</t>
        </is>
      </c>
      <c r="P195" s="207" t="inlineStr">
        <is>
          <t>—</t>
        </is>
      </c>
      <c r="Q195" s="207" t="inlineStr">
        <is>
          <t>—</t>
        </is>
      </c>
      <c r="R195" s="207" t="inlineStr">
        <is>
          <t>—</t>
        </is>
      </c>
      <c r="S195" s="207" t="inlineStr">
        <is>
          <t>—</t>
        </is>
      </c>
    </row>
    <row r="196" ht="20" customHeight="1" s="215">
      <c r="A196" s="54" t="n">
        <v>191</v>
      </c>
      <c r="B196" s="55" t="inlineStr">
        <is>
          <t>MDLZ</t>
        </is>
      </c>
      <c r="C196" s="56" t="inlineStr">
        <is>
          <t>Mondelez International</t>
        </is>
      </c>
      <c r="D196" s="57" t="inlineStr">
        <is>
          <t>Confectioners</t>
        </is>
      </c>
      <c r="E196" s="288" t="n">
        <v>63.34</v>
      </c>
      <c r="F196" s="289" t="n">
        <v>0.025748968</v>
      </c>
      <c r="G196" s="290" t="n">
        <v>81.30637824</v>
      </c>
      <c r="H196" s="289" t="n">
        <v>0.041</v>
      </c>
      <c r="I196" s="291" t="n">
        <v>0.31146</v>
      </c>
      <c r="J196" s="292" t="n">
        <v>23.286764</v>
      </c>
      <c r="K196" s="299" t="n">
        <v>2252.37504</v>
      </c>
      <c r="L196" s="290" t="n">
        <v>17.23883121338075</v>
      </c>
      <c r="M196" s="300" t="n">
        <v>-0.7879768895560051</v>
      </c>
      <c r="N196" s="292" t="n">
        <v>36.09806303769021</v>
      </c>
      <c r="O196" s="206" t="inlineStr">
        <is>
          <t>—</t>
        </is>
      </c>
      <c r="P196" s="206" t="inlineStr">
        <is>
          <t>—</t>
        </is>
      </c>
      <c r="Q196" s="206" t="inlineStr">
        <is>
          <t>—</t>
        </is>
      </c>
      <c r="R196" s="206" t="inlineStr">
        <is>
          <t>—</t>
        </is>
      </c>
      <c r="S196" s="206" t="inlineStr">
        <is>
          <t>—</t>
        </is>
      </c>
    </row>
    <row r="197" ht="20" customHeight="1" s="215">
      <c r="A197" s="54" t="n">
        <v>192</v>
      </c>
      <c r="B197" s="55" t="inlineStr">
        <is>
          <t>EMN</t>
        </is>
      </c>
      <c r="C197" s="56" t="inlineStr">
        <is>
          <t>Eastman Chemical</t>
        </is>
      </c>
      <c r="D197" s="57" t="inlineStr">
        <is>
          <t>Chemicals</t>
        </is>
      </c>
      <c r="E197" s="294" t="n">
        <v>62.48</v>
      </c>
      <c r="F197" s="289" t="n">
        <v>0.005309701</v>
      </c>
      <c r="G197" s="295" t="n">
        <v>7.143127552</v>
      </c>
      <c r="H197" s="289" t="n">
        <v>0.099</v>
      </c>
      <c r="I197" s="296" t="n">
        <v>0.19662</v>
      </c>
      <c r="J197" s="297" t="n">
        <v>16.313316</v>
      </c>
      <c r="K197" s="301" t="n">
        <v>544.6250240000001</v>
      </c>
      <c r="L197" s="295" t="n">
        <v>5.615514282045309</v>
      </c>
      <c r="M197" s="300" t="n">
        <v>-0.2138577617204911</v>
      </c>
      <c r="N197" s="297" t="n">
        <v>13.11567976178781</v>
      </c>
      <c r="O197" s="207" t="inlineStr">
        <is>
          <t>—</t>
        </is>
      </c>
      <c r="P197" s="207" t="inlineStr">
        <is>
          <t>—</t>
        </is>
      </c>
      <c r="Q197" s="207" t="inlineStr">
        <is>
          <t>—</t>
        </is>
      </c>
      <c r="R197" s="207" t="inlineStr">
        <is>
          <t>—</t>
        </is>
      </c>
      <c r="S197" s="207" t="inlineStr">
        <is>
          <t>—</t>
        </is>
      </c>
    </row>
    <row r="198" ht="20" customHeight="1" s="215">
      <c r="A198" s="50" t="n">
        <v>193</v>
      </c>
      <c r="B198" s="51" t="inlineStr">
        <is>
          <t>XYL</t>
        </is>
      </c>
      <c r="C198" s="52" t="inlineStr">
        <is>
          <t>Xylem</t>
        </is>
      </c>
      <c r="D198" s="53" t="inlineStr">
        <is>
          <t>Specialty Industrial Machinery</t>
        </is>
      </c>
      <c r="E198" s="288" t="n">
        <v>103.53</v>
      </c>
      <c r="F198" s="300" t="n">
        <v>-0.2966234</v>
      </c>
      <c r="G198" s="290" t="n">
        <v>24.172890112</v>
      </c>
      <c r="H198" s="289" t="n">
        <v>0.015</v>
      </c>
      <c r="I198" s="291" t="n">
        <v>0.39240003</v>
      </c>
      <c r="J198" s="292" t="n">
        <v>24.650002</v>
      </c>
      <c r="K198" s="299" t="n">
        <v>1183.750016</v>
      </c>
      <c r="L198" s="290" t="n">
        <v>7.150073962133922</v>
      </c>
      <c r="M198" s="300" t="n">
        <v>-0.7042110426595432</v>
      </c>
      <c r="N198" s="292" t="n">
        <v>20.4206034379137</v>
      </c>
      <c r="O198" s="206" t="inlineStr">
        <is>
          <t>—</t>
        </is>
      </c>
      <c r="P198" s="206" t="inlineStr">
        <is>
          <t>—</t>
        </is>
      </c>
      <c r="Q198" s="206" t="inlineStr">
        <is>
          <t>—</t>
        </is>
      </c>
      <c r="R198" s="206" t="inlineStr">
        <is>
          <t>—</t>
        </is>
      </c>
      <c r="S198" s="206" t="inlineStr">
        <is>
          <t>—</t>
        </is>
      </c>
    </row>
    <row r="199" ht="20" customHeight="1" s="215">
      <c r="A199" s="54" t="n">
        <v>194</v>
      </c>
      <c r="B199" s="55" t="inlineStr">
        <is>
          <t>DVA</t>
        </is>
      </c>
      <c r="C199" s="56" t="inlineStr">
        <is>
          <t>DaVita</t>
        </is>
      </c>
      <c r="D199" s="57" t="inlineStr">
        <is>
          <t>Medical Care Facilities</t>
        </is>
      </c>
      <c r="E199" s="294" t="n">
        <v>187</v>
      </c>
      <c r="F199" s="289" t="n">
        <v>0.45627284</v>
      </c>
      <c r="G199" s="295" t="n">
        <v>12.002594816</v>
      </c>
      <c r="H199" s="289" t="n">
        <v>0.052</v>
      </c>
      <c r="I199" s="296" t="n">
        <v>0.32364</v>
      </c>
      <c r="J199" s="297" t="n">
        <v>15.793919</v>
      </c>
      <c r="K199" s="301" t="n">
        <v>1042.451584</v>
      </c>
      <c r="L199" s="295" t="n">
        <v>10.11143256170345</v>
      </c>
      <c r="M199" s="300" t="n">
        <v>-0.1575627839886378</v>
      </c>
      <c r="N199" s="297" t="n">
        <v>11.5138153025244</v>
      </c>
      <c r="O199" s="211" t="inlineStr">
        <is>
          <t>YES</t>
        </is>
      </c>
      <c r="P199" s="212" t="n">
        <v>3.3</v>
      </c>
      <c r="Q199" s="211" t="inlineStr">
        <is>
          <t>Sell</t>
        </is>
      </c>
      <c r="R199" s="212" t="n">
        <v>81</v>
      </c>
      <c r="S199" s="213" t="inlineStr">
        <is>
          <t>Hold Q1-25 → Trim Q2 → Hold Q3 → Sold 3.8M Q4 → Q1-26: trimmed another ~5% (Weschler position thinning)</t>
        </is>
      </c>
    </row>
    <row r="200" ht="20" customHeight="1" s="215">
      <c r="A200" s="50" t="n">
        <v>195</v>
      </c>
      <c r="B200" s="51" t="inlineStr">
        <is>
          <t>PKG</t>
        </is>
      </c>
      <c r="C200" s="52" t="inlineStr">
        <is>
          <t>Packaging Corp of America</t>
        </is>
      </c>
      <c r="D200" s="53" t="inlineStr">
        <is>
          <t>Packaging &amp; Containers</t>
        </is>
      </c>
      <c r="E200" s="288" t="n">
        <v>236.38</v>
      </c>
      <c r="F200" s="289" t="n">
        <v>0.13573253</v>
      </c>
      <c r="G200" s="290" t="n">
        <v>21.061056512</v>
      </c>
      <c r="H200" s="289" t="n">
        <v>0.147</v>
      </c>
      <c r="I200" s="291" t="n">
        <v>0.21385999</v>
      </c>
      <c r="J200" s="292" t="n">
        <v>30.738623</v>
      </c>
      <c r="K200" s="299" t="n">
        <v>432.950016</v>
      </c>
      <c r="L200" s="290" t="n">
        <v>4.545378100687539</v>
      </c>
      <c r="M200" s="300" t="n">
        <v>-0.7841809076340633</v>
      </c>
      <c r="N200" s="292" t="n">
        <v>48.64546746574089</v>
      </c>
      <c r="O200" s="206" t="inlineStr">
        <is>
          <t>—</t>
        </is>
      </c>
      <c r="P200" s="206" t="inlineStr">
        <is>
          <t>—</t>
        </is>
      </c>
      <c r="Q200" s="206" t="inlineStr">
        <is>
          <t>—</t>
        </is>
      </c>
      <c r="R200" s="206" t="inlineStr">
        <is>
          <t>—</t>
        </is>
      </c>
      <c r="S200" s="206" t="inlineStr">
        <is>
          <t>—</t>
        </is>
      </c>
    </row>
    <row r="201" ht="20" customHeight="1" s="215">
      <c r="A201" s="54" t="n">
        <v>196</v>
      </c>
      <c r="B201" s="55" t="inlineStr">
        <is>
          <t>CPB</t>
        </is>
      </c>
      <c r="C201" s="56" t="inlineStr">
        <is>
          <t>Campbell Soup</t>
        </is>
      </c>
      <c r="D201" s="57" t="inlineStr">
        <is>
          <t>Packaged Foods</t>
        </is>
      </c>
      <c r="E201" s="294" t="n">
        <v>19.35</v>
      </c>
      <c r="F201" s="300" t="n">
        <v>-0.37721276</v>
      </c>
      <c r="G201" s="295" t="n">
        <v>5.770841088</v>
      </c>
      <c r="H201" s="300" t="n">
        <v>-0.079</v>
      </c>
      <c r="I201" s="296" t="n">
        <v>0.28541002</v>
      </c>
      <c r="J201" s="297" t="n">
        <v>14.770993</v>
      </c>
      <c r="K201" s="301" t="n">
        <v>634.499968</v>
      </c>
      <c r="L201" s="295" t="n">
        <v>3.284786718134731</v>
      </c>
      <c r="M201" s="300" t="n">
        <v>-0.4307958462129237</v>
      </c>
      <c r="N201" s="297" t="n">
        <v>9.095101025363645</v>
      </c>
      <c r="O201" s="207" t="inlineStr">
        <is>
          <t>—</t>
        </is>
      </c>
      <c r="P201" s="207" t="inlineStr">
        <is>
          <t>—</t>
        </is>
      </c>
      <c r="Q201" s="207" t="inlineStr">
        <is>
          <t>—</t>
        </is>
      </c>
      <c r="R201" s="207" t="inlineStr">
        <is>
          <t>—</t>
        </is>
      </c>
      <c r="S201" s="207" t="inlineStr">
        <is>
          <t>—</t>
        </is>
      </c>
    </row>
    <row r="202" ht="20" customHeight="1" s="215">
      <c r="A202" s="50" t="n">
        <v>197</v>
      </c>
      <c r="B202" s="51" t="inlineStr">
        <is>
          <t>LW</t>
        </is>
      </c>
      <c r="C202" s="52" t="inlineStr">
        <is>
          <t>Lamb Weston Holdings</t>
        </is>
      </c>
      <c r="D202" s="53" t="inlineStr">
        <is>
          <t>Packaged Foods</t>
        </is>
      </c>
      <c r="E202" s="288" t="n">
        <v>53.44</v>
      </c>
      <c r="F202" s="300" t="n">
        <v>-0.17339522</v>
      </c>
      <c r="G202" s="290" t="n">
        <v>7.362987008</v>
      </c>
      <c r="H202" s="289" t="n">
        <v>0.007</v>
      </c>
      <c r="I202" s="291" t="n">
        <v>0.20197001</v>
      </c>
      <c r="J202" s="292" t="n">
        <v>29.202185</v>
      </c>
      <c r="K202" s="299" t="n">
        <v>331.775008</v>
      </c>
      <c r="L202" s="290" t="n">
        <v>2.096069147089139</v>
      </c>
      <c r="M202" s="300" t="n">
        <v>-0.7153235304080087</v>
      </c>
      <c r="N202" s="292" t="n">
        <v>22.19271165741333</v>
      </c>
      <c r="O202" s="206" t="inlineStr">
        <is>
          <t>—</t>
        </is>
      </c>
      <c r="P202" s="206" t="inlineStr">
        <is>
          <t>—</t>
        </is>
      </c>
      <c r="Q202" s="206" t="inlineStr">
        <is>
          <t>—</t>
        </is>
      </c>
      <c r="R202" s="206" t="inlineStr">
        <is>
          <t>—</t>
        </is>
      </c>
      <c r="S202" s="206" t="inlineStr">
        <is>
          <t>—</t>
        </is>
      </c>
    </row>
    <row r="203" ht="20" customHeight="1" s="215">
      <c r="A203" s="54" t="n">
        <v>198</v>
      </c>
      <c r="B203" s="55" t="inlineStr">
        <is>
          <t>A</t>
        </is>
      </c>
      <c r="C203" s="56" t="inlineStr">
        <is>
          <t>Agilent Technologies</t>
        </is>
      </c>
      <c r="D203" s="57" t="inlineStr">
        <is>
          <t>Diagnostics &amp; Research</t>
        </is>
      </c>
      <c r="E203" s="294" t="n">
        <v>169.9</v>
      </c>
      <c r="F203" s="289" t="n">
        <v>0.16625476</v>
      </c>
      <c r="G203" s="295" t="n">
        <v>47.899713536</v>
      </c>
      <c r="H203" s="289" t="n">
        <v>0.081</v>
      </c>
      <c r="I203" s="296" t="n">
        <v>0.53648996</v>
      </c>
      <c r="J203" s="297" t="n">
        <v>33.510845</v>
      </c>
      <c r="K203" s="301" t="n">
        <v>1060.374976</v>
      </c>
      <c r="L203" s="295" t="n">
        <v>12.65836984391174</v>
      </c>
      <c r="M203" s="300" t="n">
        <v>-0.7357318257363253</v>
      </c>
      <c r="N203" s="297" t="n">
        <v>45.17242803606108</v>
      </c>
      <c r="O203" s="207" t="inlineStr">
        <is>
          <t>—</t>
        </is>
      </c>
      <c r="P203" s="207" t="inlineStr">
        <is>
          <t>—</t>
        </is>
      </c>
      <c r="Q203" s="207" t="inlineStr">
        <is>
          <t>—</t>
        </is>
      </c>
      <c r="R203" s="207" t="inlineStr">
        <is>
          <t>—</t>
        </is>
      </c>
      <c r="S203" s="207" t="inlineStr">
        <is>
          <t>—</t>
        </is>
      </c>
    </row>
    <row r="204" ht="20" customHeight="1" s="215">
      <c r="A204" s="50" t="n">
        <v>199</v>
      </c>
      <c r="B204" s="51" t="inlineStr">
        <is>
          <t>NVR</t>
        </is>
      </c>
      <c r="C204" s="52" t="inlineStr">
        <is>
          <t>NVR</t>
        </is>
      </c>
      <c r="D204" s="53" t="inlineStr">
        <is>
          <t>Residential Construction</t>
        </is>
      </c>
      <c r="E204" s="288" t="n">
        <v>5828</v>
      </c>
      <c r="F204" s="300" t="n">
        <v>-0.25206584</v>
      </c>
      <c r="G204" s="290" t="n">
        <v>15.530804224</v>
      </c>
      <c r="H204" s="300" t="n">
        <v>-0.109</v>
      </c>
      <c r="I204" s="291" t="n">
        <v>0.2184</v>
      </c>
      <c r="J204" s="292" t="n">
        <v>15.140415</v>
      </c>
      <c r="K204" s="299" t="n">
        <v>918.31328</v>
      </c>
      <c r="L204" s="290" t="n">
        <v>4.523847750200144</v>
      </c>
      <c r="M204" s="300" t="n">
        <v>-0.7087177402436527</v>
      </c>
      <c r="N204" s="292" t="n">
        <v>16.91231567510382</v>
      </c>
      <c r="O204" s="208" t="inlineStr">
        <is>
          <t>YES</t>
        </is>
      </c>
      <c r="P204" s="209" t="n">
        <v>0.07000000000000001</v>
      </c>
      <c r="Q204" s="208" t="inlineStr">
        <is>
          <t>Hold</t>
        </is>
      </c>
      <c r="R204" s="209" t="n">
        <v>4800</v>
      </c>
      <c r="S204" s="210" t="inlineStr">
        <is>
          <t>~11K sh (Weschler). Q1-26: UNCHANGED</t>
        </is>
      </c>
    </row>
    <row r="205" ht="20" customHeight="1" s="215">
      <c r="A205" s="54" t="n">
        <v>200</v>
      </c>
      <c r="B205" s="55" t="inlineStr">
        <is>
          <t>SLB</t>
        </is>
      </c>
      <c r="C205" s="56" t="inlineStr">
        <is>
          <t>Schlumberger</t>
        </is>
      </c>
      <c r="D205" s="57" t="inlineStr">
        <is>
          <t>Oil &amp; Gas Equipment &amp; Services</t>
        </is>
      </c>
      <c r="E205" s="294" t="n">
        <v>49.09</v>
      </c>
      <c r="F205" s="289" t="n">
        <v>0.46449876</v>
      </c>
      <c r="G205" s="295" t="n">
        <v>72.856592384</v>
      </c>
      <c r="H205" s="289" t="n">
        <v>0.05</v>
      </c>
      <c r="I205" s="296" t="n">
        <v>0.16991</v>
      </c>
      <c r="J205" s="297" t="n">
        <v>23.714977</v>
      </c>
      <c r="K205" s="301" t="n">
        <v>2955.124992</v>
      </c>
      <c r="L205" s="295" t="n">
        <v>53.72817557987666</v>
      </c>
      <c r="M205" s="300" t="n">
        <v>-0.2625488810031709</v>
      </c>
      <c r="N205" s="297" t="n">
        <v>24.65431797539006</v>
      </c>
      <c r="O205" s="207" t="inlineStr">
        <is>
          <t>—</t>
        </is>
      </c>
      <c r="P205" s="207" t="inlineStr">
        <is>
          <t>—</t>
        </is>
      </c>
      <c r="Q205" s="207" t="inlineStr">
        <is>
          <t>—</t>
        </is>
      </c>
      <c r="R205" s="207" t="inlineStr">
        <is>
          <t>—</t>
        </is>
      </c>
      <c r="S205" s="207" t="inlineStr">
        <is>
          <t>—</t>
        </is>
      </c>
    </row>
    <row r="206" ht="20" customHeight="1" s="215">
      <c r="A206" s="50" t="n">
        <v>201</v>
      </c>
      <c r="B206" s="51" t="inlineStr">
        <is>
          <t>STE</t>
        </is>
      </c>
      <c r="C206" s="52" t="inlineStr">
        <is>
          <t>Steris</t>
        </is>
      </c>
      <c r="D206" s="53" t="inlineStr">
        <is>
          <t>Medical Instruments &amp; Supplies</t>
        </is>
      </c>
      <c r="E206" s="288" t="n">
        <v>221.97</v>
      </c>
      <c r="F206" s="300" t="n">
        <v>-0.082882285</v>
      </c>
      <c r="G206" s="290" t="n">
        <v>21.642100736</v>
      </c>
      <c r="H206" s="289" t="n">
        <v>0.073</v>
      </c>
      <c r="I206" s="291" t="n">
        <v>0.44422</v>
      </c>
      <c r="J206" s="292" t="n">
        <v>27.135696</v>
      </c>
      <c r="K206" s="299" t="n">
        <v>798.862528</v>
      </c>
      <c r="L206" s="290" t="n">
        <v>8.583160046866601</v>
      </c>
      <c r="M206" s="300" t="n">
        <v>-0.6034044868579157</v>
      </c>
      <c r="N206" s="292" t="n">
        <v>27.09114354240934</v>
      </c>
      <c r="O206" s="206" t="inlineStr">
        <is>
          <t>—</t>
        </is>
      </c>
      <c r="P206" s="206" t="inlineStr">
        <is>
          <t>—</t>
        </is>
      </c>
      <c r="Q206" s="206" t="inlineStr">
        <is>
          <t>—</t>
        </is>
      </c>
      <c r="R206" s="206" t="inlineStr">
        <is>
          <t>—</t>
        </is>
      </c>
      <c r="S206" s="206" t="inlineStr">
        <is>
          <t>—</t>
        </is>
      </c>
    </row>
    <row r="207" ht="20" customHeight="1" s="215">
      <c r="A207" s="54" t="n">
        <v>202</v>
      </c>
      <c r="B207" s="55" t="inlineStr">
        <is>
          <t>KHC</t>
        </is>
      </c>
      <c r="C207" s="56" t="inlineStr">
        <is>
          <t>Kraft Heinz</t>
        </is>
      </c>
      <c r="D207" s="57" t="inlineStr">
        <is>
          <t>Packaged Foods</t>
        </is>
      </c>
      <c r="E207" s="294" t="n">
        <v>23.17</v>
      </c>
      <c r="F207" s="300" t="n">
        <v>-0.0942142</v>
      </c>
      <c r="G207" s="295" t="n">
        <v>27.475535872</v>
      </c>
      <c r="H207" s="300" t="n">
        <v>-0.014</v>
      </c>
      <c r="I207" s="296" t="n">
        <v>0.33498</v>
      </c>
      <c r="J207" s="297" t="n">
        <v>11.1310215</v>
      </c>
      <c r="K207" s="301" t="n">
        <v>3250.500096</v>
      </c>
      <c r="L207" s="295" t="n">
        <v>19.24433701486761</v>
      </c>
      <c r="M207" s="300" t="n">
        <v>-0.2995828323596304</v>
      </c>
      <c r="N207" s="297" t="n">
        <v>8.452710555729823</v>
      </c>
      <c r="O207" s="211" t="inlineStr">
        <is>
          <t>YES</t>
        </is>
      </c>
      <c r="P207" s="212" t="n">
        <v>9.5</v>
      </c>
      <c r="Q207" s="211" t="inlineStr">
        <is>
          <t>Hold</t>
        </is>
      </c>
      <c r="R207" s="212" t="n">
        <v>80</v>
      </c>
      <c r="S207" s="213" t="inlineStr">
        <is>
          <t>Jan-26: Abel filed sale of 325.6M sh → Mar: REVERSED after KHC cancelled split. Q1-26 13F: UNCHANGED. Abel: "no plans to sell"</t>
        </is>
      </c>
    </row>
    <row r="208" ht="20" customHeight="1" s="215">
      <c r="A208" s="50" t="n">
        <v>203</v>
      </c>
      <c r="B208" s="51" t="inlineStr">
        <is>
          <t>SHW</t>
        </is>
      </c>
      <c r="C208" s="52" t="inlineStr">
        <is>
          <t>Sherwin-Williams</t>
        </is>
      </c>
      <c r="D208" s="53" t="inlineStr">
        <is>
          <t>Specialty Chemicals</t>
        </is>
      </c>
      <c r="E208" s="288" t="n">
        <v>331.61</v>
      </c>
      <c r="F208" s="300" t="n">
        <v>-0.020180821</v>
      </c>
      <c r="G208" s="290" t="n">
        <v>80.50102271999999</v>
      </c>
      <c r="H208" s="289" t="n">
        <v>0.075</v>
      </c>
      <c r="I208" s="291" t="n">
        <v>0.48981997</v>
      </c>
      <c r="J208" s="292" t="n">
        <v>30.563131</v>
      </c>
      <c r="K208" s="299" t="n">
        <v>2506.037504</v>
      </c>
      <c r="L208" s="290" t="n">
        <v>21.08964663003755</v>
      </c>
      <c r="M208" s="300" t="n">
        <v>-0.7380201403975709</v>
      </c>
      <c r="N208" s="292" t="n">
        <v>32.12283548215805</v>
      </c>
      <c r="O208" s="206" t="inlineStr">
        <is>
          <t>—</t>
        </is>
      </c>
      <c r="P208" s="206" t="inlineStr">
        <is>
          <t>—</t>
        </is>
      </c>
      <c r="Q208" s="206" t="inlineStr">
        <is>
          <t>—</t>
        </is>
      </c>
      <c r="R208" s="206" t="inlineStr">
        <is>
          <t>—</t>
        </is>
      </c>
      <c r="S208" s="206" t="inlineStr">
        <is>
          <t>—</t>
        </is>
      </c>
    </row>
    <row r="209" ht="20" customHeight="1" s="215">
      <c r="A209" s="54" t="n">
        <v>204</v>
      </c>
      <c r="B209" s="55" t="inlineStr">
        <is>
          <t>CCI</t>
        </is>
      </c>
      <c r="C209" s="56" t="inlineStr">
        <is>
          <t>Crown Castle Intl</t>
        </is>
      </c>
      <c r="D209" s="57" t="inlineStr">
        <is>
          <t>REIT - Specialty</t>
        </is>
      </c>
      <c r="E209" s="294" t="n">
        <v>81.06</v>
      </c>
      <c r="F209" s="300" t="n">
        <v>-0.17830718</v>
      </c>
      <c r="G209" s="295" t="n">
        <v>34.487414784</v>
      </c>
      <c r="H209" s="300" t="n">
        <v>-0.049</v>
      </c>
      <c r="I209" s="296" t="n">
        <v>0.73732</v>
      </c>
      <c r="J209" s="297" t="n">
        <v>32.951218</v>
      </c>
      <c r="K209" s="301" t="n">
        <v>1036.249984</v>
      </c>
      <c r="L209" s="302" t="inlineStr">
        <is>
          <t>—</t>
        </is>
      </c>
      <c r="M209" s="303" t="inlineStr">
        <is>
          <t>—</t>
        </is>
      </c>
      <c r="N209" s="297" t="n">
        <v>33.28098279163882</v>
      </c>
      <c r="O209" s="207" t="inlineStr">
        <is>
          <t>—</t>
        </is>
      </c>
      <c r="P209" s="207" t="inlineStr">
        <is>
          <t>—</t>
        </is>
      </c>
      <c r="Q209" s="207" t="inlineStr">
        <is>
          <t>—</t>
        </is>
      </c>
      <c r="R209" s="207" t="inlineStr">
        <is>
          <t>—</t>
        </is>
      </c>
      <c r="S209" s="207" t="inlineStr">
        <is>
          <t>—</t>
        </is>
      </c>
    </row>
    <row r="210" ht="20" customHeight="1" s="215">
      <c r="A210" s="50" t="n">
        <v>205</v>
      </c>
      <c r="B210" s="51" t="inlineStr">
        <is>
          <t>FAST</t>
        </is>
      </c>
      <c r="C210" s="52" t="inlineStr">
        <is>
          <t>Fastenal</t>
        </is>
      </c>
      <c r="D210" s="53" t="inlineStr">
        <is>
          <t>Industrial Distribution</t>
        </is>
      </c>
      <c r="E210" s="288" t="n">
        <v>51.02</v>
      </c>
      <c r="F210" s="289" t="n">
        <v>0.17774701</v>
      </c>
      <c r="G210" s="290" t="n">
        <v>58.545328128</v>
      </c>
      <c r="H210" s="289" t="n">
        <v>0.155</v>
      </c>
      <c r="I210" s="291" t="n">
        <v>0.44607</v>
      </c>
      <c r="J210" s="292" t="n">
        <v>41.479675</v>
      </c>
      <c r="K210" s="299" t="n">
        <v>916.437504</v>
      </c>
      <c r="L210" s="290" t="n">
        <v>9.591806036427316</v>
      </c>
      <c r="M210" s="300" t="n">
        <v>-0.8361644499548049</v>
      </c>
      <c r="N210" s="292" t="n">
        <v>63.88359917498531</v>
      </c>
      <c r="O210" s="206" t="inlineStr">
        <is>
          <t>—</t>
        </is>
      </c>
      <c r="P210" s="206" t="inlineStr">
        <is>
          <t>—</t>
        </is>
      </c>
      <c r="Q210" s="206" t="inlineStr">
        <is>
          <t>—</t>
        </is>
      </c>
      <c r="R210" s="206" t="inlineStr">
        <is>
          <t>—</t>
        </is>
      </c>
      <c r="S210" s="206" t="inlineStr">
        <is>
          <t>—</t>
        </is>
      </c>
    </row>
    <row r="211" ht="20" customHeight="1" s="215">
      <c r="A211" s="54" t="n">
        <v>206</v>
      </c>
      <c r="B211" s="55" t="inlineStr">
        <is>
          <t>PPG</t>
        </is>
      </c>
      <c r="C211" s="56" t="inlineStr">
        <is>
          <t>PPG Industries</t>
        </is>
      </c>
      <c r="D211" s="57" t="inlineStr">
        <is>
          <t>Specialty Chemicals</t>
        </is>
      </c>
      <c r="E211" s="294" t="n">
        <v>107.55</v>
      </c>
      <c r="F211" s="289" t="n">
        <v>0.030369759</v>
      </c>
      <c r="G211" s="295" t="n">
        <v>23.908366336</v>
      </c>
      <c r="H211" s="289" t="n">
        <v>0.07199999999999999</v>
      </c>
      <c r="I211" s="296" t="n">
        <v>0.41202998</v>
      </c>
      <c r="J211" s="297" t="n">
        <v>15.430417</v>
      </c>
      <c r="K211" s="301" t="n">
        <v>1104.625024</v>
      </c>
      <c r="L211" s="295" t="n">
        <v>10.16590589200205</v>
      </c>
      <c r="M211" s="300" t="n">
        <v>-0.5747971338094</v>
      </c>
      <c r="N211" s="297" t="n">
        <v>21.64387414783028</v>
      </c>
      <c r="O211" s="207" t="inlineStr">
        <is>
          <t>—</t>
        </is>
      </c>
      <c r="P211" s="207" t="inlineStr">
        <is>
          <t>—</t>
        </is>
      </c>
      <c r="Q211" s="207" t="inlineStr">
        <is>
          <t>—</t>
        </is>
      </c>
      <c r="R211" s="207" t="inlineStr">
        <is>
          <t>—</t>
        </is>
      </c>
      <c r="S211" s="207" t="inlineStr">
        <is>
          <t>—</t>
        </is>
      </c>
    </row>
    <row r="212" ht="20" customHeight="1" s="215">
      <c r="A212" s="50" t="n">
        <v>207</v>
      </c>
      <c r="B212" s="51" t="inlineStr">
        <is>
          <t>RSG</t>
        </is>
      </c>
      <c r="C212" s="52" t="inlineStr">
        <is>
          <t>Republic Services</t>
        </is>
      </c>
      <c r="D212" s="53" t="inlineStr">
        <is>
          <t>Waste Management</t>
        </is>
      </c>
      <c r="E212" s="288" t="n">
        <v>229.03</v>
      </c>
      <c r="F212" s="289" t="n">
        <v>0.036616325</v>
      </c>
      <c r="G212" s="290" t="n">
        <v>70.13195776000001</v>
      </c>
      <c r="H212" s="289" t="n">
        <v>0.046</v>
      </c>
      <c r="I212" s="291" t="n">
        <v>0.43035</v>
      </c>
      <c r="J212" s="292" t="n">
        <v>32.486523</v>
      </c>
      <c r="K212" s="299" t="n">
        <v>1942.625024</v>
      </c>
      <c r="L212" s="290" t="n">
        <v>12.17462929590427</v>
      </c>
      <c r="M212" s="300" t="n">
        <v>-0.8264039721011737</v>
      </c>
      <c r="N212" s="292" t="n">
        <v>36.10164467403669</v>
      </c>
      <c r="O212" s="206" t="inlineStr">
        <is>
          <t>—</t>
        </is>
      </c>
      <c r="P212" s="206" t="inlineStr">
        <is>
          <t>—</t>
        </is>
      </c>
      <c r="Q212" s="206" t="inlineStr">
        <is>
          <t>—</t>
        </is>
      </c>
      <c r="R212" s="206" t="inlineStr">
        <is>
          <t>—</t>
        </is>
      </c>
      <c r="S212" s="206" t="inlineStr">
        <is>
          <t>—</t>
        </is>
      </c>
    </row>
    <row r="213" ht="20" customHeight="1" s="215">
      <c r="A213" s="54" t="n">
        <v>208</v>
      </c>
      <c r="B213" s="55" t="inlineStr">
        <is>
          <t>DGX</t>
        </is>
      </c>
      <c r="C213" s="56" t="inlineStr">
        <is>
          <t>Quest Diagnostics</t>
        </is>
      </c>
      <c r="D213" s="57" t="inlineStr">
        <is>
          <t>Diagnostics &amp; Research</t>
        </is>
      </c>
      <c r="E213" s="294" t="n">
        <v>234.91</v>
      </c>
      <c r="F213" s="289" t="n">
        <v>0.27225947</v>
      </c>
      <c r="G213" s="295" t="n">
        <v>25.927806976</v>
      </c>
      <c r="H213" s="289" t="n">
        <v>0.102</v>
      </c>
      <c r="I213" s="296" t="n">
        <v>0.33192003</v>
      </c>
      <c r="J213" s="297" t="n">
        <v>24.937368</v>
      </c>
      <c r="K213" s="301" t="n">
        <v>909.6250240000001</v>
      </c>
      <c r="L213" s="295" t="n">
        <v>11.37630563578567</v>
      </c>
      <c r="M213" s="300" t="n">
        <v>-0.5612314745201508</v>
      </c>
      <c r="N213" s="297" t="n">
        <v>28.50383983895324</v>
      </c>
      <c r="O213" s="207" t="inlineStr">
        <is>
          <t>—</t>
        </is>
      </c>
      <c r="P213" s="207" t="inlineStr">
        <is>
          <t>—</t>
        </is>
      </c>
      <c r="Q213" s="207" t="inlineStr">
        <is>
          <t>—</t>
        </is>
      </c>
      <c r="R213" s="207" t="inlineStr">
        <is>
          <t>—</t>
        </is>
      </c>
      <c r="S213" s="207" t="inlineStr">
        <is>
          <t>—</t>
        </is>
      </c>
    </row>
    <row r="214" ht="20" customHeight="1" s="215">
      <c r="A214" s="50" t="n">
        <v>209</v>
      </c>
      <c r="B214" s="51" t="inlineStr">
        <is>
          <t>ECL</t>
        </is>
      </c>
      <c r="C214" s="52" t="inlineStr">
        <is>
          <t>Ecolab</t>
        </is>
      </c>
      <c r="D214" s="53" t="inlineStr">
        <is>
          <t>Specialty Chemicals</t>
        </is>
      </c>
      <c r="E214" s="288" t="n">
        <v>285.94</v>
      </c>
      <c r="F214" s="289" t="n">
        <v>0.027858615</v>
      </c>
      <c r="G214" s="290" t="n">
        <v>80.15716352</v>
      </c>
      <c r="H214" s="289" t="n">
        <v>0.097</v>
      </c>
      <c r="I214" s="291" t="n">
        <v>0.44210997</v>
      </c>
      <c r="J214" s="292" t="n">
        <v>38.38121</v>
      </c>
      <c r="K214" s="299" t="n">
        <v>1474.82496</v>
      </c>
      <c r="L214" s="290" t="n">
        <v>17.29550264991399</v>
      </c>
      <c r="M214" s="300" t="n">
        <v>-0.7842301063260729</v>
      </c>
      <c r="N214" s="292" t="n">
        <v>54.35028760417779</v>
      </c>
      <c r="O214" s="206" t="inlineStr">
        <is>
          <t>—</t>
        </is>
      </c>
      <c r="P214" s="206" t="inlineStr">
        <is>
          <t>—</t>
        </is>
      </c>
      <c r="Q214" s="206" t="inlineStr">
        <is>
          <t>—</t>
        </is>
      </c>
      <c r="R214" s="206" t="inlineStr">
        <is>
          <t>—</t>
        </is>
      </c>
      <c r="S214" s="206" t="inlineStr">
        <is>
          <t>—</t>
        </is>
      </c>
    </row>
    <row r="215" ht="20" customHeight="1" s="215">
      <c r="A215" s="54" t="n">
        <v>210</v>
      </c>
      <c r="B215" s="55" t="inlineStr">
        <is>
          <t>HAS</t>
        </is>
      </c>
      <c r="C215" s="56" t="inlineStr">
        <is>
          <t>Hasbro</t>
        </is>
      </c>
      <c r="D215" s="57" t="inlineStr">
        <is>
          <t>Leisure</t>
        </is>
      </c>
      <c r="E215" s="294" t="n">
        <v>98.48999999999999</v>
      </c>
      <c r="F215" s="289" t="n">
        <v>0.31618333</v>
      </c>
      <c r="G215" s="295" t="n">
        <v>13.891469312</v>
      </c>
      <c r="H215" s="289" t="n">
        <v>0.162</v>
      </c>
      <c r="I215" s="296" t="n">
        <v>0.63822</v>
      </c>
      <c r="J215" s="297" t="n">
        <v>17.618961</v>
      </c>
      <c r="K215" s="301" t="n">
        <v>688.1500160000001</v>
      </c>
      <c r="L215" s="295" t="n">
        <v>7.613379768199392</v>
      </c>
      <c r="M215" s="300" t="n">
        <v>-0.4519384812935048</v>
      </c>
      <c r="N215" s="297" t="n">
        <v>20.18668783236648</v>
      </c>
      <c r="O215" s="207" t="inlineStr">
        <is>
          <t>—</t>
        </is>
      </c>
      <c r="P215" s="207" t="inlineStr">
        <is>
          <t>—</t>
        </is>
      </c>
      <c r="Q215" s="207" t="inlineStr">
        <is>
          <t>—</t>
        </is>
      </c>
      <c r="R215" s="207" t="inlineStr">
        <is>
          <t>—</t>
        </is>
      </c>
      <c r="S215" s="207" t="inlineStr">
        <is>
          <t>—</t>
        </is>
      </c>
    </row>
    <row r="216" ht="20" customHeight="1" s="215">
      <c r="A216" s="50" t="n">
        <v>211</v>
      </c>
      <c r="B216" s="51" t="inlineStr">
        <is>
          <t>ULTA</t>
        </is>
      </c>
      <c r="C216" s="52" t="inlineStr">
        <is>
          <t>Ulta Beauty</t>
        </is>
      </c>
      <c r="D216" s="53" t="inlineStr">
        <is>
          <t>Specialty Retail</t>
        </is>
      </c>
      <c r="E216" s="288" t="n">
        <v>591.62</v>
      </c>
      <c r="F216" s="289" t="n">
        <v>0.124923944</v>
      </c>
      <c r="G216" s="290" t="n">
        <v>25.296175104</v>
      </c>
      <c r="H216" s="289" t="n">
        <v>0.089</v>
      </c>
      <c r="I216" s="291" t="n">
        <v>0.43097</v>
      </c>
      <c r="J216" s="292" t="n">
        <v>21.560495</v>
      </c>
      <c r="K216" s="299" t="n">
        <v>914.08736</v>
      </c>
      <c r="L216" s="290" t="n">
        <v>6.687900292848833</v>
      </c>
      <c r="M216" s="300" t="n">
        <v>-0.7356161449170512</v>
      </c>
      <c r="N216" s="292" t="n">
        <v>27.67369520679074</v>
      </c>
      <c r="O216" s="206" t="inlineStr">
        <is>
          <t>—</t>
        </is>
      </c>
      <c r="P216" s="206" t="inlineStr">
        <is>
          <t>—</t>
        </is>
      </c>
      <c r="Q216" s="206" t="inlineStr">
        <is>
          <t>—</t>
        </is>
      </c>
      <c r="R216" s="206" t="inlineStr">
        <is>
          <t>—</t>
        </is>
      </c>
      <c r="S216" s="206" t="inlineStr">
        <is>
          <t>—</t>
        </is>
      </c>
    </row>
    <row r="217" ht="20" customHeight="1" s="215">
      <c r="A217" s="54" t="n">
        <v>212</v>
      </c>
      <c r="B217" s="55" t="inlineStr">
        <is>
          <t>DOV</t>
        </is>
      </c>
      <c r="C217" s="56" t="inlineStr">
        <is>
          <t>Dover</t>
        </is>
      </c>
      <c r="D217" s="57" t="inlineStr">
        <is>
          <t>Specialty Industrial Machinery</t>
        </is>
      </c>
      <c r="E217" s="294" t="n">
        <v>195.37</v>
      </c>
      <c r="F217" s="289" t="n">
        <v>0.12904525</v>
      </c>
      <c r="G217" s="295" t="n">
        <v>26.312474624</v>
      </c>
      <c r="H217" s="289" t="n">
        <v>0.06900000000000001</v>
      </c>
      <c r="I217" s="296" t="n">
        <v>0.40092</v>
      </c>
      <c r="J217" s="297" t="n">
        <v>23.62394</v>
      </c>
      <c r="K217" s="301" t="n">
        <v>906.472128</v>
      </c>
      <c r="L217" s="295" t="n">
        <v>7.52779706489153</v>
      </c>
      <c r="M217" s="300" t="n">
        <v>-0.7139076741179898</v>
      </c>
      <c r="N217" s="297" t="n">
        <v>29.02734099095212</v>
      </c>
      <c r="O217" s="207" t="inlineStr">
        <is>
          <t>—</t>
        </is>
      </c>
      <c r="P217" s="207" t="inlineStr">
        <is>
          <t>—</t>
        </is>
      </c>
      <c r="Q217" s="207" t="inlineStr">
        <is>
          <t>—</t>
        </is>
      </c>
      <c r="R217" s="207" t="inlineStr">
        <is>
          <t>—</t>
        </is>
      </c>
      <c r="S217" s="207" t="inlineStr">
        <is>
          <t>—</t>
        </is>
      </c>
    </row>
    <row r="218" ht="20" customHeight="1" s="215">
      <c r="A218" s="50" t="n">
        <v>213</v>
      </c>
      <c r="B218" s="51" t="inlineStr">
        <is>
          <t>APD</t>
        </is>
      </c>
      <c r="C218" s="52" t="inlineStr">
        <is>
          <t>Air Products &amp; Chemicals</t>
        </is>
      </c>
      <c r="D218" s="53" t="inlineStr">
        <is>
          <t>Chemicals</t>
        </is>
      </c>
      <c r="E218" s="288" t="n">
        <v>298.65</v>
      </c>
      <c r="F218" s="289" t="n">
        <v>0.17250991</v>
      </c>
      <c r="G218" s="290" t="n">
        <v>66.505035776</v>
      </c>
      <c r="H218" s="289" t="n">
        <v>0.046</v>
      </c>
      <c r="I218" s="291" t="n">
        <v>0.32056</v>
      </c>
      <c r="J218" s="292" t="n">
        <v>20.66995</v>
      </c>
      <c r="K218" s="299" t="n">
        <v>-1497.500032</v>
      </c>
      <c r="L218" s="293" t="inlineStr">
        <is>
          <t>—</t>
        </is>
      </c>
      <c r="M218" s="293" t="inlineStr">
        <is>
          <t>—</t>
        </is>
      </c>
      <c r="N218" s="292" t="n">
        <v>-44.41070591876955</v>
      </c>
      <c r="O218" s="206" t="inlineStr">
        <is>
          <t>—</t>
        </is>
      </c>
      <c r="P218" s="206" t="inlineStr">
        <is>
          <t>—</t>
        </is>
      </c>
      <c r="Q218" s="206" t="inlineStr">
        <is>
          <t>—</t>
        </is>
      </c>
      <c r="R218" s="206" t="inlineStr">
        <is>
          <t>—</t>
        </is>
      </c>
      <c r="S218" s="206" t="inlineStr">
        <is>
          <t>—</t>
        </is>
      </c>
    </row>
    <row r="219" ht="20" customHeight="1" s="215">
      <c r="A219" s="54" t="n">
        <v>214</v>
      </c>
      <c r="B219" s="55" t="inlineStr">
        <is>
          <t>ALL</t>
        </is>
      </c>
      <c r="C219" s="56" t="inlineStr">
        <is>
          <t>Allstate</t>
        </is>
      </c>
      <c r="D219" s="57" t="inlineStr">
        <is>
          <t>Insurance - Property &amp; Casualty</t>
        </is>
      </c>
      <c r="E219" s="294" t="n">
        <v>246.85</v>
      </c>
      <c r="F219" s="289" t="n">
        <v>0.27413023</v>
      </c>
      <c r="G219" s="295" t="n">
        <v>62.417985536</v>
      </c>
      <c r="H219" s="289" t="n">
        <v>0.118</v>
      </c>
      <c r="I219" s="296" t="n">
        <v>0.36800998</v>
      </c>
      <c r="J219" s="297" t="n">
        <v>4.938976</v>
      </c>
      <c r="K219" s="301" t="n">
        <v>15158.62528</v>
      </c>
      <c r="L219" s="295" t="n">
        <v>89.76761751497283</v>
      </c>
      <c r="M219" s="289" t="n">
        <v>0.4381690909136876</v>
      </c>
      <c r="N219" s="297" t="n">
        <v>4.117654721622619</v>
      </c>
      <c r="O219" s="207" t="inlineStr">
        <is>
          <t>—</t>
        </is>
      </c>
      <c r="P219" s="207" t="inlineStr">
        <is>
          <t>—</t>
        </is>
      </c>
      <c r="Q219" s="207" t="inlineStr">
        <is>
          <t>—</t>
        </is>
      </c>
      <c r="R219" s="207" t="inlineStr">
        <is>
          <t>—</t>
        </is>
      </c>
      <c r="S219" s="207" t="inlineStr">
        <is>
          <t>—</t>
        </is>
      </c>
    </row>
    <row r="220" ht="20" customHeight="1" s="215">
      <c r="A220" s="50" t="n">
        <v>215</v>
      </c>
      <c r="B220" s="51" t="inlineStr">
        <is>
          <t>BR</t>
        </is>
      </c>
      <c r="C220" s="52" t="inlineStr">
        <is>
          <t>Broadridge Financial Soln</t>
        </is>
      </c>
      <c r="D220" s="53" t="inlineStr">
        <is>
          <t>Information Technology Services</t>
        </is>
      </c>
      <c r="E220" s="288" t="n">
        <v>175.12</v>
      </c>
      <c r="F220" s="300" t="n">
        <v>-0.24621212</v>
      </c>
      <c r="G220" s="290" t="n">
        <v>19.771052032</v>
      </c>
      <c r="H220" s="289" t="n">
        <v>0.075</v>
      </c>
      <c r="I220" s="291" t="n">
        <v>0.31780002</v>
      </c>
      <c r="J220" s="292" t="n">
        <v>18.241665</v>
      </c>
      <c r="K220" s="299" t="n">
        <v>1194.499968</v>
      </c>
      <c r="L220" s="290" t="n">
        <v>9.569250222683088</v>
      </c>
      <c r="M220" s="300" t="n">
        <v>-0.5159969126986774</v>
      </c>
      <c r="N220" s="292" t="n">
        <v>16.55174058894575</v>
      </c>
      <c r="O220" s="206" t="inlineStr">
        <is>
          <t>—</t>
        </is>
      </c>
      <c r="P220" s="206" t="inlineStr">
        <is>
          <t>—</t>
        </is>
      </c>
      <c r="Q220" s="206" t="inlineStr">
        <is>
          <t>—</t>
        </is>
      </c>
      <c r="R220" s="206" t="inlineStr">
        <is>
          <t>—</t>
        </is>
      </c>
      <c r="S220" s="206" t="inlineStr">
        <is>
          <t>—</t>
        </is>
      </c>
    </row>
    <row r="221" ht="20" customHeight="1" s="215">
      <c r="A221" s="54" t="n">
        <v>216</v>
      </c>
      <c r="B221" s="55" t="inlineStr">
        <is>
          <t>ORLY</t>
        </is>
      </c>
      <c r="C221" s="56" t="inlineStr">
        <is>
          <t>O'Reilly Automotive</t>
        </is>
      </c>
      <c r="D221" s="57" t="inlineStr">
        <is>
          <t>Specialty Retail</t>
        </is>
      </c>
      <c r="E221" s="294" t="n">
        <v>89.06999999999999</v>
      </c>
      <c r="F221" s="300" t="n">
        <v>-0.1208173</v>
      </c>
      <c r="G221" s="295" t="n">
        <v>72.054136832</v>
      </c>
      <c r="H221" s="289" t="n">
        <v>0.081</v>
      </c>
      <c r="I221" s="296" t="n">
        <v>0.51636004</v>
      </c>
      <c r="J221" s="297" t="n">
        <v>28.27619</v>
      </c>
      <c r="K221" s="301" t="n">
        <v>1570.733824</v>
      </c>
      <c r="L221" s="295" t="n">
        <v>10.97779865056265</v>
      </c>
      <c r="M221" s="300" t="n">
        <v>-0.8476451299922131</v>
      </c>
      <c r="N221" s="297" t="n">
        <v>45.87291407524945</v>
      </c>
      <c r="O221" s="207" t="inlineStr">
        <is>
          <t>—</t>
        </is>
      </c>
      <c r="P221" s="207" t="inlineStr">
        <is>
          <t>—</t>
        </is>
      </c>
      <c r="Q221" s="207" t="inlineStr">
        <is>
          <t>—</t>
        </is>
      </c>
      <c r="R221" s="207" t="inlineStr">
        <is>
          <t>—</t>
        </is>
      </c>
      <c r="S221" s="207" t="inlineStr">
        <is>
          <t>—</t>
        </is>
      </c>
    </row>
    <row r="222" ht="20" customHeight="1" s="215">
      <c r="A222" s="50" t="n">
        <v>217</v>
      </c>
      <c r="B222" s="51" t="inlineStr">
        <is>
          <t>PNR</t>
        </is>
      </c>
      <c r="C222" s="52" t="inlineStr">
        <is>
          <t>Pentair</t>
        </is>
      </c>
      <c r="D222" s="53" t="inlineStr">
        <is>
          <t>Specialty Industrial Machinery</t>
        </is>
      </c>
      <c r="E222" s="288" t="n">
        <v>52.75</v>
      </c>
      <c r="F222" s="300" t="n">
        <v>-0.5161438</v>
      </c>
      <c r="G222" s="290" t="n">
        <v>8.524691968000001</v>
      </c>
      <c r="H222" s="300" t="n">
        <v>-0.17</v>
      </c>
      <c r="I222" s="291" t="n">
        <v>0.41388</v>
      </c>
      <c r="J222" s="292" t="n">
        <v>13.595361</v>
      </c>
      <c r="K222" s="299" t="n">
        <v>558.312512</v>
      </c>
      <c r="L222" s="290" t="n">
        <v>2.483149240255274</v>
      </c>
      <c r="M222" s="300" t="n">
        <v>-0.7087109716601464</v>
      </c>
      <c r="N222" s="292" t="n">
        <v>15.26867498851611</v>
      </c>
      <c r="O222" s="206" t="inlineStr">
        <is>
          <t>—</t>
        </is>
      </c>
      <c r="P222" s="206" t="inlineStr">
        <is>
          <t>—</t>
        </is>
      </c>
      <c r="Q222" s="206" t="inlineStr">
        <is>
          <t>—</t>
        </is>
      </c>
      <c r="R222" s="206" t="inlineStr">
        <is>
          <t>—</t>
        </is>
      </c>
      <c r="S222" s="206" t="inlineStr">
        <is>
          <t>—</t>
        </is>
      </c>
    </row>
    <row r="223" ht="20" customHeight="1" s="215">
      <c r="A223" s="54" t="n">
        <v>218</v>
      </c>
      <c r="B223" s="55" t="inlineStr">
        <is>
          <t>EOG</t>
        </is>
      </c>
      <c r="C223" s="56" t="inlineStr">
        <is>
          <t>EOG Resources</t>
        </is>
      </c>
      <c r="D223" s="57" t="inlineStr">
        <is>
          <t>Oil &amp; Gas E&amp;P</t>
        </is>
      </c>
      <c r="E223" s="294" t="n">
        <v>157.65</v>
      </c>
      <c r="F223" s="289" t="n">
        <v>0.48670316</v>
      </c>
      <c r="G223" s="295" t="n">
        <v>83.96888473600001</v>
      </c>
      <c r="H223" s="289" t="n">
        <v>0.587</v>
      </c>
      <c r="I223" s="296" t="n">
        <v>0.62636</v>
      </c>
      <c r="J223" s="297" t="n">
        <v>12.297192</v>
      </c>
      <c r="K223" s="301" t="n">
        <v>4478.750208</v>
      </c>
      <c r="L223" s="295" t="n">
        <v>99.52504938404935</v>
      </c>
      <c r="M223" s="289" t="n">
        <v>0.185261060653101</v>
      </c>
      <c r="N223" s="297" t="n">
        <v>18.74828553834365</v>
      </c>
      <c r="O223" s="207" t="inlineStr">
        <is>
          <t>—</t>
        </is>
      </c>
      <c r="P223" s="207" t="inlineStr">
        <is>
          <t>—</t>
        </is>
      </c>
      <c r="Q223" s="207" t="inlineStr">
        <is>
          <t>—</t>
        </is>
      </c>
      <c r="R223" s="207" t="inlineStr">
        <is>
          <t>—</t>
        </is>
      </c>
      <c r="S223" s="207" t="inlineStr">
        <is>
          <t>—</t>
        </is>
      </c>
    </row>
    <row r="224" ht="20" customHeight="1" s="215">
      <c r="A224" s="50" t="n">
        <v>219</v>
      </c>
      <c r="B224" s="51" t="inlineStr">
        <is>
          <t>SYK</t>
        </is>
      </c>
      <c r="C224" s="52" t="inlineStr">
        <is>
          <t>Stryker</t>
        </is>
      </c>
      <c r="D224" s="53" t="inlineStr">
        <is>
          <t>Medical Devices</t>
        </is>
      </c>
      <c r="E224" s="288" t="n">
        <v>297.94</v>
      </c>
      <c r="F224" s="300" t="n">
        <v>-0.21545184</v>
      </c>
      <c r="G224" s="290" t="n">
        <v>114.28175872</v>
      </c>
      <c r="H224" s="289" t="n">
        <v>0.094</v>
      </c>
      <c r="I224" s="291" t="n">
        <v>0.65588</v>
      </c>
      <c r="J224" s="292" t="n">
        <v>30.874613</v>
      </c>
      <c r="K224" s="299" t="n">
        <v>4108.875008</v>
      </c>
      <c r="L224" s="290" t="n">
        <v>49.81524546183704</v>
      </c>
      <c r="M224" s="300" t="n">
        <v>-0.5641015152392902</v>
      </c>
      <c r="N224" s="292" t="n">
        <v>27.81339249861163</v>
      </c>
      <c r="O224" s="206" t="inlineStr">
        <is>
          <t>—</t>
        </is>
      </c>
      <c r="P224" s="206" t="inlineStr">
        <is>
          <t>—</t>
        </is>
      </c>
      <c r="Q224" s="206" t="inlineStr">
        <is>
          <t>—</t>
        </is>
      </c>
      <c r="R224" s="206" t="inlineStr">
        <is>
          <t>—</t>
        </is>
      </c>
      <c r="S224" s="206" t="inlineStr">
        <is>
          <t>—</t>
        </is>
      </c>
    </row>
    <row r="225" ht="20" customHeight="1" s="215">
      <c r="A225" s="54" t="n">
        <v>220</v>
      </c>
      <c r="B225" s="55" t="inlineStr">
        <is>
          <t>SBUX</t>
        </is>
      </c>
      <c r="C225" s="56" t="inlineStr">
        <is>
          <t>Starbucks</t>
        </is>
      </c>
      <c r="D225" s="57" t="inlineStr">
        <is>
          <t>Restaurants</t>
        </is>
      </c>
      <c r="E225" s="294" t="n">
        <v>97.87</v>
      </c>
      <c r="F225" s="289" t="n">
        <v>0.13934803</v>
      </c>
      <c r="G225" s="295" t="n">
        <v>111.57180416</v>
      </c>
      <c r="H225" s="300" t="n">
        <v>-0.014</v>
      </c>
      <c r="I225" s="296" t="n">
        <v>0.22341</v>
      </c>
      <c r="J225" s="297" t="n">
        <v>56.572254</v>
      </c>
      <c r="K225" s="301" t="n">
        <v>3065.537536</v>
      </c>
      <c r="L225" s="295" t="n">
        <v>16.60370588298469</v>
      </c>
      <c r="M225" s="300" t="n">
        <v>-0.8511836748720665</v>
      </c>
      <c r="N225" s="297" t="n">
        <v>36.39550933229872</v>
      </c>
      <c r="O225" s="207" t="inlineStr">
        <is>
          <t>—</t>
        </is>
      </c>
      <c r="P225" s="207" t="inlineStr">
        <is>
          <t>—</t>
        </is>
      </c>
      <c r="Q225" s="207" t="inlineStr">
        <is>
          <t>—</t>
        </is>
      </c>
      <c r="R225" s="207" t="inlineStr">
        <is>
          <t>—</t>
        </is>
      </c>
      <c r="S225" s="207" t="inlineStr">
        <is>
          <t>—</t>
        </is>
      </c>
    </row>
    <row r="226" ht="20" customHeight="1" s="215">
      <c r="A226" s="50" t="n">
        <v>221</v>
      </c>
      <c r="B226" s="51" t="inlineStr">
        <is>
          <t>TT</t>
        </is>
      </c>
      <c r="C226" s="52" t="inlineStr">
        <is>
          <t>Trane Technologies</t>
        </is>
      </c>
      <c r="D226" s="53" t="inlineStr">
        <is>
          <t>Specialty Industrial Machinery</t>
        </is>
      </c>
      <c r="E226" s="288" t="n">
        <v>465.04</v>
      </c>
      <c r="F226" s="289" t="n">
        <v>0.09627533000000001</v>
      </c>
      <c r="G226" s="290" t="n">
        <v>102.319587328</v>
      </c>
      <c r="H226" s="289" t="n">
        <v>0.106</v>
      </c>
      <c r="I226" s="291" t="n">
        <v>0.35389</v>
      </c>
      <c r="J226" s="292" t="n">
        <v>34.652756</v>
      </c>
      <c r="K226" s="299" t="n">
        <v>3121.687552</v>
      </c>
      <c r="L226" s="290" t="n">
        <v>27.29467887425693</v>
      </c>
      <c r="M226" s="300" t="n">
        <v>-0.733240921049066</v>
      </c>
      <c r="N226" s="292" t="n">
        <v>32.7770081174607</v>
      </c>
      <c r="O226" s="206" t="inlineStr">
        <is>
          <t>—</t>
        </is>
      </c>
      <c r="P226" s="206" t="inlineStr">
        <is>
          <t>—</t>
        </is>
      </c>
      <c r="Q226" s="206" t="inlineStr">
        <is>
          <t>—</t>
        </is>
      </c>
      <c r="R226" s="206" t="inlineStr">
        <is>
          <t>—</t>
        </is>
      </c>
      <c r="S226" s="206" t="inlineStr">
        <is>
          <t>—</t>
        </is>
      </c>
    </row>
    <row r="227" ht="20" customHeight="1" s="215">
      <c r="A227" s="54" t="n">
        <v>222</v>
      </c>
      <c r="B227" s="55" t="inlineStr">
        <is>
          <t>WAB</t>
        </is>
      </c>
      <c r="C227" s="56" t="inlineStr">
        <is>
          <t>Westinghouse Air Brake</t>
        </is>
      </c>
      <c r="D227" s="57" t="inlineStr">
        <is>
          <t>Railroads</t>
        </is>
      </c>
      <c r="E227" s="294" t="n">
        <v>286.74</v>
      </c>
      <c r="F227" s="289" t="n">
        <v>0.44818187</v>
      </c>
      <c r="G227" s="295" t="n">
        <v>48.433496064</v>
      </c>
      <c r="H227" s="289" t="n">
        <v>0.175</v>
      </c>
      <c r="I227" s="296" t="n">
        <v>0.35735</v>
      </c>
      <c r="J227" s="297" t="n">
        <v>38.54032</v>
      </c>
      <c r="K227" s="301" t="n">
        <v>1101.374976</v>
      </c>
      <c r="L227" s="295" t="n">
        <v>11.79901329962152</v>
      </c>
      <c r="M227" s="300" t="n">
        <v>-0.7563873298753758</v>
      </c>
      <c r="N227" s="297" t="n">
        <v>43.97548380084132</v>
      </c>
      <c r="O227" s="207" t="inlineStr">
        <is>
          <t>—</t>
        </is>
      </c>
      <c r="P227" s="207" t="inlineStr">
        <is>
          <t>—</t>
        </is>
      </c>
      <c r="Q227" s="207" t="inlineStr">
        <is>
          <t>—</t>
        </is>
      </c>
      <c r="R227" s="207" t="inlineStr">
        <is>
          <t>—</t>
        </is>
      </c>
      <c r="S227" s="207" t="inlineStr">
        <is>
          <t>—</t>
        </is>
      </c>
    </row>
    <row r="228" ht="20" customHeight="1" s="215">
      <c r="A228" s="50" t="n">
        <v>223</v>
      </c>
      <c r="B228" s="51" t="inlineStr">
        <is>
          <t>CHTR</t>
        </is>
      </c>
      <c r="C228" s="52" t="inlineStr">
        <is>
          <t>Charter Communications</t>
        </is>
      </c>
      <c r="D228" s="53" t="inlineStr">
        <is>
          <t>Entertainment</t>
        </is>
      </c>
      <c r="E228" s="288" t="n">
        <v>108.51</v>
      </c>
      <c r="F228" s="300" t="n">
        <v>-0.57029146</v>
      </c>
      <c r="G228" s="290" t="n">
        <v>14.101699584</v>
      </c>
      <c r="H228" s="300" t="n">
        <v>-0.017</v>
      </c>
      <c r="I228" s="291" t="n">
        <v>0.55189997</v>
      </c>
      <c r="J228" s="292" t="n">
        <v>2.8250456</v>
      </c>
      <c r="K228" s="299" t="n">
        <v>2198.374912</v>
      </c>
      <c r="L228" s="290" t="n">
        <v>13.22991776419085</v>
      </c>
      <c r="M228" s="300" t="n">
        <v>-0.06182104608144475</v>
      </c>
      <c r="N228" s="292" t="n">
        <v>5.649533969008467</v>
      </c>
      <c r="O228" s="208" t="inlineStr">
        <is>
          <t>SOLD</t>
        </is>
      </c>
      <c r="P228" s="209" t="inlineStr">
        <is>
          <t>—</t>
        </is>
      </c>
      <c r="Q228" s="208" t="inlineStr">
        <is>
          <t>Sold</t>
        </is>
      </c>
      <c r="R228" s="209" t="n">
        <v>380</v>
      </c>
      <c r="S228" s="210" t="inlineStr">
        <is>
          <t>Held unchanged 2025 → Q1-26: FULLY EXITED ~5.3M sh (was thought Weschler). Surprise — cable exit</t>
        </is>
      </c>
    </row>
    <row r="229" ht="20" customHeight="1" s="215">
      <c r="A229" s="54" t="n">
        <v>224</v>
      </c>
      <c r="B229" s="55" t="inlineStr">
        <is>
          <t>LEN</t>
        </is>
      </c>
      <c r="C229" s="56" t="inlineStr">
        <is>
          <t>Lennar</t>
        </is>
      </c>
      <c r="D229" s="57" t="inlineStr">
        <is>
          <t>Residential Construction</t>
        </is>
      </c>
      <c r="E229" s="294" t="n">
        <v>75.87</v>
      </c>
      <c r="F229" s="300" t="n">
        <v>-0.4083749</v>
      </c>
      <c r="G229" s="295" t="n">
        <v>18.049490944</v>
      </c>
      <c r="H229" s="300" t="n">
        <v>-0.08699999999999999</v>
      </c>
      <c r="I229" s="296" t="n">
        <v>0.16014999</v>
      </c>
      <c r="J229" s="297" t="n">
        <v>14.369318</v>
      </c>
      <c r="K229" s="301" t="n">
        <v>1227.246208</v>
      </c>
      <c r="L229" s="295" t="n">
        <v>5.872339904433828</v>
      </c>
      <c r="M229" s="300" t="n">
        <v>-0.6746534335703296</v>
      </c>
      <c r="N229" s="297" t="n">
        <v>12.85118573626915</v>
      </c>
      <c r="O229" s="207" t="inlineStr">
        <is>
          <t>—</t>
        </is>
      </c>
      <c r="P229" s="207" t="inlineStr">
        <is>
          <t>—</t>
        </is>
      </c>
      <c r="Q229" s="207" t="inlineStr">
        <is>
          <t>—</t>
        </is>
      </c>
      <c r="R229" s="207" t="inlineStr">
        <is>
          <t>—</t>
        </is>
      </c>
      <c r="S229" s="207" t="inlineStr">
        <is>
          <t>—</t>
        </is>
      </c>
    </row>
    <row r="230" ht="20" customHeight="1" s="215">
      <c r="A230" s="50" t="n">
        <v>225</v>
      </c>
      <c r="B230" s="51" t="inlineStr">
        <is>
          <t>OTIS</t>
        </is>
      </c>
      <c r="C230" s="52" t="inlineStr">
        <is>
          <t>Otis Worldwide</t>
        </is>
      </c>
      <c r="D230" s="53" t="inlineStr">
        <is>
          <t>Specialty Industrial Machinery</t>
        </is>
      </c>
      <c r="E230" s="288" t="n">
        <v>71.04000000000001</v>
      </c>
      <c r="F230" s="300" t="n">
        <v>-0.23365694</v>
      </c>
      <c r="G230" s="290" t="n">
        <v>27.042750464</v>
      </c>
      <c r="H230" s="289" t="n">
        <v>0.073</v>
      </c>
      <c r="I230" s="291" t="n">
        <v>0.30313</v>
      </c>
      <c r="J230" s="292" t="n">
        <v>18.26221</v>
      </c>
      <c r="K230" s="299" t="n">
        <v>1436.249984</v>
      </c>
      <c r="L230" s="290" t="n">
        <v>10.81548789761467</v>
      </c>
      <c r="M230" s="300" t="n">
        <v>-0.6000596199705159</v>
      </c>
      <c r="N230" s="292" t="n">
        <v>18.8287207267673</v>
      </c>
      <c r="O230" s="206" t="inlineStr">
        <is>
          <t>—</t>
        </is>
      </c>
      <c r="P230" s="206" t="inlineStr">
        <is>
          <t>—</t>
        </is>
      </c>
      <c r="Q230" s="206" t="inlineStr">
        <is>
          <t>—</t>
        </is>
      </c>
      <c r="R230" s="206" t="inlineStr">
        <is>
          <t>—</t>
        </is>
      </c>
      <c r="S230" s="206" t="inlineStr">
        <is>
          <t>—</t>
        </is>
      </c>
    </row>
    <row r="231" ht="20" customHeight="1" s="215">
      <c r="A231" s="54" t="n">
        <v>226</v>
      </c>
      <c r="B231" s="55" t="inlineStr">
        <is>
          <t>ROST</t>
        </is>
      </c>
      <c r="C231" s="56" t="inlineStr">
        <is>
          <t>Ross Stores</t>
        </is>
      </c>
      <c r="D231" s="57" t="inlineStr">
        <is>
          <t>Apparel Retail</t>
        </is>
      </c>
      <c r="E231" s="294" t="n">
        <v>238.66</v>
      </c>
      <c r="F231" s="289" t="n">
        <v>0.5258615</v>
      </c>
      <c r="G231" s="295" t="n">
        <v>76.240683008</v>
      </c>
      <c r="H231" s="289" t="n">
        <v>0.133</v>
      </c>
      <c r="I231" s="296" t="n">
        <v>0.33385</v>
      </c>
      <c r="J231" s="297" t="n">
        <v>28.858524</v>
      </c>
      <c r="K231" s="301" t="n">
        <v>2002.0416</v>
      </c>
      <c r="L231" s="295" t="n">
        <v>20.74281213784485</v>
      </c>
      <c r="M231" s="300" t="n">
        <v>-0.7279298752390729</v>
      </c>
      <c r="N231" s="297" t="n">
        <v>38.08146605575029</v>
      </c>
      <c r="O231" s="207" t="inlineStr">
        <is>
          <t>—</t>
        </is>
      </c>
      <c r="P231" s="207" t="inlineStr">
        <is>
          <t>—</t>
        </is>
      </c>
      <c r="Q231" s="207" t="inlineStr">
        <is>
          <t>—</t>
        </is>
      </c>
      <c r="R231" s="207" t="inlineStr">
        <is>
          <t>—</t>
        </is>
      </c>
      <c r="S231" s="207" t="inlineStr">
        <is>
          <t>—</t>
        </is>
      </c>
    </row>
    <row r="232" ht="20" customHeight="1" s="215">
      <c r="A232" s="50" t="n">
        <v>227</v>
      </c>
      <c r="B232" s="51" t="inlineStr">
        <is>
          <t>HD</t>
        </is>
      </c>
      <c r="C232" s="52" t="inlineStr">
        <is>
          <t>Home Depot</t>
        </is>
      </c>
      <c r="D232" s="53" t="inlineStr">
        <is>
          <t>Home Improvement Retail</t>
        </is>
      </c>
      <c r="E232" s="288" t="n">
        <v>309.88</v>
      </c>
      <c r="F232" s="300" t="n">
        <v>-0.20726526</v>
      </c>
      <c r="G232" s="290" t="n">
        <v>309.164048384</v>
      </c>
      <c r="H232" s="289" t="n">
        <v>0.057</v>
      </c>
      <c r="I232" s="291" t="n">
        <v>0.32801</v>
      </c>
      <c r="J232" s="292" t="n">
        <v>21.685095</v>
      </c>
      <c r="K232" s="299" t="n">
        <v>10762.625024</v>
      </c>
      <c r="L232" s="290" t="n">
        <v>66.96633006803079</v>
      </c>
      <c r="M232" s="300" t="n">
        <v>-0.7833954807550758</v>
      </c>
      <c r="N232" s="292" t="n">
        <v>28.72571148910818</v>
      </c>
      <c r="O232" s="206" t="inlineStr">
        <is>
          <t>—</t>
        </is>
      </c>
      <c r="P232" s="206" t="inlineStr">
        <is>
          <t>—</t>
        </is>
      </c>
      <c r="Q232" s="206" t="inlineStr">
        <is>
          <t>—</t>
        </is>
      </c>
      <c r="R232" s="206" t="inlineStr">
        <is>
          <t>—</t>
        </is>
      </c>
      <c r="S232" s="206" t="inlineStr">
        <is>
          <t>—</t>
        </is>
      </c>
    </row>
    <row r="233" ht="20" customHeight="1" s="215">
      <c r="A233" s="54" t="n">
        <v>228</v>
      </c>
      <c r="B233" s="55" t="inlineStr">
        <is>
          <t>PHM</t>
        </is>
      </c>
      <c r="C233" s="56" t="inlineStr">
        <is>
          <t>PulteGroup</t>
        </is>
      </c>
      <c r="D233" s="57" t="inlineStr">
        <is>
          <t>Residential Construction</t>
        </is>
      </c>
      <c r="E233" s="294" t="n">
        <v>110.9</v>
      </c>
      <c r="F233" s="300" t="n">
        <v>-0.10034883</v>
      </c>
      <c r="G233" s="295" t="n">
        <v>21.124937728</v>
      </c>
      <c r="H233" s="300" t="n">
        <v>-0.096</v>
      </c>
      <c r="I233" s="296" t="n">
        <v>0.25565</v>
      </c>
      <c r="J233" s="297" t="n">
        <v>11.316326</v>
      </c>
      <c r="K233" s="301" t="n">
        <v>1078.512896</v>
      </c>
      <c r="L233" s="295" t="n">
        <v>5.347974065511409</v>
      </c>
      <c r="M233" s="300" t="n">
        <v>-0.7468407180948539</v>
      </c>
      <c r="N233" s="297" t="n">
        <v>19.58709684979047</v>
      </c>
      <c r="O233" s="207" t="inlineStr">
        <is>
          <t>—</t>
        </is>
      </c>
      <c r="P233" s="207" t="inlineStr">
        <is>
          <t>—</t>
        </is>
      </c>
      <c r="Q233" s="207" t="inlineStr">
        <is>
          <t>—</t>
        </is>
      </c>
      <c r="R233" s="207" t="inlineStr">
        <is>
          <t>—</t>
        </is>
      </c>
      <c r="S233" s="207" t="inlineStr">
        <is>
          <t>—</t>
        </is>
      </c>
    </row>
    <row r="234" ht="20" customHeight="1" s="215">
      <c r="A234" s="50" t="n">
        <v>229</v>
      </c>
      <c r="B234" s="51" t="inlineStr">
        <is>
          <t>RJF</t>
        </is>
      </c>
      <c r="C234" s="52" t="inlineStr">
        <is>
          <t>Raymond James Financial</t>
        </is>
      </c>
      <c r="D234" s="53" t="inlineStr">
        <is>
          <t>Capital Markets</t>
        </is>
      </c>
      <c r="E234" s="288" t="n">
        <v>153.44</v>
      </c>
      <c r="F234" s="300" t="n">
        <v>-0.07426845999999999</v>
      </c>
      <c r="G234" s="290" t="n">
        <v>29.5159808</v>
      </c>
      <c r="H234" s="289" t="n">
        <v>0.151</v>
      </c>
      <c r="I234" s="291" t="n">
        <v>0.9315600000000001</v>
      </c>
      <c r="J234" s="292" t="n">
        <v>13.377506</v>
      </c>
      <c r="K234" s="293" t="inlineStr">
        <is>
          <t>—</t>
        </is>
      </c>
      <c r="L234" s="290" t="n">
        <v>12.59902109708078</v>
      </c>
      <c r="M234" s="300" t="n">
        <v>-0.5731457754207246</v>
      </c>
      <c r="N234" s="293" t="inlineStr">
        <is>
          <t>—</t>
        </is>
      </c>
      <c r="O234" s="206" t="inlineStr">
        <is>
          <t>—</t>
        </is>
      </c>
      <c r="P234" s="206" t="inlineStr">
        <is>
          <t>—</t>
        </is>
      </c>
      <c r="Q234" s="206" t="inlineStr">
        <is>
          <t>—</t>
        </is>
      </c>
      <c r="R234" s="206" t="inlineStr">
        <is>
          <t>—</t>
        </is>
      </c>
      <c r="S234" s="206" t="inlineStr">
        <is>
          <t>—</t>
        </is>
      </c>
    </row>
    <row r="235" ht="20" customHeight="1" s="215">
      <c r="A235" s="54" t="n">
        <v>230</v>
      </c>
      <c r="B235" s="55" t="inlineStr">
        <is>
          <t>IT</t>
        </is>
      </c>
      <c r="C235" s="56" t="inlineStr">
        <is>
          <t>Gartner</t>
        </is>
      </c>
      <c r="D235" s="57" t="inlineStr">
        <is>
          <t>Information Technology Services</t>
        </is>
      </c>
      <c r="E235" s="294" t="n">
        <v>207.72</v>
      </c>
      <c r="F235" s="300" t="n">
        <v>-0.19541389</v>
      </c>
      <c r="G235" s="295" t="n">
        <v>13.117305856</v>
      </c>
      <c r="H235" s="300" t="n">
        <v>-0.006</v>
      </c>
      <c r="I235" s="296" t="n">
        <v>0.69629997</v>
      </c>
      <c r="J235" s="297" t="n">
        <v>18.781193</v>
      </c>
      <c r="K235" s="301" t="n">
        <v>1052.553024</v>
      </c>
      <c r="L235" s="295" t="n">
        <v>6.38898591460391</v>
      </c>
      <c r="M235" s="300" t="n">
        <v>-0.512934593068018</v>
      </c>
      <c r="N235" s="297" t="n">
        <v>12.46237006176707</v>
      </c>
      <c r="O235" s="207" t="inlineStr">
        <is>
          <t>—</t>
        </is>
      </c>
      <c r="P235" s="207" t="inlineStr">
        <is>
          <t>—</t>
        </is>
      </c>
      <c r="Q235" s="207" t="inlineStr">
        <is>
          <t>—</t>
        </is>
      </c>
      <c r="R235" s="207" t="inlineStr">
        <is>
          <t>—</t>
        </is>
      </c>
      <c r="S235" s="207" t="inlineStr">
        <is>
          <t>—</t>
        </is>
      </c>
    </row>
    <row r="236" ht="20" customHeight="1" s="215">
      <c r="A236" s="50" t="n">
        <v>231</v>
      </c>
      <c r="B236" s="51" t="inlineStr">
        <is>
          <t>LHX</t>
        </is>
      </c>
      <c r="C236" s="52" t="inlineStr">
        <is>
          <t>L3Harris Technologies</t>
        </is>
      </c>
      <c r="D236" s="53" t="inlineStr">
        <is>
          <t>Aerospace &amp; Defense</t>
        </is>
      </c>
      <c r="E236" s="288" t="n">
        <v>243.84</v>
      </c>
      <c r="F236" s="300" t="n">
        <v>-0.16578859</v>
      </c>
      <c r="G236" s="290" t="n">
        <v>45.406572544</v>
      </c>
      <c r="H236" s="289" t="n">
        <v>0.08400000000000001</v>
      </c>
      <c r="I236" s="291" t="n">
        <v>0.25484</v>
      </c>
      <c r="J236" s="292" t="n">
        <v>24.580645</v>
      </c>
      <c r="K236" s="299" t="n">
        <v>1608.999936</v>
      </c>
      <c r="L236" s="290" t="n">
        <v>27.26440090516158</v>
      </c>
      <c r="M236" s="300" t="n">
        <v>-0.3995494621678006</v>
      </c>
      <c r="N236" s="292" t="n">
        <v>28.22036903141306</v>
      </c>
      <c r="O236" s="206" t="inlineStr">
        <is>
          <t>—</t>
        </is>
      </c>
      <c r="P236" s="206" t="inlineStr">
        <is>
          <t>—</t>
        </is>
      </c>
      <c r="Q236" s="206" t="inlineStr">
        <is>
          <t>—</t>
        </is>
      </c>
      <c r="R236" s="206" t="inlineStr">
        <is>
          <t>—</t>
        </is>
      </c>
      <c r="S236" s="206" t="inlineStr">
        <is>
          <t>—</t>
        </is>
      </c>
    </row>
    <row r="237" ht="20" customHeight="1" s="215">
      <c r="A237" s="54" t="n">
        <v>232</v>
      </c>
      <c r="B237" s="55" t="inlineStr">
        <is>
          <t>LMT</t>
        </is>
      </c>
      <c r="C237" s="56" t="inlineStr">
        <is>
          <t>Lockheed Martin</t>
        </is>
      </c>
      <c r="D237" s="57" t="inlineStr">
        <is>
          <t>Aerospace &amp; Defense</t>
        </is>
      </c>
      <c r="E237" s="294" t="n">
        <v>548.23</v>
      </c>
      <c r="F237" s="289" t="n">
        <v>0.11997962</v>
      </c>
      <c r="G237" s="295" t="n">
        <v>126.526406656</v>
      </c>
      <c r="H237" s="289" t="n">
        <v>0.105</v>
      </c>
      <c r="I237" s="296" t="n">
        <v>0.11798</v>
      </c>
      <c r="J237" s="297" t="n">
        <v>20.20752</v>
      </c>
      <c r="K237" s="301" t="n">
        <v>5562.625024</v>
      </c>
      <c r="L237" s="295" t="n">
        <v>98.66265985908863</v>
      </c>
      <c r="M237" s="300" t="n">
        <v>-0.2202208023868672</v>
      </c>
      <c r="N237" s="297" t="n">
        <v>22.74581047100794</v>
      </c>
      <c r="O237" s="207" t="inlineStr">
        <is>
          <t>—</t>
        </is>
      </c>
      <c r="P237" s="207" t="inlineStr">
        <is>
          <t>—</t>
        </is>
      </c>
      <c r="Q237" s="207" t="inlineStr">
        <is>
          <t>—</t>
        </is>
      </c>
      <c r="R237" s="207" t="inlineStr">
        <is>
          <t>—</t>
        </is>
      </c>
      <c r="S237" s="207" t="inlineStr">
        <is>
          <t>—</t>
        </is>
      </c>
    </row>
    <row r="238" ht="20" customHeight="1" s="215">
      <c r="A238" s="50" t="n">
        <v>233</v>
      </c>
      <c r="B238" s="51" t="inlineStr">
        <is>
          <t>MAS</t>
        </is>
      </c>
      <c r="C238" s="52" t="inlineStr">
        <is>
          <t>Masco</t>
        </is>
      </c>
      <c r="D238" s="53" t="inlineStr">
        <is>
          <t>Building Products &amp; Equipment</t>
        </is>
      </c>
      <c r="E238" s="288" t="n">
        <v>73</v>
      </c>
      <c r="F238" s="289" t="n">
        <v>0.040182352</v>
      </c>
      <c r="G238" s="290" t="n">
        <v>14.394682368</v>
      </c>
      <c r="H238" s="300" t="n">
        <v>-0.029</v>
      </c>
      <c r="I238" s="291" t="n">
        <v>0.37205002</v>
      </c>
      <c r="J238" s="292" t="n">
        <v>16.898148</v>
      </c>
      <c r="K238" s="299" t="n">
        <v>897.124992</v>
      </c>
      <c r="L238" s="290" t="n">
        <v>4.258379748521178</v>
      </c>
      <c r="M238" s="300" t="n">
        <v>-0.7041699400059191</v>
      </c>
      <c r="N238" s="292" t="n">
        <v>16.04534765875745</v>
      </c>
      <c r="O238" s="206" t="inlineStr">
        <is>
          <t>—</t>
        </is>
      </c>
      <c r="P238" s="206" t="inlineStr">
        <is>
          <t>—</t>
        </is>
      </c>
      <c r="Q238" s="206" t="inlineStr">
        <is>
          <t>—</t>
        </is>
      </c>
      <c r="R238" s="206" t="inlineStr">
        <is>
          <t>—</t>
        </is>
      </c>
      <c r="S238" s="206" t="inlineStr">
        <is>
          <t>—</t>
        </is>
      </c>
    </row>
    <row r="239" ht="20" customHeight="1" s="215">
      <c r="A239" s="54" t="n">
        <v>234</v>
      </c>
      <c r="B239" s="55" t="inlineStr">
        <is>
          <t>CARR</t>
        </is>
      </c>
      <c r="C239" s="56" t="inlineStr">
        <is>
          <t>Carrier Global</t>
        </is>
      </c>
      <c r="D239" s="57" t="inlineStr">
        <is>
          <t>Building Products &amp; Equipment</t>
        </is>
      </c>
      <c r="E239" s="294" t="n">
        <v>55.21</v>
      </c>
      <c r="F239" s="300" t="n">
        <v>-0.077064514</v>
      </c>
      <c r="G239" s="295" t="n">
        <v>45.856342016</v>
      </c>
      <c r="H239" s="289" t="n">
        <v>0.039</v>
      </c>
      <c r="I239" s="296" t="n">
        <v>0.24691999</v>
      </c>
      <c r="J239" s="297" t="n">
        <v>40.007244</v>
      </c>
      <c r="K239" s="301" t="n">
        <v>861.750016</v>
      </c>
      <c r="L239" s="295" t="n">
        <v>6.080776929549726</v>
      </c>
      <c r="M239" s="300" t="n">
        <v>-0.8673950720398054</v>
      </c>
      <c r="N239" s="297" t="n">
        <v>53.21304821864953</v>
      </c>
      <c r="O239" s="207" t="inlineStr">
        <is>
          <t>—</t>
        </is>
      </c>
      <c r="P239" s="207" t="inlineStr">
        <is>
          <t>—</t>
        </is>
      </c>
      <c r="Q239" s="207" t="inlineStr">
        <is>
          <t>—</t>
        </is>
      </c>
      <c r="R239" s="207" t="inlineStr">
        <is>
          <t>—</t>
        </is>
      </c>
      <c r="S239" s="207" t="inlineStr">
        <is>
          <t>—</t>
        </is>
      </c>
    </row>
    <row r="240" ht="20" customHeight="1" s="215">
      <c r="A240" s="50" t="n">
        <v>235</v>
      </c>
      <c r="B240" s="51" t="inlineStr">
        <is>
          <t>CVX</t>
        </is>
      </c>
      <c r="C240" s="52" t="inlineStr">
        <is>
          <t>Chevron</t>
        </is>
      </c>
      <c r="D240" s="53" t="inlineStr">
        <is>
          <t>Oil &amp; Gas Integrated</t>
        </is>
      </c>
      <c r="E240" s="288" t="n">
        <v>224.37</v>
      </c>
      <c r="F240" s="289" t="n">
        <v>0.45893753</v>
      </c>
      <c r="G240" s="290" t="n">
        <v>440.124932096</v>
      </c>
      <c r="H240" s="289" t="n">
        <v>0.535</v>
      </c>
      <c r="I240" s="291" t="n">
        <v>0.44267</v>
      </c>
      <c r="J240" s="292" t="n">
        <v>21.5948</v>
      </c>
      <c r="K240" s="299" t="n">
        <v>21934.000128</v>
      </c>
      <c r="L240" s="290" t="n">
        <v>475.4728489711235</v>
      </c>
      <c r="M240" s="289" t="n">
        <v>0.08031337081220699</v>
      </c>
      <c r="N240" s="292" t="n">
        <v>20.06587599247506</v>
      </c>
      <c r="O240" s="208" t="inlineStr">
        <is>
          <t>YES</t>
        </is>
      </c>
      <c r="P240" s="209" t="n">
        <v>17.5</v>
      </c>
      <c r="Q240" s="208" t="inlineStr">
        <is>
          <t>Sell</t>
        </is>
      </c>
      <c r="R240" s="209" t="n">
        <v>141</v>
      </c>
      <c r="S240" s="210" t="inlineStr">
        <is>
          <t>BIG REVERSAL — Abel sold 45.78M @~$182.59 (-35%) cashing out ~$8.4B. Now 84.2M sh / $17.5B / 6.6% of portfolio. After adding 8M Q4-25</t>
        </is>
      </c>
    </row>
    <row r="241" ht="20" customHeight="1" s="215">
      <c r="A241" s="50" t="n">
        <v>236</v>
      </c>
      <c r="B241" s="51" t="inlineStr">
        <is>
          <t>NOC</t>
        </is>
      </c>
      <c r="C241" s="52" t="inlineStr">
        <is>
          <t>Northrop Grumman</t>
        </is>
      </c>
      <c r="D241" s="53" t="inlineStr">
        <is>
          <t>Aerospace &amp; Defense</t>
        </is>
      </c>
      <c r="E241" s="294" t="n">
        <v>510.65</v>
      </c>
      <c r="F241" s="300" t="n">
        <v>-0.14799368</v>
      </c>
      <c r="G241" s="295" t="n">
        <v>72.544485376</v>
      </c>
      <c r="H241" s="289" t="n">
        <v>0.051</v>
      </c>
      <c r="I241" s="296" t="n">
        <v>0.2006</v>
      </c>
      <c r="J241" s="297" t="n">
        <v>16.231724</v>
      </c>
      <c r="K241" s="301" t="n">
        <v>2478.000128</v>
      </c>
      <c r="L241" s="295" t="n">
        <v>35.36376979474424</v>
      </c>
      <c r="M241" s="300" t="n">
        <v>-0.5125229766059697</v>
      </c>
      <c r="N241" s="297" t="n">
        <v>29.27541585135059</v>
      </c>
      <c r="O241" s="207" t="inlineStr">
        <is>
          <t>—</t>
        </is>
      </c>
      <c r="P241" s="207" t="inlineStr">
        <is>
          <t>—</t>
        </is>
      </c>
      <c r="Q241" s="207" t="inlineStr">
        <is>
          <t>—</t>
        </is>
      </c>
      <c r="R241" s="207" t="inlineStr">
        <is>
          <t>—</t>
        </is>
      </c>
      <c r="S241" s="207" t="inlineStr">
        <is>
          <t>—</t>
        </is>
      </c>
    </row>
    <row r="242" ht="20" customHeight="1" s="215">
      <c r="A242" s="54" t="n">
        <v>237</v>
      </c>
      <c r="B242" s="55" t="inlineStr">
        <is>
          <t>RL</t>
        </is>
      </c>
      <c r="C242" s="56" t="inlineStr">
        <is>
          <t>Ralph Lauren</t>
        </is>
      </c>
      <c r="D242" s="57" t="inlineStr">
        <is>
          <t>Apparel Manufacturing</t>
        </is>
      </c>
      <c r="E242" s="288" t="n">
        <v>381.77</v>
      </c>
      <c r="F242" s="289" t="n">
        <v>0.13968003</v>
      </c>
      <c r="G242" s="290" t="n">
        <v>22.746712064</v>
      </c>
      <c r="H242" s="289" t="n">
        <v>0.14</v>
      </c>
      <c r="I242" s="291" t="n">
        <v>0.70268995</v>
      </c>
      <c r="J242" s="292" t="n">
        <v>24.05608</v>
      </c>
      <c r="K242" s="299" t="n">
        <v>880.087488</v>
      </c>
      <c r="L242" s="290" t="n">
        <v>9.437239443775875</v>
      </c>
      <c r="M242" s="300" t="n">
        <v>-0.5851163272642077</v>
      </c>
      <c r="N242" s="292" t="n">
        <v>16.35416574006561</v>
      </c>
      <c r="O242" s="206" t="inlineStr">
        <is>
          <t>—</t>
        </is>
      </c>
      <c r="P242" s="206" t="inlineStr">
        <is>
          <t>—</t>
        </is>
      </c>
      <c r="Q242" s="206" t="inlineStr">
        <is>
          <t>—</t>
        </is>
      </c>
      <c r="R242" s="206" t="inlineStr">
        <is>
          <t>—</t>
        </is>
      </c>
      <c r="S242" s="206" t="inlineStr">
        <is>
          <t>—</t>
        </is>
      </c>
    </row>
    <row r="243" ht="20" customHeight="1" s="215">
      <c r="A243" s="50" t="n">
        <v>238</v>
      </c>
      <c r="B243" s="51" t="inlineStr">
        <is>
          <t>LH</t>
        </is>
      </c>
      <c r="C243" s="52" t="inlineStr">
        <is>
          <t>Laboratory Corp</t>
        </is>
      </c>
      <c r="D243" s="53" t="inlineStr">
        <is>
          <t>Diagnostics &amp; Research</t>
        </is>
      </c>
      <c r="E243" s="294" t="n">
        <v>318.83</v>
      </c>
      <c r="F243" s="289" t="n">
        <v>0.122127175</v>
      </c>
      <c r="G243" s="295" t="n">
        <v>25.857112064</v>
      </c>
      <c r="H243" s="289" t="n">
        <v>0.058</v>
      </c>
      <c r="I243" s="296" t="n">
        <v>0.28882998</v>
      </c>
      <c r="J243" s="297" t="n">
        <v>26.37138</v>
      </c>
      <c r="K243" s="301" t="n">
        <v>892.049984</v>
      </c>
      <c r="L243" s="295" t="n">
        <v>8.600741796172198</v>
      </c>
      <c r="M243" s="300" t="n">
        <v>-0.6673742305449987</v>
      </c>
      <c r="N243" s="297" t="n">
        <v>28.98617057763435</v>
      </c>
      <c r="O243" s="207" t="inlineStr">
        <is>
          <t>—</t>
        </is>
      </c>
      <c r="P243" s="207" t="inlineStr">
        <is>
          <t>—</t>
        </is>
      </c>
      <c r="Q243" s="207" t="inlineStr">
        <is>
          <t>—</t>
        </is>
      </c>
      <c r="R243" s="207" t="inlineStr">
        <is>
          <t>—</t>
        </is>
      </c>
      <c r="S243" s="207" t="inlineStr">
        <is>
          <t>—</t>
        </is>
      </c>
    </row>
    <row r="244" ht="20" customHeight="1" s="215">
      <c r="A244" s="54" t="n">
        <v>239</v>
      </c>
      <c r="B244" s="55" t="inlineStr">
        <is>
          <t>IFF</t>
        </is>
      </c>
      <c r="C244" s="56" t="inlineStr">
        <is>
          <t>Intl Flavors &amp; Fragrances</t>
        </is>
      </c>
      <c r="D244" s="57" t="inlineStr">
        <is>
          <t>Specialty Chemicals</t>
        </is>
      </c>
      <c r="E244" s="288" t="n">
        <v>90.95999999999999</v>
      </c>
      <c r="F244" s="289" t="n">
        <v>0.39916933</v>
      </c>
      <c r="G244" s="290" t="n">
        <v>23.222403072</v>
      </c>
      <c r="H244" s="289" t="n">
        <v>0.018</v>
      </c>
      <c r="I244" s="291" t="n">
        <v>0.36583</v>
      </c>
      <c r="J244" s="292" t="n">
        <v>90.0594</v>
      </c>
      <c r="K244" s="299" t="n">
        <v>-1720.999936</v>
      </c>
      <c r="L244" s="307" t="inlineStr">
        <is>
          <t>—</t>
        </is>
      </c>
      <c r="M244" s="308" t="inlineStr">
        <is>
          <t>—</t>
        </is>
      </c>
      <c r="N244" s="292" t="n">
        <v>-13.4935530317649</v>
      </c>
      <c r="O244" s="206" t="inlineStr">
        <is>
          <t>—</t>
        </is>
      </c>
      <c r="P244" s="206" t="inlineStr">
        <is>
          <t>—</t>
        </is>
      </c>
      <c r="Q244" s="206" t="inlineStr">
        <is>
          <t>—</t>
        </is>
      </c>
      <c r="R244" s="206" t="inlineStr">
        <is>
          <t>—</t>
        </is>
      </c>
      <c r="S244" s="206" t="inlineStr">
        <is>
          <t>—</t>
        </is>
      </c>
    </row>
    <row r="245" ht="20" customHeight="1" s="215">
      <c r="A245" s="50" t="n">
        <v>240</v>
      </c>
      <c r="B245" s="51" t="inlineStr">
        <is>
          <t>FMC</t>
        </is>
      </c>
      <c r="C245" s="52" t="inlineStr">
        <is>
          <t>FMC</t>
        </is>
      </c>
      <c r="D245" s="53" t="inlineStr">
        <is>
          <t>Agricultural Inputs</t>
        </is>
      </c>
      <c r="E245" s="294" t="n">
        <v>5.36</v>
      </c>
      <c r="F245" s="300" t="n">
        <v>-0.821035</v>
      </c>
      <c r="G245" s="295" t="n">
        <v>0.833726592</v>
      </c>
      <c r="H245" s="300" t="n">
        <v>-0.175</v>
      </c>
      <c r="I245" s="296" t="n">
        <v>0.31927</v>
      </c>
      <c r="J245" s="297" t="n">
        <v>3.725249</v>
      </c>
      <c r="K245" s="301" t="n">
        <v>165.637504</v>
      </c>
      <c r="L245" s="295" t="n">
        <v>1.113515905271971</v>
      </c>
      <c r="M245" s="289" t="n">
        <v>0.3355888080777092</v>
      </c>
      <c r="N245" s="297" t="n">
        <v>5.033440897539727</v>
      </c>
      <c r="O245" s="207" t="inlineStr">
        <is>
          <t>—</t>
        </is>
      </c>
      <c r="P245" s="207" t="inlineStr">
        <is>
          <t>—</t>
        </is>
      </c>
      <c r="Q245" s="207" t="inlineStr">
        <is>
          <t>—</t>
        </is>
      </c>
      <c r="R245" s="207" t="inlineStr">
        <is>
          <t>—</t>
        </is>
      </c>
      <c r="S245" s="207" t="inlineStr">
        <is>
          <t>—</t>
        </is>
      </c>
    </row>
    <row r="246" ht="20" customHeight="1" s="215">
      <c r="A246" s="54" t="n">
        <v>241</v>
      </c>
      <c r="B246" s="55" t="inlineStr">
        <is>
          <t>LIN</t>
        </is>
      </c>
      <c r="C246" s="56" t="inlineStr">
        <is>
          <t>Linde</t>
        </is>
      </c>
      <c r="D246" s="57" t="inlineStr">
        <is>
          <t>Specialty Chemicals</t>
        </is>
      </c>
      <c r="E246" s="288" t="n">
        <v>503.44</v>
      </c>
      <c r="F246" s="289" t="n">
        <v>0.11855674</v>
      </c>
      <c r="G246" s="290" t="n">
        <v>232.075853824</v>
      </c>
      <c r="H246" s="289" t="n">
        <v>0.093</v>
      </c>
      <c r="I246" s="291" t="n">
        <v>0.48348</v>
      </c>
      <c r="J246" s="292" t="n">
        <v>32.50097</v>
      </c>
      <c r="K246" s="299" t="n">
        <v>4160.75008</v>
      </c>
      <c r="L246" s="290" t="n">
        <v>41.42837667047261</v>
      </c>
      <c r="M246" s="300" t="n">
        <v>-0.8214877765702814</v>
      </c>
      <c r="N246" s="292" t="n">
        <v>55.77740763048186</v>
      </c>
      <c r="O246" s="206" t="inlineStr">
        <is>
          <t>—</t>
        </is>
      </c>
      <c r="P246" s="206" t="inlineStr">
        <is>
          <t>—</t>
        </is>
      </c>
      <c r="Q246" s="206" t="inlineStr">
        <is>
          <t>—</t>
        </is>
      </c>
      <c r="R246" s="206" t="inlineStr">
        <is>
          <t>—</t>
        </is>
      </c>
      <c r="S246" s="206" t="inlineStr">
        <is>
          <t>—</t>
        </is>
      </c>
    </row>
    <row r="247" ht="20" customHeight="1" s="215">
      <c r="A247" s="50" t="n">
        <v>242</v>
      </c>
      <c r="B247" s="51" t="inlineStr">
        <is>
          <t>EXPD</t>
        </is>
      </c>
      <c r="C247" s="52" t="inlineStr">
        <is>
          <t>Expeditors International</t>
        </is>
      </c>
      <c r="D247" s="53" t="inlineStr">
        <is>
          <t>Integrated Freight &amp; Logistics</t>
        </is>
      </c>
      <c r="E247" s="294" t="n">
        <v>196.81</v>
      </c>
      <c r="F247" s="289" t="n">
        <v>0.6261258</v>
      </c>
      <c r="G247" s="295" t="n">
        <v>25.583454208</v>
      </c>
      <c r="H247" s="289" t="n">
        <v>0.321</v>
      </c>
      <c r="I247" s="296" t="n">
        <v>0.13549</v>
      </c>
      <c r="J247" s="297" t="n">
        <v>28.647743</v>
      </c>
      <c r="K247" s="301" t="n">
        <v>797.56224</v>
      </c>
      <c r="L247" s="295" t="n">
        <v>8.91512250537299</v>
      </c>
      <c r="M247" s="300" t="n">
        <v>-0.6515278025832331</v>
      </c>
      <c r="N247" s="297" t="n">
        <v>32.07706312151889</v>
      </c>
      <c r="O247" s="207" t="inlineStr">
        <is>
          <t>—</t>
        </is>
      </c>
      <c r="P247" s="207" t="inlineStr">
        <is>
          <t>—</t>
        </is>
      </c>
      <c r="Q247" s="207" t="inlineStr">
        <is>
          <t>—</t>
        </is>
      </c>
      <c r="R247" s="207" t="inlineStr">
        <is>
          <t>—</t>
        </is>
      </c>
      <c r="S247" s="207" t="inlineStr">
        <is>
          <t>—</t>
        </is>
      </c>
    </row>
    <row r="248" ht="20" customHeight="1" s="215">
      <c r="A248" s="54" t="n">
        <v>243</v>
      </c>
      <c r="B248" s="55" t="inlineStr">
        <is>
          <t>DOW</t>
        </is>
      </c>
      <c r="C248" s="56" t="inlineStr">
        <is>
          <t>Dow</t>
        </is>
      </c>
      <c r="D248" s="57" t="inlineStr">
        <is>
          <t>Chemicals</t>
        </is>
      </c>
      <c r="E248" s="288" t="n">
        <v>30.08</v>
      </c>
      <c r="F248" s="289" t="n">
        <v>0.38298845</v>
      </c>
      <c r="G248" s="290" t="n">
        <v>21.72801024</v>
      </c>
      <c r="H248" s="289" t="n">
        <v>0.197</v>
      </c>
      <c r="I248" s="291" t="n">
        <v>0.09787</v>
      </c>
      <c r="J248" s="292" t="n">
        <v>17.439905</v>
      </c>
      <c r="K248" s="299" t="n">
        <v>237.624992</v>
      </c>
      <c r="L248" s="290" t="n">
        <v>5.630037130530796</v>
      </c>
      <c r="M248" s="300" t="n">
        <v>-0.7408857475515073</v>
      </c>
      <c r="N248" s="292" t="n">
        <v>91.43822964076101</v>
      </c>
      <c r="O248" s="206" t="inlineStr">
        <is>
          <t>—</t>
        </is>
      </c>
      <c r="P248" s="206" t="inlineStr">
        <is>
          <t>—</t>
        </is>
      </c>
      <c r="Q248" s="206" t="inlineStr">
        <is>
          <t>—</t>
        </is>
      </c>
      <c r="R248" s="206" t="inlineStr">
        <is>
          <t>—</t>
        </is>
      </c>
      <c r="S248" s="206" t="inlineStr">
        <is>
          <t>—</t>
        </is>
      </c>
    </row>
    <row r="249" ht="20" customHeight="1" s="215">
      <c r="A249" s="50" t="n">
        <v>244</v>
      </c>
      <c r="B249" s="51" t="inlineStr">
        <is>
          <t>CAG</t>
        </is>
      </c>
      <c r="C249" s="52" t="inlineStr">
        <is>
          <t>Conagra Brands</t>
        </is>
      </c>
      <c r="D249" s="53" t="inlineStr">
        <is>
          <t>Packaged Foods</t>
        </is>
      </c>
      <c r="E249" s="294" t="n">
        <v>14.03</v>
      </c>
      <c r="F249" s="300" t="n">
        <v>-0.24650913</v>
      </c>
      <c r="G249" s="295" t="n">
        <v>6.698083328</v>
      </c>
      <c r="H249" s="300" t="n">
        <v>-0.014</v>
      </c>
      <c r="I249" s="296" t="n">
        <v>0.23836</v>
      </c>
      <c r="J249" s="297" t="n">
        <v>9.370386999999999</v>
      </c>
      <c r="K249" s="301" t="n">
        <v>419.624992</v>
      </c>
      <c r="L249" s="295" t="n">
        <v>2.501821669938133</v>
      </c>
      <c r="M249" s="300" t="n">
        <v>-0.626486929554942</v>
      </c>
      <c r="N249" s="297" t="n">
        <v>15.96207020841599</v>
      </c>
      <c r="O249" s="207" t="inlineStr">
        <is>
          <t>—</t>
        </is>
      </c>
      <c r="P249" s="207" t="inlineStr">
        <is>
          <t>—</t>
        </is>
      </c>
      <c r="Q249" s="207" t="inlineStr">
        <is>
          <t>—</t>
        </is>
      </c>
      <c r="R249" s="207" t="inlineStr">
        <is>
          <t>—</t>
        </is>
      </c>
      <c r="S249" s="207" t="inlineStr">
        <is>
          <t>—</t>
        </is>
      </c>
    </row>
    <row r="250" ht="20" customHeight="1" s="215">
      <c r="A250" s="54" t="n">
        <v>245</v>
      </c>
      <c r="B250" s="55" t="inlineStr">
        <is>
          <t>JPM</t>
        </is>
      </c>
      <c r="C250" s="56" t="inlineStr">
        <is>
          <t>JPMorgan Chase</t>
        </is>
      </c>
      <c r="D250" s="57" t="inlineStr">
        <is>
          <t>Banks - Diversified</t>
        </is>
      </c>
      <c r="E250" s="288" t="n">
        <v>333.53</v>
      </c>
      <c r="F250" s="289" t="n">
        <v>0.122656465</v>
      </c>
      <c r="G250" s="290" t="n">
        <v>885.7223168</v>
      </c>
      <c r="H250" s="289" t="n">
        <v>0.102</v>
      </c>
      <c r="I250" s="291" t="n">
        <v>0</v>
      </c>
      <c r="J250" s="292" t="n">
        <v>13.990353</v>
      </c>
      <c r="K250" s="293" t="inlineStr">
        <is>
          <t>—</t>
        </is>
      </c>
      <c r="L250" s="290" t="n">
        <v>322.060925655779</v>
      </c>
      <c r="M250" s="300" t="n">
        <v>-0.6363861228885556</v>
      </c>
      <c r="N250" s="293" t="inlineStr">
        <is>
          <t>—</t>
        </is>
      </c>
      <c r="O250" s="206" t="inlineStr">
        <is>
          <t>—</t>
        </is>
      </c>
      <c r="P250" s="206" t="inlineStr">
        <is>
          <t>—</t>
        </is>
      </c>
      <c r="Q250" s="206" t="inlineStr">
        <is>
          <t>—</t>
        </is>
      </c>
      <c r="R250" s="206" t="inlineStr">
        <is>
          <t>—</t>
        </is>
      </c>
      <c r="S250" s="206" t="inlineStr">
        <is>
          <t>—</t>
        </is>
      </c>
    </row>
    <row r="251" ht="20" customHeight="1" s="215">
      <c r="A251" s="50" t="n">
        <v>246</v>
      </c>
      <c r="B251" s="51" t="inlineStr">
        <is>
          <t>KMB</t>
        </is>
      </c>
      <c r="C251" s="52" t="inlineStr">
        <is>
          <t>Kimberly-Clark</t>
        </is>
      </c>
      <c r="D251" s="53" t="inlineStr">
        <is>
          <t>Household &amp; Personal Products</t>
        </is>
      </c>
      <c r="E251" s="294" t="n">
        <v>105.41</v>
      </c>
      <c r="F251" s="300" t="n">
        <v>-0.121949196</v>
      </c>
      <c r="G251" s="295" t="n">
        <v>34.98983424</v>
      </c>
      <c r="H251" s="289" t="n">
        <v>0.006</v>
      </c>
      <c r="I251" s="296" t="n">
        <v>0.37612998</v>
      </c>
      <c r="J251" s="297" t="n">
        <v>20.790928</v>
      </c>
      <c r="K251" s="301" t="n">
        <v>941.124992</v>
      </c>
      <c r="L251" s="295" t="n">
        <v>6.248294165325404</v>
      </c>
      <c r="M251" s="300" t="n">
        <v>-0.8214254425308931</v>
      </c>
      <c r="N251" s="297" t="n">
        <v>37.17873112370817</v>
      </c>
      <c r="O251" s="207" t="inlineStr">
        <is>
          <t>—</t>
        </is>
      </c>
      <c r="P251" s="207" t="inlineStr">
        <is>
          <t>—</t>
        </is>
      </c>
      <c r="Q251" s="207" t="inlineStr">
        <is>
          <t>—</t>
        </is>
      </c>
      <c r="R251" s="207" t="inlineStr">
        <is>
          <t>—</t>
        </is>
      </c>
      <c r="S251" s="207" t="inlineStr">
        <is>
          <t>—</t>
        </is>
      </c>
    </row>
    <row r="252" ht="20" customHeight="1" s="215">
      <c r="A252" s="54" t="n">
        <v>247</v>
      </c>
      <c r="B252" s="55" t="inlineStr">
        <is>
          <t>MGM</t>
        </is>
      </c>
      <c r="C252" s="56" t="inlineStr">
        <is>
          <t>MGM Resorts Intl</t>
        </is>
      </c>
      <c r="D252" s="57" t="inlineStr">
        <is>
          <t>Resorts &amp; Casinos</t>
        </is>
      </c>
      <c r="E252" s="288" t="n">
        <v>28.47</v>
      </c>
      <c r="F252" s="300" t="n">
        <v>-0.13465047</v>
      </c>
      <c r="G252" s="290" t="n">
        <v>7.162845696</v>
      </c>
      <c r="H252" s="289" t="n">
        <v>0.01</v>
      </c>
      <c r="I252" s="291" t="n">
        <v>0.44157</v>
      </c>
      <c r="J252" s="292" t="n">
        <v>17.574074</v>
      </c>
      <c r="K252" s="299" t="n">
        <v>878.991104</v>
      </c>
      <c r="L252" s="290" t="n">
        <v>6.06120949553253</v>
      </c>
      <c r="M252" s="300" t="n">
        <v>-0.1537986782379892</v>
      </c>
      <c r="N252" s="292" t="n">
        <v>8.148939995779525</v>
      </c>
      <c r="O252" s="206" t="inlineStr">
        <is>
          <t>—</t>
        </is>
      </c>
      <c r="P252" s="206" t="inlineStr">
        <is>
          <t>—</t>
        </is>
      </c>
      <c r="Q252" s="206" t="inlineStr">
        <is>
          <t>—</t>
        </is>
      </c>
      <c r="R252" s="206" t="inlineStr">
        <is>
          <t>—</t>
        </is>
      </c>
      <c r="S252" s="206" t="inlineStr">
        <is>
          <t>—</t>
        </is>
      </c>
    </row>
    <row r="253" ht="20" customHeight="1" s="215">
      <c r="A253" s="50" t="n">
        <v>248</v>
      </c>
      <c r="B253" s="51" t="inlineStr">
        <is>
          <t>NKE</t>
        </is>
      </c>
      <c r="C253" s="52" t="inlineStr">
        <is>
          <t>Nike</t>
        </is>
      </c>
      <c r="D253" s="53" t="inlineStr">
        <is>
          <t>Footwear &amp; Accessories</t>
        </is>
      </c>
      <c r="E253" s="294" t="n">
        <v>37.21</v>
      </c>
      <c r="F253" s="300" t="n">
        <v>-0.45567584</v>
      </c>
      <c r="G253" s="295" t="n">
        <v>55.268339712</v>
      </c>
      <c r="H253" s="300" t="n">
        <v>-0.043</v>
      </c>
      <c r="I253" s="296" t="n">
        <v>0.43407002</v>
      </c>
      <c r="J253" s="297" t="n">
        <v>17.889423</v>
      </c>
      <c r="K253" s="301" t="n">
        <v>1766.875008</v>
      </c>
      <c r="L253" s="295" t="n">
        <v>12.86937812334782</v>
      </c>
      <c r="M253" s="300" t="n">
        <v>-0.7671473724304118</v>
      </c>
      <c r="N253" s="297" t="n">
        <v>25.35431373036321</v>
      </c>
      <c r="O253" s="207" t="inlineStr">
        <is>
          <t>—</t>
        </is>
      </c>
      <c r="P253" s="207" t="inlineStr">
        <is>
          <t>—</t>
        </is>
      </c>
      <c r="Q253" s="207" t="inlineStr">
        <is>
          <t>—</t>
        </is>
      </c>
      <c r="R253" s="207" t="inlineStr">
        <is>
          <t>—</t>
        </is>
      </c>
      <c r="S253" s="207" t="inlineStr">
        <is>
          <t>—</t>
        </is>
      </c>
    </row>
    <row r="254" ht="20" customHeight="1" s="215">
      <c r="A254" s="54" t="n">
        <v>249</v>
      </c>
      <c r="B254" s="55" t="inlineStr">
        <is>
          <t>PEP</t>
        </is>
      </c>
      <c r="C254" s="56" t="inlineStr">
        <is>
          <t>PepsiCo</t>
        </is>
      </c>
      <c r="D254" s="57" t="inlineStr">
        <is>
          <t>Beverages - Non-Alcoholic</t>
        </is>
      </c>
      <c r="E254" s="288" t="n">
        <v>133.57</v>
      </c>
      <c r="F254" s="300" t="n">
        <v>-0.12801933</v>
      </c>
      <c r="G254" s="290" t="n">
        <v>182.021341184</v>
      </c>
      <c r="H254" s="289" t="n">
        <v>0.056</v>
      </c>
      <c r="I254" s="291" t="n">
        <v>0.54327</v>
      </c>
      <c r="J254" s="292" t="n">
        <v>16.80126</v>
      </c>
      <c r="K254" s="299" t="n">
        <v>9044.249599999999</v>
      </c>
      <c r="L254" s="290" t="n">
        <v>77.38228326333754</v>
      </c>
      <c r="M254" s="300" t="n">
        <v>-0.5748724695687519</v>
      </c>
      <c r="N254" s="292" t="n">
        <v>20.12564178441515</v>
      </c>
      <c r="O254" s="206" t="inlineStr">
        <is>
          <t>—</t>
        </is>
      </c>
      <c r="P254" s="206" t="inlineStr">
        <is>
          <t>—</t>
        </is>
      </c>
      <c r="Q254" s="206" t="inlineStr">
        <is>
          <t>—</t>
        </is>
      </c>
      <c r="R254" s="206" t="inlineStr">
        <is>
          <t>—</t>
        </is>
      </c>
      <c r="S254" s="206" t="inlineStr">
        <is>
          <t>—</t>
        </is>
      </c>
    </row>
    <row r="255" ht="20" customHeight="1" s="215">
      <c r="A255" s="50" t="n">
        <v>250</v>
      </c>
      <c r="B255" s="51" t="inlineStr">
        <is>
          <t>RTX</t>
        </is>
      </c>
      <c r="C255" s="52" t="inlineStr">
        <is>
          <t>United Technologies</t>
        </is>
      </c>
      <c r="D255" s="53" t="inlineStr">
        <is>
          <t>Aerospace &amp; Defense</t>
        </is>
      </c>
      <c r="E255" s="294" t="n">
        <v>192.11</v>
      </c>
      <c r="F255" s="289" t="n">
        <v>0.11020577</v>
      </c>
      <c r="G255" s="295" t="n">
        <v>258.917810176</v>
      </c>
      <c r="H255" s="289" t="n">
        <v>0.145</v>
      </c>
      <c r="I255" s="296" t="n">
        <v>0.20347</v>
      </c>
      <c r="J255" s="297" t="n">
        <v>33.822186</v>
      </c>
      <c r="K255" s="301" t="n">
        <v>9880.000512000001</v>
      </c>
      <c r="L255" s="295" t="n">
        <v>176.433147891307</v>
      </c>
      <c r="M255" s="300" t="n">
        <v>-0.3185746945280581</v>
      </c>
      <c r="N255" s="297" t="n">
        <v>26.2062554277568</v>
      </c>
      <c r="O255" s="207" t="inlineStr">
        <is>
          <t>—</t>
        </is>
      </c>
      <c r="P255" s="207" t="inlineStr">
        <is>
          <t>—</t>
        </is>
      </c>
      <c r="Q255" s="207" t="inlineStr">
        <is>
          <t>—</t>
        </is>
      </c>
      <c r="R255" s="207" t="inlineStr">
        <is>
          <t>—</t>
        </is>
      </c>
      <c r="S255" s="207" t="inlineStr">
        <is>
          <t>—</t>
        </is>
      </c>
    </row>
    <row r="256" ht="20" customHeight="1" s="215">
      <c r="A256" s="54" t="n">
        <v>251</v>
      </c>
      <c r="B256" s="55" t="inlineStr">
        <is>
          <t>TPR</t>
        </is>
      </c>
      <c r="C256" s="56" t="inlineStr">
        <is>
          <t>Tapestry</t>
        </is>
      </c>
      <c r="D256" s="57" t="inlineStr">
        <is>
          <t>Luxury Goods</t>
        </is>
      </c>
      <c r="E256" s="288" t="n">
        <v>117.71</v>
      </c>
      <c r="F256" s="289" t="n">
        <v>0.004866004</v>
      </c>
      <c r="G256" s="290" t="n">
        <v>23.357825024</v>
      </c>
      <c r="H256" s="289" t="n">
        <v>0.089</v>
      </c>
      <c r="I256" s="291" t="n">
        <v>0.76595</v>
      </c>
      <c r="J256" s="292" t="n">
        <v>16.191196</v>
      </c>
      <c r="K256" s="299" t="n">
        <v>1399.924992</v>
      </c>
      <c r="L256" s="290" t="n">
        <v>10.79121208641216</v>
      </c>
      <c r="M256" s="300" t="n">
        <v>-0.5380044128541821</v>
      </c>
      <c r="N256" s="292" t="n">
        <v>16.68505401382248</v>
      </c>
      <c r="O256" s="206" t="inlineStr">
        <is>
          <t>—</t>
        </is>
      </c>
      <c r="P256" s="206" t="inlineStr">
        <is>
          <t>—</t>
        </is>
      </c>
      <c r="Q256" s="206" t="inlineStr">
        <is>
          <t>—</t>
        </is>
      </c>
      <c r="R256" s="206" t="inlineStr">
        <is>
          <t>—</t>
        </is>
      </c>
      <c r="S256" s="206" t="inlineStr">
        <is>
          <t>—</t>
        </is>
      </c>
    </row>
    <row r="257" ht="20" customHeight="1" s="215">
      <c r="A257" s="50" t="n">
        <v>252</v>
      </c>
      <c r="B257" s="51" t="inlineStr">
        <is>
          <t>CAT</t>
        </is>
      </c>
      <c r="C257" s="52" t="inlineStr">
        <is>
          <t>Caterpillar</t>
        </is>
      </c>
      <c r="D257" s="53" t="inlineStr">
        <is>
          <t>Farm &amp; Heavy Construction Machinery</t>
        </is>
      </c>
      <c r="E257" s="294" t="n">
        <v>725.79</v>
      </c>
      <c r="F257" s="289" t="n">
        <v>0.38337934</v>
      </c>
      <c r="G257" s="295" t="n">
        <v>333.627424768</v>
      </c>
      <c r="H257" s="289" t="n">
        <v>0.24</v>
      </c>
      <c r="I257" s="296" t="n">
        <v>0.29713</v>
      </c>
      <c r="J257" s="297" t="n">
        <v>31.24365</v>
      </c>
      <c r="K257" s="301" t="n">
        <v>5048.999936</v>
      </c>
      <c r="L257" s="295" t="n">
        <v>56.04584510859669</v>
      </c>
      <c r="M257" s="300" t="n">
        <v>-0.832010677336942</v>
      </c>
      <c r="N257" s="297" t="n">
        <v>66.07792472099369</v>
      </c>
      <c r="O257" s="207" t="inlineStr">
        <is>
          <t>—</t>
        </is>
      </c>
      <c r="P257" s="207" t="inlineStr">
        <is>
          <t>—</t>
        </is>
      </c>
      <c r="Q257" s="207" t="inlineStr">
        <is>
          <t>—</t>
        </is>
      </c>
      <c r="R257" s="207" t="inlineStr">
        <is>
          <t>—</t>
        </is>
      </c>
      <c r="S257" s="207" t="inlineStr">
        <is>
          <t>—</t>
        </is>
      </c>
    </row>
    <row r="258" ht="20" customHeight="1" s="215">
      <c r="A258" s="54" t="n">
        <v>253</v>
      </c>
      <c r="B258" s="55" t="inlineStr">
        <is>
          <t>WFC</t>
        </is>
      </c>
      <c r="C258" s="56" t="inlineStr">
        <is>
          <t>Wells Fargo</t>
        </is>
      </c>
      <c r="D258" s="57" t="inlineStr">
        <is>
          <t>Banks - Diversified</t>
        </is>
      </c>
      <c r="E258" s="288" t="n">
        <v>81.8</v>
      </c>
      <c r="F258" s="300" t="n">
        <v>-0.034922123</v>
      </c>
      <c r="G258" s="290" t="n">
        <v>245.53406464</v>
      </c>
      <c r="H258" s="289" t="n">
        <v>0.004</v>
      </c>
      <c r="I258" s="291" t="n">
        <v>0</v>
      </c>
      <c r="J258" s="292" t="n">
        <v>11.889535</v>
      </c>
      <c r="K258" s="293" t="inlineStr">
        <is>
          <t>—</t>
        </is>
      </c>
      <c r="L258" s="290" t="n">
        <v>106.1288354978379</v>
      </c>
      <c r="M258" s="300" t="n">
        <v>-0.567763293238178</v>
      </c>
      <c r="N258" s="293" t="inlineStr">
        <is>
          <t>—</t>
        </is>
      </c>
      <c r="O258" s="206" t="inlineStr">
        <is>
          <t>—</t>
        </is>
      </c>
      <c r="P258" s="206" t="inlineStr">
        <is>
          <t>—</t>
        </is>
      </c>
      <c r="Q258" s="206" t="inlineStr">
        <is>
          <t>—</t>
        </is>
      </c>
      <c r="R258" s="206" t="inlineStr">
        <is>
          <t>—</t>
        </is>
      </c>
      <c r="S258" s="206" t="inlineStr">
        <is>
          <t>—</t>
        </is>
      </c>
    </row>
    <row r="259" ht="20" customHeight="1" s="215">
      <c r="A259" s="50" t="n">
        <v>254</v>
      </c>
      <c r="B259" s="51" t="inlineStr">
        <is>
          <t>AMZN</t>
        </is>
      </c>
      <c r="C259" s="52" t="inlineStr">
        <is>
          <t>Amazon</t>
        </is>
      </c>
      <c r="D259" s="53" t="inlineStr">
        <is>
          <t>Internet Retail</t>
        </is>
      </c>
      <c r="E259" s="294" t="n">
        <v>262.45</v>
      </c>
      <c r="F259" s="289" t="n">
        <v>0.18204749</v>
      </c>
      <c r="G259" s="295" t="n">
        <v>2830.86815232</v>
      </c>
      <c r="H259" s="289" t="n">
        <v>0.196</v>
      </c>
      <c r="I259" s="296" t="n">
        <v>0.5077</v>
      </c>
      <c r="J259" s="297" t="n">
        <v>21.11424</v>
      </c>
      <c r="K259" s="301" t="n">
        <v>3219.124992</v>
      </c>
      <c r="L259" s="295" t="n">
        <v>113.1146146487916</v>
      </c>
      <c r="M259" s="300" t="n">
        <v>-0.9600424291904622</v>
      </c>
      <c r="N259" s="297" t="n">
        <v>879.3905188541993</v>
      </c>
      <c r="O259" s="211" t="inlineStr">
        <is>
          <t>SOLD</t>
        </is>
      </c>
      <c r="P259" s="212" t="inlineStr">
        <is>
          <t>—</t>
        </is>
      </c>
      <c r="Q259" s="211" t="inlineStr">
        <is>
          <t>Sold</t>
        </is>
      </c>
      <c r="R259" s="212" t="n">
        <v>85</v>
      </c>
      <c r="S259" s="213" t="inlineStr">
        <is>
          <t>Held Q1-Q3-25 → 77% cut Q4-25 → Q1-26: REMAINING 2.3M sh fully exited. Combs unwind complete</t>
        </is>
      </c>
    </row>
    <row r="260" ht="20" customHeight="1" s="215">
      <c r="A260" s="54" t="n">
        <v>255</v>
      </c>
      <c r="B260" s="55" t="inlineStr">
        <is>
          <t>LDOS</t>
        </is>
      </c>
      <c r="C260" s="56" t="inlineStr">
        <is>
          <t>Leidos Holdings</t>
        </is>
      </c>
      <c r="D260" s="57" t="inlineStr">
        <is>
          <t>Information Technology Services</t>
        </is>
      </c>
      <c r="E260" s="288" t="n">
        <v>126.05</v>
      </c>
      <c r="F260" s="300" t="n">
        <v>-0.3474322</v>
      </c>
      <c r="G260" s="290" t="n">
        <v>15.855258624</v>
      </c>
      <c r="H260" s="289" t="n">
        <v>0.07199999999999999</v>
      </c>
      <c r="I260" s="291" t="n">
        <v>0.17795</v>
      </c>
      <c r="J260" s="292" t="n">
        <v>11.769375</v>
      </c>
      <c r="K260" s="299" t="n">
        <v>1146.625024</v>
      </c>
      <c r="L260" s="290" t="n">
        <v>9.290118575512208</v>
      </c>
      <c r="M260" s="300" t="n">
        <v>-0.4140670426245954</v>
      </c>
      <c r="N260" s="292" t="n">
        <v>13.82776204725495</v>
      </c>
      <c r="O260" s="206" t="inlineStr">
        <is>
          <t>—</t>
        </is>
      </c>
      <c r="P260" s="206" t="inlineStr">
        <is>
          <t>—</t>
        </is>
      </c>
      <c r="Q260" s="206" t="inlineStr">
        <is>
          <t>—</t>
        </is>
      </c>
      <c r="R260" s="206" t="inlineStr">
        <is>
          <t>—</t>
        </is>
      </c>
      <c r="S260" s="206" t="inlineStr">
        <is>
          <t>—</t>
        </is>
      </c>
    </row>
    <row r="261" ht="20" customHeight="1" s="215">
      <c r="A261" s="50" t="n">
        <v>256</v>
      </c>
      <c r="B261" s="51" t="inlineStr">
        <is>
          <t>SWK</t>
        </is>
      </c>
      <c r="C261" s="52" t="inlineStr">
        <is>
          <t>Stanley Black &amp; Decker</t>
        </is>
      </c>
      <c r="D261" s="53" t="inlineStr">
        <is>
          <t>Tools &amp; Accessories</t>
        </is>
      </c>
      <c r="E261" s="294" t="n">
        <v>91.19</v>
      </c>
      <c r="F261" s="289" t="n">
        <v>0.28690374</v>
      </c>
      <c r="G261" s="295" t="n">
        <v>13.77120768</v>
      </c>
      <c r="H261" s="289" t="n">
        <v>0.004</v>
      </c>
      <c r="I261" s="296" t="n">
        <v>0.32213002</v>
      </c>
      <c r="J261" s="297" t="n">
        <v>22.295843</v>
      </c>
      <c r="K261" s="301" t="n">
        <v>1419.049984</v>
      </c>
      <c r="L261" s="295" t="n">
        <v>7.531490935275796</v>
      </c>
      <c r="M261" s="300" t="n">
        <v>-0.4530987324943315</v>
      </c>
      <c r="N261" s="297" t="n">
        <v>9.704526019564087</v>
      </c>
      <c r="O261" s="207" t="inlineStr">
        <is>
          <t>—</t>
        </is>
      </c>
      <c r="P261" s="207" t="inlineStr">
        <is>
          <t>—</t>
        </is>
      </c>
      <c r="Q261" s="207" t="inlineStr">
        <is>
          <t>—</t>
        </is>
      </c>
      <c r="R261" s="207" t="inlineStr">
        <is>
          <t>—</t>
        </is>
      </c>
      <c r="S261" s="207" t="inlineStr">
        <is>
          <t>—</t>
        </is>
      </c>
    </row>
    <row r="262" ht="20" customHeight="1" s="215">
      <c r="A262" s="54" t="n">
        <v>257</v>
      </c>
      <c r="B262" s="55" t="inlineStr">
        <is>
          <t>IQV</t>
        </is>
      </c>
      <c r="C262" s="56" t="inlineStr">
        <is>
          <t>IQVIA Holdings</t>
        </is>
      </c>
      <c r="D262" s="57" t="inlineStr">
        <is>
          <t>Diagnostics &amp; Research</t>
        </is>
      </c>
      <c r="E262" s="288" t="n">
        <v>265.88</v>
      </c>
      <c r="F262" s="289" t="n">
        <v>0.21589613</v>
      </c>
      <c r="G262" s="290" t="n">
        <v>43.763847168</v>
      </c>
      <c r="H262" s="289" t="n">
        <v>0.08699999999999999</v>
      </c>
      <c r="I262" s="291" t="n">
        <v>0.32968</v>
      </c>
      <c r="J262" s="292" t="n">
        <v>33.028572</v>
      </c>
      <c r="K262" s="299" t="n">
        <v>2149.750016</v>
      </c>
      <c r="L262" s="290" t="n">
        <v>25.35255193931285</v>
      </c>
      <c r="M262" s="300" t="n">
        <v>-0.4206964519826182</v>
      </c>
      <c r="N262" s="292" t="n">
        <v>20.35764515607753</v>
      </c>
      <c r="O262" s="206" t="inlineStr">
        <is>
          <t>—</t>
        </is>
      </c>
      <c r="P262" s="206" t="inlineStr">
        <is>
          <t>—</t>
        </is>
      </c>
      <c r="Q262" s="206" t="inlineStr">
        <is>
          <t>—</t>
        </is>
      </c>
      <c r="R262" s="206" t="inlineStr">
        <is>
          <t>—</t>
        </is>
      </c>
      <c r="S262" s="206" t="inlineStr">
        <is>
          <t>—</t>
        </is>
      </c>
    </row>
    <row r="263" ht="20" customHeight="1" s="215">
      <c r="A263" s="50" t="n">
        <v>258</v>
      </c>
      <c r="B263" s="51" t="inlineStr">
        <is>
          <t>HPQ</t>
        </is>
      </c>
      <c r="C263" s="52" t="inlineStr">
        <is>
          <t>HP</t>
        </is>
      </c>
      <c r="D263" s="53" t="inlineStr">
        <is>
          <t>Computer Hardware</t>
        </is>
      </c>
      <c r="E263" s="294" t="n">
        <v>30.24</v>
      </c>
      <c r="F263" s="289" t="n">
        <v>0.073863626</v>
      </c>
      <c r="G263" s="295" t="n">
        <v>27.270158336</v>
      </c>
      <c r="H263" s="289" t="n">
        <v>0.125</v>
      </c>
      <c r="I263" s="296" t="n">
        <v>0.1966</v>
      </c>
      <c r="J263" s="297" t="n">
        <v>11.5419855</v>
      </c>
      <c r="K263" s="301" t="n">
        <v>3389.874944</v>
      </c>
      <c r="L263" s="295" t="n">
        <v>36.91637742981602</v>
      </c>
      <c r="M263" s="289" t="n">
        <v>0.3537280192862618</v>
      </c>
      <c r="N263" s="297" t="n">
        <v>8.044591423889411</v>
      </c>
      <c r="O263" s="207" t="inlineStr">
        <is>
          <t>—</t>
        </is>
      </c>
      <c r="P263" s="207" t="inlineStr">
        <is>
          <t>—</t>
        </is>
      </c>
      <c r="Q263" s="207" t="inlineStr">
        <is>
          <t>—</t>
        </is>
      </c>
      <c r="R263" s="207" t="inlineStr">
        <is>
          <t>—</t>
        </is>
      </c>
      <c r="S263" s="207" t="inlineStr">
        <is>
          <t>—</t>
        </is>
      </c>
    </row>
    <row r="264" ht="20" customHeight="1" s="215">
      <c r="A264" s="54" t="n">
        <v>259</v>
      </c>
      <c r="B264" s="55" t="inlineStr">
        <is>
          <t>DAL</t>
        </is>
      </c>
      <c r="C264" s="56" t="inlineStr">
        <is>
          <t>Delta Air Lines</t>
        </is>
      </c>
      <c r="D264" s="57" t="inlineStr">
        <is>
          <t>Airlines</t>
        </is>
      </c>
      <c r="E264" s="288" t="n">
        <v>74.63</v>
      </c>
      <c r="F264" s="289" t="n">
        <v>0.19752884</v>
      </c>
      <c r="G264" s="290" t="n">
        <v>49.10000128</v>
      </c>
      <c r="H264" s="289" t="n">
        <v>0.211</v>
      </c>
      <c r="I264" s="291" t="n">
        <v>0.17896</v>
      </c>
      <c r="J264" s="292" t="n">
        <v>14.896206</v>
      </c>
      <c r="K264" s="299" t="n">
        <v>2492.124928</v>
      </c>
      <c r="L264" s="290" t="n">
        <v>28.23480282768899</v>
      </c>
      <c r="M264" s="300" t="n">
        <v>-0.4249531142234423</v>
      </c>
      <c r="N264" s="292" t="n">
        <v>19.70206243183969</v>
      </c>
      <c r="O264" s="208" t="inlineStr">
        <is>
          <t>YES</t>
        </is>
      </c>
      <c r="P264" s="209" t="n">
        <v>2.6</v>
      </c>
      <c r="Q264" s="208" t="inlineStr">
        <is>
          <t>Buy</t>
        </is>
      </c>
      <c r="R264" s="209" t="n">
        <v>65</v>
      </c>
      <c r="S264" s="210" t="inlineStr">
        <is>
          <t>NEW Q1-26: 39.8M sh ($2.6B), 14th-largest holding (~1% wt). First airline bet since 2020 COVID exit. Signal: oil headwind passing for carriers</t>
        </is>
      </c>
    </row>
    <row r="265" ht="20" customHeight="1" s="215">
      <c r="A265" s="50" t="n">
        <v>260</v>
      </c>
      <c r="B265" s="51" t="inlineStr">
        <is>
          <t>GWW</t>
        </is>
      </c>
      <c r="C265" s="52" t="inlineStr">
        <is>
          <t>W.W. Grainger</t>
        </is>
      </c>
      <c r="D265" s="53" t="inlineStr">
        <is>
          <t>Industrial Distribution</t>
        </is>
      </c>
      <c r="E265" s="294" t="n">
        <v>1318.06</v>
      </c>
      <c r="F265" s="289" t="n">
        <v>0.35667086</v>
      </c>
      <c r="G265" s="295" t="n">
        <v>62.22972928</v>
      </c>
      <c r="H265" s="289" t="n">
        <v>0.103</v>
      </c>
      <c r="I265" s="296" t="n">
        <v>0.39395002</v>
      </c>
      <c r="J265" s="297" t="n">
        <v>33.615406</v>
      </c>
      <c r="K265" s="301" t="n">
        <v>1247.750016</v>
      </c>
      <c r="L265" s="295" t="n">
        <v>10.79146160436184</v>
      </c>
      <c r="M265" s="300" t="n">
        <v>-0.8265867178080412</v>
      </c>
      <c r="N265" s="297" t="n">
        <v>49.87355065611155</v>
      </c>
      <c r="O265" s="207" t="inlineStr">
        <is>
          <t>—</t>
        </is>
      </c>
      <c r="P265" s="207" t="inlineStr">
        <is>
          <t>—</t>
        </is>
      </c>
      <c r="Q265" s="207" t="inlineStr">
        <is>
          <t>—</t>
        </is>
      </c>
      <c r="R265" s="207" t="inlineStr">
        <is>
          <t>—</t>
        </is>
      </c>
      <c r="S265" s="207" t="inlineStr">
        <is>
          <t>—</t>
        </is>
      </c>
    </row>
    <row r="266" ht="20" customHeight="1" s="215">
      <c r="A266" s="54" t="n">
        <v>261</v>
      </c>
      <c r="B266" s="55" t="inlineStr">
        <is>
          <t>URI</t>
        </is>
      </c>
      <c r="C266" s="56" t="inlineStr">
        <is>
          <t>United Rentals</t>
        </is>
      </c>
      <c r="D266" s="57" t="inlineStr">
        <is>
          <t>Rental &amp; Leasing Services</t>
        </is>
      </c>
      <c r="E266" s="288" t="n">
        <v>1025</v>
      </c>
      <c r="F266" s="289" t="n">
        <v>0.02265811</v>
      </c>
      <c r="G266" s="290" t="n">
        <v>63.798550528</v>
      </c>
      <c r="H266" s="289" t="n">
        <v>0.118</v>
      </c>
      <c r="I266" s="291" t="n">
        <v>0.3848</v>
      </c>
      <c r="J266" s="292" t="n">
        <v>24.645348</v>
      </c>
      <c r="K266" s="299" t="n">
        <v>1706.249984</v>
      </c>
      <c r="L266" s="290" t="n">
        <v>15.41891434669781</v>
      </c>
      <c r="M266" s="300" t="n">
        <v>-0.7583187357849026</v>
      </c>
      <c r="N266" s="292" t="n">
        <v>37.39109264366739</v>
      </c>
      <c r="O266" s="206" t="inlineStr">
        <is>
          <t>—</t>
        </is>
      </c>
      <c r="P266" s="206" t="inlineStr">
        <is>
          <t>—</t>
        </is>
      </c>
      <c r="Q266" s="206" t="inlineStr">
        <is>
          <t>—</t>
        </is>
      </c>
      <c r="R266" s="206" t="inlineStr">
        <is>
          <t>—</t>
        </is>
      </c>
      <c r="S266" s="206" t="inlineStr">
        <is>
          <t>—</t>
        </is>
      </c>
    </row>
    <row r="267" ht="20" customHeight="1" s="215">
      <c r="A267" s="50" t="n">
        <v>262</v>
      </c>
      <c r="B267" s="51" t="inlineStr">
        <is>
          <t>AVY</t>
        </is>
      </c>
      <c r="C267" s="52" t="inlineStr">
        <is>
          <t>Avery Dennison</t>
        </is>
      </c>
      <c r="D267" s="53" t="inlineStr">
        <is>
          <t>Business Equipment &amp; Supplies</t>
        </is>
      </c>
      <c r="E267" s="294" t="n">
        <v>175.56</v>
      </c>
      <c r="F267" s="289" t="n">
        <v>0.07356453</v>
      </c>
      <c r="G267" s="295" t="n">
        <v>13.428652032</v>
      </c>
      <c r="H267" s="289" t="n">
        <v>0.109</v>
      </c>
      <c r="I267" s="296" t="n">
        <v>0.28978002</v>
      </c>
      <c r="J267" s="297" t="n">
        <v>19.228914</v>
      </c>
      <c r="K267" s="301" t="n">
        <v>1004.6</v>
      </c>
      <c r="L267" s="295" t="n">
        <v>8.139681415347864</v>
      </c>
      <c r="M267" s="300" t="n">
        <v>-0.3938571499245574</v>
      </c>
      <c r="N267" s="297" t="n">
        <v>13.36716304061318</v>
      </c>
      <c r="O267" s="207" t="inlineStr">
        <is>
          <t>—</t>
        </is>
      </c>
      <c r="P267" s="207" t="inlineStr">
        <is>
          <t>—</t>
        </is>
      </c>
      <c r="Q267" s="207" t="inlineStr">
        <is>
          <t>—</t>
        </is>
      </c>
      <c r="R267" s="207" t="inlineStr">
        <is>
          <t>—</t>
        </is>
      </c>
      <c r="S267" s="207" t="inlineStr">
        <is>
          <t>—</t>
        </is>
      </c>
    </row>
    <row r="268" ht="20" customHeight="1" s="215">
      <c r="A268" s="50" t="n">
        <v>263</v>
      </c>
      <c r="B268" s="51" t="inlineStr">
        <is>
          <t>CMG</t>
        </is>
      </c>
      <c r="C268" s="52" t="inlineStr">
        <is>
          <t>Chipotle Mexican Grill</t>
        </is>
      </c>
      <c r="D268" s="53" t="inlineStr">
        <is>
          <t>Restaurants</t>
        </is>
      </c>
      <c r="E268" s="288" t="n">
        <v>29.85</v>
      </c>
      <c r="F268" s="300" t="n">
        <v>-0.29532576</v>
      </c>
      <c r="G268" s="290" t="n">
        <v>37.772726272</v>
      </c>
      <c r="H268" s="289" t="n">
        <v>0.093</v>
      </c>
      <c r="I268" s="291" t="n">
        <v>0.39361998</v>
      </c>
      <c r="J268" s="292" t="n">
        <v>27.38532</v>
      </c>
      <c r="K268" s="299" t="n">
        <v>1116.464384</v>
      </c>
      <c r="L268" s="290" t="n">
        <v>9.364621356791933</v>
      </c>
      <c r="M268" s="300" t="n">
        <v>-0.7520798131075411</v>
      </c>
      <c r="N268" s="292" t="n">
        <v>33.83245165839522</v>
      </c>
      <c r="O268" s="206" t="inlineStr">
        <is>
          <t>—</t>
        </is>
      </c>
      <c r="P268" s="206" t="inlineStr">
        <is>
          <t>—</t>
        </is>
      </c>
      <c r="Q268" s="206" t="inlineStr">
        <is>
          <t>—</t>
        </is>
      </c>
      <c r="R268" s="206" t="inlineStr">
        <is>
          <t>—</t>
        </is>
      </c>
      <c r="S268" s="206" t="inlineStr">
        <is>
          <t>—</t>
        </is>
      </c>
    </row>
    <row r="269" ht="20" customHeight="1" s="215">
      <c r="A269" s="54" t="n">
        <v>264</v>
      </c>
      <c r="B269" s="55" t="inlineStr">
        <is>
          <t>TJX</t>
        </is>
      </c>
      <c r="C269" s="56" t="inlineStr">
        <is>
          <t>TJX Companies</t>
        </is>
      </c>
      <c r="D269" s="57" t="inlineStr">
        <is>
          <t>Apparel Retail</t>
        </is>
      </c>
      <c r="E269" s="294" t="n">
        <v>147.36</v>
      </c>
      <c r="F269" s="289" t="n">
        <v>0.023973346</v>
      </c>
      <c r="G269" s="295" t="n">
        <v>162.789244928</v>
      </c>
      <c r="H269" s="289" t="n">
        <v>0.054</v>
      </c>
      <c r="I269" s="296" t="n">
        <v>0.31467</v>
      </c>
      <c r="J269" s="297" t="n">
        <v>27.288889</v>
      </c>
      <c r="K269" s="301" t="n">
        <v>4398.125056</v>
      </c>
      <c r="L269" s="295" t="n">
        <v>30.38890958700228</v>
      </c>
      <c r="M269" s="300" t="n">
        <v>-0.8133236037771231</v>
      </c>
      <c r="N269" s="297" t="n">
        <v>37.0133284274125</v>
      </c>
      <c r="O269" s="207" t="inlineStr">
        <is>
          <t>—</t>
        </is>
      </c>
      <c r="P269" s="207" t="inlineStr">
        <is>
          <t>—</t>
        </is>
      </c>
      <c r="Q269" s="207" t="inlineStr">
        <is>
          <t>—</t>
        </is>
      </c>
      <c r="R269" s="207" t="inlineStr">
        <is>
          <t>—</t>
        </is>
      </c>
      <c r="S269" s="207" t="inlineStr">
        <is>
          <t>—</t>
        </is>
      </c>
    </row>
    <row r="270" ht="20" customHeight="1" s="215">
      <c r="A270" s="50" t="n">
        <v>265</v>
      </c>
      <c r="B270" s="51" t="inlineStr">
        <is>
          <t>UNH</t>
        </is>
      </c>
      <c r="C270" s="52" t="inlineStr">
        <is>
          <t>UnitedHealth Group</t>
        </is>
      </c>
      <c r="D270" s="53" t="inlineStr">
        <is>
          <t>Healthcare Plans</t>
        </is>
      </c>
      <c r="E270" s="288" t="n">
        <v>406.88</v>
      </c>
      <c r="F270" s="289" t="n">
        <v>0.11361086</v>
      </c>
      <c r="G270" s="290" t="n">
        <v>365.213384704</v>
      </c>
      <c r="H270" s="300" t="n">
        <v>-0.004</v>
      </c>
      <c r="I270" s="291" t="n">
        <v>0.20048</v>
      </c>
      <c r="J270" s="292" t="n">
        <v>26.165916</v>
      </c>
      <c r="K270" s="299" t="n">
        <v>26501.249024</v>
      </c>
      <c r="L270" s="290" t="n">
        <v>201.8712562757486</v>
      </c>
      <c r="M270" s="300" t="n">
        <v>-0.44725121057827</v>
      </c>
      <c r="N270" s="292" t="n">
        <v>13.78098787029307</v>
      </c>
      <c r="O270" s="208" t="inlineStr">
        <is>
          <t>SOLD</t>
        </is>
      </c>
      <c r="P270" s="209" t="inlineStr">
        <is>
          <t>—</t>
        </is>
      </c>
      <c r="Q270" s="208" t="inlineStr">
        <is>
          <t>Sold</t>
        </is>
      </c>
      <c r="R270" s="209" t="n">
        <v>420</v>
      </c>
      <c r="S270" s="210" t="inlineStr">
        <is>
          <t>New Q2-25: 5M sh @~$420 ($2.1B) → Held Q3-Q4-25 → Q1-26: ABEL FULLY EXITED. Buffett initiated &lt;1 yr ago; -3% AH on news</t>
        </is>
      </c>
    </row>
    <row r="271" ht="20" customHeight="1" s="215">
      <c r="A271" s="54" t="n">
        <v>266</v>
      </c>
      <c r="B271" s="55" t="inlineStr">
        <is>
          <t>HCA</t>
        </is>
      </c>
      <c r="C271" s="56" t="inlineStr">
        <is>
          <t>HCA Healthcare</t>
        </is>
      </c>
      <c r="D271" s="57" t="inlineStr">
        <is>
          <t>Medical Care Facilities</t>
        </is>
      </c>
      <c r="E271" s="294" t="n">
        <v>454.88</v>
      </c>
      <c r="F271" s="289" t="n">
        <v>0.05293858</v>
      </c>
      <c r="G271" s="295" t="n">
        <v>100.9104896</v>
      </c>
      <c r="H271" s="289" t="n">
        <v>0.08699999999999999</v>
      </c>
      <c r="I271" s="296" t="n">
        <v>0.42580003</v>
      </c>
      <c r="J271" s="297" t="n">
        <v>15.249079</v>
      </c>
      <c r="K271" s="301" t="n">
        <v>3738.125056</v>
      </c>
      <c r="L271" s="295" t="n">
        <v>42.31900933407076</v>
      </c>
      <c r="M271" s="300" t="n">
        <v>-0.5806282428930881</v>
      </c>
      <c r="N271" s="297" t="n">
        <v>26.9949471224967</v>
      </c>
      <c r="O271" s="207" t="inlineStr">
        <is>
          <t>—</t>
        </is>
      </c>
      <c r="P271" s="207" t="inlineStr">
        <is>
          <t>—</t>
        </is>
      </c>
      <c r="Q271" s="207" t="inlineStr">
        <is>
          <t>—</t>
        </is>
      </c>
      <c r="R271" s="207" t="inlineStr">
        <is>
          <t>—</t>
        </is>
      </c>
      <c r="S271" s="207" t="inlineStr">
        <is>
          <t>—</t>
        </is>
      </c>
    </row>
    <row r="272" ht="20" customHeight="1" s="215">
      <c r="A272" s="50" t="n">
        <v>267</v>
      </c>
      <c r="B272" s="51" t="inlineStr">
        <is>
          <t>SEE</t>
        </is>
      </c>
      <c r="C272" s="52" t="inlineStr">
        <is>
          <t>Sealed Air</t>
        </is>
      </c>
      <c r="D272" s="53" t="inlineStr">
        <is>
          <t>Packaging &amp; Containers</t>
        </is>
      </c>
      <c r="E272" s="311" t="inlineStr">
        <is>
          <t>—</t>
        </is>
      </c>
      <c r="F272" s="308" t="inlineStr">
        <is>
          <t>—</t>
        </is>
      </c>
      <c r="G272" s="307" t="inlineStr">
        <is>
          <t>—</t>
        </is>
      </c>
      <c r="H272" s="308" t="inlineStr">
        <is>
          <t>—</t>
        </is>
      </c>
      <c r="I272" s="308" t="inlineStr">
        <is>
          <t>—</t>
        </is>
      </c>
      <c r="J272" s="309" t="inlineStr">
        <is>
          <t>—</t>
        </is>
      </c>
      <c r="K272" s="306" t="inlineStr">
        <is>
          <t>—</t>
        </is>
      </c>
      <c r="L272" s="307" t="inlineStr">
        <is>
          <t>—</t>
        </is>
      </c>
      <c r="M272" s="308" t="inlineStr">
        <is>
          <t>—</t>
        </is>
      </c>
      <c r="N272" s="309" t="inlineStr">
        <is>
          <t>—</t>
        </is>
      </c>
      <c r="O272" s="206" t="inlineStr">
        <is>
          <t>—</t>
        </is>
      </c>
      <c r="P272" s="206" t="inlineStr">
        <is>
          <t>—</t>
        </is>
      </c>
      <c r="Q272" s="206" t="inlineStr">
        <is>
          <t>—</t>
        </is>
      </c>
      <c r="R272" s="206" t="inlineStr">
        <is>
          <t>—</t>
        </is>
      </c>
      <c r="S272" s="206" t="inlineStr">
        <is>
          <t>—</t>
        </is>
      </c>
    </row>
    <row r="273" ht="20" customHeight="1" s="215">
      <c r="A273" s="54" t="n">
        <v>268</v>
      </c>
      <c r="B273" s="55" t="inlineStr">
        <is>
          <t>CPRT</t>
        </is>
      </c>
      <c r="C273" s="56" t="inlineStr">
        <is>
          <t>Copart</t>
        </is>
      </c>
      <c r="D273" s="57" t="inlineStr">
        <is>
          <t>Specialty Business Services</t>
        </is>
      </c>
      <c r="E273" s="294" t="n">
        <v>27.51</v>
      </c>
      <c r="F273" s="300" t="n">
        <v>-0.39881992</v>
      </c>
      <c r="G273" s="295" t="n">
        <v>25.483350016</v>
      </c>
      <c r="H273" s="289" t="n">
        <v>0.024</v>
      </c>
      <c r="I273" s="296" t="n">
        <v>0.45291</v>
      </c>
      <c r="J273" s="297" t="n">
        <v>17.748388</v>
      </c>
      <c r="K273" s="301" t="n">
        <v>885.121728</v>
      </c>
      <c r="L273" s="295" t="n">
        <v>7.936552424738281</v>
      </c>
      <c r="M273" s="300" t="n">
        <v>-0.6885592977471474</v>
      </c>
      <c r="N273" s="297" t="n">
        <v>28.79078654198398</v>
      </c>
      <c r="O273" s="207" t="inlineStr">
        <is>
          <t>—</t>
        </is>
      </c>
      <c r="P273" s="207" t="inlineStr">
        <is>
          <t>—</t>
        </is>
      </c>
      <c r="Q273" s="207" t="inlineStr">
        <is>
          <t>—</t>
        </is>
      </c>
      <c r="R273" s="207" t="inlineStr">
        <is>
          <t>—</t>
        </is>
      </c>
      <c r="S273" s="207" t="inlineStr">
        <is>
          <t>—</t>
        </is>
      </c>
    </row>
    <row r="274" ht="20" customHeight="1" s="215">
      <c r="A274" s="50" t="n">
        <v>269</v>
      </c>
      <c r="B274" s="51" t="inlineStr">
        <is>
          <t>LYB</t>
        </is>
      </c>
      <c r="C274" s="52" t="inlineStr">
        <is>
          <t>LyondellBasell Industries</t>
        </is>
      </c>
      <c r="D274" s="53" t="inlineStr">
        <is>
          <t>Specialty Chemicals</t>
        </is>
      </c>
      <c r="E274" s="288" t="n">
        <v>63.71</v>
      </c>
      <c r="F274" s="289" t="n">
        <v>0.4092015</v>
      </c>
      <c r="G274" s="290" t="n">
        <v>20.580747264</v>
      </c>
      <c r="H274" s="289" t="n">
        <v>0.198</v>
      </c>
      <c r="I274" s="291" t="n">
        <v>0.12888</v>
      </c>
      <c r="J274" s="292" t="n">
        <v>10.073476</v>
      </c>
      <c r="K274" s="299" t="n">
        <v>1228</v>
      </c>
      <c r="L274" s="290" t="n">
        <v>15.91429027584279</v>
      </c>
      <c r="M274" s="300" t="n">
        <v>-0.2267389482169005</v>
      </c>
      <c r="N274" s="292" t="n">
        <v>16.75956671166124</v>
      </c>
      <c r="O274" s="206" t="inlineStr">
        <is>
          <t>—</t>
        </is>
      </c>
      <c r="P274" s="206" t="inlineStr">
        <is>
          <t>—</t>
        </is>
      </c>
      <c r="Q274" s="206" t="inlineStr">
        <is>
          <t>—</t>
        </is>
      </c>
      <c r="R274" s="206" t="inlineStr">
        <is>
          <t>—</t>
        </is>
      </c>
      <c r="S274" s="206" t="inlineStr">
        <is>
          <t>—</t>
        </is>
      </c>
    </row>
    <row r="275" ht="20" customHeight="1" s="215">
      <c r="A275" s="54" t="n">
        <v>270</v>
      </c>
      <c r="B275" s="55" t="inlineStr">
        <is>
          <t>F</t>
        </is>
      </c>
      <c r="C275" s="56" t="inlineStr">
        <is>
          <t>Ford Motor</t>
        </is>
      </c>
      <c r="D275" s="57" t="inlineStr">
        <is>
          <t>Auto Manufacturers</t>
        </is>
      </c>
      <c r="E275" s="294" t="n">
        <v>12.18</v>
      </c>
      <c r="F275" s="300" t="n">
        <v>-0.030254781</v>
      </c>
      <c r="G275" s="295" t="n">
        <v>48.568918016</v>
      </c>
      <c r="H275" s="300" t="n">
        <v>-0.038</v>
      </c>
      <c r="I275" s="296" t="n">
        <v>0.07115</v>
      </c>
      <c r="J275" s="297" t="n">
        <v>6.2263255</v>
      </c>
      <c r="K275" s="301" t="n">
        <v>-7940.250112</v>
      </c>
      <c r="L275" s="302" t="inlineStr">
        <is>
          <t>—</t>
        </is>
      </c>
      <c r="M275" s="303" t="inlineStr">
        <is>
          <t>—</t>
        </is>
      </c>
      <c r="N275" s="297" t="n">
        <v>-6.008115143159359</v>
      </c>
      <c r="O275" s="207" t="inlineStr">
        <is>
          <t>—</t>
        </is>
      </c>
      <c r="P275" s="207" t="inlineStr">
        <is>
          <t>—</t>
        </is>
      </c>
      <c r="Q275" s="207" t="inlineStr">
        <is>
          <t>—</t>
        </is>
      </c>
      <c r="R275" s="207" t="inlineStr">
        <is>
          <t>—</t>
        </is>
      </c>
      <c r="S275" s="207" t="inlineStr">
        <is>
          <t>—</t>
        </is>
      </c>
    </row>
    <row r="276" ht="20" customHeight="1" s="215">
      <c r="A276" s="50" t="n">
        <v>271</v>
      </c>
      <c r="B276" s="51" t="inlineStr">
        <is>
          <t>HRL</t>
        </is>
      </c>
      <c r="C276" s="52" t="inlineStr">
        <is>
          <t>Hormel Foods</t>
        </is>
      </c>
      <c r="D276" s="53" t="inlineStr">
        <is>
          <t>Packaged Foods</t>
        </is>
      </c>
      <c r="E276" s="288" t="n">
        <v>20.35</v>
      </c>
      <c r="F276" s="300" t="n">
        <v>-0.15490031</v>
      </c>
      <c r="G276" s="290" t="n">
        <v>11.199638528</v>
      </c>
      <c r="H276" s="300" t="n">
        <v>-0.024</v>
      </c>
      <c r="I276" s="291" t="n">
        <v>0.15741</v>
      </c>
      <c r="J276" s="292" t="n">
        <v>32.822582</v>
      </c>
      <c r="K276" s="299" t="n">
        <v>621.551616</v>
      </c>
      <c r="L276" s="290" t="n">
        <v>3.754768675864856</v>
      </c>
      <c r="M276" s="300" t="n">
        <v>-0.664741976584545</v>
      </c>
      <c r="N276" s="292" t="n">
        <v>18.01883945226522</v>
      </c>
      <c r="O276" s="206" t="inlineStr">
        <is>
          <t>—</t>
        </is>
      </c>
      <c r="P276" s="206" t="inlineStr">
        <is>
          <t>—</t>
        </is>
      </c>
      <c r="Q276" s="206" t="inlineStr">
        <is>
          <t>—</t>
        </is>
      </c>
      <c r="R276" s="206" t="inlineStr">
        <is>
          <t>—</t>
        </is>
      </c>
      <c r="S276" s="206" t="inlineStr">
        <is>
          <t>—</t>
        </is>
      </c>
    </row>
    <row r="277" ht="20" customHeight="1" s="215">
      <c r="A277" s="54" t="n">
        <v>272</v>
      </c>
      <c r="B277" s="55" t="inlineStr">
        <is>
          <t>LKQ</t>
        </is>
      </c>
      <c r="C277" s="56" t="inlineStr">
        <is>
          <t>LKQ</t>
        </is>
      </c>
      <c r="D277" s="57" t="inlineStr">
        <is>
          <t>Auto Parts</t>
        </is>
      </c>
      <c r="E277" s="294" t="n">
        <v>21.52</v>
      </c>
      <c r="F277" s="300" t="n">
        <v>-0.2962721</v>
      </c>
      <c r="G277" s="295" t="n">
        <v>5.444604928</v>
      </c>
      <c r="H277" s="300" t="n">
        <v>-0.03</v>
      </c>
      <c r="I277" s="296" t="n">
        <v>0.3834</v>
      </c>
      <c r="J277" s="297" t="n">
        <v>12.089888</v>
      </c>
      <c r="K277" s="301" t="n">
        <v>724.124992</v>
      </c>
      <c r="L277" s="295" t="n">
        <v>3.193860355462279</v>
      </c>
      <c r="M277" s="300" t="n">
        <v>-0.4133898790273661</v>
      </c>
      <c r="N277" s="297" t="n">
        <v>7.518874435865349</v>
      </c>
      <c r="O277" s="207" t="inlineStr">
        <is>
          <t>—</t>
        </is>
      </c>
      <c r="P277" s="207" t="inlineStr">
        <is>
          <t>—</t>
        </is>
      </c>
      <c r="Q277" s="207" t="inlineStr">
        <is>
          <t>—</t>
        </is>
      </c>
      <c r="R277" s="207" t="inlineStr">
        <is>
          <t>—</t>
        </is>
      </c>
      <c r="S277" s="207" t="inlineStr">
        <is>
          <t>—</t>
        </is>
      </c>
    </row>
    <row r="278" ht="20" customHeight="1" s="215">
      <c r="A278" s="50" t="n">
        <v>273</v>
      </c>
      <c r="B278" s="51" t="inlineStr">
        <is>
          <t>RCL</t>
        </is>
      </c>
      <c r="C278" s="52" t="inlineStr">
        <is>
          <t>Royal Caribbean Cruises</t>
        </is>
      </c>
      <c r="D278" s="53" t="inlineStr">
        <is>
          <t>Travel Services</t>
        </is>
      </c>
      <c r="E278" s="288" t="n">
        <v>281.97</v>
      </c>
      <c r="F278" s="300" t="n">
        <v>-0.109887004</v>
      </c>
      <c r="G278" s="290" t="n">
        <v>75.41346304</v>
      </c>
      <c r="H278" s="289" t="n">
        <v>0.065</v>
      </c>
      <c r="I278" s="291" t="n">
        <v>0.50284</v>
      </c>
      <c r="J278" s="292" t="n">
        <v>17.405556</v>
      </c>
      <c r="K278" s="299" t="n">
        <v>-1516.249984</v>
      </c>
      <c r="L278" s="293" t="inlineStr">
        <is>
          <t>—</t>
        </is>
      </c>
      <c r="M278" s="293" t="inlineStr">
        <is>
          <t>—</t>
        </is>
      </c>
      <c r="N278" s="292" t="n">
        <v>-49.7368276479929</v>
      </c>
      <c r="O278" s="206" t="inlineStr">
        <is>
          <t>—</t>
        </is>
      </c>
      <c r="P278" s="206" t="inlineStr">
        <is>
          <t>—</t>
        </is>
      </c>
      <c r="Q278" s="206" t="inlineStr">
        <is>
          <t>—</t>
        </is>
      </c>
      <c r="R278" s="206" t="inlineStr">
        <is>
          <t>—</t>
        </is>
      </c>
      <c r="S278" s="206" t="inlineStr">
        <is>
          <t>—</t>
        </is>
      </c>
    </row>
    <row r="279" ht="20" customHeight="1" s="215">
      <c r="A279" s="54" t="n">
        <v>274</v>
      </c>
      <c r="B279" s="55" t="inlineStr">
        <is>
          <t>APTV</t>
        </is>
      </c>
      <c r="C279" s="56" t="inlineStr">
        <is>
          <t>Aptiv</t>
        </is>
      </c>
      <c r="D279" s="57" t="inlineStr">
        <is>
          <t>Auto Parts</t>
        </is>
      </c>
      <c r="E279" s="294" t="n">
        <v>44.48</v>
      </c>
      <c r="F279" s="300" t="n">
        <v>-0.48031312</v>
      </c>
      <c r="G279" s="295" t="n">
        <v>9.412881408000001</v>
      </c>
      <c r="H279" s="289" t="n">
        <v>0.023</v>
      </c>
      <c r="I279" s="296" t="n">
        <v>0.19251</v>
      </c>
      <c r="J279" s="297" t="n">
        <v>44.039604</v>
      </c>
      <c r="K279" s="301" t="n">
        <v>1615.874944</v>
      </c>
      <c r="L279" s="295" t="n">
        <v>8.799739831465287</v>
      </c>
      <c r="M279" s="300" t="n">
        <v>-0.06513856384226889</v>
      </c>
      <c r="N279" s="297" t="n">
        <v>5.825253418224919</v>
      </c>
      <c r="O279" s="207" t="inlineStr">
        <is>
          <t>—</t>
        </is>
      </c>
      <c r="P279" s="207" t="inlineStr">
        <is>
          <t>—</t>
        </is>
      </c>
      <c r="Q279" s="207" t="inlineStr">
        <is>
          <t>—</t>
        </is>
      </c>
      <c r="R279" s="207" t="inlineStr">
        <is>
          <t>—</t>
        </is>
      </c>
      <c r="S279" s="207" t="inlineStr">
        <is>
          <t>—</t>
        </is>
      </c>
    </row>
    <row r="280" ht="20" customHeight="1" s="215">
      <c r="A280" s="50" t="n">
        <v>275</v>
      </c>
      <c r="B280" s="51" t="inlineStr">
        <is>
          <t>HSIC</t>
        </is>
      </c>
      <c r="C280" s="52" t="inlineStr">
        <is>
          <t>Henry Schein</t>
        </is>
      </c>
      <c r="D280" s="53" t="inlineStr">
        <is>
          <t>Medical Distribution</t>
        </is>
      </c>
      <c r="E280" s="288" t="n">
        <v>83.97</v>
      </c>
      <c r="F280" s="289" t="n">
        <v>0.307333</v>
      </c>
      <c r="G280" s="290" t="n">
        <v>9.565590528</v>
      </c>
      <c r="H280" s="289" t="n">
        <v>0.067</v>
      </c>
      <c r="I280" s="291" t="n">
        <v>0.31319</v>
      </c>
      <c r="J280" s="292" t="n">
        <v>24.481049</v>
      </c>
      <c r="K280" s="299" t="n">
        <v>446</v>
      </c>
      <c r="L280" s="290" t="n">
        <v>4.56859827642128</v>
      </c>
      <c r="M280" s="300" t="n">
        <v>-0.5223924479049914</v>
      </c>
      <c r="N280" s="292" t="n">
        <v>21.44751140199552</v>
      </c>
      <c r="O280" s="206" t="inlineStr">
        <is>
          <t>—</t>
        </is>
      </c>
      <c r="P280" s="206" t="inlineStr">
        <is>
          <t>—</t>
        </is>
      </c>
      <c r="Q280" s="206" t="inlineStr">
        <is>
          <t>—</t>
        </is>
      </c>
      <c r="R280" s="206" t="inlineStr">
        <is>
          <t>—</t>
        </is>
      </c>
      <c r="S280" s="206" t="inlineStr">
        <is>
          <t>—</t>
        </is>
      </c>
    </row>
    <row r="281" ht="20" customHeight="1" s="215">
      <c r="A281" s="54" t="n">
        <v>276</v>
      </c>
      <c r="B281" s="55" t="inlineStr">
        <is>
          <t>NUE</t>
        </is>
      </c>
      <c r="C281" s="56" t="inlineStr">
        <is>
          <t>Nucor</t>
        </is>
      </c>
      <c r="D281" s="57" t="inlineStr">
        <is>
          <t>Steel</t>
        </is>
      </c>
      <c r="E281" s="294" t="n">
        <v>260.73</v>
      </c>
      <c r="F281" s="289" t="n">
        <v>0.8554654</v>
      </c>
      <c r="G281" s="295" t="n">
        <v>59.153297408</v>
      </c>
      <c r="H281" s="289" t="n">
        <v>0.23</v>
      </c>
      <c r="I281" s="296" t="n">
        <v>0.15554</v>
      </c>
      <c r="J281" s="297" t="n">
        <v>20.791866</v>
      </c>
      <c r="K281" s="301" t="n">
        <v>683.3749759999999</v>
      </c>
      <c r="L281" s="295" t="n">
        <v>9.690436491811736</v>
      </c>
      <c r="M281" s="300" t="n">
        <v>-0.8361809583500719</v>
      </c>
      <c r="N281" s="297" t="n">
        <v>86.56052252560094</v>
      </c>
      <c r="O281" s="207" t="inlineStr">
        <is>
          <t>—</t>
        </is>
      </c>
      <c r="P281" s="207" t="inlineStr">
        <is>
          <t>—</t>
        </is>
      </c>
      <c r="Q281" s="207" t="inlineStr">
        <is>
          <t>—</t>
        </is>
      </c>
      <c r="R281" s="207" t="inlineStr">
        <is>
          <t>—</t>
        </is>
      </c>
      <c r="S281" s="207" t="inlineStr">
        <is>
          <t>—</t>
        </is>
      </c>
    </row>
    <row r="282" ht="20" customHeight="1" s="215">
      <c r="A282" s="50" t="n">
        <v>277</v>
      </c>
      <c r="B282" s="51" t="inlineStr">
        <is>
          <t>DHI</t>
        </is>
      </c>
      <c r="C282" s="52" t="inlineStr">
        <is>
          <t>D.R. Horton</t>
        </is>
      </c>
      <c r="D282" s="53" t="inlineStr">
        <is>
          <t>Residential Construction</t>
        </is>
      </c>
      <c r="E282" s="288" t="n">
        <v>135.31</v>
      </c>
      <c r="F282" s="300" t="n">
        <v>-0.14700878</v>
      </c>
      <c r="G282" s="290" t="n">
        <v>37.846380544</v>
      </c>
      <c r="H282" s="291" t="n">
        <v>0</v>
      </c>
      <c r="I282" s="291" t="n">
        <v>0.21298</v>
      </c>
      <c r="J282" s="292" t="n">
        <v>12.898952</v>
      </c>
      <c r="K282" s="299" t="n">
        <v>2413.900032</v>
      </c>
      <c r="L282" s="290" t="n">
        <v>12.41667526788574</v>
      </c>
      <c r="M282" s="300" t="n">
        <v>-0.6719190821048218</v>
      </c>
      <c r="N282" s="292" t="n">
        <v>15.67851938193686</v>
      </c>
      <c r="O282" s="206" t="inlineStr">
        <is>
          <t>—</t>
        </is>
      </c>
      <c r="P282" s="206" t="inlineStr">
        <is>
          <t>—</t>
        </is>
      </c>
      <c r="Q282" s="206" t="inlineStr">
        <is>
          <t>—</t>
        </is>
      </c>
      <c r="R282" s="206" t="inlineStr">
        <is>
          <t>—</t>
        </is>
      </c>
      <c r="S282" s="206" t="inlineStr">
        <is>
          <t>—</t>
        </is>
      </c>
    </row>
    <row r="283" ht="20" customHeight="1" s="215">
      <c r="A283" s="50" t="n">
        <v>278</v>
      </c>
      <c r="B283" s="51" t="inlineStr">
        <is>
          <t>CI</t>
        </is>
      </c>
      <c r="C283" s="52" t="inlineStr">
        <is>
          <t>Cigna</t>
        </is>
      </c>
      <c r="D283" s="53" t="inlineStr">
        <is>
          <t>Healthcare Plans</t>
        </is>
      </c>
      <c r="E283" s="294" t="n">
        <v>298.5</v>
      </c>
      <c r="F283" s="300" t="n">
        <v>-0.029268265</v>
      </c>
      <c r="G283" s="295" t="n">
        <v>78.875787264</v>
      </c>
      <c r="H283" s="289" t="n">
        <v>0.067</v>
      </c>
      <c r="I283" s="296" t="n">
        <v>0.091359995</v>
      </c>
      <c r="J283" s="297" t="n">
        <v>12.339809</v>
      </c>
      <c r="K283" s="301" t="n">
        <v>7980.125184</v>
      </c>
      <c r="L283" s="295" t="n">
        <v>84.90233902852405</v>
      </c>
      <c r="M283" s="289" t="n">
        <v>0.07640559889884814</v>
      </c>
      <c r="N283" s="297" t="n">
        <v>9.884028539946273</v>
      </c>
      <c r="O283" s="207" t="inlineStr">
        <is>
          <t>—</t>
        </is>
      </c>
      <c r="P283" s="207" t="inlineStr">
        <is>
          <t>—</t>
        </is>
      </c>
      <c r="Q283" s="207" t="inlineStr">
        <is>
          <t>—</t>
        </is>
      </c>
      <c r="R283" s="207" t="inlineStr">
        <is>
          <t>—</t>
        </is>
      </c>
      <c r="S283" s="207" t="inlineStr">
        <is>
          <t>—</t>
        </is>
      </c>
    </row>
    <row r="284" ht="20" customHeight="1" s="215">
      <c r="A284" s="54" t="n">
        <v>279</v>
      </c>
      <c r="B284" s="55" t="inlineStr">
        <is>
          <t>FRT</t>
        </is>
      </c>
      <c r="C284" s="56" t="inlineStr">
        <is>
          <t>Federal Realty Investment</t>
        </is>
      </c>
      <c r="D284" s="57" t="inlineStr">
        <is>
          <t>REIT - Retail</t>
        </is>
      </c>
      <c r="E284" s="288" t="n">
        <v>104.77</v>
      </c>
      <c r="F284" s="289" t="n">
        <v>0.04498303</v>
      </c>
      <c r="G284" s="290" t="n">
        <v>9.106440192000001</v>
      </c>
      <c r="H284" s="289" t="n">
        <v>0.07199999999999999</v>
      </c>
      <c r="I284" s="291" t="n">
        <v>0.68136</v>
      </c>
      <c r="J284" s="292" t="n">
        <v>21.165657</v>
      </c>
      <c r="K284" s="299" t="n">
        <v>456.137632</v>
      </c>
      <c r="L284" s="290" t="n">
        <v>1.927214607884152</v>
      </c>
      <c r="M284" s="300" t="n">
        <v>-0.7883679497969791</v>
      </c>
      <c r="N284" s="292" t="n">
        <v>19.84268680048306</v>
      </c>
      <c r="O284" s="206" t="inlineStr">
        <is>
          <t>—</t>
        </is>
      </c>
      <c r="P284" s="206" t="inlineStr">
        <is>
          <t>—</t>
        </is>
      </c>
      <c r="Q284" s="206" t="inlineStr">
        <is>
          <t>—</t>
        </is>
      </c>
      <c r="R284" s="206" t="inlineStr">
        <is>
          <t>—</t>
        </is>
      </c>
      <c r="S284" s="206" t="inlineStr">
        <is>
          <t>—</t>
        </is>
      </c>
    </row>
    <row r="285" ht="20" customHeight="1" s="215">
      <c r="A285" s="50" t="n">
        <v>280</v>
      </c>
      <c r="B285" s="51" t="inlineStr">
        <is>
          <t>UAL</t>
        </is>
      </c>
      <c r="C285" s="52" t="inlineStr">
        <is>
          <t>United Airlines Holdings</t>
        </is>
      </c>
      <c r="D285" s="53" t="inlineStr">
        <is>
          <t>Airlines</t>
        </is>
      </c>
      <c r="E285" s="294" t="n">
        <v>95.59999999999999</v>
      </c>
      <c r="F285" s="300" t="n">
        <v>-0.045050442</v>
      </c>
      <c r="G285" s="295" t="n">
        <v>31.030208512</v>
      </c>
      <c r="H285" s="289" t="n">
        <v>0.16</v>
      </c>
      <c r="I285" s="296" t="n">
        <v>0.31816</v>
      </c>
      <c r="J285" s="297" t="n">
        <v>8.951309999999999</v>
      </c>
      <c r="K285" s="301" t="n">
        <v>910.124992</v>
      </c>
      <c r="L285" s="295" t="n">
        <v>20.53153143916696</v>
      </c>
      <c r="M285" s="300" t="n">
        <v>-0.3383373034303973</v>
      </c>
      <c r="N285" s="297" t="n">
        <v>34.09444732971358</v>
      </c>
      <c r="O285" s="207" t="inlineStr">
        <is>
          <t>—</t>
        </is>
      </c>
      <c r="P285" s="207" t="inlineStr">
        <is>
          <t>—</t>
        </is>
      </c>
      <c r="Q285" s="207" t="inlineStr">
        <is>
          <t>—</t>
        </is>
      </c>
      <c r="R285" s="207" t="inlineStr">
        <is>
          <t>—</t>
        </is>
      </c>
      <c r="S285" s="207" t="inlineStr">
        <is>
          <t>—</t>
        </is>
      </c>
    </row>
    <row r="286" ht="20" customHeight="1" s="215">
      <c r="A286" s="54" t="n">
        <v>281</v>
      </c>
      <c r="B286" s="55" t="inlineStr">
        <is>
          <t>BWA</t>
        </is>
      </c>
      <c r="C286" s="56" t="inlineStr">
        <is>
          <t>BorgWarner</t>
        </is>
      </c>
      <c r="D286" s="57" t="inlineStr">
        <is>
          <t>Auto Parts</t>
        </is>
      </c>
      <c r="E286" s="288" t="n">
        <v>58.23</v>
      </c>
      <c r="F286" s="289" t="n">
        <v>0.32975566</v>
      </c>
      <c r="G286" s="290" t="n">
        <v>11.85949184</v>
      </c>
      <c r="H286" s="289" t="n">
        <v>0.003</v>
      </c>
      <c r="I286" s="291" t="n">
        <v>0.19325</v>
      </c>
      <c r="J286" s="292" t="n">
        <v>29.115</v>
      </c>
      <c r="K286" s="299" t="n">
        <v>1066.249984</v>
      </c>
      <c r="L286" s="290" t="n">
        <v>6.57605585051431</v>
      </c>
      <c r="M286" s="300" t="n">
        <v>-0.4455027298611211</v>
      </c>
      <c r="N286" s="292" t="n">
        <v>11.12261849602054</v>
      </c>
      <c r="O286" s="206" t="inlineStr">
        <is>
          <t>—</t>
        </is>
      </c>
      <c r="P286" s="206" t="inlineStr">
        <is>
          <t>—</t>
        </is>
      </c>
      <c r="Q286" s="206" t="inlineStr">
        <is>
          <t>—</t>
        </is>
      </c>
      <c r="R286" s="206" t="inlineStr">
        <is>
          <t>—</t>
        </is>
      </c>
      <c r="S286" s="206" t="inlineStr">
        <is>
          <t>—</t>
        </is>
      </c>
    </row>
    <row r="287" ht="20" customHeight="1" s="215">
      <c r="A287" s="50" t="n">
        <v>282</v>
      </c>
      <c r="B287" s="51" t="inlineStr">
        <is>
          <t>IRM</t>
        </is>
      </c>
      <c r="C287" s="52" t="inlineStr">
        <is>
          <t>Iron Mountain</t>
        </is>
      </c>
      <c r="D287" s="53" t="inlineStr">
        <is>
          <t>REIT - Specialty</t>
        </is>
      </c>
      <c r="E287" s="294" t="n">
        <v>111.55</v>
      </c>
      <c r="F287" s="289" t="n">
        <v>0.06838429</v>
      </c>
      <c r="G287" s="295" t="n">
        <v>33.20875008</v>
      </c>
      <c r="H287" s="289" t="n">
        <v>0.185</v>
      </c>
      <c r="I287" s="296" t="n">
        <v>0.5421</v>
      </c>
      <c r="J287" s="297" t="n">
        <v>79.67856999999999</v>
      </c>
      <c r="K287" s="301" t="n">
        <v>-436.093504</v>
      </c>
      <c r="L287" s="298" t="inlineStr">
        <is>
          <t>—</t>
        </is>
      </c>
      <c r="M287" s="298" t="inlineStr">
        <is>
          <t>—</t>
        </is>
      </c>
      <c r="N287" s="297" t="n">
        <v>-76.1505236239428</v>
      </c>
      <c r="O287" s="207" t="inlineStr">
        <is>
          <t>—</t>
        </is>
      </c>
      <c r="P287" s="207" t="inlineStr">
        <is>
          <t>—</t>
        </is>
      </c>
      <c r="Q287" s="207" t="inlineStr">
        <is>
          <t>—</t>
        </is>
      </c>
      <c r="R287" s="207" t="inlineStr">
        <is>
          <t>—</t>
        </is>
      </c>
      <c r="S287" s="207" t="inlineStr">
        <is>
          <t>—</t>
        </is>
      </c>
    </row>
    <row r="288" ht="20" customHeight="1" s="215">
      <c r="A288" s="54" t="n">
        <v>283</v>
      </c>
      <c r="B288" s="55" t="inlineStr">
        <is>
          <t>TGT</t>
        </is>
      </c>
      <c r="C288" s="56" t="inlineStr">
        <is>
          <t>Target</t>
        </is>
      </c>
      <c r="D288" s="57" t="inlineStr">
        <is>
          <t>Discount Stores</t>
        </is>
      </c>
      <c r="E288" s="288" t="n">
        <v>153.29</v>
      </c>
      <c r="F288" s="289" t="n">
        <v>0.6238347</v>
      </c>
      <c r="G288" s="290" t="n">
        <v>69.638332416</v>
      </c>
      <c r="H288" s="289" t="n">
        <v>0.053</v>
      </c>
      <c r="I288" s="291" t="n">
        <v>0.2838</v>
      </c>
      <c r="J288" s="292" t="n">
        <v>15.917964</v>
      </c>
      <c r="K288" s="299" t="n">
        <v>3432.999936</v>
      </c>
      <c r="L288" s="290" t="n">
        <v>29.76699072143105</v>
      </c>
      <c r="M288" s="300" t="n">
        <v>-0.572548771794084</v>
      </c>
      <c r="N288" s="292" t="n">
        <v>20.28498087821986</v>
      </c>
      <c r="O288" s="206" t="inlineStr">
        <is>
          <t>—</t>
        </is>
      </c>
      <c r="P288" s="206" t="inlineStr">
        <is>
          <t>—</t>
        </is>
      </c>
      <c r="Q288" s="206" t="inlineStr">
        <is>
          <t>—</t>
        </is>
      </c>
      <c r="R288" s="206" t="inlineStr">
        <is>
          <t>—</t>
        </is>
      </c>
      <c r="S288" s="206" t="inlineStr">
        <is>
          <t>—</t>
        </is>
      </c>
    </row>
    <row r="289" ht="20" customHeight="1" s="215">
      <c r="A289" s="50" t="n">
        <v>284</v>
      </c>
      <c r="B289" s="51" t="inlineStr">
        <is>
          <t>DG</t>
        </is>
      </c>
      <c r="C289" s="52" t="inlineStr">
        <is>
          <t>Dollar General</t>
        </is>
      </c>
      <c r="D289" s="53" t="inlineStr">
        <is>
          <t>Discount Stores</t>
        </is>
      </c>
      <c r="E289" s="294" t="n">
        <v>133.27</v>
      </c>
      <c r="F289" s="289" t="n">
        <v>0.263103</v>
      </c>
      <c r="G289" s="295" t="n">
        <v>29.4016</v>
      </c>
      <c r="H289" s="289" t="n">
        <v>0.052</v>
      </c>
      <c r="I289" s="296" t="n">
        <v>0.31160998</v>
      </c>
      <c r="J289" s="297" t="n">
        <v>17.307793</v>
      </c>
      <c r="K289" s="301" t="n">
        <v>1738.019712</v>
      </c>
      <c r="L289" s="295" t="n">
        <v>14.21402675071491</v>
      </c>
      <c r="M289" s="300" t="n">
        <v>-0.516556012233521</v>
      </c>
      <c r="N289" s="297" t="n">
        <v>16.9167239015181</v>
      </c>
      <c r="O289" s="207" t="inlineStr">
        <is>
          <t>—</t>
        </is>
      </c>
      <c r="P289" s="207" t="inlineStr">
        <is>
          <t>—</t>
        </is>
      </c>
      <c r="Q289" s="207" t="inlineStr">
        <is>
          <t>—</t>
        </is>
      </c>
      <c r="R289" s="207" t="inlineStr">
        <is>
          <t>—</t>
        </is>
      </c>
      <c r="S289" s="207" t="inlineStr">
        <is>
          <t>—</t>
        </is>
      </c>
    </row>
    <row r="290" ht="20" customHeight="1" s="215">
      <c r="A290" s="54" t="n">
        <v>285</v>
      </c>
      <c r="B290" s="55" t="inlineStr">
        <is>
          <t>GD</t>
        </is>
      </c>
      <c r="C290" s="56" t="inlineStr">
        <is>
          <t>General Dynamics</t>
        </is>
      </c>
      <c r="D290" s="57" t="inlineStr">
        <is>
          <t>Aerospace &amp; Defense</t>
        </is>
      </c>
      <c r="E290" s="288" t="n">
        <v>341.43</v>
      </c>
      <c r="F290" s="289" t="n">
        <v>0.0021721125</v>
      </c>
      <c r="G290" s="290" t="n">
        <v>92.376334336</v>
      </c>
      <c r="H290" s="289" t="n">
        <v>0.081</v>
      </c>
      <c r="I290" s="291" t="n">
        <v>0.15375</v>
      </c>
      <c r="J290" s="292" t="n">
        <v>20.831606</v>
      </c>
      <c r="K290" s="299" t="n">
        <v>4400.124928</v>
      </c>
      <c r="L290" s="290" t="n">
        <v>73.54273907715196</v>
      </c>
      <c r="M290" s="300" t="n">
        <v>-0.2038790063951303</v>
      </c>
      <c r="N290" s="292" t="n">
        <v>20.99402735159114</v>
      </c>
      <c r="O290" s="206" t="inlineStr">
        <is>
          <t>—</t>
        </is>
      </c>
      <c r="P290" s="206" t="inlineStr">
        <is>
          <t>—</t>
        </is>
      </c>
      <c r="Q290" s="206" t="inlineStr">
        <is>
          <t>—</t>
        </is>
      </c>
      <c r="R290" s="206" t="inlineStr">
        <is>
          <t>—</t>
        </is>
      </c>
      <c r="S290" s="206" t="inlineStr">
        <is>
          <t>—</t>
        </is>
      </c>
    </row>
    <row r="291" ht="20" customHeight="1" s="215">
      <c r="A291" s="50" t="n">
        <v>286</v>
      </c>
      <c r="B291" s="51" t="inlineStr">
        <is>
          <t>TXT</t>
        </is>
      </c>
      <c r="C291" s="52" t="inlineStr">
        <is>
          <t>Textron</t>
        </is>
      </c>
      <c r="D291" s="53" t="inlineStr">
        <is>
          <t>Aerospace &amp; Defense</t>
        </is>
      </c>
      <c r="E291" s="294" t="n">
        <v>76.2</v>
      </c>
      <c r="F291" s="300" t="n">
        <v>-0.08214891000000001</v>
      </c>
      <c r="G291" s="295" t="n">
        <v>13.25033984</v>
      </c>
      <c r="H291" s="289" t="n">
        <v>0.03</v>
      </c>
      <c r="I291" s="296" t="n">
        <v>0.17628999</v>
      </c>
      <c r="J291" s="297" t="n">
        <v>14.350282</v>
      </c>
      <c r="K291" s="301" t="n">
        <v>452.750016</v>
      </c>
      <c r="L291" s="295" t="n">
        <v>6.565522019894446</v>
      </c>
      <c r="M291" s="300" t="n">
        <v>-0.5045016128511278</v>
      </c>
      <c r="N291" s="297" t="n">
        <v>29.26634982647908</v>
      </c>
      <c r="O291" s="207" t="inlineStr">
        <is>
          <t>—</t>
        </is>
      </c>
      <c r="P291" s="207" t="inlineStr">
        <is>
          <t>—</t>
        </is>
      </c>
      <c r="Q291" s="207" t="inlineStr">
        <is>
          <t>—</t>
        </is>
      </c>
      <c r="R291" s="207" t="inlineStr">
        <is>
          <t>—</t>
        </is>
      </c>
      <c r="S291" s="207" t="inlineStr">
        <is>
          <t>—</t>
        </is>
      </c>
    </row>
    <row r="292" ht="20" customHeight="1" s="215">
      <c r="A292" s="54" t="n">
        <v>287</v>
      </c>
      <c r="B292" s="55" t="inlineStr">
        <is>
          <t>CHRW</t>
        </is>
      </c>
      <c r="C292" s="56" t="inlineStr">
        <is>
          <t>C.H. Robinson Worldwide</t>
        </is>
      </c>
      <c r="D292" s="57" t="inlineStr">
        <is>
          <t>Integrated Freight &amp; Logistics</t>
        </is>
      </c>
      <c r="E292" s="288" t="n">
        <v>138.85</v>
      </c>
      <c r="F292" s="289" t="n">
        <v>0.08239794</v>
      </c>
      <c r="G292" s="290" t="n">
        <v>16.196637696</v>
      </c>
      <c r="H292" s="289" t="n">
        <v>0.193</v>
      </c>
      <c r="I292" s="291" t="n">
        <v>0.08447</v>
      </c>
      <c r="J292" s="292" t="n">
        <v>26.498095</v>
      </c>
      <c r="K292" s="299" t="n">
        <v>480.618368</v>
      </c>
      <c r="L292" s="290" t="n">
        <v>5.059465158300889</v>
      </c>
      <c r="M292" s="300" t="n">
        <v>-0.6876225020733533</v>
      </c>
      <c r="N292" s="292" t="n">
        <v>33.69957913697547</v>
      </c>
      <c r="O292" s="206" t="inlineStr">
        <is>
          <t>—</t>
        </is>
      </c>
      <c r="P292" s="206" t="inlineStr">
        <is>
          <t>—</t>
        </is>
      </c>
      <c r="Q292" s="206" t="inlineStr">
        <is>
          <t>—</t>
        </is>
      </c>
      <c r="R292" s="206" t="inlineStr">
        <is>
          <t>—</t>
        </is>
      </c>
      <c r="S292" s="206" t="inlineStr">
        <is>
          <t>—</t>
        </is>
      </c>
    </row>
    <row r="293" ht="20" customHeight="1" s="215">
      <c r="A293" s="50" t="n">
        <v>288</v>
      </c>
      <c r="B293" s="51" t="inlineStr">
        <is>
          <t>MAR</t>
        </is>
      </c>
      <c r="C293" s="52" t="inlineStr">
        <is>
          <t>Marriott Intl</t>
        </is>
      </c>
      <c r="D293" s="53" t="inlineStr">
        <is>
          <t>Lodging</t>
        </is>
      </c>
      <c r="E293" s="294" t="n">
        <v>390.7</v>
      </c>
      <c r="F293" s="289" t="n">
        <v>0.45550048</v>
      </c>
      <c r="G293" s="295" t="n">
        <v>101.881389056</v>
      </c>
      <c r="H293" s="289" t="n">
        <v>0.111</v>
      </c>
      <c r="I293" s="296" t="n">
        <v>0.79241997</v>
      </c>
      <c r="J293" s="297" t="n">
        <v>40.40331</v>
      </c>
      <c r="K293" s="301" t="n">
        <v>2060.37504</v>
      </c>
      <c r="L293" s="295" t="n">
        <v>16.79172685704405</v>
      </c>
      <c r="M293" s="300" t="n">
        <v>-0.8351835697114972</v>
      </c>
      <c r="N293" s="297" t="n">
        <v>49.44798240304833</v>
      </c>
      <c r="O293" s="207" t="inlineStr">
        <is>
          <t>—</t>
        </is>
      </c>
      <c r="P293" s="207" t="inlineStr">
        <is>
          <t>—</t>
        </is>
      </c>
      <c r="Q293" s="207" t="inlineStr">
        <is>
          <t>—</t>
        </is>
      </c>
      <c r="R293" s="207" t="inlineStr">
        <is>
          <t>—</t>
        </is>
      </c>
      <c r="S293" s="207" t="inlineStr">
        <is>
          <t>—</t>
        </is>
      </c>
    </row>
    <row r="294" ht="20" customHeight="1" s="215">
      <c r="A294" s="54" t="n">
        <v>289</v>
      </c>
      <c r="B294" s="55" t="inlineStr">
        <is>
          <t>L</t>
        </is>
      </c>
      <c r="C294" s="56" t="inlineStr">
        <is>
          <t>Loews</t>
        </is>
      </c>
      <c r="D294" s="57" t="inlineStr">
        <is>
          <t>Insurance - Property &amp; Casualty</t>
        </is>
      </c>
      <c r="E294" s="288" t="n">
        <v>110.23</v>
      </c>
      <c r="F294" s="289" t="n">
        <v>0.10850763</v>
      </c>
      <c r="G294" s="290" t="n">
        <v>22.534068224</v>
      </c>
      <c r="H294" s="289" t="n">
        <v>0.039</v>
      </c>
      <c r="I294" s="291" t="n">
        <v>0.36290002</v>
      </c>
      <c r="J294" s="292" t="n">
        <v>13.508579</v>
      </c>
      <c r="K294" s="299" t="n">
        <v>1262</v>
      </c>
      <c r="L294" s="290" t="n">
        <v>11.93024234029288</v>
      </c>
      <c r="M294" s="300" t="n">
        <v>-0.4705686420356833</v>
      </c>
      <c r="N294" s="292" t="n">
        <v>17.8558380155309</v>
      </c>
      <c r="O294" s="206" t="inlineStr">
        <is>
          <t>—</t>
        </is>
      </c>
      <c r="P294" s="206" t="inlineStr">
        <is>
          <t>—</t>
        </is>
      </c>
      <c r="Q294" s="206" t="inlineStr">
        <is>
          <t>—</t>
        </is>
      </c>
      <c r="R294" s="206" t="inlineStr">
        <is>
          <t>—</t>
        </is>
      </c>
      <c r="S294" s="206" t="inlineStr">
        <is>
          <t>—</t>
        </is>
      </c>
    </row>
    <row r="295" ht="20" customHeight="1" s="215">
      <c r="A295" s="50" t="n">
        <v>290</v>
      </c>
      <c r="B295" s="51" t="inlineStr">
        <is>
          <t>CDW</t>
        </is>
      </c>
      <c r="C295" s="52" t="inlineStr">
        <is>
          <t>CDW</t>
        </is>
      </c>
      <c r="D295" s="53" t="inlineStr">
        <is>
          <t>Information Technology Services</t>
        </is>
      </c>
      <c r="E295" s="294" t="n">
        <v>152.645</v>
      </c>
      <c r="F295" s="300" t="n">
        <v>-0.024787605</v>
      </c>
      <c r="G295" s="295" t="n">
        <v>19.08328448</v>
      </c>
      <c r="H295" s="289" t="n">
        <v>0.1</v>
      </c>
      <c r="I295" s="296" t="n">
        <v>0.21360001</v>
      </c>
      <c r="J295" s="297" t="n">
        <v>18.346756</v>
      </c>
      <c r="K295" s="301" t="n">
        <v>676.78752</v>
      </c>
      <c r="L295" s="295" t="n">
        <v>6.234832397782824</v>
      </c>
      <c r="M295" s="300" t="n">
        <v>-0.6732830554238626</v>
      </c>
      <c r="N295" s="297" t="n">
        <v>28.19686301510111</v>
      </c>
      <c r="O295" s="207" t="inlineStr">
        <is>
          <t>—</t>
        </is>
      </c>
      <c r="P295" s="207" t="inlineStr">
        <is>
          <t>—</t>
        </is>
      </c>
      <c r="Q295" s="207" t="inlineStr">
        <is>
          <t>—</t>
        </is>
      </c>
      <c r="R295" s="207" t="inlineStr">
        <is>
          <t>—</t>
        </is>
      </c>
      <c r="S295" s="207" t="inlineStr">
        <is>
          <t>—</t>
        </is>
      </c>
    </row>
    <row r="296" ht="20" customHeight="1" s="215">
      <c r="A296" s="54" t="n">
        <v>291</v>
      </c>
      <c r="B296" s="55" t="inlineStr">
        <is>
          <t>EVRG</t>
        </is>
      </c>
      <c r="C296" s="56" t="inlineStr">
        <is>
          <t>Evergy</t>
        </is>
      </c>
      <c r="D296" s="57" t="inlineStr">
        <is>
          <t>Utilities - Regulated Electric</t>
        </is>
      </c>
      <c r="E296" s="288" t="n">
        <v>81.69</v>
      </c>
      <c r="F296" s="289" t="n">
        <v>0.04569888</v>
      </c>
      <c r="G296" s="290" t="n">
        <v>18.835032064</v>
      </c>
      <c r="H296" s="289" t="n">
        <v>0.044</v>
      </c>
      <c r="I296" s="291" t="n">
        <v>0.52696997</v>
      </c>
      <c r="J296" s="292" t="n">
        <v>20.78626</v>
      </c>
      <c r="K296" s="299" t="n">
        <v>-1443.36256</v>
      </c>
      <c r="L296" s="293" t="inlineStr">
        <is>
          <t>—</t>
        </is>
      </c>
      <c r="M296" s="293" t="inlineStr">
        <is>
          <t>—</t>
        </is>
      </c>
      <c r="N296" s="292" t="n">
        <v>-13.04941170199122</v>
      </c>
      <c r="O296" s="206" t="inlineStr">
        <is>
          <t>—</t>
        </is>
      </c>
      <c r="P296" s="206" t="inlineStr">
        <is>
          <t>—</t>
        </is>
      </c>
      <c r="Q296" s="206" t="inlineStr">
        <is>
          <t>—</t>
        </is>
      </c>
      <c r="R296" s="206" t="inlineStr">
        <is>
          <t>—</t>
        </is>
      </c>
      <c r="S296" s="206" t="inlineStr">
        <is>
          <t>—</t>
        </is>
      </c>
    </row>
    <row r="297" ht="20" customHeight="1" s="215">
      <c r="A297" s="54" t="n">
        <v>292</v>
      </c>
      <c r="B297" s="55" t="inlineStr">
        <is>
          <t>AMD</t>
        </is>
      </c>
      <c r="C297" s="56" t="inlineStr">
        <is>
          <t>Advanced Micro Devices</t>
        </is>
      </c>
      <c r="D297" s="57" t="inlineStr">
        <is>
          <t>Semiconductors</t>
        </is>
      </c>
      <c r="E297" s="294" t="n">
        <v>538.05</v>
      </c>
      <c r="F297" s="289" t="n">
        <v>1.2604294</v>
      </c>
      <c r="G297" s="295" t="n">
        <v>878.3531868159999</v>
      </c>
      <c r="H297" s="289" t="n">
        <v>0.501</v>
      </c>
      <c r="I297" s="296" t="n">
        <v>0.55724</v>
      </c>
      <c r="J297" s="297" t="n">
        <v>137.25764</v>
      </c>
      <c r="K297" s="301" t="n">
        <v>8841.499648000001</v>
      </c>
      <c r="L297" s="295" t="n">
        <v>99.95337513112098</v>
      </c>
      <c r="M297" s="300" t="n">
        <v>-0.8862036631375488</v>
      </c>
      <c r="N297" s="297" t="n">
        <v>99.34436818609032</v>
      </c>
      <c r="O297" s="207" t="inlineStr">
        <is>
          <t>—</t>
        </is>
      </c>
      <c r="P297" s="207" t="inlineStr">
        <is>
          <t>—</t>
        </is>
      </c>
      <c r="Q297" s="207" t="inlineStr">
        <is>
          <t>—</t>
        </is>
      </c>
      <c r="R297" s="207" t="inlineStr">
        <is>
          <t>—</t>
        </is>
      </c>
      <c r="S297" s="207" t="inlineStr">
        <is>
          <t>—</t>
        </is>
      </c>
    </row>
    <row r="298" ht="20" customHeight="1" s="215">
      <c r="A298" s="50" t="n">
        <v>293</v>
      </c>
      <c r="B298" s="51" t="inlineStr">
        <is>
          <t>BBY</t>
        </is>
      </c>
      <c r="C298" s="52" t="inlineStr">
        <is>
          <t>Best Buy Co</t>
        </is>
      </c>
      <c r="D298" s="53" t="inlineStr">
        <is>
          <t>Specialty Retail</t>
        </is>
      </c>
      <c r="E298" s="288" t="n">
        <v>91.13</v>
      </c>
      <c r="F298" s="289" t="n">
        <v>0.102467895</v>
      </c>
      <c r="G298" s="290" t="n">
        <v>19.112484864</v>
      </c>
      <c r="H298" s="289" t="n">
        <v>0.036</v>
      </c>
      <c r="I298" s="291" t="n">
        <v>0.22597</v>
      </c>
      <c r="J298" s="292" t="n">
        <v>15.16306</v>
      </c>
      <c r="K298" s="299" t="n">
        <v>1403.374976</v>
      </c>
      <c r="L298" s="290" t="n">
        <v>9.293805873089175</v>
      </c>
      <c r="M298" s="300" t="n">
        <v>-0.5137311584955208</v>
      </c>
      <c r="N298" s="292" t="n">
        <v>13.61894393558005</v>
      </c>
      <c r="O298" s="206" t="inlineStr">
        <is>
          <t>—</t>
        </is>
      </c>
      <c r="P298" s="206" t="inlineStr">
        <is>
          <t>—</t>
        </is>
      </c>
      <c r="Q298" s="206" t="inlineStr">
        <is>
          <t>—</t>
        </is>
      </c>
      <c r="R298" s="206" t="inlineStr">
        <is>
          <t>—</t>
        </is>
      </c>
      <c r="S298" s="206" t="inlineStr">
        <is>
          <t>—</t>
        </is>
      </c>
    </row>
    <row r="299" ht="20" customHeight="1" s="215">
      <c r="A299" s="54" t="n">
        <v>294</v>
      </c>
      <c r="B299" s="55" t="inlineStr">
        <is>
          <t>HAL</t>
        </is>
      </c>
      <c r="C299" s="56" t="inlineStr">
        <is>
          <t>Halliburton</t>
        </is>
      </c>
      <c r="D299" s="57" t="inlineStr">
        <is>
          <t>Oil &amp; Gas Equipment &amp; Services</t>
        </is>
      </c>
      <c r="E299" s="294" t="n">
        <v>32.98</v>
      </c>
      <c r="F299" s="289" t="n">
        <v>0.30665612</v>
      </c>
      <c r="G299" s="295" t="n">
        <v>27.551418368</v>
      </c>
      <c r="H299" s="289" t="n">
        <v>0.037</v>
      </c>
      <c r="I299" s="296" t="n">
        <v>0.15076</v>
      </c>
      <c r="J299" s="297" t="n">
        <v>17.357895</v>
      </c>
      <c r="K299" s="301" t="n">
        <v>2052.249984</v>
      </c>
      <c r="L299" s="295" t="n">
        <v>34.20842436878777</v>
      </c>
      <c r="M299" s="289" t="n">
        <v>0.2416211721614903</v>
      </c>
      <c r="N299" s="297" t="n">
        <v>13.42498112564244</v>
      </c>
      <c r="O299" s="207" t="inlineStr">
        <is>
          <t>—</t>
        </is>
      </c>
      <c r="P299" s="207" t="inlineStr">
        <is>
          <t>—</t>
        </is>
      </c>
      <c r="Q299" s="207" t="inlineStr">
        <is>
          <t>—</t>
        </is>
      </c>
      <c r="R299" s="207" t="inlineStr">
        <is>
          <t>—</t>
        </is>
      </c>
      <c r="S299" s="207" t="inlineStr">
        <is>
          <t>—</t>
        </is>
      </c>
    </row>
    <row r="300" ht="20" customHeight="1" s="215">
      <c r="A300" s="50" t="n">
        <v>295</v>
      </c>
      <c r="B300" s="51" t="inlineStr">
        <is>
          <t>HII</t>
        </is>
      </c>
      <c r="C300" s="52" t="inlineStr">
        <is>
          <t>Huntington Ingalls Indus</t>
        </is>
      </c>
      <c r="D300" s="53" t="inlineStr">
        <is>
          <t>Aerospace &amp; Defense</t>
        </is>
      </c>
      <c r="E300" s="288" t="n">
        <v>269.64</v>
      </c>
      <c r="F300" s="300" t="n">
        <v>-0.06221962</v>
      </c>
      <c r="G300" s="290" t="n">
        <v>10.625056768</v>
      </c>
      <c r="H300" s="289" t="n">
        <v>0.109</v>
      </c>
      <c r="I300" s="291" t="n">
        <v>0.124</v>
      </c>
      <c r="J300" s="292" t="n">
        <v>16.06913</v>
      </c>
      <c r="K300" s="299" t="n">
        <v>-300.249984</v>
      </c>
      <c r="L300" s="307" t="inlineStr">
        <is>
          <t>—</t>
        </is>
      </c>
      <c r="M300" s="308" t="inlineStr">
        <is>
          <t>—</t>
        </is>
      </c>
      <c r="N300" s="292" t="n">
        <v>-35.38736509881046</v>
      </c>
      <c r="O300" s="206" t="inlineStr">
        <is>
          <t>—</t>
        </is>
      </c>
      <c r="P300" s="206" t="inlineStr">
        <is>
          <t>—</t>
        </is>
      </c>
      <c r="Q300" s="206" t="inlineStr">
        <is>
          <t>—</t>
        </is>
      </c>
      <c r="R300" s="206" t="inlineStr">
        <is>
          <t>—</t>
        </is>
      </c>
      <c r="S300" s="206" t="inlineStr">
        <is>
          <t>—</t>
        </is>
      </c>
    </row>
    <row r="301" ht="20" customHeight="1" s="215">
      <c r="A301" s="50" t="n">
        <v>296</v>
      </c>
      <c r="B301" s="51" t="inlineStr">
        <is>
          <t>CBRE</t>
        </is>
      </c>
      <c r="C301" s="52" t="inlineStr">
        <is>
          <t>CBRE Group</t>
        </is>
      </c>
      <c r="D301" s="53" t="inlineStr">
        <is>
          <t>Real Estate Services</t>
        </is>
      </c>
      <c r="E301" s="294" t="n">
        <v>130.77</v>
      </c>
      <c r="F301" s="300" t="n">
        <v>-0.18715811</v>
      </c>
      <c r="G301" s="295" t="n">
        <v>37.867761664</v>
      </c>
      <c r="H301" s="289" t="n">
        <v>0.155</v>
      </c>
      <c r="I301" s="296" t="n">
        <v>0.18574</v>
      </c>
      <c r="J301" s="297" t="n">
        <v>29.924486</v>
      </c>
      <c r="K301" s="301" t="n">
        <v>1637.62496</v>
      </c>
      <c r="L301" s="295" t="n">
        <v>6.480108413385091</v>
      </c>
      <c r="M301" s="300" t="n">
        <v>-0.8288753248506479</v>
      </c>
      <c r="N301" s="297" t="n">
        <v>23.12358607398119</v>
      </c>
      <c r="O301" s="207" t="inlineStr">
        <is>
          <t>—</t>
        </is>
      </c>
      <c r="P301" s="207" t="inlineStr">
        <is>
          <t>—</t>
        </is>
      </c>
      <c r="Q301" s="207" t="inlineStr">
        <is>
          <t>—</t>
        </is>
      </c>
      <c r="R301" s="207" t="inlineStr">
        <is>
          <t>—</t>
        </is>
      </c>
      <c r="S301" s="207" t="inlineStr">
        <is>
          <t>—</t>
        </is>
      </c>
    </row>
    <row r="302" ht="20" customHeight="1" s="215">
      <c r="A302" s="54" t="n">
        <v>297</v>
      </c>
      <c r="B302" s="55" t="inlineStr">
        <is>
          <t>BKR</t>
        </is>
      </c>
      <c r="C302" s="56" t="inlineStr">
        <is>
          <t>Baker Hughes</t>
        </is>
      </c>
      <c r="D302" s="57" t="inlineStr">
        <is>
          <t>Oil &amp; Gas Equipment &amp; Services</t>
        </is>
      </c>
      <c r="E302" s="288" t="n">
        <v>55.81</v>
      </c>
      <c r="F302" s="289" t="n">
        <v>0.19379675</v>
      </c>
      <c r="G302" s="290" t="n">
        <v>55.401140224</v>
      </c>
      <c r="H302" s="300" t="n">
        <v>-0.024</v>
      </c>
      <c r="I302" s="291" t="n">
        <v>0.23657</v>
      </c>
      <c r="J302" s="292" t="n">
        <v>17.94534</v>
      </c>
      <c r="K302" s="299" t="n">
        <v>4415.000064</v>
      </c>
      <c r="L302" s="290" t="n">
        <v>62.71704914007</v>
      </c>
      <c r="M302" s="289" t="n">
        <v>0.132053399740331</v>
      </c>
      <c r="N302" s="292" t="n">
        <v>12.54838937699051</v>
      </c>
      <c r="O302" s="206" t="inlineStr">
        <is>
          <t>—</t>
        </is>
      </c>
      <c r="P302" s="206" t="inlineStr">
        <is>
          <t>—</t>
        </is>
      </c>
      <c r="Q302" s="206" t="inlineStr">
        <is>
          <t>—</t>
        </is>
      </c>
      <c r="R302" s="206" t="inlineStr">
        <is>
          <t>—</t>
        </is>
      </c>
      <c r="S302" s="206" t="inlineStr">
        <is>
          <t>—</t>
        </is>
      </c>
    </row>
    <row r="303" ht="20" customHeight="1" s="215">
      <c r="A303" s="50" t="n">
        <v>298</v>
      </c>
      <c r="B303" s="51" t="inlineStr">
        <is>
          <t>LOW</t>
        </is>
      </c>
      <c r="C303" s="52" t="inlineStr">
        <is>
          <t>Lowe's Companies</t>
        </is>
      </c>
      <c r="D303" s="53" t="inlineStr">
        <is>
          <t>Home Improvement Retail</t>
        </is>
      </c>
      <c r="E303" s="294" t="n">
        <v>195.92</v>
      </c>
      <c r="F303" s="300" t="n">
        <v>-0.20120686</v>
      </c>
      <c r="G303" s="295" t="n">
        <v>109.921697792</v>
      </c>
      <c r="H303" s="289" t="n">
        <v>0.083</v>
      </c>
      <c r="I303" s="296" t="n">
        <v>0.32994</v>
      </c>
      <c r="J303" s="297" t="n">
        <v>16.561285</v>
      </c>
      <c r="K303" s="301" t="n">
        <v>4615.374848</v>
      </c>
      <c r="L303" s="295" t="n">
        <v>34.17568145010078</v>
      </c>
      <c r="M303" s="300" t="n">
        <v>-0.6890906696622362</v>
      </c>
      <c r="N303" s="297" t="n">
        <v>23.81641947243198</v>
      </c>
      <c r="O303" s="207" t="inlineStr">
        <is>
          <t>—</t>
        </is>
      </c>
      <c r="P303" s="207" t="inlineStr">
        <is>
          <t>—</t>
        </is>
      </c>
      <c r="Q303" s="207" t="inlineStr">
        <is>
          <t>—</t>
        </is>
      </c>
      <c r="R303" s="207" t="inlineStr">
        <is>
          <t>—</t>
        </is>
      </c>
      <c r="S303" s="207" t="inlineStr">
        <is>
          <t>—</t>
        </is>
      </c>
    </row>
    <row r="304" ht="20" customHeight="1" s="215">
      <c r="A304" s="50" t="n">
        <v>299</v>
      </c>
      <c r="B304" s="51" t="inlineStr">
        <is>
          <t>OXY</t>
        </is>
      </c>
      <c r="C304" s="52" t="inlineStr">
        <is>
          <t>Occidental Petroleum</t>
        </is>
      </c>
      <c r="D304" s="53" t="inlineStr">
        <is>
          <t>Oil &amp; Gas E&amp;P</t>
        </is>
      </c>
      <c r="E304" s="288" t="n">
        <v>62.72</v>
      </c>
      <c r="F304" s="289" t="n">
        <v>0.53312147</v>
      </c>
      <c r="G304" s="290" t="n">
        <v>62.697259008</v>
      </c>
      <c r="H304" s="289" t="n">
        <v>0.534</v>
      </c>
      <c r="I304" s="291" t="n">
        <v>0.7331800000000001</v>
      </c>
      <c r="J304" s="292" t="n">
        <v>17.818182</v>
      </c>
      <c r="K304" s="299" t="n">
        <v>3788.124928</v>
      </c>
      <c r="L304" s="290" t="n">
        <v>84.17798201898925</v>
      </c>
      <c r="M304" s="289" t="n">
        <v>0.3426102408758949</v>
      </c>
      <c r="N304" s="292" t="n">
        <v>16.55100005960522</v>
      </c>
      <c r="O304" s="208" t="inlineStr">
        <is>
          <t>YES</t>
        </is>
      </c>
      <c r="P304" s="209" t="n">
        <v>10.2</v>
      </c>
      <c r="Q304" s="208" t="inlineStr">
        <is>
          <t>Hold</t>
        </is>
      </c>
      <c r="R304" s="209" t="n">
        <v>57</v>
      </c>
      <c r="S304" s="210" t="inlineStr">
        <is>
          <t>~265M sh (28% of OXY). Q1-26: essentially unchanged (small add per one source). Brent $104 tailwind continues</t>
        </is>
      </c>
    </row>
    <row r="305" ht="20" customHeight="1" s="215">
      <c r="A305" s="54" t="n">
        <v>300</v>
      </c>
      <c r="B305" s="55" t="inlineStr">
        <is>
          <t>DLTR</t>
        </is>
      </c>
      <c r="C305" s="56" t="inlineStr">
        <is>
          <t>Dollar Tree</t>
        </is>
      </c>
      <c r="D305" s="57" t="inlineStr">
        <is>
          <t>Discount Stores</t>
        </is>
      </c>
      <c r="E305" s="294" t="n">
        <v>123.15</v>
      </c>
      <c r="F305" s="289" t="n">
        <v>0.24456799</v>
      </c>
      <c r="G305" s="295" t="n">
        <v>23.10667264</v>
      </c>
      <c r="H305" s="289" t="n">
        <v>0.07000000000000001</v>
      </c>
      <c r="I305" s="296" t="n">
        <v>0.3718</v>
      </c>
      <c r="J305" s="297" t="n">
        <v>15</v>
      </c>
      <c r="K305" s="301" t="n">
        <v>1049.58752</v>
      </c>
      <c r="L305" s="295" t="n">
        <v>9.428142863441701</v>
      </c>
      <c r="M305" s="300" t="n">
        <v>-0.5919731494736881</v>
      </c>
      <c r="N305" s="297" t="n">
        <v>22.01500197129821</v>
      </c>
      <c r="O305" s="207" t="inlineStr">
        <is>
          <t>—</t>
        </is>
      </c>
      <c r="P305" s="207" t="inlineStr">
        <is>
          <t>—</t>
        </is>
      </c>
      <c r="Q305" s="207" t="inlineStr">
        <is>
          <t>—</t>
        </is>
      </c>
      <c r="R305" s="207" t="inlineStr">
        <is>
          <t>—</t>
        </is>
      </c>
      <c r="S305" s="207" t="inlineStr">
        <is>
          <t>—</t>
        </is>
      </c>
    </row>
    <row r="306" ht="20" customHeight="1" s="215">
      <c r="A306" s="50" t="n">
        <v>301</v>
      </c>
      <c r="B306" s="51" t="inlineStr">
        <is>
          <t>PCAR</t>
        </is>
      </c>
      <c r="C306" s="52" t="inlineStr">
        <is>
          <t>PACCAR</t>
        </is>
      </c>
      <c r="D306" s="53" t="inlineStr">
        <is>
          <t>Farm &amp; Heavy Construction Machinery</t>
        </is>
      </c>
      <c r="E306" s="288" t="n">
        <v>108.42</v>
      </c>
      <c r="F306" s="289" t="n">
        <v>0.08582877999999999</v>
      </c>
      <c r="G306" s="290" t="n">
        <v>57.068486656</v>
      </c>
      <c r="H306" s="289" t="n">
        <v>0.005</v>
      </c>
      <c r="I306" s="291" t="n">
        <v>0.13715</v>
      </c>
      <c r="J306" s="292" t="n">
        <v>22.825262</v>
      </c>
      <c r="K306" s="299" t="n">
        <v>1943.650048</v>
      </c>
      <c r="L306" s="290" t="n">
        <v>15.62925268856659</v>
      </c>
      <c r="M306" s="300" t="n">
        <v>-0.726131642796535</v>
      </c>
      <c r="N306" s="292" t="n">
        <v>29.36150376606273</v>
      </c>
      <c r="O306" s="206" t="inlineStr">
        <is>
          <t>—</t>
        </is>
      </c>
      <c r="P306" s="206" t="inlineStr">
        <is>
          <t>—</t>
        </is>
      </c>
      <c r="Q306" s="206" t="inlineStr">
        <is>
          <t>—</t>
        </is>
      </c>
      <c r="R306" s="206" t="inlineStr">
        <is>
          <t>—</t>
        </is>
      </c>
      <c r="S306" s="206" t="inlineStr">
        <is>
          <t>—</t>
        </is>
      </c>
    </row>
    <row r="307" ht="20" customHeight="1" s="215">
      <c r="A307" s="54" t="n">
        <v>302</v>
      </c>
      <c r="B307" s="55" t="inlineStr">
        <is>
          <t>MPC</t>
        </is>
      </c>
      <c r="C307" s="56" t="inlineStr">
        <is>
          <t>Marathon Petroleum</t>
        </is>
      </c>
      <c r="D307" s="57" t="inlineStr">
        <is>
          <t>Oil &amp; Gas Refining &amp; Marketing</t>
        </is>
      </c>
      <c r="E307" s="294" t="n">
        <v>473.69</v>
      </c>
      <c r="F307" s="289" t="n">
        <v>1.5903101</v>
      </c>
      <c r="G307" s="295" t="n">
        <v>138.287464448</v>
      </c>
      <c r="H307" s="289" t="n">
        <v>0.537</v>
      </c>
      <c r="I307" s="296" t="n">
        <v>0.12819</v>
      </c>
      <c r="J307" s="297" t="n">
        <v>16.402008</v>
      </c>
      <c r="K307" s="301" t="n">
        <v>9249.375232</v>
      </c>
      <c r="L307" s="295" t="n">
        <v>203.7143748127327</v>
      </c>
      <c r="M307" s="289" t="n">
        <v>0.4731224961416156</v>
      </c>
      <c r="N307" s="297" t="n">
        <v>14.95100600467779</v>
      </c>
      <c r="O307" s="207" t="inlineStr">
        <is>
          <t>—</t>
        </is>
      </c>
      <c r="P307" s="207" t="inlineStr">
        <is>
          <t>—</t>
        </is>
      </c>
      <c r="Q307" s="207" t="inlineStr">
        <is>
          <t>—</t>
        </is>
      </c>
      <c r="R307" s="207" t="inlineStr">
        <is>
          <t>—</t>
        </is>
      </c>
      <c r="S307" s="207" t="inlineStr">
        <is>
          <t>—</t>
        </is>
      </c>
    </row>
    <row r="308" ht="20" customHeight="1" s="215">
      <c r="A308" s="50" t="n">
        <v>303</v>
      </c>
      <c r="B308" s="51" t="inlineStr">
        <is>
          <t>VLO</t>
        </is>
      </c>
      <c r="C308" s="52" t="inlineStr">
        <is>
          <t>Valero Energy</t>
        </is>
      </c>
      <c r="D308" s="53" t="inlineStr">
        <is>
          <t>Oil &amp; Gas Refining &amp; Marketing</t>
        </is>
      </c>
      <c r="E308" s="288" t="n">
        <v>433.31</v>
      </c>
      <c r="F308" s="289" t="n">
        <v>1.7478597</v>
      </c>
      <c r="G308" s="290" t="n">
        <v>124.761841664</v>
      </c>
      <c r="H308" s="289" t="n">
        <v>0.517</v>
      </c>
      <c r="I308" s="291" t="n">
        <v>0.16118999</v>
      </c>
      <c r="J308" s="292" t="n">
        <v>18.062109</v>
      </c>
      <c r="K308" s="299" t="n">
        <v>8416.374784</v>
      </c>
      <c r="L308" s="290" t="n">
        <v>185.9881227453132</v>
      </c>
      <c r="M308" s="289" t="n">
        <v>0.4907452492261505</v>
      </c>
      <c r="N308" s="292" t="n">
        <v>14.82370394948301</v>
      </c>
      <c r="O308" s="206" t="inlineStr">
        <is>
          <t>—</t>
        </is>
      </c>
      <c r="P308" s="206" t="inlineStr">
        <is>
          <t>—</t>
        </is>
      </c>
      <c r="Q308" s="206" t="inlineStr">
        <is>
          <t>—</t>
        </is>
      </c>
      <c r="R308" s="206" t="inlineStr">
        <is>
          <t>—</t>
        </is>
      </c>
      <c r="S308" s="206" t="inlineStr">
        <is>
          <t>—</t>
        </is>
      </c>
    </row>
    <row r="309" ht="20" customHeight="1" s="215">
      <c r="A309" s="54" t="n">
        <v>304</v>
      </c>
      <c r="B309" s="55" t="inlineStr">
        <is>
          <t>CCL</t>
        </is>
      </c>
      <c r="C309" s="56" t="inlineStr">
        <is>
          <t>Carnival</t>
        </is>
      </c>
      <c r="D309" s="57" t="inlineStr">
        <is>
          <t>Travel Services</t>
        </is>
      </c>
      <c r="E309" s="294" t="n">
        <v>26.45</v>
      </c>
      <c r="F309" s="300" t="n">
        <v>-0.11745077</v>
      </c>
      <c r="G309" s="295" t="n">
        <v>35.564941312</v>
      </c>
      <c r="H309" s="289" t="n">
        <v>0.035</v>
      </c>
      <c r="I309" s="296" t="n">
        <v>0.5538</v>
      </c>
      <c r="J309" s="297" t="n">
        <v>11.651983</v>
      </c>
      <c r="K309" s="301" t="n">
        <v>1807.62496</v>
      </c>
      <c r="L309" s="295" t="n">
        <v>10.6680749489166</v>
      </c>
      <c r="M309" s="300" t="n">
        <v>-0.7000395739352148</v>
      </c>
      <c r="N309" s="297" t="n">
        <v>19.67495398605804</v>
      </c>
      <c r="O309" s="207" t="inlineStr">
        <is>
          <t>—</t>
        </is>
      </c>
      <c r="P309" s="207" t="inlineStr">
        <is>
          <t>—</t>
        </is>
      </c>
      <c r="Q309" s="207" t="inlineStr">
        <is>
          <t>—</t>
        </is>
      </c>
      <c r="R309" s="207" t="inlineStr">
        <is>
          <t>—</t>
        </is>
      </c>
      <c r="S309" s="207" t="inlineStr">
        <is>
          <t>—</t>
        </is>
      </c>
    </row>
    <row r="310" ht="20" customHeight="1" s="215">
      <c r="A310" s="50" t="n">
        <v>305</v>
      </c>
      <c r="B310" s="51" t="inlineStr">
        <is>
          <t>GPC</t>
        </is>
      </c>
      <c r="C310" s="52" t="inlineStr">
        <is>
          <t>Genuine Parts</t>
        </is>
      </c>
      <c r="D310" s="53" t="inlineStr">
        <is>
          <t>Specialty Retail</t>
        </is>
      </c>
      <c r="E310" s="288" t="n">
        <v>130.18</v>
      </c>
      <c r="F310" s="300" t="n">
        <v>-0.03219092</v>
      </c>
      <c r="G310" s="290" t="n">
        <v>17.94658304</v>
      </c>
      <c r="H310" s="289" t="n">
        <v>0.06</v>
      </c>
      <c r="I310" s="291" t="n">
        <v>0.37564</v>
      </c>
      <c r="J310" s="292" t="n">
        <v>520.72</v>
      </c>
      <c r="K310" s="299" t="n">
        <v>917.241984</v>
      </c>
      <c r="L310" s="290" t="n">
        <v>6.046123879676942</v>
      </c>
      <c r="M310" s="300" t="n">
        <v>-0.6631044546919534</v>
      </c>
      <c r="N310" s="292" t="n">
        <v>19.56581099589092</v>
      </c>
      <c r="O310" s="206" t="inlineStr">
        <is>
          <t>—</t>
        </is>
      </c>
      <c r="P310" s="206" t="inlineStr">
        <is>
          <t>—</t>
        </is>
      </c>
      <c r="Q310" s="206" t="inlineStr">
        <is>
          <t>—</t>
        </is>
      </c>
      <c r="R310" s="206" t="inlineStr">
        <is>
          <t>—</t>
        </is>
      </c>
      <c r="S310" s="206" t="inlineStr">
        <is>
          <t>—</t>
        </is>
      </c>
    </row>
    <row r="311" ht="20" customHeight="1" s="215">
      <c r="A311" s="54" t="n">
        <v>306</v>
      </c>
      <c r="B311" s="55" t="inlineStr">
        <is>
          <t>TSN</t>
        </is>
      </c>
      <c r="C311" s="56" t="inlineStr">
        <is>
          <t>Tyson Foods</t>
        </is>
      </c>
      <c r="D311" s="57" t="inlineStr">
        <is>
          <t>Farm Products</t>
        </is>
      </c>
      <c r="E311" s="294" t="n">
        <v>54</v>
      </c>
      <c r="F311" s="289" t="n">
        <v>0.03151858</v>
      </c>
      <c r="G311" s="295" t="n">
        <v>18.997280768</v>
      </c>
      <c r="H311" s="300" t="n">
        <v>-0.001</v>
      </c>
      <c r="I311" s="296" t="n">
        <v>0.06554</v>
      </c>
      <c r="J311" s="297" t="n">
        <v>33.333332</v>
      </c>
      <c r="K311" s="301" t="n">
        <v>1191.250048</v>
      </c>
      <c r="L311" s="295" t="n">
        <v>7.333401590355728</v>
      </c>
      <c r="M311" s="300" t="n">
        <v>-0.6139762485003387</v>
      </c>
      <c r="N311" s="297" t="n">
        <v>12.77380462947104</v>
      </c>
      <c r="O311" s="207" t="inlineStr">
        <is>
          <t>—</t>
        </is>
      </c>
      <c r="P311" s="207" t="inlineStr">
        <is>
          <t>—</t>
        </is>
      </c>
      <c r="Q311" s="207" t="inlineStr">
        <is>
          <t>—</t>
        </is>
      </c>
      <c r="R311" s="207" t="inlineStr">
        <is>
          <t>—</t>
        </is>
      </c>
      <c r="S311" s="207" t="inlineStr">
        <is>
          <t>—</t>
        </is>
      </c>
    </row>
    <row r="312" ht="20" customHeight="1" s="215">
      <c r="A312" s="50" t="n">
        <v>307</v>
      </c>
      <c r="B312" s="51" t="inlineStr">
        <is>
          <t>HPE</t>
        </is>
      </c>
      <c r="C312" s="52" t="inlineStr">
        <is>
          <t>Hewlett Packard</t>
        </is>
      </c>
      <c r="D312" s="53" t="inlineStr">
        <is>
          <t>Communication Equipment</t>
        </is>
      </c>
      <c r="E312" s="288" t="n">
        <v>55.87</v>
      </c>
      <c r="F312" s="289" t="n">
        <v>1.4009454</v>
      </c>
      <c r="G312" s="290" t="n">
        <v>74.16546099200001</v>
      </c>
      <c r="H312" s="289" t="n">
        <v>0.337</v>
      </c>
      <c r="I312" s="291" t="n">
        <v>0.36622003</v>
      </c>
      <c r="J312" s="292" t="n">
        <v>28.798967</v>
      </c>
      <c r="K312" s="299" t="n">
        <v>4738.625024</v>
      </c>
      <c r="L312" s="290" t="n">
        <v>55.66727250997319</v>
      </c>
      <c r="M312" s="300" t="n">
        <v>-0.2494178318937727</v>
      </c>
      <c r="N312" s="292" t="n">
        <v>15.65126103608108</v>
      </c>
      <c r="O312" s="206" t="inlineStr">
        <is>
          <t>—</t>
        </is>
      </c>
      <c r="P312" s="206" t="inlineStr">
        <is>
          <t>—</t>
        </is>
      </c>
      <c r="Q312" s="206" t="inlineStr">
        <is>
          <t>—</t>
        </is>
      </c>
      <c r="R312" s="206" t="inlineStr">
        <is>
          <t>—</t>
        </is>
      </c>
      <c r="S312" s="206" t="inlineStr">
        <is>
          <t>—</t>
        </is>
      </c>
    </row>
    <row r="313" ht="20" customHeight="1" s="215">
      <c r="A313" s="54" t="n">
        <v>308</v>
      </c>
      <c r="B313" s="55" t="inlineStr">
        <is>
          <t>UPS</t>
        </is>
      </c>
      <c r="C313" s="56" t="inlineStr">
        <is>
          <t>United Parcel Service</t>
        </is>
      </c>
      <c r="D313" s="57" t="inlineStr">
        <is>
          <t>Integrated Freight &amp; Logistics</t>
        </is>
      </c>
      <c r="E313" s="294" t="n">
        <v>97.45999999999999</v>
      </c>
      <c r="F313" s="289" t="n">
        <v>0.10674536</v>
      </c>
      <c r="G313" s="295" t="n">
        <v>82.9171712</v>
      </c>
      <c r="H313" s="289" t="n">
        <v>0.076</v>
      </c>
      <c r="I313" s="296" t="n">
        <v>0.22413</v>
      </c>
      <c r="J313" s="297" t="n">
        <v>18.115242</v>
      </c>
      <c r="K313" s="301" t="n">
        <v>5593.999872</v>
      </c>
      <c r="L313" s="295" t="n">
        <v>43.7378269344953</v>
      </c>
      <c r="M313" s="300" t="n">
        <v>-0.4725118295582266</v>
      </c>
      <c r="N313" s="297" t="n">
        <v>13.05534406192064</v>
      </c>
      <c r="O313" s="207" t="inlineStr">
        <is>
          <t>—</t>
        </is>
      </c>
      <c r="P313" s="207" t="inlineStr">
        <is>
          <t>—</t>
        </is>
      </c>
      <c r="Q313" s="207" t="inlineStr">
        <is>
          <t>—</t>
        </is>
      </c>
      <c r="R313" s="207" t="inlineStr">
        <is>
          <t>—</t>
        </is>
      </c>
      <c r="S313" s="207" t="inlineStr">
        <is>
          <t>—</t>
        </is>
      </c>
    </row>
    <row r="314" ht="20" customHeight="1" s="215">
      <c r="A314" s="50" t="n">
        <v>309</v>
      </c>
      <c r="B314" s="51" t="inlineStr">
        <is>
          <t>WMT</t>
        </is>
      </c>
      <c r="C314" s="52" t="inlineStr">
        <is>
          <t>Walmart</t>
        </is>
      </c>
      <c r="D314" s="53" t="inlineStr">
        <is>
          <t>Discount Stores</t>
        </is>
      </c>
      <c r="E314" s="288" t="n">
        <v>118.7</v>
      </c>
      <c r="F314" s="289" t="n">
        <v>0.11749196</v>
      </c>
      <c r="G314" s="290" t="n">
        <v>941.7356738559999</v>
      </c>
      <c r="H314" s="289" t="n">
        <v>0.059</v>
      </c>
      <c r="I314" s="291" t="n">
        <v>0.24836999</v>
      </c>
      <c r="J314" s="292" t="n">
        <v>43.007244</v>
      </c>
      <c r="K314" s="299" t="n">
        <v>7127.625216</v>
      </c>
      <c r="L314" s="290" t="n">
        <v>63.71856052534892</v>
      </c>
      <c r="M314" s="300" t="n">
        <v>-0.9323392303230384</v>
      </c>
      <c r="N314" s="292" t="n">
        <v>132.1247470605924</v>
      </c>
      <c r="O314" s="206" t="inlineStr">
        <is>
          <t>—</t>
        </is>
      </c>
      <c r="P314" s="206" t="inlineStr">
        <is>
          <t>—</t>
        </is>
      </c>
      <c r="Q314" s="206" t="inlineStr">
        <is>
          <t>—</t>
        </is>
      </c>
      <c r="R314" s="206" t="inlineStr">
        <is>
          <t>—</t>
        </is>
      </c>
      <c r="S314" s="206" t="inlineStr">
        <is>
          <t>—</t>
        </is>
      </c>
    </row>
    <row r="315" ht="20" customHeight="1" s="215">
      <c r="A315" s="54" t="n">
        <v>310</v>
      </c>
      <c r="B315" s="55" t="inlineStr">
        <is>
          <t>JBHT</t>
        </is>
      </c>
      <c r="C315" s="56" t="inlineStr">
        <is>
          <t>JB Hunt Transport Servs</t>
        </is>
      </c>
      <c r="D315" s="57" t="inlineStr">
        <is>
          <t>Integrated Freight &amp; Logistics</t>
        </is>
      </c>
      <c r="E315" s="294" t="n">
        <v>223.25</v>
      </c>
      <c r="F315" s="289" t="n">
        <v>0.32116222</v>
      </c>
      <c r="G315" s="295" t="n">
        <v>20.9631744</v>
      </c>
      <c r="H315" s="289" t="n">
        <v>0.204</v>
      </c>
      <c r="I315" s="296" t="n">
        <v>0.17884001</v>
      </c>
      <c r="J315" s="297" t="n">
        <v>31.48801</v>
      </c>
      <c r="K315" s="304" t="inlineStr">
        <is>
          <t>—</t>
        </is>
      </c>
      <c r="L315" s="302" t="inlineStr">
        <is>
          <t>—</t>
        </is>
      </c>
      <c r="M315" s="303" t="inlineStr">
        <is>
          <t>—</t>
        </is>
      </c>
      <c r="N315" s="305" t="inlineStr">
        <is>
          <t>—</t>
        </is>
      </c>
      <c r="O315" s="207" t="inlineStr">
        <is>
          <t>—</t>
        </is>
      </c>
      <c r="P315" s="207" t="inlineStr">
        <is>
          <t>—</t>
        </is>
      </c>
      <c r="Q315" s="207" t="inlineStr">
        <is>
          <t>—</t>
        </is>
      </c>
      <c r="R315" s="207" t="inlineStr">
        <is>
          <t>—</t>
        </is>
      </c>
      <c r="S315" s="207" t="inlineStr">
        <is>
          <t>—</t>
        </is>
      </c>
    </row>
    <row r="316" ht="20" customHeight="1" s="215">
      <c r="A316" s="50" t="n">
        <v>311</v>
      </c>
      <c r="B316" s="51" t="inlineStr">
        <is>
          <t>MU</t>
        </is>
      </c>
      <c r="C316" s="52" t="inlineStr">
        <is>
          <t>Micron Technology</t>
        </is>
      </c>
      <c r="D316" s="53" t="inlineStr">
        <is>
          <t>Semiconductors</t>
        </is>
      </c>
      <c r="E316" s="288" t="n">
        <v>904.9</v>
      </c>
      <c r="F316" s="289" t="n">
        <v>3.473281</v>
      </c>
      <c r="G316" s="290" t="n">
        <v>1023.824887808</v>
      </c>
      <c r="H316" s="289" t="n">
        <v>3.793</v>
      </c>
      <c r="I316" s="291" t="n">
        <v>0.80716</v>
      </c>
      <c r="J316" s="292" t="n">
        <v>12.1740885</v>
      </c>
      <c r="K316" s="299" t="n">
        <v>29140.250624</v>
      </c>
      <c r="L316" s="290" t="n">
        <v>329.5800839026783</v>
      </c>
      <c r="M316" s="300" t="n">
        <v>-0.6780894000259104</v>
      </c>
      <c r="N316" s="292" t="n">
        <v>35.13438774941677</v>
      </c>
      <c r="O316" s="206" t="inlineStr">
        <is>
          <t>—</t>
        </is>
      </c>
      <c r="P316" s="206" t="inlineStr">
        <is>
          <t>—</t>
        </is>
      </c>
      <c r="Q316" s="206" t="inlineStr">
        <is>
          <t>—</t>
        </is>
      </c>
      <c r="R316" s="206" t="inlineStr">
        <is>
          <t>—</t>
        </is>
      </c>
      <c r="S316" s="206" t="inlineStr">
        <is>
          <t>—</t>
        </is>
      </c>
    </row>
    <row r="317" ht="20" customHeight="1" s="215">
      <c r="A317" s="54" t="n">
        <v>312</v>
      </c>
      <c r="B317" s="55" t="inlineStr">
        <is>
          <t>COST</t>
        </is>
      </c>
      <c r="C317" s="56" t="inlineStr">
        <is>
          <t>Costco Wholesale</t>
        </is>
      </c>
      <c r="D317" s="57" t="inlineStr">
        <is>
          <t>Discount Stores</t>
        </is>
      </c>
      <c r="E317" s="294" t="n">
        <v>995.53</v>
      </c>
      <c r="F317" s="289" t="n">
        <v>0.06189871</v>
      </c>
      <c r="G317" s="295" t="n">
        <v>441.148571648</v>
      </c>
      <c r="H317" s="289" t="n">
        <v>0.111</v>
      </c>
      <c r="I317" s="296" t="n">
        <v>0.12765999</v>
      </c>
      <c r="J317" s="297" t="n">
        <v>47.95424</v>
      </c>
      <c r="K317" s="301" t="n">
        <v>6752.75008</v>
      </c>
      <c r="L317" s="295" t="n">
        <v>83.8238365727089</v>
      </c>
      <c r="M317" s="300" t="n">
        <v>-0.8099872878210441</v>
      </c>
      <c r="N317" s="297" t="n">
        <v>65.32872616099691</v>
      </c>
      <c r="O317" s="207" t="inlineStr">
        <is>
          <t>—</t>
        </is>
      </c>
      <c r="P317" s="207" t="inlineStr">
        <is>
          <t>—</t>
        </is>
      </c>
      <c r="Q317" s="207" t="inlineStr">
        <is>
          <t>—</t>
        </is>
      </c>
      <c r="R317" s="207" t="inlineStr">
        <is>
          <t>—</t>
        </is>
      </c>
      <c r="S317" s="207" t="inlineStr">
        <is>
          <t>—</t>
        </is>
      </c>
    </row>
    <row r="318" ht="20" customHeight="1" s="215">
      <c r="A318" s="50" t="n">
        <v>313</v>
      </c>
      <c r="B318" s="51" t="inlineStr">
        <is>
          <t>DE</t>
        </is>
      </c>
      <c r="C318" s="52" t="inlineStr">
        <is>
          <t>Deere</t>
        </is>
      </c>
      <c r="D318" s="53" t="inlineStr">
        <is>
          <t>Farm &amp; Heavy Construction Machinery</t>
        </is>
      </c>
      <c r="E318" s="288" t="n">
        <v>627</v>
      </c>
      <c r="F318" s="289" t="n">
        <v>0.363577</v>
      </c>
      <c r="G318" s="290" t="n">
        <v>169.055125504</v>
      </c>
      <c r="H318" s="289" t="n">
        <v>0.049</v>
      </c>
      <c r="I318" s="291" t="n">
        <v>0.25184</v>
      </c>
      <c r="J318" s="292" t="n">
        <v>34.852695</v>
      </c>
      <c r="K318" s="299" t="n">
        <v>4516.250112</v>
      </c>
      <c r="L318" s="290" t="n">
        <v>33.22140859563525</v>
      </c>
      <c r="M318" s="300" t="n">
        <v>-0.8034877174141094</v>
      </c>
      <c r="N318" s="292" t="n">
        <v>37.43263307645615</v>
      </c>
      <c r="O318" s="206" t="inlineStr">
        <is>
          <t>—</t>
        </is>
      </c>
      <c r="P318" s="206" t="inlineStr">
        <is>
          <t>—</t>
        </is>
      </c>
      <c r="Q318" s="206" t="inlineStr">
        <is>
          <t>—</t>
        </is>
      </c>
      <c r="R318" s="206" t="inlineStr">
        <is>
          <t>—</t>
        </is>
      </c>
      <c r="S318" s="206" t="inlineStr">
        <is>
          <t>—</t>
        </is>
      </c>
    </row>
    <row r="319" ht="20" customHeight="1" s="215">
      <c r="A319" s="54" t="n">
        <v>314</v>
      </c>
      <c r="B319" s="55" t="inlineStr">
        <is>
          <t>GE</t>
        </is>
      </c>
      <c r="C319" s="56" t="inlineStr">
        <is>
          <t>General Electric</t>
        </is>
      </c>
      <c r="D319" s="57" t="inlineStr">
        <is>
          <t>Specialty Industrial Machinery</t>
        </is>
      </c>
      <c r="E319" s="294" t="n">
        <v>311.28</v>
      </c>
      <c r="F319" s="289" t="n">
        <v>0.015164852</v>
      </c>
      <c r="G319" s="295" t="n">
        <v>322.972450816</v>
      </c>
      <c r="H319" s="289" t="n">
        <v>0.211</v>
      </c>
      <c r="I319" s="296" t="n">
        <v>0.31051</v>
      </c>
      <c r="J319" s="297" t="n">
        <v>36.70755</v>
      </c>
      <c r="K319" s="301" t="n">
        <v>6594.625024</v>
      </c>
      <c r="L319" s="295" t="n">
        <v>121.1094590711111</v>
      </c>
      <c r="M319" s="300" t="n">
        <v>-0.6250161313600454</v>
      </c>
      <c r="N319" s="297" t="n">
        <v>48.97510591902306</v>
      </c>
      <c r="O319" s="207" t="inlineStr">
        <is>
          <t>—</t>
        </is>
      </c>
      <c r="P319" s="207" t="inlineStr">
        <is>
          <t>—</t>
        </is>
      </c>
      <c r="Q319" s="207" t="inlineStr">
        <is>
          <t>—</t>
        </is>
      </c>
      <c r="R319" s="207" t="inlineStr">
        <is>
          <t>—</t>
        </is>
      </c>
      <c r="S319" s="207" t="inlineStr">
        <is>
          <t>—</t>
        </is>
      </c>
    </row>
    <row r="320" ht="20" customHeight="1" s="215">
      <c r="A320" s="50" t="n">
        <v>315</v>
      </c>
      <c r="B320" s="51" t="inlineStr">
        <is>
          <t>PWR</t>
        </is>
      </c>
      <c r="C320" s="52" t="inlineStr">
        <is>
          <t>Quanta Services</t>
        </is>
      </c>
      <c r="D320" s="53" t="inlineStr">
        <is>
          <t>Engineering &amp; Construction</t>
        </is>
      </c>
      <c r="E320" s="288" t="n">
        <v>618.41</v>
      </c>
      <c r="F320" s="289" t="n">
        <v>0.4137348</v>
      </c>
      <c r="G320" s="290" t="n">
        <v>92.97385062399999</v>
      </c>
      <c r="H320" s="289" t="n">
        <v>0.411</v>
      </c>
      <c r="I320" s="291" t="n">
        <v>0.15456</v>
      </c>
      <c r="J320" s="292" t="n">
        <v>70.83734</v>
      </c>
      <c r="K320" s="299" t="n">
        <v>1955.491328</v>
      </c>
      <c r="L320" s="290" t="n">
        <v>20.5033313880591</v>
      </c>
      <c r="M320" s="300" t="n">
        <v>-0.7794720639142116</v>
      </c>
      <c r="N320" s="292" t="n">
        <v>47.54501149346441</v>
      </c>
      <c r="O320" s="206" t="inlineStr">
        <is>
          <t>—</t>
        </is>
      </c>
      <c r="P320" s="206" t="inlineStr">
        <is>
          <t>—</t>
        </is>
      </c>
      <c r="Q320" s="206" t="inlineStr">
        <is>
          <t>—</t>
        </is>
      </c>
      <c r="R320" s="206" t="inlineStr">
        <is>
          <t>—</t>
        </is>
      </c>
      <c r="S320" s="206" t="inlineStr">
        <is>
          <t>—</t>
        </is>
      </c>
    </row>
    <row r="321" ht="20" customHeight="1" s="215">
      <c r="A321" s="54" t="n">
        <v>316</v>
      </c>
      <c r="B321" s="55" t="inlineStr">
        <is>
          <t>SYY</t>
        </is>
      </c>
      <c r="C321" s="56" t="inlineStr">
        <is>
          <t>Sysco</t>
        </is>
      </c>
      <c r="D321" s="57" t="inlineStr">
        <is>
          <t>Food Distribution</t>
        </is>
      </c>
      <c r="E321" s="294" t="n">
        <v>81.59</v>
      </c>
      <c r="F321" s="289" t="n">
        <v>0.030697346</v>
      </c>
      <c r="G321" s="295" t="n">
        <v>40.135258112</v>
      </c>
      <c r="H321" s="289" t="n">
        <v>0.047</v>
      </c>
      <c r="I321" s="296" t="n">
        <v>0.18496001</v>
      </c>
      <c r="J321" s="297" t="n">
        <v>22.292349</v>
      </c>
      <c r="K321" s="301" t="n">
        <v>1914</v>
      </c>
      <c r="L321" s="295" t="n">
        <v>15.30715639909744</v>
      </c>
      <c r="M321" s="300" t="n">
        <v>-0.6186107398043427</v>
      </c>
      <c r="N321" s="297" t="n">
        <v>20.96931034294671</v>
      </c>
      <c r="O321" s="207" t="inlineStr">
        <is>
          <t>—</t>
        </is>
      </c>
      <c r="P321" s="207" t="inlineStr">
        <is>
          <t>—</t>
        </is>
      </c>
      <c r="Q321" s="207" t="inlineStr">
        <is>
          <t>—</t>
        </is>
      </c>
      <c r="R321" s="207" t="inlineStr">
        <is>
          <t>—</t>
        </is>
      </c>
      <c r="S321" s="207" t="inlineStr">
        <is>
          <t>—</t>
        </is>
      </c>
    </row>
    <row r="322" ht="20" customHeight="1" s="215">
      <c r="A322" s="50" t="n">
        <v>317</v>
      </c>
      <c r="B322" s="51" t="inlineStr">
        <is>
          <t>AMCR</t>
        </is>
      </c>
      <c r="C322" s="52" t="inlineStr">
        <is>
          <t>Amcor</t>
        </is>
      </c>
      <c r="D322" s="53" t="inlineStr">
        <is>
          <t>Packaging &amp; Containers</t>
        </is>
      </c>
      <c r="E322" s="288" t="n">
        <v>43.95</v>
      </c>
      <c r="F322" s="289" t="n">
        <v>0.07985258000000001</v>
      </c>
      <c r="G322" s="290" t="n">
        <v>20.302514176</v>
      </c>
      <c r="H322" s="289" t="n">
        <v>0.259</v>
      </c>
      <c r="I322" s="291" t="n">
        <v>0.19951999</v>
      </c>
      <c r="J322" s="292" t="n">
        <v>18.466387</v>
      </c>
      <c r="K322" s="299" t="n">
        <v>1504</v>
      </c>
      <c r="L322" s="290" t="n">
        <v>15.37796761129903</v>
      </c>
      <c r="M322" s="300" t="n">
        <v>-0.2425584596080407</v>
      </c>
      <c r="N322" s="292" t="n">
        <v>13.49901135339096</v>
      </c>
      <c r="O322" s="206" t="inlineStr">
        <is>
          <t>—</t>
        </is>
      </c>
      <c r="P322" s="206" t="inlineStr">
        <is>
          <t>—</t>
        </is>
      </c>
      <c r="Q322" s="206" t="inlineStr">
        <is>
          <t>—</t>
        </is>
      </c>
      <c r="R322" s="206" t="inlineStr">
        <is>
          <t>—</t>
        </is>
      </c>
      <c r="S322" s="206" t="inlineStr">
        <is>
          <t>—</t>
        </is>
      </c>
    </row>
    <row r="323" ht="20" customHeight="1" s="215">
      <c r="A323" s="54" t="n">
        <v>318</v>
      </c>
      <c r="B323" s="55" t="inlineStr">
        <is>
          <t>NWSA</t>
        </is>
      </c>
      <c r="C323" s="56" t="inlineStr">
        <is>
          <t>News</t>
        </is>
      </c>
      <c r="D323" s="57" t="inlineStr">
        <is>
          <t>Broadcasting</t>
        </is>
      </c>
      <c r="E323" s="294" t="n">
        <v>30.06</v>
      </c>
      <c r="F323" s="289" t="n">
        <v>0.13949966</v>
      </c>
      <c r="G323" s="295" t="n">
        <v>16.1942272</v>
      </c>
      <c r="H323" s="289" t="n">
        <v>0.108</v>
      </c>
      <c r="I323" s="296" t="n">
        <v>0.57167</v>
      </c>
      <c r="J323" s="297" t="n">
        <v>29.184465</v>
      </c>
      <c r="K323" s="301" t="n">
        <v>1045.124992</v>
      </c>
      <c r="L323" s="295" t="n">
        <v>13.31520708746798</v>
      </c>
      <c r="M323" s="300" t="n">
        <v>-0.1777806422607202</v>
      </c>
      <c r="N323" s="297" t="n">
        <v>10.33523835355762</v>
      </c>
      <c r="O323" s="207" t="inlineStr">
        <is>
          <t>—</t>
        </is>
      </c>
      <c r="P323" s="207" t="inlineStr">
        <is>
          <t>—</t>
        </is>
      </c>
      <c r="Q323" s="207" t="inlineStr">
        <is>
          <t>—</t>
        </is>
      </c>
      <c r="R323" s="207" t="inlineStr">
        <is>
          <t>—</t>
        </is>
      </c>
      <c r="S323" s="207" t="inlineStr">
        <is>
          <t>—</t>
        </is>
      </c>
    </row>
    <row r="324" ht="20" customHeight="1" s="215">
      <c r="A324" s="50" t="n">
        <v>319</v>
      </c>
      <c r="B324" s="51" t="inlineStr">
        <is>
          <t>XOM</t>
        </is>
      </c>
      <c r="C324" s="52" t="inlineStr">
        <is>
          <t>Exxon Mobil</t>
        </is>
      </c>
      <c r="D324" s="53" t="inlineStr">
        <is>
          <t>Oil &amp; Gas Integrated</t>
        </is>
      </c>
      <c r="E324" s="288" t="n">
        <v>178.28</v>
      </c>
      <c r="F324" s="289" t="n">
        <v>0.5817585</v>
      </c>
      <c r="G324" s="290" t="n">
        <v>733.071671296</v>
      </c>
      <c r="H324" s="289" t="n">
        <v>0.441</v>
      </c>
      <c r="I324" s="291" t="n">
        <v>0.29767</v>
      </c>
      <c r="J324" s="292" t="n">
        <v>22.944658</v>
      </c>
      <c r="K324" s="299" t="n">
        <v>20671.000576</v>
      </c>
      <c r="L324" s="290" t="n">
        <v>450.0571224449913</v>
      </c>
      <c r="M324" s="300" t="n">
        <v>-0.3860666834262826</v>
      </c>
      <c r="N324" s="292" t="n">
        <v>35.46377261872512</v>
      </c>
      <c r="O324" s="206" t="inlineStr">
        <is>
          <t>—</t>
        </is>
      </c>
      <c r="P324" s="206" t="inlineStr">
        <is>
          <t>—</t>
        </is>
      </c>
      <c r="Q324" s="206" t="inlineStr">
        <is>
          <t>—</t>
        </is>
      </c>
      <c r="R324" s="206" t="inlineStr">
        <is>
          <t>—</t>
        </is>
      </c>
      <c r="S324" s="206" t="inlineStr">
        <is>
          <t>—</t>
        </is>
      </c>
    </row>
    <row r="325" ht="20" customHeight="1" s="215">
      <c r="A325" s="54" t="n">
        <v>320</v>
      </c>
      <c r="B325" s="55" t="inlineStr">
        <is>
          <t>DVN</t>
        </is>
      </c>
      <c r="C325" s="56" t="inlineStr">
        <is>
          <t>Devon Energy</t>
        </is>
      </c>
      <c r="D325" s="57" t="inlineStr">
        <is>
          <t>Oil &amp; Gas E&amp;P</t>
        </is>
      </c>
      <c r="E325" s="294" t="n">
        <v>50.92</v>
      </c>
      <c r="F325" s="289" t="n">
        <v>0.588272</v>
      </c>
      <c r="G325" s="295" t="n">
        <v>56.011997184</v>
      </c>
      <c r="H325" s="289" t="n">
        <v>0.642</v>
      </c>
      <c r="I325" s="296" t="n">
        <v>0.50349</v>
      </c>
      <c r="J325" s="297" t="n">
        <v>11.093681</v>
      </c>
      <c r="K325" s="301" t="n">
        <v>782.6250240000001</v>
      </c>
      <c r="L325" s="295" t="n">
        <v>17.46244685660681</v>
      </c>
      <c r="M325" s="300" t="n">
        <v>-0.6882373824442916</v>
      </c>
      <c r="N325" s="297" t="n">
        <v>71.56939566501774</v>
      </c>
      <c r="O325" s="207" t="inlineStr">
        <is>
          <t>—</t>
        </is>
      </c>
      <c r="P325" s="207" t="inlineStr">
        <is>
          <t>—</t>
        </is>
      </c>
      <c r="Q325" s="207" t="inlineStr">
        <is>
          <t>—</t>
        </is>
      </c>
      <c r="R325" s="207" t="inlineStr">
        <is>
          <t>—</t>
        </is>
      </c>
      <c r="S325" s="207" t="inlineStr">
        <is>
          <t>—</t>
        </is>
      </c>
    </row>
    <row r="326" ht="20" customHeight="1" s="215">
      <c r="A326" s="54" t="n">
        <v>321</v>
      </c>
      <c r="B326" s="55" t="inlineStr">
        <is>
          <t>D</t>
        </is>
      </c>
      <c r="C326" s="56" t="inlineStr">
        <is>
          <t>Dominion Energy</t>
        </is>
      </c>
      <c r="D326" s="57" t="inlineStr">
        <is>
          <t>Utilities - Diversified</t>
        </is>
      </c>
      <c r="E326" s="288" t="n">
        <v>62.21</v>
      </c>
      <c r="F326" s="289" t="n">
        <v>0.022014141</v>
      </c>
      <c r="G326" s="290" t="n">
        <v>54.71531008</v>
      </c>
      <c r="H326" s="289" t="n">
        <v>0.176</v>
      </c>
      <c r="I326" s="291" t="n">
        <v>0.46222</v>
      </c>
      <c r="J326" s="292" t="n">
        <v>21.525951</v>
      </c>
      <c r="K326" s="299" t="n">
        <v>-9181.124608</v>
      </c>
      <c r="L326" s="293" t="inlineStr">
        <is>
          <t>—</t>
        </is>
      </c>
      <c r="M326" s="293" t="inlineStr">
        <is>
          <t>—</t>
        </is>
      </c>
      <c r="N326" s="292" t="n">
        <v>-5.959543261139671</v>
      </c>
      <c r="O326" s="206" t="inlineStr">
        <is>
          <t>—</t>
        </is>
      </c>
      <c r="P326" s="206" t="inlineStr">
        <is>
          <t>—</t>
        </is>
      </c>
      <c r="Q326" s="206" t="inlineStr">
        <is>
          <t>—</t>
        </is>
      </c>
      <c r="R326" s="206" t="inlineStr">
        <is>
          <t>—</t>
        </is>
      </c>
      <c r="S326" s="206" t="inlineStr">
        <is>
          <t>—</t>
        </is>
      </c>
    </row>
    <row r="327" ht="20" customHeight="1" s="215">
      <c r="A327" s="50" t="n">
        <v>322</v>
      </c>
      <c r="B327" s="51" t="inlineStr">
        <is>
          <t>MCK</t>
        </is>
      </c>
      <c r="C327" s="52" t="inlineStr">
        <is>
          <t>McKesson</t>
        </is>
      </c>
      <c r="D327" s="53" t="inlineStr">
        <is>
          <t>Medical Distribution</t>
        </is>
      </c>
      <c r="E327" s="294" t="n">
        <v>1010.43</v>
      </c>
      <c r="F327" s="289" t="n">
        <v>0.28342795</v>
      </c>
      <c r="G327" s="295" t="n">
        <v>117.806399488</v>
      </c>
      <c r="H327" s="289" t="n">
        <v>0.077</v>
      </c>
      <c r="I327" s="296" t="n">
        <v>0.03633</v>
      </c>
      <c r="J327" s="297" t="n">
        <v>27.082014</v>
      </c>
      <c r="K327" s="301" t="n">
        <v>6801.249792</v>
      </c>
      <c r="L327" s="295" t="n">
        <v>75.32296444268279</v>
      </c>
      <c r="M327" s="300" t="n">
        <v>-0.3606207746773948</v>
      </c>
      <c r="N327" s="297" t="n">
        <v>17.32128712941264</v>
      </c>
      <c r="O327" s="207" t="inlineStr">
        <is>
          <t>—</t>
        </is>
      </c>
      <c r="P327" s="207" t="inlineStr">
        <is>
          <t>—</t>
        </is>
      </c>
      <c r="Q327" s="207" t="inlineStr">
        <is>
          <t>—</t>
        </is>
      </c>
      <c r="R327" s="207" t="inlineStr">
        <is>
          <t>—</t>
        </is>
      </c>
      <c r="S327" s="207" t="inlineStr">
        <is>
          <t>—</t>
        </is>
      </c>
    </row>
    <row r="328" ht="20" customHeight="1" s="215">
      <c r="A328" s="54" t="n">
        <v>323</v>
      </c>
      <c r="B328" s="55" t="inlineStr">
        <is>
          <t>KR</t>
        </is>
      </c>
      <c r="C328" s="56" t="inlineStr">
        <is>
          <t>Kroger</t>
        </is>
      </c>
      <c r="D328" s="57" t="inlineStr">
        <is>
          <t>Grocery Stores</t>
        </is>
      </c>
      <c r="E328" s="288" t="n">
        <v>63.05</v>
      </c>
      <c r="F328" s="300" t="n">
        <v>-0.06730771000000001</v>
      </c>
      <c r="G328" s="290" t="n">
        <v>37.236617216</v>
      </c>
      <c r="H328" s="289" t="n">
        <v>0.02</v>
      </c>
      <c r="I328" s="291" t="n">
        <v>0.23900999</v>
      </c>
      <c r="J328" s="292" t="n">
        <v>35.02778</v>
      </c>
      <c r="K328" s="299" t="n">
        <v>2535.500032</v>
      </c>
      <c r="L328" s="290" t="n">
        <v>17.35752983479982</v>
      </c>
      <c r="M328" s="300" t="n">
        <v>-0.5338585743674494</v>
      </c>
      <c r="N328" s="292" t="n">
        <v>14.68610414712864</v>
      </c>
      <c r="O328" s="208" t="inlineStr">
        <is>
          <t>YES</t>
        </is>
      </c>
      <c r="P328" s="209" t="n">
        <v>3.4</v>
      </c>
      <c r="Q328" s="208" t="inlineStr">
        <is>
          <t>Hold</t>
        </is>
      </c>
      <c r="R328" s="209" t="n">
        <v>28.5</v>
      </c>
      <c r="S328" s="210" t="inlineStr">
        <is>
          <t>~50M sh. Q1-26: UNCHANGED. Defensive grocer</t>
        </is>
      </c>
    </row>
    <row r="329" ht="20" customHeight="1" s="215">
      <c r="A329" s="50" t="n">
        <v>324</v>
      </c>
      <c r="B329" s="51" t="inlineStr">
        <is>
          <t>CAH</t>
        </is>
      </c>
      <c r="C329" s="52" t="inlineStr">
        <is>
          <t>Cardinal Health</t>
        </is>
      </c>
      <c r="D329" s="53" t="inlineStr">
        <is>
          <t>Medical Distribution</t>
        </is>
      </c>
      <c r="E329" s="294" t="n">
        <v>252.65</v>
      </c>
      <c r="F329" s="289" t="n">
        <v>0.59219813</v>
      </c>
      <c r="G329" s="295" t="n">
        <v>58.503467008</v>
      </c>
      <c r="H329" s="289" t="n">
        <v>0.058</v>
      </c>
      <c r="I329" s="296" t="n">
        <v>0.03844</v>
      </c>
      <c r="J329" s="297" t="n">
        <v>34.944675</v>
      </c>
      <c r="K329" s="301" t="n">
        <v>4752.500224</v>
      </c>
      <c r="L329" s="295" t="n">
        <v>48.73284023079865</v>
      </c>
      <c r="M329" s="300" t="n">
        <v>-0.1670093633231219</v>
      </c>
      <c r="N329" s="297" t="n">
        <v>12.31004013820116</v>
      </c>
      <c r="O329" s="207" t="inlineStr">
        <is>
          <t>—</t>
        </is>
      </c>
      <c r="P329" s="207" t="inlineStr">
        <is>
          <t>—</t>
        </is>
      </c>
      <c r="Q329" s="207" t="inlineStr">
        <is>
          <t>—</t>
        </is>
      </c>
      <c r="R329" s="207" t="inlineStr">
        <is>
          <t>—</t>
        </is>
      </c>
      <c r="S329" s="207" t="inlineStr">
        <is>
          <t>—</t>
        </is>
      </c>
    </row>
    <row r="330" ht="20" customHeight="1" s="215">
      <c r="A330" s="54" t="n">
        <v>325</v>
      </c>
      <c r="B330" s="55" t="inlineStr">
        <is>
          <t>CNC</t>
        </is>
      </c>
      <c r="C330" s="56" t="inlineStr">
        <is>
          <t>Centene</t>
        </is>
      </c>
      <c r="D330" s="57" t="inlineStr">
        <is>
          <t>Healthcare Plans</t>
        </is>
      </c>
      <c r="E330" s="288" t="n">
        <v>68.63</v>
      </c>
      <c r="F330" s="289" t="n">
        <v>0.901108</v>
      </c>
      <c r="G330" s="290" t="n">
        <v>33.902876672</v>
      </c>
      <c r="H330" s="289" t="n">
        <v>0.046</v>
      </c>
      <c r="I330" s="291" t="n">
        <v>0.11415</v>
      </c>
      <c r="J330" s="292" t="n">
        <v>12.833409</v>
      </c>
      <c r="K330" s="299" t="n">
        <v>9639.624704</v>
      </c>
      <c r="L330" s="290" t="n">
        <v>105.4017063262829</v>
      </c>
      <c r="M330" s="289" t="n">
        <v>2.108931060511834</v>
      </c>
      <c r="N330" s="292" t="n">
        <v>3.517032860826196</v>
      </c>
      <c r="O330" s="206" t="inlineStr">
        <is>
          <t>—</t>
        </is>
      </c>
      <c r="P330" s="206" t="inlineStr">
        <is>
          <t>—</t>
        </is>
      </c>
      <c r="Q330" s="206" t="inlineStr">
        <is>
          <t>—</t>
        </is>
      </c>
      <c r="R330" s="206" t="inlineStr">
        <is>
          <t>—</t>
        </is>
      </c>
      <c r="S330" s="206" t="inlineStr">
        <is>
          <t>—</t>
        </is>
      </c>
    </row>
    <row r="331" ht="20" customHeight="1" s="215">
      <c r="A331" s="50" t="n">
        <v>326</v>
      </c>
      <c r="B331" s="51" t="inlineStr">
        <is>
          <t>PSX</t>
        </is>
      </c>
      <c r="C331" s="52" t="inlineStr">
        <is>
          <t>Phillips 66</t>
        </is>
      </c>
      <c r="D331" s="53" t="inlineStr">
        <is>
          <t>Oil &amp; Gas Refining &amp; Marketing</t>
        </is>
      </c>
      <c r="E331" s="294" t="n">
        <v>290.55</v>
      </c>
      <c r="F331" s="289" t="n">
        <v>1.2593312</v>
      </c>
      <c r="G331" s="295" t="n">
        <v>115.935526912</v>
      </c>
      <c r="H331" s="289" t="n">
        <v>0.531</v>
      </c>
      <c r="I331" s="296" t="n">
        <v>0.13098</v>
      </c>
      <c r="J331" s="297" t="n">
        <v>16.602856</v>
      </c>
      <c r="K331" s="301" t="n">
        <v>4545.375232</v>
      </c>
      <c r="L331" s="295" t="n">
        <v>100.3271984157718</v>
      </c>
      <c r="M331" s="300" t="n">
        <v>-0.1346293833474843</v>
      </c>
      <c r="N331" s="297" t="n">
        <v>25.50626102936445</v>
      </c>
      <c r="O331" s="207" t="inlineStr">
        <is>
          <t>—</t>
        </is>
      </c>
      <c r="P331" s="207" t="inlineStr">
        <is>
          <t>—</t>
        </is>
      </c>
      <c r="Q331" s="207" t="inlineStr">
        <is>
          <t>—</t>
        </is>
      </c>
      <c r="R331" s="207" t="inlineStr">
        <is>
          <t>—</t>
        </is>
      </c>
      <c r="S331" s="207" t="inlineStr">
        <is>
          <t>—</t>
        </is>
      </c>
    </row>
    <row r="332" ht="20" customHeight="1" s="215">
      <c r="A332" s="54" t="n">
        <v>327</v>
      </c>
      <c r="B332" s="55" t="inlineStr">
        <is>
          <t>WEC</t>
        </is>
      </c>
      <c r="C332" s="56" t="inlineStr">
        <is>
          <t>WEC Energy Gr</t>
        </is>
      </c>
      <c r="D332" s="57" t="inlineStr">
        <is>
          <t>Utilities - Regulated Electric</t>
        </is>
      </c>
      <c r="E332" s="288" t="n">
        <v>107</v>
      </c>
      <c r="F332" s="300" t="n">
        <v>-0.082175314</v>
      </c>
      <c r="G332" s="290" t="n">
        <v>34.865885184</v>
      </c>
      <c r="H332" s="289" t="n">
        <v>0.026</v>
      </c>
      <c r="I332" s="291" t="n">
        <v>0.41909</v>
      </c>
      <c r="J332" s="292" t="n">
        <v>20.7767</v>
      </c>
      <c r="K332" s="299" t="n">
        <v>-2353.637376</v>
      </c>
      <c r="L332" s="293" t="inlineStr">
        <is>
          <t>—</t>
        </is>
      </c>
      <c r="M332" s="293" t="inlineStr">
        <is>
          <t>—</t>
        </is>
      </c>
      <c r="N332" s="292" t="n">
        <v>-14.81361756765372</v>
      </c>
      <c r="O332" s="206" t="inlineStr">
        <is>
          <t>—</t>
        </is>
      </c>
      <c r="P332" s="206" t="inlineStr">
        <is>
          <t>—</t>
        </is>
      </c>
      <c r="Q332" s="206" t="inlineStr">
        <is>
          <t>—</t>
        </is>
      </c>
      <c r="R332" s="206" t="inlineStr">
        <is>
          <t>—</t>
        </is>
      </c>
      <c r="S332" s="206" t="inlineStr">
        <is>
          <t>—</t>
        </is>
      </c>
    </row>
    <row r="333" ht="20" customHeight="1" s="215">
      <c r="A333" s="50" t="n">
        <v>328</v>
      </c>
      <c r="B333" s="51" t="inlineStr">
        <is>
          <t>LYV</t>
        </is>
      </c>
      <c r="C333" s="52" t="inlineStr">
        <is>
          <t>Live Nation Entertainment</t>
        </is>
      </c>
      <c r="D333" s="53" t="inlineStr">
        <is>
          <t>Entertainment</t>
        </is>
      </c>
      <c r="E333" s="294" t="n">
        <v>170.8</v>
      </c>
      <c r="F333" s="289" t="n">
        <v>0.08623755</v>
      </c>
      <c r="G333" s="295" t="n">
        <v>39.789481984</v>
      </c>
      <c r="H333" s="289" t="n">
        <v>0.094</v>
      </c>
      <c r="I333" s="296" t="n">
        <v>0.25777</v>
      </c>
      <c r="J333" s="297" t="n">
        <v>89.81296500000001</v>
      </c>
      <c r="K333" s="301" t="n">
        <v>1695.030656</v>
      </c>
      <c r="L333" s="295" t="n">
        <v>24.20120150383641</v>
      </c>
      <c r="M333" s="300" t="n">
        <v>-0.3917688721464604</v>
      </c>
      <c r="N333" s="297" t="n">
        <v>23.47419694927335</v>
      </c>
      <c r="O333" s="207" t="inlineStr">
        <is>
          <t>—</t>
        </is>
      </c>
      <c r="P333" s="207" t="inlineStr">
        <is>
          <t>—</t>
        </is>
      </c>
      <c r="Q333" s="207" t="inlineStr">
        <is>
          <t>—</t>
        </is>
      </c>
      <c r="R333" s="207" t="inlineStr">
        <is>
          <t>—</t>
        </is>
      </c>
      <c r="S333" s="207" t="inlineStr">
        <is>
          <t>—</t>
        </is>
      </c>
    </row>
    <row r="334" ht="20" customHeight="1" s="215">
      <c r="A334" s="54" t="n">
        <v>329</v>
      </c>
      <c r="B334" s="55" t="inlineStr">
        <is>
          <t>GLW</t>
        </is>
      </c>
      <c r="C334" s="56" t="inlineStr">
        <is>
          <t>Corning</t>
        </is>
      </c>
      <c r="D334" s="57" t="inlineStr">
        <is>
          <t>Electronic Components</t>
        </is>
      </c>
      <c r="E334" s="288" t="n">
        <v>132.74</v>
      </c>
      <c r="F334" s="289" t="n">
        <v>0.5425916</v>
      </c>
      <c r="G334" s="290" t="n">
        <v>114.108325888</v>
      </c>
      <c r="H334" s="289" t="n">
        <v>0.166</v>
      </c>
      <c r="I334" s="291" t="n">
        <v>0.36395</v>
      </c>
      <c r="J334" s="292" t="n">
        <v>60.889908</v>
      </c>
      <c r="K334" s="299" t="n">
        <v>734.499968</v>
      </c>
      <c r="L334" s="290" t="n">
        <v>9.660717902113108</v>
      </c>
      <c r="M334" s="300" t="n">
        <v>-0.9153373092898118</v>
      </c>
      <c r="N334" s="292" t="n">
        <v>155.3551121332384</v>
      </c>
      <c r="O334" s="206" t="inlineStr">
        <is>
          <t>—</t>
        </is>
      </c>
      <c r="P334" s="206" t="inlineStr">
        <is>
          <t>—</t>
        </is>
      </c>
      <c r="Q334" s="206" t="inlineStr">
        <is>
          <t>—</t>
        </is>
      </c>
      <c r="R334" s="206" t="inlineStr">
        <is>
          <t>—</t>
        </is>
      </c>
      <c r="S334" s="206" t="inlineStr">
        <is>
          <t>—</t>
        </is>
      </c>
    </row>
    <row r="335" ht="20" customHeight="1" s="215">
      <c r="A335" s="50" t="n">
        <v>330</v>
      </c>
      <c r="B335" s="51" t="inlineStr">
        <is>
          <t>DIS</t>
        </is>
      </c>
      <c r="C335" s="52" t="inlineStr">
        <is>
          <t>Walt Disney</t>
        </is>
      </c>
      <c r="D335" s="53" t="inlineStr">
        <is>
          <t>Entertainment</t>
        </is>
      </c>
      <c r="E335" s="294" t="n">
        <v>109.59</v>
      </c>
      <c r="F335" s="300" t="n">
        <v>-0.041207373</v>
      </c>
      <c r="G335" s="295" t="n">
        <v>189.227597824</v>
      </c>
      <c r="H335" s="289" t="n">
        <v>0.068</v>
      </c>
      <c r="I335" s="296" t="n">
        <v>0.37595</v>
      </c>
      <c r="J335" s="297" t="n">
        <v>22.595877</v>
      </c>
      <c r="K335" s="301" t="n">
        <v>4860.37504</v>
      </c>
      <c r="L335" s="295" t="n">
        <v>48.27144750901311</v>
      </c>
      <c r="M335" s="300" t="n">
        <v>-0.7449027094139289</v>
      </c>
      <c r="N335" s="297" t="n">
        <v>38.93271939569915</v>
      </c>
      <c r="O335" s="207" t="inlineStr">
        <is>
          <t>—</t>
        </is>
      </c>
      <c r="P335" s="207" t="inlineStr">
        <is>
          <t>—</t>
        </is>
      </c>
      <c r="Q335" s="207" t="inlineStr">
        <is>
          <t>—</t>
        </is>
      </c>
      <c r="R335" s="207" t="inlineStr">
        <is>
          <t>—</t>
        </is>
      </c>
      <c r="S335" s="207" t="inlineStr">
        <is>
          <t>—</t>
        </is>
      </c>
    </row>
    <row r="336" ht="20" customHeight="1" s="215">
      <c r="A336" s="54" t="n">
        <v>331</v>
      </c>
      <c r="B336" s="55" t="inlineStr">
        <is>
          <t>CTVA</t>
        </is>
      </c>
      <c r="C336" s="56" t="inlineStr">
        <is>
          <t>Corteva</t>
        </is>
      </c>
      <c r="D336" s="57" t="inlineStr">
        <is>
          <t>Agricultural Inputs</t>
        </is>
      </c>
      <c r="E336" s="288" t="n">
        <v>12.65</v>
      </c>
      <c r="F336" s="289" t="n">
        <v>0.36053336</v>
      </c>
      <c r="G336" s="290" t="n">
        <v>8.440029696</v>
      </c>
      <c r="H336" s="300" t="n">
        <v>-0.012</v>
      </c>
      <c r="I336" s="291" t="n">
        <v>0.33213</v>
      </c>
      <c r="J336" s="292" t="n">
        <v>7.808642</v>
      </c>
      <c r="K336" s="306" t="inlineStr">
        <is>
          <t>—</t>
        </is>
      </c>
      <c r="L336" s="307" t="inlineStr">
        <is>
          <t>—</t>
        </is>
      </c>
      <c r="M336" s="308" t="inlineStr">
        <is>
          <t>—</t>
        </is>
      </c>
      <c r="N336" s="309" t="inlineStr">
        <is>
          <t>—</t>
        </is>
      </c>
      <c r="O336" s="206" t="inlineStr">
        <is>
          <t>—</t>
        </is>
      </c>
      <c r="P336" s="206" t="inlineStr">
        <is>
          <t>—</t>
        </is>
      </c>
      <c r="Q336" s="206" t="inlineStr">
        <is>
          <t>—</t>
        </is>
      </c>
      <c r="R336" s="206" t="inlineStr">
        <is>
          <t>—</t>
        </is>
      </c>
      <c r="S336" s="206" t="inlineStr">
        <is>
          <t>—</t>
        </is>
      </c>
    </row>
    <row r="337" ht="20" customHeight="1" s="215">
      <c r="A337" s="50" t="n">
        <v>332</v>
      </c>
      <c r="B337" s="51" t="inlineStr">
        <is>
          <t>AAL</t>
        </is>
      </c>
      <c r="C337" s="52" t="inlineStr">
        <is>
          <t>American Airlines Group</t>
        </is>
      </c>
      <c r="D337" s="53" t="inlineStr">
        <is>
          <t>Airlines</t>
        </is>
      </c>
      <c r="E337" s="294" t="n">
        <v>11.68</v>
      </c>
      <c r="F337" s="300" t="n">
        <v>-0.054251015</v>
      </c>
      <c r="G337" s="295" t="n">
        <v>7.731808768</v>
      </c>
      <c r="H337" s="289" t="n">
        <v>0.163</v>
      </c>
      <c r="I337" s="296" t="n">
        <v>0.21239</v>
      </c>
      <c r="J337" s="297" t="n">
        <v>8.836302</v>
      </c>
      <c r="K337" s="301" t="n">
        <v>519.249984</v>
      </c>
      <c r="L337" s="295" t="n">
        <v>10.95610920589648</v>
      </c>
      <c r="M337" s="289" t="n">
        <v>0.4170176131671864</v>
      </c>
      <c r="N337" s="297" t="n">
        <v>14.89034042547029</v>
      </c>
      <c r="O337" s="207" t="inlineStr">
        <is>
          <t>—</t>
        </is>
      </c>
      <c r="P337" s="207" t="inlineStr">
        <is>
          <t>—</t>
        </is>
      </c>
      <c r="Q337" s="207" t="inlineStr">
        <is>
          <t>—</t>
        </is>
      </c>
      <c r="R337" s="207" t="inlineStr">
        <is>
          <t>—</t>
        </is>
      </c>
      <c r="S337" s="207" t="inlineStr">
        <is>
          <t>—</t>
        </is>
      </c>
    </row>
    <row r="338" ht="20" customHeight="1" s="215">
      <c r="A338" s="54" t="n">
        <v>333</v>
      </c>
      <c r="B338" s="55" t="inlineStr">
        <is>
          <t>HWM</t>
        </is>
      </c>
      <c r="C338" s="56" t="inlineStr">
        <is>
          <t>Howmet Aerospace</t>
        </is>
      </c>
      <c r="D338" s="57" t="inlineStr">
        <is>
          <t>Specialty Industrial Machinery</t>
        </is>
      </c>
      <c r="E338" s="288" t="n">
        <v>220.03</v>
      </c>
      <c r="F338" s="289" t="n">
        <v>0.11588395</v>
      </c>
      <c r="G338" s="290" t="n">
        <v>87.748272128</v>
      </c>
      <c r="H338" s="289" t="n">
        <v>0.241</v>
      </c>
      <c r="I338" s="291" t="n">
        <v>0.36032</v>
      </c>
      <c r="J338" s="292" t="n">
        <v>47.42026</v>
      </c>
      <c r="K338" s="299" t="n">
        <v>1189.874944</v>
      </c>
      <c r="L338" s="290" t="n">
        <v>20.91604992543583</v>
      </c>
      <c r="M338" s="300" t="n">
        <v>-0.7616357630959935</v>
      </c>
      <c r="N338" s="292" t="n">
        <v>73.74579342513661</v>
      </c>
      <c r="O338" s="206" t="inlineStr">
        <is>
          <t>—</t>
        </is>
      </c>
      <c r="P338" s="206" t="inlineStr">
        <is>
          <t>—</t>
        </is>
      </c>
      <c r="Q338" s="206" t="inlineStr">
        <is>
          <t>—</t>
        </is>
      </c>
      <c r="R338" s="206" t="inlineStr">
        <is>
          <t>—</t>
        </is>
      </c>
      <c r="S338" s="206" t="inlineStr">
        <is>
          <t>—</t>
        </is>
      </c>
    </row>
    <row r="339" ht="20" customHeight="1" s="215">
      <c r="A339" s="50" t="n">
        <v>334</v>
      </c>
      <c r="B339" s="51" t="inlineStr">
        <is>
          <t>TMUS</t>
        </is>
      </c>
      <c r="C339" s="52" t="inlineStr">
        <is>
          <t>T-Mobile US</t>
        </is>
      </c>
      <c r="D339" s="53" t="inlineStr">
        <is>
          <t>Telecom Services</t>
        </is>
      </c>
      <c r="E339" s="294" t="n">
        <v>156.09</v>
      </c>
      <c r="F339" s="300" t="n">
        <v>-0.3186223</v>
      </c>
      <c r="G339" s="295" t="n">
        <v>167.433306112</v>
      </c>
      <c r="H339" s="289" t="n">
        <v>0.079</v>
      </c>
      <c r="I339" s="296" t="n">
        <v>0.63054</v>
      </c>
      <c r="J339" s="297" t="n">
        <v>16.310345</v>
      </c>
      <c r="K339" s="301" t="n">
        <v>11335.999488</v>
      </c>
      <c r="L339" s="295" t="n">
        <v>112.3091295730633</v>
      </c>
      <c r="M339" s="300" t="n">
        <v>-0.3292306520069722</v>
      </c>
      <c r="N339" s="297" t="n">
        <v>14.7700528965629</v>
      </c>
      <c r="O339" s="211" t="inlineStr">
        <is>
          <t>SOLD</t>
        </is>
      </c>
      <c r="P339" s="211" t="inlineStr">
        <is>
          <t>—</t>
        </is>
      </c>
      <c r="Q339" s="211" t="inlineStr">
        <is>
          <t>Sold</t>
        </is>
      </c>
      <c r="R339" s="212" t="n">
        <v>152</v>
      </c>
      <c r="S339" s="213" t="inlineStr">
        <is>
          <t>Already fully exited Q2-25 @~$195</t>
        </is>
      </c>
    </row>
    <row r="340" ht="20" customHeight="1" s="215">
      <c r="A340" s="54" t="n">
        <v>335</v>
      </c>
      <c r="B340" s="55" t="inlineStr">
        <is>
          <t>FDX</t>
        </is>
      </c>
      <c r="C340" s="56" t="inlineStr">
        <is>
          <t>FedEx</t>
        </is>
      </c>
      <c r="D340" s="57" t="inlineStr">
        <is>
          <t>Integrated Freight &amp; Logistics</t>
        </is>
      </c>
      <c r="E340" s="288" t="n">
        <v>293.78</v>
      </c>
      <c r="F340" s="289" t="n">
        <v>0.5013218</v>
      </c>
      <c r="G340" s="290" t="n">
        <v>69.529042944</v>
      </c>
      <c r="H340" s="289" t="n">
        <v>0.125</v>
      </c>
      <c r="I340" s="291" t="n">
        <v>0.27318</v>
      </c>
      <c r="J340" s="292" t="n">
        <v>15.837197</v>
      </c>
      <c r="K340" s="299" t="n">
        <v>5656.625152</v>
      </c>
      <c r="L340" s="290" t="n">
        <v>61.78781721936539</v>
      </c>
      <c r="M340" s="300" t="n">
        <v>-0.1113380164152344</v>
      </c>
      <c r="N340" s="292" t="n">
        <v>12.29161178723621</v>
      </c>
      <c r="O340" s="206" t="inlineStr">
        <is>
          <t>—</t>
        </is>
      </c>
      <c r="P340" s="206" t="inlineStr">
        <is>
          <t>—</t>
        </is>
      </c>
      <c r="Q340" s="206" t="inlineStr">
        <is>
          <t>—</t>
        </is>
      </c>
      <c r="R340" s="206" t="inlineStr">
        <is>
          <t>—</t>
        </is>
      </c>
      <c r="S340" s="206" t="inlineStr">
        <is>
          <t>—</t>
        </is>
      </c>
    </row>
    <row r="341" ht="20" customHeight="1" s="215">
      <c r="A341" s="50" t="n">
        <v>336</v>
      </c>
      <c r="B341" s="51" t="inlineStr">
        <is>
          <t>APA</t>
        </is>
      </c>
      <c r="C341" s="52" t="inlineStr">
        <is>
          <t>Apache</t>
        </is>
      </c>
      <c r="D341" s="53" t="inlineStr">
        <is>
          <t>Oil &amp; Gas E&amp;P</t>
        </is>
      </c>
      <c r="E341" s="294" t="n">
        <v>49.76</v>
      </c>
      <c r="F341" s="289" t="n">
        <v>1.2037201</v>
      </c>
      <c r="G341" s="295" t="n">
        <v>17.433491456</v>
      </c>
      <c r="H341" s="289" t="n">
        <v>0.092</v>
      </c>
      <c r="I341" s="296" t="n">
        <v>0.78255</v>
      </c>
      <c r="J341" s="297" t="n">
        <v>10.520084</v>
      </c>
      <c r="K341" s="301" t="n">
        <v>2146.749952</v>
      </c>
      <c r="L341" s="295" t="n">
        <v>46.23507055728945</v>
      </c>
      <c r="M341" s="289" t="n">
        <v>1.652083242991292</v>
      </c>
      <c r="N341" s="297" t="n">
        <v>8.120876453896386</v>
      </c>
      <c r="O341" s="207" t="inlineStr">
        <is>
          <t>—</t>
        </is>
      </c>
      <c r="P341" s="207" t="inlineStr">
        <is>
          <t>—</t>
        </is>
      </c>
      <c r="Q341" s="207" t="inlineStr">
        <is>
          <t>—</t>
        </is>
      </c>
      <c r="R341" s="207" t="inlineStr">
        <is>
          <t>—</t>
        </is>
      </c>
      <c r="S341" s="207" t="inlineStr">
        <is>
          <t>—</t>
        </is>
      </c>
    </row>
    <row r="342" ht="20" customHeight="1" s="215">
      <c r="A342" s="54" t="n">
        <v>337</v>
      </c>
      <c r="B342" s="55" t="inlineStr">
        <is>
          <t>FE</t>
        </is>
      </c>
      <c r="C342" s="56" t="inlineStr">
        <is>
          <t>FirstEnergy</t>
        </is>
      </c>
      <c r="D342" s="57" t="inlineStr">
        <is>
          <t>Utilities - Diversified</t>
        </is>
      </c>
      <c r="E342" s="288" t="n">
        <v>45.25</v>
      </c>
      <c r="F342" s="300" t="n">
        <v>-0.038870037</v>
      </c>
      <c r="G342" s="290" t="n">
        <v>26.174009344</v>
      </c>
      <c r="H342" s="289" t="n">
        <v>0.08799999999999999</v>
      </c>
      <c r="I342" s="291" t="n">
        <v>0.68605006</v>
      </c>
      <c r="J342" s="292" t="n">
        <v>24.19786</v>
      </c>
      <c r="K342" s="299" t="n">
        <v>-2014.625024</v>
      </c>
      <c r="L342" s="293" t="inlineStr">
        <is>
          <t>—</t>
        </is>
      </c>
      <c r="M342" s="293" t="inlineStr">
        <is>
          <t>—</t>
        </is>
      </c>
      <c r="N342" s="292" t="n">
        <v>-12.99200116991598</v>
      </c>
      <c r="O342" s="206" t="inlineStr">
        <is>
          <t>—</t>
        </is>
      </c>
      <c r="P342" s="206" t="inlineStr">
        <is>
          <t>—</t>
        </is>
      </c>
      <c r="Q342" s="206" t="inlineStr">
        <is>
          <t>—</t>
        </is>
      </c>
      <c r="R342" s="206" t="inlineStr">
        <is>
          <t>—</t>
        </is>
      </c>
      <c r="S342" s="206" t="inlineStr">
        <is>
          <t>—</t>
        </is>
      </c>
    </row>
    <row r="343" ht="20" customHeight="1" s="215">
      <c r="A343" s="50" t="n">
        <v>338</v>
      </c>
      <c r="B343" s="51" t="inlineStr">
        <is>
          <t>EQIX</t>
        </is>
      </c>
      <c r="C343" s="52" t="inlineStr">
        <is>
          <t>Equinix</t>
        </is>
      </c>
      <c r="D343" s="53" t="inlineStr">
        <is>
          <t>REIT - Specialty</t>
        </is>
      </c>
      <c r="E343" s="294" t="n">
        <v>975.71</v>
      </c>
      <c r="F343" s="289" t="n">
        <v>0.18699515</v>
      </c>
      <c r="G343" s="295" t="n">
        <v>96.274956288</v>
      </c>
      <c r="H343" s="289" t="n">
        <v>0.167</v>
      </c>
      <c r="I343" s="296" t="n">
        <v>0.51979</v>
      </c>
      <c r="J343" s="297" t="n">
        <v>62.787003</v>
      </c>
      <c r="K343" s="301" t="n">
        <v>3785.999872</v>
      </c>
      <c r="L343" s="295" t="n">
        <v>7.548039875747651</v>
      </c>
      <c r="M343" s="300" t="n">
        <v>-0.921599134741041</v>
      </c>
      <c r="N343" s="297" t="n">
        <v>25.42920074009448</v>
      </c>
      <c r="O343" s="207" t="inlineStr">
        <is>
          <t>—</t>
        </is>
      </c>
      <c r="P343" s="207" t="inlineStr">
        <is>
          <t>—</t>
        </is>
      </c>
      <c r="Q343" s="207" t="inlineStr">
        <is>
          <t>—</t>
        </is>
      </c>
      <c r="R343" s="207" t="inlineStr">
        <is>
          <t>—</t>
        </is>
      </c>
      <c r="S343" s="207" t="inlineStr">
        <is>
          <t>—</t>
        </is>
      </c>
    </row>
    <row r="344" ht="20" customHeight="1" s="215">
      <c r="A344" s="54" t="n">
        <v>339</v>
      </c>
      <c r="B344" s="55" t="inlineStr">
        <is>
          <t>EXC</t>
        </is>
      </c>
      <c r="C344" s="56" t="inlineStr">
        <is>
          <t>Exelon</t>
        </is>
      </c>
      <c r="D344" s="57" t="inlineStr">
        <is>
          <t>Utilities - Diversified</t>
        </is>
      </c>
      <c r="E344" s="288" t="n">
        <v>42.41</v>
      </c>
      <c r="F344" s="300" t="n">
        <v>-0.11645836</v>
      </c>
      <c r="G344" s="290" t="n">
        <v>43.693068288</v>
      </c>
      <c r="H344" s="289" t="n">
        <v>0.099</v>
      </c>
      <c r="I344" s="291" t="n">
        <v>0.42363998</v>
      </c>
      <c r="J344" s="292" t="n">
        <v>15.591911</v>
      </c>
      <c r="K344" s="299" t="n">
        <v>-2685.12512</v>
      </c>
      <c r="L344" s="293" t="inlineStr">
        <is>
          <t>—</t>
        </is>
      </c>
      <c r="M344" s="293" t="inlineStr">
        <is>
          <t>—</t>
        </is>
      </c>
      <c r="N344" s="292" t="n">
        <v>-16.27226620280175</v>
      </c>
      <c r="O344" s="206" t="inlineStr">
        <is>
          <t>—</t>
        </is>
      </c>
      <c r="P344" s="206" t="inlineStr">
        <is>
          <t>—</t>
        </is>
      </c>
      <c r="Q344" s="206" t="inlineStr">
        <is>
          <t>—</t>
        </is>
      </c>
      <c r="R344" s="206" t="inlineStr">
        <is>
          <t>—</t>
        </is>
      </c>
      <c r="S344" s="206" t="inlineStr">
        <is>
          <t>—</t>
        </is>
      </c>
    </row>
    <row r="345" ht="20" customHeight="1" s="215">
      <c r="A345" s="50" t="n">
        <v>340</v>
      </c>
      <c r="B345" s="51" t="inlineStr">
        <is>
          <t>AIG</t>
        </is>
      </c>
      <c r="C345" s="52" t="inlineStr">
        <is>
          <t>American Intl Gr</t>
        </is>
      </c>
      <c r="D345" s="53" t="inlineStr">
        <is>
          <t>Insurance - Diversified</t>
        </is>
      </c>
      <c r="E345" s="294" t="n">
        <v>80.66</v>
      </c>
      <c r="F345" s="289" t="n">
        <v>0.029089093</v>
      </c>
      <c r="G345" s="295" t="n">
        <v>42.176565248</v>
      </c>
      <c r="H345" s="289" t="n">
        <v>0.005</v>
      </c>
      <c r="I345" s="296" t="n">
        <v>0.35087</v>
      </c>
      <c r="J345" s="297" t="n">
        <v>14.772894</v>
      </c>
      <c r="K345" s="301" t="n">
        <v>7365.000192</v>
      </c>
      <c r="L345" s="295" t="n">
        <v>16.15966132705015</v>
      </c>
      <c r="M345" s="300" t="n">
        <v>-0.6168568675037748</v>
      </c>
      <c r="N345" s="297" t="n">
        <v>5.726620761986261</v>
      </c>
      <c r="O345" s="207" t="inlineStr">
        <is>
          <t>—</t>
        </is>
      </c>
      <c r="P345" s="207" t="inlineStr">
        <is>
          <t>—</t>
        </is>
      </c>
      <c r="Q345" s="207" t="inlineStr">
        <is>
          <t>—</t>
        </is>
      </c>
      <c r="R345" s="207" t="inlineStr">
        <is>
          <t>—</t>
        </is>
      </c>
      <c r="S345" s="207" t="inlineStr">
        <is>
          <t>—</t>
        </is>
      </c>
    </row>
    <row r="346" ht="20" customHeight="1" s="215">
      <c r="A346" s="54" t="n">
        <v>341</v>
      </c>
      <c r="B346" s="55" t="inlineStr">
        <is>
          <t>MOS</t>
        </is>
      </c>
      <c r="C346" s="56" t="inlineStr">
        <is>
          <t>Mosaic</t>
        </is>
      </c>
      <c r="D346" s="57" t="inlineStr">
        <is>
          <t>Agricultural Inputs</t>
        </is>
      </c>
      <c r="E346" s="288" t="n">
        <v>17.92</v>
      </c>
      <c r="F346" s="300" t="n">
        <v>-0.3860911</v>
      </c>
      <c r="G346" s="290" t="n">
        <v>5.696690176</v>
      </c>
      <c r="H346" s="300" t="n">
        <v>-0.06</v>
      </c>
      <c r="I346" s="291" t="n">
        <v>0.11236</v>
      </c>
      <c r="J346" s="292" t="n">
        <v>11.392824</v>
      </c>
      <c r="K346" s="299" t="n">
        <v>-746.275008</v>
      </c>
      <c r="L346" s="293" t="inlineStr">
        <is>
          <t>—</t>
        </is>
      </c>
      <c r="M346" s="293" t="inlineStr">
        <is>
          <t>—</t>
        </is>
      </c>
      <c r="N346" s="292" t="n">
        <v>-7.633499601691071</v>
      </c>
      <c r="O346" s="206" t="inlineStr">
        <is>
          <t>—</t>
        </is>
      </c>
      <c r="P346" s="206" t="inlineStr">
        <is>
          <t>—</t>
        </is>
      </c>
      <c r="Q346" s="206" t="inlineStr">
        <is>
          <t>—</t>
        </is>
      </c>
      <c r="R346" s="206" t="inlineStr">
        <is>
          <t>—</t>
        </is>
      </c>
      <c r="S346" s="206" t="inlineStr">
        <is>
          <t>—</t>
        </is>
      </c>
    </row>
    <row r="347" ht="20" customHeight="1" s="215">
      <c r="A347" s="50" t="n">
        <v>342</v>
      </c>
      <c r="B347" s="51" t="inlineStr">
        <is>
          <t>KMX</t>
        </is>
      </c>
      <c r="C347" s="52" t="inlineStr">
        <is>
          <t>CarMax</t>
        </is>
      </c>
      <c r="D347" s="53" t="inlineStr">
        <is>
          <t>Auto &amp; Truck Dealerships</t>
        </is>
      </c>
      <c r="E347" s="294" t="n">
        <v>51.65</v>
      </c>
      <c r="F347" s="289" t="n">
        <v>0.15548098</v>
      </c>
      <c r="G347" s="295" t="n">
        <v>7.33134592</v>
      </c>
      <c r="H347" s="289" t="n">
        <v>0.177</v>
      </c>
      <c r="I347" s="296" t="n">
        <v>0.11689</v>
      </c>
      <c r="J347" s="297" t="n">
        <v>24.478676</v>
      </c>
      <c r="K347" s="301" t="n">
        <v>632.307968</v>
      </c>
      <c r="L347" s="295" t="n">
        <v>6.266837201319945</v>
      </c>
      <c r="M347" s="300" t="n">
        <v>-0.14519963050387</v>
      </c>
      <c r="N347" s="297" t="n">
        <v>11.59458104685785</v>
      </c>
      <c r="O347" s="207" t="inlineStr">
        <is>
          <t>—</t>
        </is>
      </c>
      <c r="P347" s="207" t="inlineStr">
        <is>
          <t>—</t>
        </is>
      </c>
      <c r="Q347" s="207" t="inlineStr">
        <is>
          <t>—</t>
        </is>
      </c>
      <c r="R347" s="207" t="inlineStr">
        <is>
          <t>—</t>
        </is>
      </c>
      <c r="S347" s="207" t="inlineStr">
        <is>
          <t>—</t>
        </is>
      </c>
    </row>
    <row r="348" ht="20" customHeight="1" s="215">
      <c r="A348" s="54" t="n">
        <v>343</v>
      </c>
      <c r="B348" s="55" t="inlineStr">
        <is>
          <t>EFX</t>
        </is>
      </c>
      <c r="C348" s="56" t="inlineStr">
        <is>
          <t>Equifax</t>
        </is>
      </c>
      <c r="D348" s="57" t="inlineStr">
        <is>
          <t>Consulting Services</t>
        </is>
      </c>
      <c r="E348" s="288" t="n">
        <v>158.57</v>
      </c>
      <c r="F348" s="300" t="n">
        <v>-0.3103553</v>
      </c>
      <c r="G348" s="290" t="n">
        <v>18.6295808</v>
      </c>
      <c r="H348" s="289" t="n">
        <v>0.106</v>
      </c>
      <c r="I348" s="291" t="n">
        <v>0.55542</v>
      </c>
      <c r="J348" s="292" t="n">
        <v>27.917255</v>
      </c>
      <c r="K348" s="299" t="n">
        <v>947.537472</v>
      </c>
      <c r="L348" s="290" t="n">
        <v>8.130723221538032</v>
      </c>
      <c r="M348" s="300" t="n">
        <v>-0.56355844456049</v>
      </c>
      <c r="N348" s="292" t="n">
        <v>19.66104825321357</v>
      </c>
      <c r="O348" s="206" t="inlineStr">
        <is>
          <t>—</t>
        </is>
      </c>
      <c r="P348" s="206" t="inlineStr">
        <is>
          <t>—</t>
        </is>
      </c>
      <c r="Q348" s="206" t="inlineStr">
        <is>
          <t>—</t>
        </is>
      </c>
      <c r="R348" s="206" t="inlineStr">
        <is>
          <t>—</t>
        </is>
      </c>
      <c r="S348" s="206" t="inlineStr">
        <is>
          <t>—</t>
        </is>
      </c>
    </row>
    <row r="349" ht="20" customHeight="1" s="215">
      <c r="A349" s="50" t="n">
        <v>344</v>
      </c>
      <c r="B349" s="51" t="inlineStr">
        <is>
          <t>WYNN</t>
        </is>
      </c>
      <c r="C349" s="52" t="inlineStr">
        <is>
          <t>Wynn Resorts</t>
        </is>
      </c>
      <c r="D349" s="53" t="inlineStr">
        <is>
          <t>Resorts &amp; Casinos</t>
        </is>
      </c>
      <c r="E349" s="294" t="n">
        <v>75.98</v>
      </c>
      <c r="F349" s="300" t="n">
        <v>-0.37274003</v>
      </c>
      <c r="G349" s="295" t="n">
        <v>7.82395648</v>
      </c>
      <c r="H349" s="289" t="n">
        <v>0.06900000000000001</v>
      </c>
      <c r="I349" s="296" t="n">
        <v>0.6830000000000001</v>
      </c>
      <c r="J349" s="297" t="n">
        <v>18.220625</v>
      </c>
      <c r="K349" s="301" t="n">
        <v>476.188864</v>
      </c>
      <c r="L349" s="295" t="n">
        <v>4.479735135722093</v>
      </c>
      <c r="M349" s="300" t="n">
        <v>-0.4274335309541378</v>
      </c>
      <c r="N349" s="297" t="n">
        <v>16.43036372681743</v>
      </c>
      <c r="O349" s="207" t="inlineStr">
        <is>
          <t>—</t>
        </is>
      </c>
      <c r="P349" s="207" t="inlineStr">
        <is>
          <t>—</t>
        </is>
      </c>
      <c r="Q349" s="207" t="inlineStr">
        <is>
          <t>—</t>
        </is>
      </c>
      <c r="R349" s="207" t="inlineStr">
        <is>
          <t>—</t>
        </is>
      </c>
      <c r="S349" s="207" t="inlineStr">
        <is>
          <t>—</t>
        </is>
      </c>
    </row>
    <row r="350" ht="20" customHeight="1" s="215">
      <c r="A350" s="54" t="n">
        <v>345</v>
      </c>
      <c r="B350" s="55" t="inlineStr">
        <is>
          <t>ED</t>
        </is>
      </c>
      <c r="C350" s="56" t="inlineStr">
        <is>
          <t>Consolidated Edison</t>
        </is>
      </c>
      <c r="D350" s="57" t="inlineStr">
        <is>
          <t>Utilities - Regulated Electric</t>
        </is>
      </c>
      <c r="E350" s="288" t="n">
        <v>109.69</v>
      </c>
      <c r="F350" s="289" t="n">
        <v>0.08005118</v>
      </c>
      <c r="G350" s="290" t="n">
        <v>40.566505472</v>
      </c>
      <c r="H350" s="289" t="n">
        <v>0.132</v>
      </c>
      <c r="I350" s="291" t="n">
        <v>0.53372</v>
      </c>
      <c r="J350" s="292" t="n">
        <v>18.07084</v>
      </c>
      <c r="K350" s="299" t="n">
        <v>-844.875008</v>
      </c>
      <c r="L350" s="293" t="inlineStr">
        <is>
          <t>—</t>
        </is>
      </c>
      <c r="M350" s="293" t="inlineStr">
        <is>
          <t>—</t>
        </is>
      </c>
      <c r="N350" s="292" t="n">
        <v>-48.01479789276711</v>
      </c>
      <c r="O350" s="206" t="inlineStr">
        <is>
          <t>—</t>
        </is>
      </c>
      <c r="P350" s="206" t="inlineStr">
        <is>
          <t>—</t>
        </is>
      </c>
      <c r="Q350" s="206" t="inlineStr">
        <is>
          <t>—</t>
        </is>
      </c>
      <c r="R350" s="206" t="inlineStr">
        <is>
          <t>—</t>
        </is>
      </c>
      <c r="S350" s="206" t="inlineStr">
        <is>
          <t>—</t>
        </is>
      </c>
    </row>
    <row r="351" ht="20" customHeight="1" s="215">
      <c r="A351" s="50" t="n">
        <v>346</v>
      </c>
      <c r="B351" s="51" t="inlineStr">
        <is>
          <t>DTE</t>
        </is>
      </c>
      <c r="C351" s="52" t="inlineStr">
        <is>
          <t>DTE Energy</t>
        </is>
      </c>
      <c r="D351" s="53" t="inlineStr">
        <is>
          <t>Utilities - Regulated Electric</t>
        </is>
      </c>
      <c r="E351" s="294" t="n">
        <v>126.93</v>
      </c>
      <c r="F351" s="300" t="n">
        <v>-0.10782313</v>
      </c>
      <c r="G351" s="295" t="n">
        <v>26.412617728</v>
      </c>
      <c r="H351" s="300" t="n">
        <v>-0.015</v>
      </c>
      <c r="I351" s="296" t="n">
        <v>0.29347</v>
      </c>
      <c r="J351" s="297" t="n">
        <v>20.11569</v>
      </c>
      <c r="K351" s="301" t="n">
        <v>-2596.624896</v>
      </c>
      <c r="L351" s="298" t="inlineStr">
        <is>
          <t>—</t>
        </is>
      </c>
      <c r="M351" s="298" t="inlineStr">
        <is>
          <t>—</t>
        </is>
      </c>
      <c r="N351" s="297" t="n">
        <v>-10.171903781273</v>
      </c>
      <c r="O351" s="207" t="inlineStr">
        <is>
          <t>—</t>
        </is>
      </c>
      <c r="P351" s="207" t="inlineStr">
        <is>
          <t>—</t>
        </is>
      </c>
      <c r="Q351" s="207" t="inlineStr">
        <is>
          <t>—</t>
        </is>
      </c>
      <c r="R351" s="207" t="inlineStr">
        <is>
          <t>—</t>
        </is>
      </c>
      <c r="S351" s="207" t="inlineStr">
        <is>
          <t>—</t>
        </is>
      </c>
    </row>
    <row r="352" ht="20" customHeight="1" s="215">
      <c r="A352" s="54" t="n">
        <v>347</v>
      </c>
      <c r="B352" s="55" t="inlineStr">
        <is>
          <t>J</t>
        </is>
      </c>
      <c r="C352" s="56" t="inlineStr">
        <is>
          <t>Jacobs Engineering Group</t>
        </is>
      </c>
      <c r="D352" s="57" t="inlineStr">
        <is>
          <t>Engineering &amp; Construction</t>
        </is>
      </c>
      <c r="E352" s="288" t="n">
        <v>138.34</v>
      </c>
      <c r="F352" s="300" t="n">
        <v>-0.1587205</v>
      </c>
      <c r="G352" s="290" t="n">
        <v>16.3353088</v>
      </c>
      <c r="H352" s="289" t="n">
        <v>0.345</v>
      </c>
      <c r="I352" s="291" t="n">
        <v>0.22067</v>
      </c>
      <c r="J352" s="292" t="n">
        <v>45.960133</v>
      </c>
      <c r="K352" s="299" t="n">
        <v>645.6778880000001</v>
      </c>
      <c r="L352" s="290" t="n">
        <v>7.44790388305758</v>
      </c>
      <c r="M352" s="300" t="n">
        <v>-0.5440610291335551</v>
      </c>
      <c r="N352" s="292" t="n">
        <v>25.2994706872477</v>
      </c>
      <c r="O352" s="206" t="inlineStr">
        <is>
          <t>—</t>
        </is>
      </c>
      <c r="P352" s="206" t="inlineStr">
        <is>
          <t>—</t>
        </is>
      </c>
      <c r="Q352" s="206" t="inlineStr">
        <is>
          <t>—</t>
        </is>
      </c>
      <c r="R352" s="206" t="inlineStr">
        <is>
          <t>—</t>
        </is>
      </c>
      <c r="S352" s="206" t="inlineStr">
        <is>
          <t>—</t>
        </is>
      </c>
    </row>
    <row r="353" ht="20" customHeight="1" s="215">
      <c r="A353" s="50" t="n">
        <v>348</v>
      </c>
      <c r="B353" s="51" t="inlineStr">
        <is>
          <t>ALB</t>
        </is>
      </c>
      <c r="C353" s="52" t="inlineStr">
        <is>
          <t>Albemarle</t>
        </is>
      </c>
      <c r="D353" s="53" t="inlineStr">
        <is>
          <t>Specialty Chemicals</t>
        </is>
      </c>
      <c r="E353" s="294" t="n">
        <v>94.64</v>
      </c>
      <c r="F353" s="289" t="n">
        <v>0.03612876</v>
      </c>
      <c r="G353" s="295" t="n">
        <v>11.167997952</v>
      </c>
      <c r="H353" s="289" t="n">
        <v>0.311</v>
      </c>
      <c r="I353" s="296" t="n">
        <v>0.23959999</v>
      </c>
      <c r="J353" s="297" t="n">
        <v>350.5185</v>
      </c>
      <c r="K353" s="301" t="n">
        <v>1334.340224</v>
      </c>
      <c r="L353" s="295" t="n">
        <v>16.43841522753133</v>
      </c>
      <c r="M353" s="289" t="n">
        <v>0.4719214041929052</v>
      </c>
      <c r="N353" s="297" t="n">
        <v>8.369678432537457</v>
      </c>
      <c r="O353" s="207" t="inlineStr">
        <is>
          <t>—</t>
        </is>
      </c>
      <c r="P353" s="207" t="inlineStr">
        <is>
          <t>—</t>
        </is>
      </c>
      <c r="Q353" s="207" t="inlineStr">
        <is>
          <t>—</t>
        </is>
      </c>
      <c r="R353" s="207" t="inlineStr">
        <is>
          <t>—</t>
        </is>
      </c>
      <c r="S353" s="207" t="inlineStr">
        <is>
          <t>—</t>
        </is>
      </c>
    </row>
    <row r="354" ht="20" customHeight="1" s="215">
      <c r="A354" s="54" t="n">
        <v>349</v>
      </c>
      <c r="B354" s="55" t="inlineStr">
        <is>
          <t>DD</t>
        </is>
      </c>
      <c r="C354" s="56" t="inlineStr">
        <is>
          <t>DuPont de Nemours</t>
        </is>
      </c>
      <c r="D354" s="57" t="inlineStr">
        <is>
          <t>Chemicals</t>
        </is>
      </c>
      <c r="E354" s="288" t="n">
        <v>129.34</v>
      </c>
      <c r="F354" s="289" t="n">
        <v>0.27007103</v>
      </c>
      <c r="G354" s="290" t="n">
        <v>17.463410688</v>
      </c>
      <c r="H354" s="289" t="n">
        <v>0.04</v>
      </c>
      <c r="I354" s="291" t="n">
        <v>0.35132</v>
      </c>
      <c r="J354" s="292" t="n">
        <v>34.768814</v>
      </c>
      <c r="K354" s="299" t="n">
        <v>1835.250048</v>
      </c>
      <c r="L354" s="290" t="n">
        <v>13.94418456608284</v>
      </c>
      <c r="M354" s="300" t="n">
        <v>-0.2015199770990557</v>
      </c>
      <c r="N354" s="292" t="n">
        <v>9.515547673937455</v>
      </c>
      <c r="O354" s="206" t="inlineStr">
        <is>
          <t>—</t>
        </is>
      </c>
      <c r="P354" s="206" t="inlineStr">
        <is>
          <t>—</t>
        </is>
      </c>
      <c r="Q354" s="206" t="inlineStr">
        <is>
          <t>—</t>
        </is>
      </c>
      <c r="R354" s="206" t="inlineStr">
        <is>
          <t>—</t>
        </is>
      </c>
      <c r="S354" s="206" t="inlineStr">
        <is>
          <t>—</t>
        </is>
      </c>
    </row>
    <row r="355" ht="20" customHeight="1" s="215">
      <c r="A355" s="50" t="n">
        <v>350</v>
      </c>
      <c r="B355" s="51" t="inlineStr">
        <is>
          <t>NI</t>
        </is>
      </c>
      <c r="C355" s="52" t="inlineStr">
        <is>
          <t>NiSource</t>
        </is>
      </c>
      <c r="D355" s="53" t="inlineStr">
        <is>
          <t>Utilities - Regulated Gas</t>
        </is>
      </c>
      <c r="E355" s="294" t="n">
        <v>41.95</v>
      </c>
      <c r="F355" s="300" t="n">
        <v>-0.04026538</v>
      </c>
      <c r="G355" s="295" t="n">
        <v>20.117547008</v>
      </c>
      <c r="H355" s="289" t="n">
        <v>0.046</v>
      </c>
      <c r="I355" s="296" t="n">
        <v>0.50971</v>
      </c>
      <c r="J355" s="297" t="n">
        <v>22.31383</v>
      </c>
      <c r="K355" s="301" t="n">
        <v>-1772.999936</v>
      </c>
      <c r="L355" s="298" t="inlineStr">
        <is>
          <t>—</t>
        </is>
      </c>
      <c r="M355" s="298" t="inlineStr">
        <is>
          <t>—</t>
        </is>
      </c>
      <c r="N355" s="297" t="n">
        <v>-11.34661416874411</v>
      </c>
      <c r="O355" s="207" t="inlineStr">
        <is>
          <t>—</t>
        </is>
      </c>
      <c r="P355" s="207" t="inlineStr">
        <is>
          <t>—</t>
        </is>
      </c>
      <c r="Q355" s="207" t="inlineStr">
        <is>
          <t>—</t>
        </is>
      </c>
      <c r="R355" s="207" t="inlineStr">
        <is>
          <t>—</t>
        </is>
      </c>
      <c r="S355" s="207" t="inlineStr">
        <is>
          <t>—</t>
        </is>
      </c>
    </row>
    <row r="356" ht="20" customHeight="1" s="215">
      <c r="A356" s="54" t="n">
        <v>351</v>
      </c>
      <c r="B356" s="55" t="inlineStr">
        <is>
          <t>AEE</t>
        </is>
      </c>
      <c r="C356" s="56" t="inlineStr">
        <is>
          <t>Ameren</t>
        </is>
      </c>
      <c r="D356" s="57" t="inlineStr">
        <is>
          <t>Utilities - Regulated Electric</t>
        </is>
      </c>
      <c r="E356" s="288" t="n">
        <v>104.01</v>
      </c>
      <c r="F356" s="300" t="n">
        <v>-0.008673251</v>
      </c>
      <c r="G356" s="290" t="n">
        <v>28.794468352</v>
      </c>
      <c r="H356" s="300" t="n">
        <v>-0.062</v>
      </c>
      <c r="I356" s="291" t="n">
        <v>0.52408004</v>
      </c>
      <c r="J356" s="292" t="n">
        <v>18.31162</v>
      </c>
      <c r="K356" s="299" t="n">
        <v>-1786.249984</v>
      </c>
      <c r="L356" s="293" t="inlineStr">
        <is>
          <t>—</t>
        </is>
      </c>
      <c r="M356" s="293" t="inlineStr">
        <is>
          <t>—</t>
        </is>
      </c>
      <c r="N356" s="292" t="n">
        <v>-16.12006538526581</v>
      </c>
      <c r="O356" s="206" t="inlineStr">
        <is>
          <t>—</t>
        </is>
      </c>
      <c r="P356" s="206" t="inlineStr">
        <is>
          <t>—</t>
        </is>
      </c>
      <c r="Q356" s="206" t="inlineStr">
        <is>
          <t>—</t>
        </is>
      </c>
      <c r="R356" s="206" t="inlineStr">
        <is>
          <t>—</t>
        </is>
      </c>
      <c r="S356" s="206" t="inlineStr">
        <is>
          <t>—</t>
        </is>
      </c>
    </row>
    <row r="357" ht="20" customHeight="1" s="215">
      <c r="A357" s="50" t="n">
        <v>352</v>
      </c>
      <c r="B357" s="51" t="inlineStr">
        <is>
          <t>BEN</t>
        </is>
      </c>
      <c r="C357" s="52" t="inlineStr">
        <is>
          <t>Franklin Resources</t>
        </is>
      </c>
      <c r="D357" s="53" t="inlineStr">
        <is>
          <t>Asset Management</t>
        </is>
      </c>
      <c r="E357" s="294" t="n">
        <v>30.71</v>
      </c>
      <c r="F357" s="289" t="n">
        <v>0.35584986</v>
      </c>
      <c r="G357" s="295" t="n">
        <v>15.60304128</v>
      </c>
      <c r="H357" s="289" t="n">
        <v>0.143</v>
      </c>
      <c r="I357" s="296" t="n">
        <v>0.37707</v>
      </c>
      <c r="J357" s="297" t="n">
        <v>20.891155</v>
      </c>
      <c r="K357" s="301" t="n">
        <v>-2990.862592</v>
      </c>
      <c r="L357" s="295" t="n">
        <v>4.684586625213802</v>
      </c>
      <c r="M357" s="300" t="n">
        <v>-0.6997645176252586</v>
      </c>
      <c r="N357" s="297" t="n">
        <v>-5.216903627680933</v>
      </c>
      <c r="O357" s="207" t="inlineStr">
        <is>
          <t>—</t>
        </is>
      </c>
      <c r="P357" s="207" t="inlineStr">
        <is>
          <t>—</t>
        </is>
      </c>
      <c r="Q357" s="207" t="inlineStr">
        <is>
          <t>—</t>
        </is>
      </c>
      <c r="R357" s="207" t="inlineStr">
        <is>
          <t>—</t>
        </is>
      </c>
      <c r="S357" s="207" t="inlineStr">
        <is>
          <t>—</t>
        </is>
      </c>
    </row>
    <row r="358" ht="20" customHeight="1" s="215">
      <c r="A358" s="54" t="n">
        <v>353</v>
      </c>
      <c r="B358" s="55" t="inlineStr">
        <is>
          <t>SRE</t>
        </is>
      </c>
      <c r="C358" s="56" t="inlineStr">
        <is>
          <t>Sempra Energy</t>
        </is>
      </c>
      <c r="D358" s="57" t="inlineStr">
        <is>
          <t>Utilities - Diversified</t>
        </is>
      </c>
      <c r="E358" s="288" t="n">
        <v>81.73999999999999</v>
      </c>
      <c r="F358" s="300" t="n">
        <v>-0.1143136</v>
      </c>
      <c r="G358" s="290" t="n">
        <v>53.449814016</v>
      </c>
      <c r="H358" s="300" t="n">
        <v>-0.001</v>
      </c>
      <c r="I358" s="291" t="n">
        <v>0.43994</v>
      </c>
      <c r="J358" s="292" t="n">
        <v>23.624277</v>
      </c>
      <c r="K358" s="299" t="n">
        <v>-27657.750528</v>
      </c>
      <c r="L358" s="293" t="inlineStr">
        <is>
          <t>—</t>
        </is>
      </c>
      <c r="M358" s="293" t="inlineStr">
        <is>
          <t>—</t>
        </is>
      </c>
      <c r="N358" s="292" t="n">
        <v>-1.932543805086707</v>
      </c>
      <c r="O358" s="206" t="inlineStr">
        <is>
          <t>—</t>
        </is>
      </c>
      <c r="P358" s="206" t="inlineStr">
        <is>
          <t>—</t>
        </is>
      </c>
      <c r="Q358" s="206" t="inlineStr">
        <is>
          <t>—</t>
        </is>
      </c>
      <c r="R358" s="206" t="inlineStr">
        <is>
          <t>—</t>
        </is>
      </c>
      <c r="S358" s="206" t="inlineStr">
        <is>
          <t>—</t>
        </is>
      </c>
    </row>
    <row r="359" ht="20" customHeight="1" s="215">
      <c r="A359" s="50" t="n">
        <v>354</v>
      </c>
      <c r="B359" s="51" t="inlineStr">
        <is>
          <t>BA</t>
        </is>
      </c>
      <c r="C359" s="52" t="inlineStr">
        <is>
          <t>Boeing</t>
        </is>
      </c>
      <c r="D359" s="53" t="inlineStr">
        <is>
          <t>Aerospace &amp; Defense</t>
        </is>
      </c>
      <c r="E359" s="294" t="n">
        <v>191.42</v>
      </c>
      <c r="F359" s="300" t="n">
        <v>-0.11893582</v>
      </c>
      <c r="G359" s="295" t="n">
        <v>151.182082048</v>
      </c>
      <c r="H359" s="289" t="n">
        <v>0.08</v>
      </c>
      <c r="I359" s="296" t="n">
        <v>0.0471</v>
      </c>
      <c r="J359" s="297" t="n">
        <v>68.36429</v>
      </c>
      <c r="K359" s="301" t="n">
        <v>5625.375232</v>
      </c>
      <c r="L359" s="295" t="n">
        <v>103.9907749486327</v>
      </c>
      <c r="M359" s="300" t="n">
        <v>-0.3121488106268051</v>
      </c>
      <c r="N359" s="297" t="n">
        <v>26.87502266484896</v>
      </c>
      <c r="O359" s="207" t="inlineStr">
        <is>
          <t>—</t>
        </is>
      </c>
      <c r="P359" s="207" t="inlineStr">
        <is>
          <t>—</t>
        </is>
      </c>
      <c r="Q359" s="207" t="inlineStr">
        <is>
          <t>—</t>
        </is>
      </c>
      <c r="R359" s="207" t="inlineStr">
        <is>
          <t>—</t>
        </is>
      </c>
      <c r="S359" s="207" t="inlineStr">
        <is>
          <t>—</t>
        </is>
      </c>
    </row>
    <row r="360" ht="20" customHeight="1" s="215">
      <c r="A360" s="54" t="n">
        <v>355</v>
      </c>
      <c r="B360" s="55" t="inlineStr">
        <is>
          <t>GM</t>
        </is>
      </c>
      <c r="C360" s="56" t="inlineStr">
        <is>
          <t>General Motors</t>
        </is>
      </c>
      <c r="D360" s="57" t="inlineStr">
        <is>
          <t>Auto Manufacturers</t>
        </is>
      </c>
      <c r="E360" s="288" t="n">
        <v>82.75</v>
      </c>
      <c r="F360" s="289" t="n">
        <v>0.24211943</v>
      </c>
      <c r="G360" s="290" t="n">
        <v>72.609112064</v>
      </c>
      <c r="H360" s="289" t="n">
        <v>0.019</v>
      </c>
      <c r="I360" s="291" t="n">
        <v>0.10177</v>
      </c>
      <c r="J360" s="292" t="n">
        <v>37.107624</v>
      </c>
      <c r="K360" s="299" t="n">
        <v>21933.750272</v>
      </c>
      <c r="L360" s="290" t="n">
        <v>126.7683400738098</v>
      </c>
      <c r="M360" s="289" t="n">
        <v>0.7459012577109069</v>
      </c>
      <c r="N360" s="292" t="n">
        <v>3.310383045184969</v>
      </c>
      <c r="O360" s="206" t="inlineStr">
        <is>
          <t>—</t>
        </is>
      </c>
      <c r="P360" s="206" t="inlineStr">
        <is>
          <t>—</t>
        </is>
      </c>
      <c r="Q360" s="206" t="inlineStr">
        <is>
          <t>—</t>
        </is>
      </c>
      <c r="R360" s="206" t="inlineStr">
        <is>
          <t>—</t>
        </is>
      </c>
      <c r="S360" s="206" t="inlineStr">
        <is>
          <t>—</t>
        </is>
      </c>
    </row>
    <row r="361" ht="20" customHeight="1" s="215">
      <c r="A361" s="50" t="n">
        <v>356</v>
      </c>
      <c r="B361" s="51" t="inlineStr">
        <is>
          <t>BK</t>
        </is>
      </c>
      <c r="C361" s="52" t="inlineStr">
        <is>
          <t>Bank of New York Mellon</t>
        </is>
      </c>
      <c r="D361" s="53" t="inlineStr">
        <is>
          <t>Asset Management</t>
        </is>
      </c>
      <c r="E361" s="310" t="inlineStr">
        <is>
          <t>—</t>
        </is>
      </c>
      <c r="F361" s="303" t="inlineStr">
        <is>
          <t>—</t>
        </is>
      </c>
      <c r="G361" s="302" t="inlineStr">
        <is>
          <t>—</t>
        </is>
      </c>
      <c r="H361" s="303" t="inlineStr">
        <is>
          <t>—</t>
        </is>
      </c>
      <c r="I361" s="303" t="inlineStr">
        <is>
          <t>—</t>
        </is>
      </c>
      <c r="J361" s="305" t="inlineStr">
        <is>
          <t>—</t>
        </is>
      </c>
      <c r="K361" s="298" t="inlineStr">
        <is>
          <t>—</t>
        </is>
      </c>
      <c r="L361" s="302" t="inlineStr">
        <is>
          <t>—</t>
        </is>
      </c>
      <c r="M361" s="303" t="inlineStr">
        <is>
          <t>—</t>
        </is>
      </c>
      <c r="N361" s="298" t="inlineStr">
        <is>
          <t>—</t>
        </is>
      </c>
      <c r="O361" s="207" t="inlineStr">
        <is>
          <t>—</t>
        </is>
      </c>
      <c r="P361" s="207" t="inlineStr">
        <is>
          <t>—</t>
        </is>
      </c>
      <c r="Q361" s="207" t="inlineStr">
        <is>
          <t>—</t>
        </is>
      </c>
      <c r="R361" s="207" t="inlineStr">
        <is>
          <t>—</t>
        </is>
      </c>
      <c r="S361" s="207" t="inlineStr">
        <is>
          <t>—</t>
        </is>
      </c>
    </row>
    <row r="362" ht="20" customHeight="1" s="215">
      <c r="A362" s="54" t="n">
        <v>357</v>
      </c>
      <c r="B362" s="55" t="inlineStr">
        <is>
          <t>CMS</t>
        </is>
      </c>
      <c r="C362" s="56" t="inlineStr">
        <is>
          <t>CMS Energy</t>
        </is>
      </c>
      <c r="D362" s="57" t="inlineStr">
        <is>
          <t>Utilities - Regulated Electric</t>
        </is>
      </c>
      <c r="E362" s="288" t="n">
        <v>67.37</v>
      </c>
      <c r="F362" s="300" t="n">
        <v>-0.096189976</v>
      </c>
      <c r="G362" s="290" t="n">
        <v>20.811915264</v>
      </c>
      <c r="H362" s="300" t="n">
        <v>-0.005</v>
      </c>
      <c r="I362" s="291" t="n">
        <v>0.40315</v>
      </c>
      <c r="J362" s="292" t="n">
        <v>20.231232</v>
      </c>
      <c r="K362" s="299" t="n">
        <v>-2198.87488</v>
      </c>
      <c r="L362" s="293" t="inlineStr">
        <is>
          <t>—</t>
        </is>
      </c>
      <c r="M362" s="293" t="inlineStr">
        <is>
          <t>—</t>
        </is>
      </c>
      <c r="N362" s="292" t="n">
        <v>-9.464801192662678</v>
      </c>
      <c r="O362" s="206" t="inlineStr">
        <is>
          <t>—</t>
        </is>
      </c>
      <c r="P362" s="206" t="inlineStr">
        <is>
          <t>—</t>
        </is>
      </c>
      <c r="Q362" s="206" t="inlineStr">
        <is>
          <t>—</t>
        </is>
      </c>
      <c r="R362" s="206" t="inlineStr">
        <is>
          <t>—</t>
        </is>
      </c>
      <c r="S362" s="206" t="inlineStr">
        <is>
          <t>—</t>
        </is>
      </c>
    </row>
    <row r="363" ht="20" customHeight="1" s="215">
      <c r="A363" s="50" t="n">
        <v>358</v>
      </c>
      <c r="B363" s="51" t="inlineStr">
        <is>
          <t>PNW</t>
        </is>
      </c>
      <c r="C363" s="52" t="inlineStr">
        <is>
          <t>Pinnacle West Capital</t>
        </is>
      </c>
      <c r="D363" s="53" t="inlineStr">
        <is>
          <t>Utilities - Regulated Electric</t>
        </is>
      </c>
      <c r="E363" s="294" t="n">
        <v>101.17</v>
      </c>
      <c r="F363" s="289" t="n">
        <v>0.09693158</v>
      </c>
      <c r="G363" s="295" t="n">
        <v>12.261523456</v>
      </c>
      <c r="H363" s="289" t="n">
        <v>0.07099999999999999</v>
      </c>
      <c r="I363" s="296" t="n">
        <v>0.43352002</v>
      </c>
      <c r="J363" s="297" t="n">
        <v>19.418427</v>
      </c>
      <c r="K363" s="301" t="n">
        <v>-929.5013760000001</v>
      </c>
      <c r="L363" s="298" t="inlineStr">
        <is>
          <t>—</t>
        </is>
      </c>
      <c r="M363" s="298" t="inlineStr">
        <is>
          <t>—</t>
        </is>
      </c>
      <c r="N363" s="297" t="n">
        <v>-13.19150727516513</v>
      </c>
      <c r="O363" s="207" t="inlineStr">
        <is>
          <t>—</t>
        </is>
      </c>
      <c r="P363" s="207" t="inlineStr">
        <is>
          <t>—</t>
        </is>
      </c>
      <c r="Q363" s="207" t="inlineStr">
        <is>
          <t>—</t>
        </is>
      </c>
      <c r="R363" s="207" t="inlineStr">
        <is>
          <t>—</t>
        </is>
      </c>
      <c r="S363" s="207" t="inlineStr">
        <is>
          <t>—</t>
        </is>
      </c>
    </row>
    <row r="364" ht="20" customHeight="1" s="215">
      <c r="A364" s="54" t="n">
        <v>359</v>
      </c>
      <c r="B364" s="55" t="inlineStr">
        <is>
          <t>CNP</t>
        </is>
      </c>
      <c r="C364" s="56" t="inlineStr">
        <is>
          <t>CenterPoint Energy</t>
        </is>
      </c>
      <c r="D364" s="57" t="inlineStr">
        <is>
          <t>Utilities - Regulated Gas</t>
        </is>
      </c>
      <c r="E364" s="288" t="n">
        <v>39.56</v>
      </c>
      <c r="F364" s="300" t="n">
        <v>-0.011741221</v>
      </c>
      <c r="G364" s="290" t="n">
        <v>26.058975232</v>
      </c>
      <c r="H364" s="289" t="n">
        <v>0.107</v>
      </c>
      <c r="I364" s="291" t="n">
        <v>0.47027</v>
      </c>
      <c r="J364" s="292" t="n">
        <v>23.408283</v>
      </c>
      <c r="K364" s="299" t="n">
        <v>-5191.875072</v>
      </c>
      <c r="L364" s="293" t="inlineStr">
        <is>
          <t>—</t>
        </is>
      </c>
      <c r="M364" s="293" t="inlineStr">
        <is>
          <t>—</t>
        </is>
      </c>
      <c r="N364" s="292" t="n">
        <v>-5.019183672931027</v>
      </c>
      <c r="O364" s="206" t="inlineStr">
        <is>
          <t>—</t>
        </is>
      </c>
      <c r="P364" s="206" t="inlineStr">
        <is>
          <t>—</t>
        </is>
      </c>
      <c r="Q364" s="206" t="inlineStr">
        <is>
          <t>—</t>
        </is>
      </c>
      <c r="R364" s="206" t="inlineStr">
        <is>
          <t>—</t>
        </is>
      </c>
      <c r="S364" s="206" t="inlineStr">
        <is>
          <t>—</t>
        </is>
      </c>
    </row>
    <row r="365" ht="20" customHeight="1" s="215">
      <c r="A365" s="50" t="n">
        <v>360</v>
      </c>
      <c r="B365" s="51" t="inlineStr">
        <is>
          <t>FCX</t>
        </is>
      </c>
      <c r="C365" s="52" t="inlineStr">
        <is>
          <t>Freeport-McMoRan</t>
        </is>
      </c>
      <c r="D365" s="53" t="inlineStr">
        <is>
          <t>Copper</t>
        </is>
      </c>
      <c r="E365" s="294" t="n">
        <v>69.75</v>
      </c>
      <c r="F365" s="289" t="n">
        <v>0.6884532</v>
      </c>
      <c r="G365" s="295" t="n">
        <v>100.162224128</v>
      </c>
      <c r="H365" s="300" t="n">
        <v>-0.073</v>
      </c>
      <c r="I365" s="296" t="n">
        <v>0.38275</v>
      </c>
      <c r="J365" s="297" t="n">
        <v>34.359608</v>
      </c>
      <c r="K365" s="301" t="n">
        <v>2159.24992</v>
      </c>
      <c r="L365" s="295" t="n">
        <v>13.05471461900385</v>
      </c>
      <c r="M365" s="300" t="n">
        <v>-0.8696642897793395</v>
      </c>
      <c r="N365" s="297" t="n">
        <v>46.38750767176131</v>
      </c>
      <c r="O365" s="207" t="inlineStr">
        <is>
          <t>—</t>
        </is>
      </c>
      <c r="P365" s="207" t="inlineStr">
        <is>
          <t>—</t>
        </is>
      </c>
      <c r="Q365" s="207" t="inlineStr">
        <is>
          <t>—</t>
        </is>
      </c>
      <c r="R365" s="207" t="inlineStr">
        <is>
          <t>—</t>
        </is>
      </c>
      <c r="S365" s="207" t="inlineStr">
        <is>
          <t>—</t>
        </is>
      </c>
    </row>
    <row r="366" ht="20" customHeight="1" s="215">
      <c r="A366" s="54" t="n">
        <v>361</v>
      </c>
      <c r="B366" s="55" t="inlineStr">
        <is>
          <t>SO</t>
        </is>
      </c>
      <c r="C366" s="56" t="inlineStr">
        <is>
          <t>Southern</t>
        </is>
      </c>
      <c r="D366" s="57" t="inlineStr">
        <is>
          <t>Utilities - Regulated Electric</t>
        </is>
      </c>
      <c r="E366" s="288" t="n">
        <v>89.27</v>
      </c>
      <c r="F366" s="300" t="n">
        <v>-0.07969069500000001</v>
      </c>
      <c r="G366" s="290" t="n">
        <v>102.69290496</v>
      </c>
      <c r="H366" s="289" t="n">
        <v>0.001</v>
      </c>
      <c r="I366" s="291" t="n">
        <v>0.48289</v>
      </c>
      <c r="J366" s="292" t="n">
        <v>21.510841</v>
      </c>
      <c r="K366" s="299" t="n">
        <v>-3913.374976</v>
      </c>
      <c r="L366" s="293" t="inlineStr">
        <is>
          <t>—</t>
        </is>
      </c>
      <c r="M366" s="293" t="inlineStr">
        <is>
          <t>—</t>
        </is>
      </c>
      <c r="N366" s="292" t="n">
        <v>-26.24151853697037</v>
      </c>
      <c r="O366" s="206" t="inlineStr">
        <is>
          <t>—</t>
        </is>
      </c>
      <c r="P366" s="206" t="inlineStr">
        <is>
          <t>—</t>
        </is>
      </c>
      <c r="Q366" s="206" t="inlineStr">
        <is>
          <t>—</t>
        </is>
      </c>
      <c r="R366" s="206" t="inlineStr">
        <is>
          <t>—</t>
        </is>
      </c>
      <c r="S366" s="206" t="inlineStr">
        <is>
          <t>—</t>
        </is>
      </c>
    </row>
    <row r="367" ht="20" customHeight="1" s="215">
      <c r="A367" s="50" t="n">
        <v>362</v>
      </c>
      <c r="B367" s="51" t="inlineStr">
        <is>
          <t>PPL</t>
        </is>
      </c>
      <c r="C367" s="52" t="inlineStr">
        <is>
          <t>PPL</t>
        </is>
      </c>
      <c r="D367" s="53" t="inlineStr">
        <is>
          <t>Utilities - Regulated Electric</t>
        </is>
      </c>
      <c r="E367" s="294" t="n">
        <v>34.31</v>
      </c>
      <c r="F367" s="300" t="n">
        <v>-0.08555436</v>
      </c>
      <c r="G367" s="295" t="n">
        <v>25.819813888</v>
      </c>
      <c r="H367" s="289" t="n">
        <v>0.042</v>
      </c>
      <c r="I367" s="296" t="n">
        <v>0.44094002</v>
      </c>
      <c r="J367" s="297" t="n">
        <v>20.301775</v>
      </c>
      <c r="K367" s="301" t="n">
        <v>-1938.37504</v>
      </c>
      <c r="L367" s="298" t="inlineStr">
        <is>
          <t>—</t>
        </is>
      </c>
      <c r="M367" s="298" t="inlineStr">
        <is>
          <t>—</t>
        </is>
      </c>
      <c r="N367" s="297" t="n">
        <v>-13.32033943994141</v>
      </c>
      <c r="O367" s="207" t="inlineStr">
        <is>
          <t>—</t>
        </is>
      </c>
      <c r="P367" s="207" t="inlineStr">
        <is>
          <t>—</t>
        </is>
      </c>
      <c r="Q367" s="207" t="inlineStr">
        <is>
          <t>—</t>
        </is>
      </c>
      <c r="R367" s="207" t="inlineStr">
        <is>
          <t>—</t>
        </is>
      </c>
      <c r="S367" s="207" t="inlineStr">
        <is>
          <t>—</t>
        </is>
      </c>
    </row>
    <row r="368" ht="20" customHeight="1" s="215">
      <c r="A368" s="54" t="n">
        <v>363</v>
      </c>
      <c r="B368" s="55" t="inlineStr">
        <is>
          <t>XEL</t>
        </is>
      </c>
      <c r="C368" s="56" t="inlineStr">
        <is>
          <t>Xcel Energy</t>
        </is>
      </c>
      <c r="D368" s="57" t="inlineStr">
        <is>
          <t>Utilities - Regulated Electric</t>
        </is>
      </c>
      <c r="E368" s="288" t="n">
        <v>75.14</v>
      </c>
      <c r="F368" s="300" t="n">
        <v>-0.06820434</v>
      </c>
      <c r="G368" s="290" t="n">
        <v>46.93501952</v>
      </c>
      <c r="H368" s="300" t="n">
        <v>-0.051</v>
      </c>
      <c r="I368" s="291" t="n">
        <v>0.46825</v>
      </c>
      <c r="J368" s="292" t="n">
        <v>20.363144</v>
      </c>
      <c r="K368" s="299" t="n">
        <v>-7907.999744</v>
      </c>
      <c r="L368" s="293" t="inlineStr">
        <is>
          <t>—</t>
        </is>
      </c>
      <c r="M368" s="293" t="inlineStr">
        <is>
          <t>—</t>
        </is>
      </c>
      <c r="N368" s="292" t="n">
        <v>-5.935131926180295</v>
      </c>
      <c r="O368" s="206" t="inlineStr">
        <is>
          <t>—</t>
        </is>
      </c>
      <c r="P368" s="206" t="inlineStr">
        <is>
          <t>—</t>
        </is>
      </c>
      <c r="Q368" s="206" t="inlineStr">
        <is>
          <t>—</t>
        </is>
      </c>
      <c r="R368" s="206" t="inlineStr">
        <is>
          <t>—</t>
        </is>
      </c>
      <c r="S368" s="206" t="inlineStr">
        <is>
          <t>—</t>
        </is>
      </c>
    </row>
    <row r="369" ht="20" customHeight="1" s="215">
      <c r="A369" s="50" t="n">
        <v>364</v>
      </c>
      <c r="B369" s="51" t="inlineStr">
        <is>
          <t>ADM</t>
        </is>
      </c>
      <c r="C369" s="52" t="inlineStr">
        <is>
          <t>Archer-Daniels Midland</t>
        </is>
      </c>
      <c r="D369" s="53" t="inlineStr">
        <is>
          <t>Farm Products</t>
        </is>
      </c>
      <c r="E369" s="294" t="n">
        <v>80.51000000000001</v>
      </c>
      <c r="F369" s="289" t="n">
        <v>0.30443943</v>
      </c>
      <c r="G369" s="295" t="n">
        <v>38.802321408</v>
      </c>
      <c r="H369" s="289" t="n">
        <v>0.07199999999999999</v>
      </c>
      <c r="I369" s="296" t="n">
        <v>0.0687</v>
      </c>
      <c r="J369" s="297" t="n">
        <v>22.057535</v>
      </c>
      <c r="K369" s="301" t="n">
        <v>1164.625024</v>
      </c>
      <c r="L369" s="295" t="n">
        <v>10.50672794061691</v>
      </c>
      <c r="M369" s="300" t="n">
        <v>-0.7292242433090433</v>
      </c>
      <c r="N369" s="297" t="n">
        <v>33.31743624699069</v>
      </c>
      <c r="O369" s="207" t="inlineStr">
        <is>
          <t>—</t>
        </is>
      </c>
      <c r="P369" s="207" t="inlineStr">
        <is>
          <t>—</t>
        </is>
      </c>
      <c r="Q369" s="207" t="inlineStr">
        <is>
          <t>—</t>
        </is>
      </c>
      <c r="R369" s="207" t="inlineStr">
        <is>
          <t>—</t>
        </is>
      </c>
      <c r="S369" s="207" t="inlineStr">
        <is>
          <t>—</t>
        </is>
      </c>
    </row>
    <row r="370" ht="20" customHeight="1" s="215">
      <c r="A370" s="54" t="n">
        <v>365</v>
      </c>
      <c r="B370" s="55" t="inlineStr">
        <is>
          <t>AWK</t>
        </is>
      </c>
      <c r="C370" s="56" t="inlineStr">
        <is>
          <t>American Water Works Co</t>
        </is>
      </c>
      <c r="D370" s="57" t="inlineStr">
        <is>
          <t>Utilities - Regulated Water</t>
        </is>
      </c>
      <c r="E370" s="288" t="n">
        <v>133.57</v>
      </c>
      <c r="F370" s="300" t="n">
        <v>-0.07346004</v>
      </c>
      <c r="G370" s="290" t="n">
        <v>26.544232448</v>
      </c>
      <c r="H370" s="289" t="n">
        <v>0.062</v>
      </c>
      <c r="I370" s="291" t="n">
        <v>0.61469</v>
      </c>
      <c r="J370" s="292" t="n">
        <v>23.149048</v>
      </c>
      <c r="K370" s="299" t="n">
        <v>-1785.374976</v>
      </c>
      <c r="L370" s="293" t="inlineStr">
        <is>
          <t>—</t>
        </is>
      </c>
      <c r="M370" s="293" t="inlineStr">
        <is>
          <t>—</t>
        </is>
      </c>
      <c r="N370" s="292" t="n">
        <v>-14.86759443677225</v>
      </c>
      <c r="O370" s="206" t="inlineStr">
        <is>
          <t>—</t>
        </is>
      </c>
      <c r="P370" s="206" t="inlineStr">
        <is>
          <t>—</t>
        </is>
      </c>
      <c r="Q370" s="206" t="inlineStr">
        <is>
          <t>—</t>
        </is>
      </c>
      <c r="R370" s="206" t="inlineStr">
        <is>
          <t>—</t>
        </is>
      </c>
      <c r="S370" s="206" t="inlineStr">
        <is>
          <t>—</t>
        </is>
      </c>
    </row>
    <row r="371" ht="20" customHeight="1" s="215">
      <c r="A371" s="50" t="n">
        <v>366</v>
      </c>
      <c r="B371" s="51" t="inlineStr">
        <is>
          <t>ES</t>
        </is>
      </c>
      <c r="C371" s="52" t="inlineStr">
        <is>
          <t>Eversource Energy</t>
        </is>
      </c>
      <c r="D371" s="53" t="inlineStr">
        <is>
          <t>Utilities - Regulated Electric</t>
        </is>
      </c>
      <c r="E371" s="294" t="n">
        <v>64.48</v>
      </c>
      <c r="F371" s="300" t="n">
        <v>-0.119246006</v>
      </c>
      <c r="G371" s="295" t="n">
        <v>24.28798976</v>
      </c>
      <c r="H371" s="289" t="n">
        <v>0.023</v>
      </c>
      <c r="I371" s="296" t="n">
        <v>0.52752</v>
      </c>
      <c r="J371" s="297" t="n">
        <v>16.704664</v>
      </c>
      <c r="K371" s="301" t="n">
        <v>811.9613440000001</v>
      </c>
      <c r="L371" s="295" t="n">
        <v>7.382606962592843</v>
      </c>
      <c r="M371" s="300" t="n">
        <v>-0.6960387814906241</v>
      </c>
      <c r="N371" s="297" t="n">
        <v>29.91273946401074</v>
      </c>
      <c r="O371" s="207" t="inlineStr">
        <is>
          <t>—</t>
        </is>
      </c>
      <c r="P371" s="207" t="inlineStr">
        <is>
          <t>—</t>
        </is>
      </c>
      <c r="Q371" s="207" t="inlineStr">
        <is>
          <t>—</t>
        </is>
      </c>
      <c r="R371" s="207" t="inlineStr">
        <is>
          <t>—</t>
        </is>
      </c>
      <c r="S371" s="207" t="inlineStr">
        <is>
          <t>—</t>
        </is>
      </c>
    </row>
    <row r="372" ht="20" customHeight="1" s="215">
      <c r="A372" s="54" t="n">
        <v>367</v>
      </c>
      <c r="B372" s="55" t="inlineStr">
        <is>
          <t>DUK</t>
        </is>
      </c>
      <c r="C372" s="56" t="inlineStr">
        <is>
          <t>Duke Energy</t>
        </is>
      </c>
      <c r="D372" s="57" t="inlineStr">
        <is>
          <t>Utilities - Regulated Electric</t>
        </is>
      </c>
      <c r="E372" s="288" t="n">
        <v>119.27</v>
      </c>
      <c r="F372" s="300" t="n">
        <v>-0.07059926</v>
      </c>
      <c r="G372" s="290" t="n">
        <v>92.99507609600001</v>
      </c>
      <c r="H372" s="289" t="n">
        <v>0.011</v>
      </c>
      <c r="I372" s="291" t="n">
        <v>0.51971</v>
      </c>
      <c r="J372" s="292" t="n">
        <v>17.962349</v>
      </c>
      <c r="K372" s="299" t="n">
        <v>-4477.374976</v>
      </c>
      <c r="L372" s="307" t="inlineStr">
        <is>
          <t>—</t>
        </is>
      </c>
      <c r="M372" s="308" t="inlineStr">
        <is>
          <t>—</t>
        </is>
      </c>
      <c r="N372" s="292" t="n">
        <v>-20.77000051538904</v>
      </c>
      <c r="O372" s="206" t="inlineStr">
        <is>
          <t>—</t>
        </is>
      </c>
      <c r="P372" s="206" t="inlineStr">
        <is>
          <t>—</t>
        </is>
      </c>
      <c r="Q372" s="206" t="inlineStr">
        <is>
          <t>—</t>
        </is>
      </c>
      <c r="R372" s="206" t="inlineStr">
        <is>
          <t>—</t>
        </is>
      </c>
      <c r="S372" s="206" t="inlineStr">
        <is>
          <t>—</t>
        </is>
      </c>
    </row>
    <row r="373" ht="20" customHeight="1" s="215">
      <c r="A373" s="50" t="n">
        <v>368</v>
      </c>
      <c r="B373" s="51" t="inlineStr">
        <is>
          <t>AEP</t>
        </is>
      </c>
      <c r="C373" s="52" t="inlineStr">
        <is>
          <t>American Electric Power</t>
        </is>
      </c>
      <c r="D373" s="53" t="inlineStr">
        <is>
          <t>Utilities - Regulated Electric</t>
        </is>
      </c>
      <c r="E373" s="294" t="n">
        <v>124.72</v>
      </c>
      <c r="F373" s="289" t="n">
        <v>0.06207955</v>
      </c>
      <c r="G373" s="295" t="n">
        <v>67.8972416</v>
      </c>
      <c r="H373" s="289" t="n">
        <v>0.07000000000000001</v>
      </c>
      <c r="I373" s="296" t="n">
        <v>0.46352002</v>
      </c>
      <c r="J373" s="297" t="n">
        <v>21.615252</v>
      </c>
      <c r="K373" s="301" t="n">
        <v>-5995.95008</v>
      </c>
      <c r="L373" s="298" t="inlineStr">
        <is>
          <t>—</t>
        </is>
      </c>
      <c r="M373" s="298" t="inlineStr">
        <is>
          <t>—</t>
        </is>
      </c>
      <c r="N373" s="297" t="n">
        <v>-11.32384973782837</v>
      </c>
      <c r="O373" s="207" t="inlineStr">
        <is>
          <t>—</t>
        </is>
      </c>
      <c r="P373" s="207" t="inlineStr">
        <is>
          <t>—</t>
        </is>
      </c>
      <c r="Q373" s="207" t="inlineStr">
        <is>
          <t>—</t>
        </is>
      </c>
      <c r="R373" s="207" t="inlineStr">
        <is>
          <t>—</t>
        </is>
      </c>
      <c r="S373" s="207" t="inlineStr">
        <is>
          <t>—</t>
        </is>
      </c>
    </row>
    <row r="374" ht="20" customHeight="1" s="215">
      <c r="A374" s="54" t="n">
        <v>369</v>
      </c>
      <c r="B374" s="55" t="inlineStr">
        <is>
          <t>NEE</t>
        </is>
      </c>
      <c r="C374" s="56" t="inlineStr">
        <is>
          <t>NextEra Energy</t>
        </is>
      </c>
      <c r="D374" s="57" t="inlineStr">
        <is>
          <t>Utilities - Regulated Electric</t>
        </is>
      </c>
      <c r="E374" s="288" t="n">
        <v>78.17</v>
      </c>
      <c r="F374" s="300" t="n">
        <v>-0.06929397599999999</v>
      </c>
      <c r="G374" s="290" t="n">
        <v>163.031760896</v>
      </c>
      <c r="H374" s="289" t="n">
        <v>0.124</v>
      </c>
      <c r="I374" s="291" t="n">
        <v>0.61024</v>
      </c>
      <c r="J374" s="292" t="n">
        <v>17.566292</v>
      </c>
      <c r="K374" s="299" t="n">
        <v>-17766.875136</v>
      </c>
      <c r="L374" s="293" t="inlineStr">
        <is>
          <t>—</t>
        </is>
      </c>
      <c r="M374" s="293" t="inlineStr">
        <is>
          <t>—</t>
        </is>
      </c>
      <c r="N374" s="292" t="n">
        <v>-9.176164608964807</v>
      </c>
      <c r="O374" s="206" t="inlineStr">
        <is>
          <t>—</t>
        </is>
      </c>
      <c r="P374" s="206" t="inlineStr">
        <is>
          <t>—</t>
        </is>
      </c>
      <c r="Q374" s="206" t="inlineStr">
        <is>
          <t>—</t>
        </is>
      </c>
      <c r="R374" s="206" t="inlineStr">
        <is>
          <t>—</t>
        </is>
      </c>
      <c r="S374" s="206" t="inlineStr">
        <is>
          <t>—</t>
        </is>
      </c>
    </row>
    <row r="375" ht="20" customHeight="1" s="215">
      <c r="A375" s="50" t="n">
        <v>370</v>
      </c>
      <c r="B375" s="51" t="inlineStr">
        <is>
          <t>NFLX</t>
        </is>
      </c>
      <c r="C375" s="52" t="inlineStr">
        <is>
          <t>Netflix</t>
        </is>
      </c>
      <c r="D375" s="53" t="inlineStr">
        <is>
          <t>Entertainment</t>
        </is>
      </c>
      <c r="E375" s="294" t="n">
        <v>69.84999999999999</v>
      </c>
      <c r="F375" s="300" t="n">
        <v>-0.43730617</v>
      </c>
      <c r="G375" s="295" t="n">
        <v>290.851160064</v>
      </c>
      <c r="H375" s="289" t="n">
        <v>0.134</v>
      </c>
      <c r="I375" s="296" t="n">
        <v>0.49118</v>
      </c>
      <c r="J375" s="297" t="n">
        <v>21.965408</v>
      </c>
      <c r="K375" s="301" t="n">
        <v>25387.552768</v>
      </c>
      <c r="L375" s="295" t="n">
        <v>329.1268973931882</v>
      </c>
      <c r="M375" s="289" t="n">
        <v>0.1315990533466186</v>
      </c>
      <c r="N375" s="297" t="n">
        <v>11.45644832436178</v>
      </c>
      <c r="O375" s="207" t="inlineStr">
        <is>
          <t>—</t>
        </is>
      </c>
      <c r="P375" s="207" t="inlineStr">
        <is>
          <t>—</t>
        </is>
      </c>
      <c r="Q375" s="207" t="inlineStr">
        <is>
          <t>—</t>
        </is>
      </c>
      <c r="R375" s="207" t="inlineStr">
        <is>
          <t>—</t>
        </is>
      </c>
      <c r="S375" s="207" t="inlineStr">
        <is>
          <t>—</t>
        </is>
      </c>
    </row>
    <row r="376" ht="20" customHeight="1" s="215">
      <c r="A376" s="54" t="n">
        <v>371</v>
      </c>
      <c r="B376" s="55" t="inlineStr">
        <is>
          <t>ETR</t>
        </is>
      </c>
      <c r="C376" s="56" t="inlineStr">
        <is>
          <t>Entergy</t>
        </is>
      </c>
      <c r="D376" s="57" t="inlineStr">
        <is>
          <t>Utilities - Diversified</t>
        </is>
      </c>
      <c r="E376" s="288" t="n">
        <v>103.8</v>
      </c>
      <c r="F376" s="289" t="n">
        <v>0.08509302000000001</v>
      </c>
      <c r="G376" s="290" t="n">
        <v>49.59330304</v>
      </c>
      <c r="H376" s="289" t="n">
        <v>0.059</v>
      </c>
      <c r="I376" s="291" t="n">
        <v>0.47000998</v>
      </c>
      <c r="J376" s="292" t="n">
        <v>26.547316</v>
      </c>
      <c r="K376" s="299" t="n">
        <v>-4400.858112</v>
      </c>
      <c r="L376" s="293" t="inlineStr">
        <is>
          <t>—</t>
        </is>
      </c>
      <c r="M376" s="293" t="inlineStr">
        <is>
          <t>—</t>
        </is>
      </c>
      <c r="N376" s="292" t="n">
        <v>-11.26900740025494</v>
      </c>
      <c r="O376" s="206" t="inlineStr">
        <is>
          <t>—</t>
        </is>
      </c>
      <c r="P376" s="206" t="inlineStr">
        <is>
          <t>—</t>
        </is>
      </c>
      <c r="Q376" s="206" t="inlineStr">
        <is>
          <t>—</t>
        </is>
      </c>
      <c r="R376" s="206" t="inlineStr">
        <is>
          <t>—</t>
        </is>
      </c>
      <c r="S376" s="206" t="inlineStr">
        <is>
          <t>—</t>
        </is>
      </c>
    </row>
    <row r="377" ht="20" customHeight="1" s="215">
      <c r="A377" s="50" t="n">
        <v>372</v>
      </c>
      <c r="B377" s="51" t="inlineStr">
        <is>
          <t>OKE</t>
        </is>
      </c>
      <c r="C377" s="52" t="inlineStr">
        <is>
          <t>ONEOK</t>
        </is>
      </c>
      <c r="D377" s="53" t="inlineStr">
        <is>
          <t>Oil &amp; Gas Midstream</t>
        </is>
      </c>
      <c r="E377" s="294" t="n">
        <v>92.42</v>
      </c>
      <c r="F377" s="289" t="n">
        <v>0.34039164</v>
      </c>
      <c r="G377" s="295" t="n">
        <v>58.262417408</v>
      </c>
      <c r="H377" s="289" t="n">
        <v>0.528</v>
      </c>
      <c r="I377" s="296" t="n">
        <v>0.27214</v>
      </c>
      <c r="J377" s="297" t="n">
        <v>15.962004</v>
      </c>
      <c r="K377" s="301" t="n">
        <v>899.875008</v>
      </c>
      <c r="L377" s="295" t="n">
        <v>19.36148538059258</v>
      </c>
      <c r="M377" s="300" t="n">
        <v>-0.6676848259658025</v>
      </c>
      <c r="N377" s="297" t="n">
        <v>64.74501238872054</v>
      </c>
      <c r="O377" s="207" t="inlineStr">
        <is>
          <t>—</t>
        </is>
      </c>
      <c r="P377" s="207" t="inlineStr">
        <is>
          <t>—</t>
        </is>
      </c>
      <c r="Q377" s="207" t="inlineStr">
        <is>
          <t>—</t>
        </is>
      </c>
      <c r="R377" s="207" t="inlineStr">
        <is>
          <t>—</t>
        </is>
      </c>
      <c r="S377" s="207" t="inlineStr">
        <is>
          <t>—</t>
        </is>
      </c>
    </row>
    <row r="378" ht="20" customHeight="1" s="215">
      <c r="A378" s="54" t="n">
        <v>373</v>
      </c>
      <c r="B378" s="55" t="inlineStr">
        <is>
          <t>C</t>
        </is>
      </c>
      <c r="C378" s="56" t="inlineStr">
        <is>
          <t>Citigroup</t>
        </is>
      </c>
      <c r="D378" s="57" t="inlineStr">
        <is>
          <t>Banks - Diversified</t>
        </is>
      </c>
      <c r="E378" s="288" t="n">
        <v>121.69</v>
      </c>
      <c r="F378" s="289" t="n">
        <v>0.2385751</v>
      </c>
      <c r="G378" s="290" t="n">
        <v>204.127289344</v>
      </c>
      <c r="H378" s="289" t="n">
        <v>0.08</v>
      </c>
      <c r="I378" s="291" t="n">
        <v>0</v>
      </c>
      <c r="J378" s="292" t="n">
        <v>11.860623</v>
      </c>
      <c r="K378" s="293" t="inlineStr">
        <is>
          <t>—</t>
        </is>
      </c>
      <c r="L378" s="290" t="n">
        <v>89.86707718433104</v>
      </c>
      <c r="M378" s="300" t="n">
        <v>-0.5597498135935908</v>
      </c>
      <c r="N378" s="293" t="inlineStr">
        <is>
          <t>—</t>
        </is>
      </c>
      <c r="O378" s="208" t="inlineStr">
        <is>
          <t>SOLD</t>
        </is>
      </c>
      <c r="P378" s="208" t="inlineStr">
        <is>
          <t>—</t>
        </is>
      </c>
      <c r="Q378" s="208" t="inlineStr">
        <is>
          <t>Sold</t>
        </is>
      </c>
      <c r="R378" s="209" t="n">
        <v>51</v>
      </c>
      <c r="S378" s="210" t="inlineStr">
        <is>
          <t>Already fully exited Q1-25 @~$73 — 14.6M sh sold</t>
        </is>
      </c>
    </row>
    <row r="379" ht="20" customHeight="1" s="215">
      <c r="A379" s="50" t="n">
        <v>374</v>
      </c>
      <c r="B379" s="51" t="inlineStr">
        <is>
          <t>FANG</t>
        </is>
      </c>
      <c r="C379" s="52" t="inlineStr">
        <is>
          <t>Diamondback Energy</t>
        </is>
      </c>
      <c r="D379" s="53" t="inlineStr">
        <is>
          <t>Oil &amp; Gas E&amp;P</t>
        </is>
      </c>
      <c r="E379" s="294" t="n">
        <v>203.12</v>
      </c>
      <c r="F379" s="289" t="n">
        <v>0.4351728</v>
      </c>
      <c r="G379" s="295" t="n">
        <v>57.140359168</v>
      </c>
      <c r="H379" s="289" t="n">
        <v>0.525</v>
      </c>
      <c r="I379" s="296" t="n">
        <v>0.72353995</v>
      </c>
      <c r="J379" s="297" t="n">
        <v>38.68952</v>
      </c>
      <c r="K379" s="301" t="n">
        <v>5035.500032</v>
      </c>
      <c r="L379" s="295" t="n">
        <v>108.0045895106361</v>
      </c>
      <c r="M379" s="289" t="n">
        <v>0.8901629440775595</v>
      </c>
      <c r="N379" s="297" t="n">
        <v>11.34750402611853</v>
      </c>
      <c r="O379" s="207" t="inlineStr">
        <is>
          <t>—</t>
        </is>
      </c>
      <c r="P379" s="207" t="inlineStr">
        <is>
          <t>—</t>
        </is>
      </c>
      <c r="Q379" s="207" t="inlineStr">
        <is>
          <t>—</t>
        </is>
      </c>
      <c r="R379" s="207" t="inlineStr">
        <is>
          <t>—</t>
        </is>
      </c>
      <c r="S379" s="207" t="inlineStr">
        <is>
          <t>—</t>
        </is>
      </c>
    </row>
    <row r="380" ht="20" customHeight="1" s="215">
      <c r="A380" s="54" t="n">
        <v>375</v>
      </c>
      <c r="B380" s="55" t="inlineStr">
        <is>
          <t>ATO</t>
        </is>
      </c>
      <c r="C380" s="56" t="inlineStr">
        <is>
          <t>Atmos Energy</t>
        </is>
      </c>
      <c r="D380" s="57" t="inlineStr">
        <is>
          <t>Utilities - Regulated Gas</t>
        </is>
      </c>
      <c r="E380" s="288" t="n">
        <v>164.74</v>
      </c>
      <c r="F380" s="300" t="n">
        <v>-0.06947583</v>
      </c>
      <c r="G380" s="290" t="n">
        <v>27.839176704</v>
      </c>
      <c r="H380" s="289" t="n">
        <v>0.048</v>
      </c>
      <c r="I380" s="291" t="n">
        <v>0.62212</v>
      </c>
      <c r="J380" s="292" t="n">
        <v>19.63528</v>
      </c>
      <c r="K380" s="299" t="n">
        <v>-2220.956928</v>
      </c>
      <c r="L380" s="293" t="inlineStr">
        <is>
          <t>—</t>
        </is>
      </c>
      <c r="M380" s="293" t="inlineStr">
        <is>
          <t>—</t>
        </is>
      </c>
      <c r="N380" s="292" t="n">
        <v>-12.53476547439825</v>
      </c>
      <c r="O380" s="206" t="inlineStr">
        <is>
          <t>—</t>
        </is>
      </c>
      <c r="P380" s="206" t="inlineStr">
        <is>
          <t>—</t>
        </is>
      </c>
      <c r="Q380" s="206" t="inlineStr">
        <is>
          <t>—</t>
        </is>
      </c>
      <c r="R380" s="206" t="inlineStr">
        <is>
          <t>—</t>
        </is>
      </c>
      <c r="S380" s="206" t="inlineStr">
        <is>
          <t>—</t>
        </is>
      </c>
    </row>
    <row r="381" ht="20" customHeight="1" s="215">
      <c r="A381" s="50" t="n">
        <v>376</v>
      </c>
      <c r="B381" s="51" t="inlineStr">
        <is>
          <t>EIX</t>
        </is>
      </c>
      <c r="C381" s="52" t="inlineStr">
        <is>
          <t>Edison Intl</t>
        </is>
      </c>
      <c r="D381" s="53" t="inlineStr">
        <is>
          <t>Utilities - Regulated Electric</t>
        </is>
      </c>
      <c r="E381" s="294" t="n">
        <v>55.68</v>
      </c>
      <c r="F381" s="300" t="n">
        <v>-0.045921862</v>
      </c>
      <c r="G381" s="295" t="n">
        <v>21.42644224</v>
      </c>
      <c r="H381" s="300" t="n">
        <v>-0.041</v>
      </c>
      <c r="I381" s="296" t="n">
        <v>0.61005</v>
      </c>
      <c r="J381" s="297" t="n">
        <v>5.7402062</v>
      </c>
      <c r="K381" s="301" t="n">
        <v>82.375</v>
      </c>
      <c r="L381" s="295" t="n">
        <v>0.6130884348924505</v>
      </c>
      <c r="M381" s="300" t="n">
        <v>-0.9713863632596967</v>
      </c>
      <c r="N381" s="297" t="n">
        <v>260.108556609651</v>
      </c>
      <c r="O381" s="207" t="inlineStr">
        <is>
          <t>—</t>
        </is>
      </c>
      <c r="P381" s="207" t="inlineStr">
        <is>
          <t>—</t>
        </is>
      </c>
      <c r="Q381" s="207" t="inlineStr">
        <is>
          <t>—</t>
        </is>
      </c>
      <c r="R381" s="207" t="inlineStr">
        <is>
          <t>—</t>
        </is>
      </c>
      <c r="S381" s="207" t="inlineStr">
        <is>
          <t>—</t>
        </is>
      </c>
    </row>
    <row r="382" ht="20" customHeight="1" s="215">
      <c r="A382" s="54" t="n">
        <v>377</v>
      </c>
      <c r="B382" s="55" t="inlineStr">
        <is>
          <t>ABNB</t>
        </is>
      </c>
      <c r="C382" s="56" t="inlineStr">
        <is>
          <t>Airbnb Inc</t>
        </is>
      </c>
      <c r="D382" s="57" t="inlineStr">
        <is>
          <t>Consumer Discretionary</t>
        </is>
      </c>
      <c r="E382" s="288" t="n">
        <v>175.46</v>
      </c>
      <c r="F382" s="289" t="n">
        <v>0.36481023</v>
      </c>
      <c r="G382" s="290" t="n">
        <v>105.062940672</v>
      </c>
      <c r="H382" s="289" t="n">
        <v>0.165</v>
      </c>
      <c r="I382" s="291" t="n">
        <v>0.82901</v>
      </c>
      <c r="J382" s="292" t="n">
        <v>39.968113</v>
      </c>
      <c r="K382" s="299" t="n">
        <v>3206.87488</v>
      </c>
      <c r="L382" s="290" t="n">
        <v>39.23426301996449</v>
      </c>
      <c r="M382" s="300" t="n">
        <v>-0.6265642026673189</v>
      </c>
      <c r="N382" s="292" t="n">
        <v>22.95401556039505</v>
      </c>
      <c r="O382" s="206" t="inlineStr">
        <is>
          <t>—</t>
        </is>
      </c>
      <c r="P382" s="206" t="inlineStr">
        <is>
          <t>—</t>
        </is>
      </c>
      <c r="Q382" s="206" t="inlineStr">
        <is>
          <t>—</t>
        </is>
      </c>
      <c r="R382" s="206" t="inlineStr">
        <is>
          <t>—</t>
        </is>
      </c>
      <c r="S382" s="206" t="inlineStr">
        <is>
          <t>—</t>
        </is>
      </c>
    </row>
    <row r="383" ht="20" customHeight="1" s="215">
      <c r="A383" s="50" t="n">
        <v>378</v>
      </c>
      <c r="B383" s="51" t="inlineStr">
        <is>
          <t>ALLY</t>
        </is>
      </c>
      <c r="C383" s="52" t="inlineStr">
        <is>
          <t>Ally Financial Inc</t>
        </is>
      </c>
      <c r="D383" s="53" t="inlineStr">
        <is>
          <t>Financials</t>
        </is>
      </c>
      <c r="E383" s="294" t="n">
        <v>37.59</v>
      </c>
      <c r="F383" s="300" t="n">
        <v>-0.08272326000000001</v>
      </c>
      <c r="G383" s="295" t="n">
        <v>11.434865664</v>
      </c>
      <c r="H383" s="289" t="n">
        <v>0.11</v>
      </c>
      <c r="I383" s="296" t="n">
        <v>0</v>
      </c>
      <c r="J383" s="297" t="n">
        <v>8.844706</v>
      </c>
      <c r="K383" s="298" t="inlineStr">
        <is>
          <t>—</t>
        </is>
      </c>
      <c r="L383" s="295" t="n">
        <v>6.743896463275171</v>
      </c>
      <c r="M383" s="300" t="n">
        <v>-0.4102338705642384</v>
      </c>
      <c r="N383" s="298" t="inlineStr">
        <is>
          <t>—</t>
        </is>
      </c>
      <c r="O383" s="211" t="inlineStr">
        <is>
          <t>YES</t>
        </is>
      </c>
      <c r="P383" s="212" t="n">
        <v>1.1</v>
      </c>
      <c r="Q383" s="211" t="inlineStr">
        <is>
          <t>Hold</t>
        </is>
      </c>
      <c r="R383" s="212" t="n">
        <v>35</v>
      </c>
      <c r="S383" s="213" t="inlineStr">
        <is>
          <t>~29M sh. Q1-26: UNCHANGED. Held through Combs departure</t>
        </is>
      </c>
    </row>
    <row r="384" ht="20" customHeight="1" s="215">
      <c r="A384" s="54" t="n">
        <v>379</v>
      </c>
      <c r="B384" s="55" t="inlineStr">
        <is>
          <t>APP</t>
        </is>
      </c>
      <c r="C384" s="56" t="inlineStr">
        <is>
          <t>AppLovin Corp</t>
        </is>
      </c>
      <c r="D384" s="57" t="inlineStr">
        <is>
          <t>Technology</t>
        </is>
      </c>
      <c r="E384" s="288" t="n">
        <v>269.12</v>
      </c>
      <c r="F384" s="300" t="n">
        <v>-0.5130284000000001</v>
      </c>
      <c r="G384" s="290" t="n">
        <v>90.061152256</v>
      </c>
      <c r="H384" s="289" t="n">
        <v>0.528</v>
      </c>
      <c r="I384" s="291" t="n">
        <v>0.88464</v>
      </c>
      <c r="J384" s="292" t="n">
        <v>20.685625</v>
      </c>
      <c r="K384" s="299" t="n">
        <v>3179.956224</v>
      </c>
      <c r="L384" s="290" t="n">
        <v>42.56226923124055</v>
      </c>
      <c r="M384" s="300" t="n">
        <v>-0.5274070099585586</v>
      </c>
      <c r="N384" s="292" t="n">
        <v>25.76504026742225</v>
      </c>
      <c r="O384" s="206" t="inlineStr">
        <is>
          <t>—</t>
        </is>
      </c>
      <c r="P384" s="206" t="inlineStr">
        <is>
          <t>—</t>
        </is>
      </c>
      <c r="Q384" s="206" t="inlineStr">
        <is>
          <t>—</t>
        </is>
      </c>
      <c r="R384" s="206" t="inlineStr">
        <is>
          <t>—</t>
        </is>
      </c>
      <c r="S384" s="206" t="inlineStr">
        <is>
          <t>—</t>
        </is>
      </c>
    </row>
    <row r="385" ht="20" customHeight="1" s="215">
      <c r="A385" s="50" t="n">
        <v>380</v>
      </c>
      <c r="B385" s="51" t="inlineStr">
        <is>
          <t>ARM</t>
        </is>
      </c>
      <c r="C385" s="52" t="inlineStr">
        <is>
          <t>Arm Holdings plc</t>
        </is>
      </c>
      <c r="D385" s="53" t="inlineStr">
        <is>
          <t>Technology</t>
        </is>
      </c>
      <c r="E385" s="294" t="n">
        <v>228.05</v>
      </c>
      <c r="F385" s="289" t="n">
        <v>0.34638095</v>
      </c>
      <c r="G385" s="295" t="n">
        <v>243.55708928</v>
      </c>
      <c r="H385" s="289" t="n">
        <v>0.224</v>
      </c>
      <c r="I385" s="296" t="n">
        <v>0.97537005</v>
      </c>
      <c r="J385" s="297" t="n">
        <v>235.10309</v>
      </c>
      <c r="K385" s="301" t="n">
        <v>1334.499968</v>
      </c>
      <c r="L385" s="295" t="n">
        <v>16.36563852927765</v>
      </c>
      <c r="M385" s="300" t="n">
        <v>-0.9328057393949915</v>
      </c>
      <c r="N385" s="297" t="n">
        <v>182.5081150248855</v>
      </c>
      <c r="O385" s="207" t="inlineStr">
        <is>
          <t>—</t>
        </is>
      </c>
      <c r="P385" s="207" t="inlineStr">
        <is>
          <t>—</t>
        </is>
      </c>
      <c r="Q385" s="207" t="inlineStr">
        <is>
          <t>—</t>
        </is>
      </c>
      <c r="R385" s="207" t="inlineStr">
        <is>
          <t>—</t>
        </is>
      </c>
      <c r="S385" s="207" t="inlineStr">
        <is>
          <t>—</t>
        </is>
      </c>
    </row>
    <row r="386" ht="20" customHeight="1" s="215">
      <c r="A386" s="54" t="n">
        <v>381</v>
      </c>
      <c r="B386" s="55" t="inlineStr">
        <is>
          <t>AXON</t>
        </is>
      </c>
      <c r="C386" s="56" t="inlineStr">
        <is>
          <t>Axon Enterprise</t>
        </is>
      </c>
      <c r="D386" s="57" t="inlineStr">
        <is>
          <t>Industrials</t>
        </is>
      </c>
      <c r="E386" s="288" t="n">
        <v>383.09</v>
      </c>
      <c r="F386" s="300" t="n">
        <v>-0.45817775</v>
      </c>
      <c r="G386" s="290" t="n">
        <v>31.121242112</v>
      </c>
      <c r="H386" s="289" t="n">
        <v>0.353</v>
      </c>
      <c r="I386" s="291" t="n">
        <v>0.5952499999999999</v>
      </c>
      <c r="J386" s="292" t="n">
        <v>158.9585</v>
      </c>
      <c r="K386" s="299" t="n">
        <v>222.16</v>
      </c>
      <c r="L386" s="290" t="n">
        <v>4.351644577945814</v>
      </c>
      <c r="M386" s="300" t="n">
        <v>-0.8601712437349064</v>
      </c>
      <c r="N386" s="292" t="n">
        <v>140.0848096522776</v>
      </c>
      <c r="O386" s="206" t="inlineStr">
        <is>
          <t>—</t>
        </is>
      </c>
      <c r="P386" s="206" t="inlineStr">
        <is>
          <t>—</t>
        </is>
      </c>
      <c r="Q386" s="206" t="inlineStr">
        <is>
          <t>—</t>
        </is>
      </c>
      <c r="R386" s="206" t="inlineStr">
        <is>
          <t>—</t>
        </is>
      </c>
      <c r="S386" s="206" t="inlineStr">
        <is>
          <t>—</t>
        </is>
      </c>
    </row>
    <row r="387" ht="20" customHeight="1" s="215">
      <c r="A387" s="50" t="n">
        <v>382</v>
      </c>
      <c r="B387" s="51" t="inlineStr">
        <is>
          <t>BALL</t>
        </is>
      </c>
      <c r="C387" s="52" t="inlineStr">
        <is>
          <t>Ball Corp</t>
        </is>
      </c>
      <c r="D387" s="53" t="inlineStr">
        <is>
          <t>Materials</t>
        </is>
      </c>
      <c r="E387" s="294" t="n">
        <v>63.84</v>
      </c>
      <c r="F387" s="289" t="n">
        <v>0.29387915</v>
      </c>
      <c r="G387" s="295" t="n">
        <v>16.997177344</v>
      </c>
      <c r="H387" s="289" t="n">
        <v>0.197</v>
      </c>
      <c r="I387" s="296" t="n">
        <v>0.1863</v>
      </c>
      <c r="J387" s="297" t="n">
        <v>18.188034</v>
      </c>
      <c r="K387" s="301" t="n">
        <v>379.875008</v>
      </c>
      <c r="L387" s="295" t="n">
        <v>4.029333598166011</v>
      </c>
      <c r="M387" s="300" t="n">
        <v>-0.7629410156393781</v>
      </c>
      <c r="N387" s="297" t="n">
        <v>44.74413137028483</v>
      </c>
      <c r="O387" s="207" t="inlineStr">
        <is>
          <t>—</t>
        </is>
      </c>
      <c r="P387" s="207" t="inlineStr">
        <is>
          <t>—</t>
        </is>
      </c>
      <c r="Q387" s="207" t="inlineStr">
        <is>
          <t>—</t>
        </is>
      </c>
      <c r="R387" s="207" t="inlineStr">
        <is>
          <t>—</t>
        </is>
      </c>
      <c r="S387" s="207" t="inlineStr">
        <is>
          <t>—</t>
        </is>
      </c>
    </row>
    <row r="388" ht="20" customHeight="1" s="215">
      <c r="A388" s="54" t="n">
        <v>383</v>
      </c>
      <c r="B388" s="55" t="inlineStr">
        <is>
          <t>BG</t>
        </is>
      </c>
      <c r="C388" s="56" t="inlineStr">
        <is>
          <t>Bunge Global SA</t>
        </is>
      </c>
      <c r="D388" s="57" t="inlineStr">
        <is>
          <t>Consumer Staples</t>
        </is>
      </c>
      <c r="E388" s="288" t="n">
        <v>103.11</v>
      </c>
      <c r="F388" s="289" t="n">
        <v>0.088461995</v>
      </c>
      <c r="G388" s="290" t="n">
        <v>19.80940288</v>
      </c>
      <c r="H388" s="289" t="n">
        <v>0.883</v>
      </c>
      <c r="I388" s="291" t="n">
        <v>0.049239997</v>
      </c>
      <c r="J388" s="292" t="n">
        <v>20.53984</v>
      </c>
      <c r="K388" s="299" t="n">
        <v>-6475.375104</v>
      </c>
      <c r="L388" s="293" t="inlineStr">
        <is>
          <t>—</t>
        </is>
      </c>
      <c r="M388" s="293" t="inlineStr">
        <is>
          <t>—</t>
        </is>
      </c>
      <c r="N388" s="292" t="n">
        <v>-3.059190001254636</v>
      </c>
      <c r="O388" s="206" t="inlineStr">
        <is>
          <t>—</t>
        </is>
      </c>
      <c r="P388" s="206" t="inlineStr">
        <is>
          <t>—</t>
        </is>
      </c>
      <c r="Q388" s="206" t="inlineStr">
        <is>
          <t>—</t>
        </is>
      </c>
      <c r="R388" s="206" t="inlineStr">
        <is>
          <t>—</t>
        </is>
      </c>
      <c r="S388" s="206" t="inlineStr">
        <is>
          <t>—</t>
        </is>
      </c>
    </row>
    <row r="389" ht="20" customHeight="1" s="215">
      <c r="A389" s="50" t="n">
        <v>384</v>
      </c>
      <c r="B389" s="51" t="inlineStr">
        <is>
          <t>BLDR</t>
        </is>
      </c>
      <c r="C389" s="52" t="inlineStr">
        <is>
          <t>Builders FirstSource</t>
        </is>
      </c>
      <c r="D389" s="53" t="inlineStr">
        <is>
          <t>Industrials</t>
        </is>
      </c>
      <c r="E389" s="294" t="n">
        <v>52.95</v>
      </c>
      <c r="F389" s="300" t="n">
        <v>-0.57869196</v>
      </c>
      <c r="G389" s="295" t="n">
        <v>5.697232384</v>
      </c>
      <c r="H389" s="300" t="n">
        <v>-0.08799999999999999</v>
      </c>
      <c r="I389" s="296" t="n">
        <v>0.29188</v>
      </c>
      <c r="J389" s="297" t="n">
        <v>57.554348</v>
      </c>
      <c r="K389" s="301" t="n">
        <v>464.57712</v>
      </c>
      <c r="L389" s="295" t="n">
        <v>2.059058406506252</v>
      </c>
      <c r="M389" s="300" t="n">
        <v>-0.6385861998031057</v>
      </c>
      <c r="N389" s="297" t="n">
        <v>12.26326513486071</v>
      </c>
      <c r="O389" s="207" t="inlineStr">
        <is>
          <t>—</t>
        </is>
      </c>
      <c r="P389" s="207" t="inlineStr">
        <is>
          <t>—</t>
        </is>
      </c>
      <c r="Q389" s="207" t="inlineStr">
        <is>
          <t>—</t>
        </is>
      </c>
      <c r="R389" s="207" t="inlineStr">
        <is>
          <t>—</t>
        </is>
      </c>
      <c r="S389" s="207" t="inlineStr">
        <is>
          <t>—</t>
        </is>
      </c>
    </row>
    <row r="390" ht="20" customHeight="1" s="215">
      <c r="A390" s="54" t="n">
        <v>385</v>
      </c>
      <c r="B390" s="55" t="inlineStr">
        <is>
          <t>BRO</t>
        </is>
      </c>
      <c r="C390" s="56" t="inlineStr">
        <is>
          <t>Brown &amp; Brown Inc</t>
        </is>
      </c>
      <c r="D390" s="57" t="inlineStr">
        <is>
          <t>Financials</t>
        </is>
      </c>
      <c r="E390" s="288" t="n">
        <v>69.22</v>
      </c>
      <c r="F390" s="300" t="n">
        <v>-0.21590394</v>
      </c>
      <c r="G390" s="290" t="n">
        <v>23.161731072</v>
      </c>
      <c r="H390" s="289" t="n">
        <v>0.324</v>
      </c>
      <c r="I390" s="291" t="n">
        <v>0.56281</v>
      </c>
      <c r="J390" s="292" t="n">
        <v>21.835962</v>
      </c>
      <c r="K390" s="299" t="n">
        <v>1642.749952</v>
      </c>
      <c r="L390" s="290" t="n">
        <v>8.934443576968356</v>
      </c>
      <c r="M390" s="300" t="n">
        <v>-0.6142583838317197</v>
      </c>
      <c r="N390" s="292" t="n">
        <v>14.09936362094625</v>
      </c>
      <c r="O390" s="206" t="inlineStr">
        <is>
          <t>—</t>
        </is>
      </c>
      <c r="P390" s="206" t="inlineStr">
        <is>
          <t>—</t>
        </is>
      </c>
      <c r="Q390" s="206" t="inlineStr">
        <is>
          <t>—</t>
        </is>
      </c>
      <c r="R390" s="206" t="inlineStr">
        <is>
          <t>—</t>
        </is>
      </c>
      <c r="S390" s="206" t="inlineStr">
        <is>
          <t>—</t>
        </is>
      </c>
    </row>
    <row r="391" ht="20" customHeight="1" s="215">
      <c r="A391" s="50" t="n">
        <v>386</v>
      </c>
      <c r="B391" s="51" t="inlineStr">
        <is>
          <t>CBOE</t>
        </is>
      </c>
      <c r="C391" s="52" t="inlineStr">
        <is>
          <t>Cboe Global Markets</t>
        </is>
      </c>
      <c r="D391" s="53" t="inlineStr">
        <is>
          <t>Financials</t>
        </is>
      </c>
      <c r="E391" s="294" t="n">
        <v>306.47</v>
      </c>
      <c r="F391" s="289" t="n">
        <v>0.31368685</v>
      </c>
      <c r="G391" s="295" t="n">
        <v>32.004974592</v>
      </c>
      <c r="H391" s="289" t="n">
        <v>0.229</v>
      </c>
      <c r="I391" s="296" t="n">
        <v>0.54078996</v>
      </c>
      <c r="J391" s="297" t="n">
        <v>23.886984</v>
      </c>
      <c r="K391" s="301" t="n">
        <v>678.249984</v>
      </c>
      <c r="L391" s="295" t="n">
        <v>8.058976793070386</v>
      </c>
      <c r="M391" s="300" t="n">
        <v>-0.7481961196405756</v>
      </c>
      <c r="N391" s="297" t="n">
        <v>47.18757854468302</v>
      </c>
      <c r="O391" s="207" t="inlineStr">
        <is>
          <t>—</t>
        </is>
      </c>
      <c r="P391" s="207" t="inlineStr">
        <is>
          <t>—</t>
        </is>
      </c>
      <c r="Q391" s="207" t="inlineStr">
        <is>
          <t>—</t>
        </is>
      </c>
      <c r="R391" s="207" t="inlineStr">
        <is>
          <t>—</t>
        </is>
      </c>
      <c r="S391" s="207" t="inlineStr">
        <is>
          <t>—</t>
        </is>
      </c>
    </row>
    <row r="392" ht="20" customHeight="1" s="215">
      <c r="A392" s="54" t="n">
        <v>387</v>
      </c>
      <c r="B392" s="55" t="inlineStr">
        <is>
          <t>CEG</t>
        </is>
      </c>
      <c r="C392" s="56" t="inlineStr">
        <is>
          <t>Constellation Energy</t>
        </is>
      </c>
      <c r="D392" s="57" t="inlineStr">
        <is>
          <t>Utilities</t>
        </is>
      </c>
      <c r="E392" s="288" t="n">
        <v>263.19</v>
      </c>
      <c r="F392" s="300" t="n">
        <v>-0.26645112</v>
      </c>
      <c r="G392" s="290" t="n">
        <v>93.250166784</v>
      </c>
      <c r="H392" s="289" t="n">
        <v>0.23</v>
      </c>
      <c r="I392" s="291" t="n">
        <v>0.22107</v>
      </c>
      <c r="J392" s="292" t="n">
        <v>25.727274</v>
      </c>
      <c r="K392" s="299" t="n">
        <v>-6625.124864</v>
      </c>
      <c r="L392" s="307" t="inlineStr">
        <is>
          <t>—</t>
        </is>
      </c>
      <c r="M392" s="308" t="inlineStr">
        <is>
          <t>—</t>
        </is>
      </c>
      <c r="N392" s="292" t="n">
        <v>-14.07523042859438</v>
      </c>
      <c r="O392" s="206" t="inlineStr">
        <is>
          <t>—</t>
        </is>
      </c>
      <c r="P392" s="206" t="inlineStr">
        <is>
          <t>—</t>
        </is>
      </c>
      <c r="Q392" s="206" t="inlineStr">
        <is>
          <t>—</t>
        </is>
      </c>
      <c r="R392" s="206" t="inlineStr">
        <is>
          <t>—</t>
        </is>
      </c>
      <c r="S392" s="206" t="inlineStr">
        <is>
          <t>—</t>
        </is>
      </c>
    </row>
    <row r="393" ht="20" customHeight="1" s="215">
      <c r="A393" s="50" t="n">
        <v>388</v>
      </c>
      <c r="B393" s="51" t="inlineStr">
        <is>
          <t>COIN</t>
        </is>
      </c>
      <c r="C393" s="52" t="inlineStr">
        <is>
          <t>Coinbase Global</t>
        </is>
      </c>
      <c r="D393" s="53" t="inlineStr">
        <is>
          <t>Financials</t>
        </is>
      </c>
      <c r="E393" s="294" t="n">
        <v>168.45</v>
      </c>
      <c r="F393" s="300" t="n">
        <v>-0.50253975</v>
      </c>
      <c r="G393" s="295" t="n">
        <v>44.443328512</v>
      </c>
      <c r="H393" s="300" t="n">
        <v>-0.173</v>
      </c>
      <c r="I393" s="296" t="n">
        <v>0.8581</v>
      </c>
      <c r="J393" s="297" t="n">
        <v>56.792896</v>
      </c>
      <c r="K393" s="301" t="n">
        <v>2668.452864</v>
      </c>
      <c r="L393" s="295" t="n">
        <v>1.4914379261322</v>
      </c>
      <c r="M393" s="300" t="n">
        <v>-0.9664418040667341</v>
      </c>
      <c r="N393" s="297" t="n">
        <v>14.06476810841655</v>
      </c>
      <c r="O393" s="207" t="inlineStr">
        <is>
          <t>—</t>
        </is>
      </c>
      <c r="P393" s="207" t="inlineStr">
        <is>
          <t>—</t>
        </is>
      </c>
      <c r="Q393" s="207" t="inlineStr">
        <is>
          <t>—</t>
        </is>
      </c>
      <c r="R393" s="207" t="inlineStr">
        <is>
          <t>—</t>
        </is>
      </c>
      <c r="S393" s="207" t="inlineStr">
        <is>
          <t>—</t>
        </is>
      </c>
    </row>
    <row r="394" ht="20" customHeight="1" s="215">
      <c r="A394" s="54" t="n">
        <v>389</v>
      </c>
      <c r="B394" s="55" t="inlineStr">
        <is>
          <t>COR</t>
        </is>
      </c>
      <c r="C394" s="56" t="inlineStr">
        <is>
          <t>Cencora Inc</t>
        </is>
      </c>
      <c r="D394" s="57" t="inlineStr">
        <is>
          <t>Healthcare</t>
        </is>
      </c>
      <c r="E394" s="288" t="n">
        <v>340</v>
      </c>
      <c r="F394" s="289" t="n">
        <v>0.034000397</v>
      </c>
      <c r="G394" s="290" t="n">
        <v>64.881238016</v>
      </c>
      <c r="H394" s="289" t="n">
        <v>0.051</v>
      </c>
      <c r="I394" s="291" t="n">
        <v>0.03961</v>
      </c>
      <c r="J394" s="292" t="n">
        <v>25.241276</v>
      </c>
      <c r="K394" s="299" t="n">
        <v>2043.314048</v>
      </c>
      <c r="L394" s="290" t="n">
        <v>20.75989044890542</v>
      </c>
      <c r="M394" s="300" t="n">
        <v>-0.6800324549327197</v>
      </c>
      <c r="N394" s="292" t="n">
        <v>31.7529437843908</v>
      </c>
      <c r="O394" s="206" t="inlineStr">
        <is>
          <t>—</t>
        </is>
      </c>
      <c r="P394" s="206" t="inlineStr">
        <is>
          <t>—</t>
        </is>
      </c>
      <c r="Q394" s="206" t="inlineStr">
        <is>
          <t>—</t>
        </is>
      </c>
      <c r="R394" s="206" t="inlineStr">
        <is>
          <t>—</t>
        </is>
      </c>
      <c r="S394" s="206" t="inlineStr">
        <is>
          <t>—</t>
        </is>
      </c>
    </row>
    <row r="395" ht="20" customHeight="1" s="215">
      <c r="A395" s="50" t="n">
        <v>390</v>
      </c>
      <c r="B395" s="51" t="inlineStr">
        <is>
          <t>CPT</t>
        </is>
      </c>
      <c r="C395" s="52" t="inlineStr">
        <is>
          <t>Camden Property Trust</t>
        </is>
      </c>
      <c r="D395" s="53" t="inlineStr">
        <is>
          <t>Real Estate</t>
        </is>
      </c>
      <c r="E395" s="294" t="n">
        <v>97.84999999999999</v>
      </c>
      <c r="F395" s="300" t="n">
        <v>-0.05385804</v>
      </c>
      <c r="G395" s="295" t="n">
        <v>9.837775872</v>
      </c>
      <c r="H395" s="300" t="n">
        <v>-0.008</v>
      </c>
      <c r="I395" s="296" t="n">
        <v>0.61619</v>
      </c>
      <c r="J395" s="297" t="n">
        <v>32.293728</v>
      </c>
      <c r="K395" s="301" t="n">
        <v>139.679632</v>
      </c>
      <c r="L395" s="295" t="n">
        <v>1.436985959659837</v>
      </c>
      <c r="M395" s="300" t="n">
        <v>-0.8539318258154523</v>
      </c>
      <c r="N395" s="297" t="n">
        <v>70.43099453111388</v>
      </c>
      <c r="O395" s="207" t="inlineStr">
        <is>
          <t>—</t>
        </is>
      </c>
      <c r="P395" s="207" t="inlineStr">
        <is>
          <t>—</t>
        </is>
      </c>
      <c r="Q395" s="207" t="inlineStr">
        <is>
          <t>—</t>
        </is>
      </c>
      <c r="R395" s="207" t="inlineStr">
        <is>
          <t>—</t>
        </is>
      </c>
      <c r="S395" s="207" t="inlineStr">
        <is>
          <t>—</t>
        </is>
      </c>
    </row>
    <row r="396" ht="20" customHeight="1" s="215">
      <c r="A396" s="54" t="n">
        <v>391</v>
      </c>
      <c r="B396" s="55" t="inlineStr">
        <is>
          <t>CRWD</t>
        </is>
      </c>
      <c r="C396" s="56" t="inlineStr">
        <is>
          <t>CrowdStrike Holdings</t>
        </is>
      </c>
      <c r="D396" s="57" t="inlineStr">
        <is>
          <t>Technology</t>
        </is>
      </c>
      <c r="E396" s="288" t="n">
        <v>228.1</v>
      </c>
      <c r="F396" s="289" t="n">
        <v>0.8104970500000001</v>
      </c>
      <c r="G396" s="290" t="n">
        <v>233.559539712</v>
      </c>
      <c r="H396" s="289" t="n">
        <v>0.258</v>
      </c>
      <c r="I396" s="291" t="n">
        <v>0.75185996</v>
      </c>
      <c r="J396" s="292" t="n">
        <v>4562</v>
      </c>
      <c r="K396" s="299" t="n">
        <v>1995.385472</v>
      </c>
      <c r="L396" s="290" t="n">
        <v>27.05904624714099</v>
      </c>
      <c r="M396" s="300" t="n">
        <v>-0.8841449752790776</v>
      </c>
      <c r="N396" s="292" t="n">
        <v>117.0498335973652</v>
      </c>
      <c r="O396" s="206" t="inlineStr">
        <is>
          <t>—</t>
        </is>
      </c>
      <c r="P396" s="206" t="inlineStr">
        <is>
          <t>—</t>
        </is>
      </c>
      <c r="Q396" s="206" t="inlineStr">
        <is>
          <t>—</t>
        </is>
      </c>
      <c r="R396" s="206" t="inlineStr">
        <is>
          <t>—</t>
        </is>
      </c>
      <c r="S396" s="206" t="inlineStr">
        <is>
          <t>—</t>
        </is>
      </c>
    </row>
    <row r="397" ht="20" customHeight="1" s="215">
      <c r="A397" s="50" t="n">
        <v>392</v>
      </c>
      <c r="B397" s="51" t="inlineStr">
        <is>
          <t>CTRA</t>
        </is>
      </c>
      <c r="C397" s="52" t="inlineStr">
        <is>
          <t>Coterra Energy</t>
        </is>
      </c>
      <c r="D397" s="53" t="inlineStr">
        <is>
          <t>Energy</t>
        </is>
      </c>
      <c r="E397" s="310" t="inlineStr">
        <is>
          <t>—</t>
        </is>
      </c>
      <c r="F397" s="303" t="inlineStr">
        <is>
          <t>—</t>
        </is>
      </c>
      <c r="G397" s="302" t="inlineStr">
        <is>
          <t>—</t>
        </is>
      </c>
      <c r="H397" s="303" t="inlineStr">
        <is>
          <t>—</t>
        </is>
      </c>
      <c r="I397" s="303" t="inlineStr">
        <is>
          <t>—</t>
        </is>
      </c>
      <c r="J397" s="305" t="inlineStr">
        <is>
          <t>—</t>
        </is>
      </c>
      <c r="K397" s="304" t="inlineStr">
        <is>
          <t>—</t>
        </is>
      </c>
      <c r="L397" s="302" t="inlineStr">
        <is>
          <t>—</t>
        </is>
      </c>
      <c r="M397" s="303" t="inlineStr">
        <is>
          <t>—</t>
        </is>
      </c>
      <c r="N397" s="305" t="inlineStr">
        <is>
          <t>—</t>
        </is>
      </c>
      <c r="O397" s="207" t="inlineStr">
        <is>
          <t>—</t>
        </is>
      </c>
      <c r="P397" s="207" t="inlineStr">
        <is>
          <t>—</t>
        </is>
      </c>
      <c r="Q397" s="207" t="inlineStr">
        <is>
          <t>—</t>
        </is>
      </c>
      <c r="R397" s="207" t="inlineStr">
        <is>
          <t>—</t>
        </is>
      </c>
      <c r="S397" s="207" t="inlineStr">
        <is>
          <t>—</t>
        </is>
      </c>
    </row>
    <row r="398" ht="20" customHeight="1" s="215">
      <c r="A398" s="54" t="n">
        <v>393</v>
      </c>
      <c r="B398" s="55" t="inlineStr">
        <is>
          <t>CZR</t>
        </is>
      </c>
      <c r="C398" s="56" t="inlineStr">
        <is>
          <t>Caesars Entertainment</t>
        </is>
      </c>
      <c r="D398" s="57" t="inlineStr">
        <is>
          <t>Consumer Discretionary</t>
        </is>
      </c>
      <c r="E398" s="288" t="n">
        <v>29.04</v>
      </c>
      <c r="F398" s="289" t="n">
        <v>0.27985895</v>
      </c>
      <c r="G398" s="290" t="n">
        <v>5.917774848</v>
      </c>
      <c r="H398" s="289" t="n">
        <v>0.03</v>
      </c>
      <c r="I398" s="291" t="n">
        <v>0.49691</v>
      </c>
      <c r="J398" s="292" t="n">
        <v>40.14765</v>
      </c>
      <c r="K398" s="299" t="n">
        <v>762.499968</v>
      </c>
      <c r="L398" s="290" t="n">
        <v>4.695980045423031</v>
      </c>
      <c r="M398" s="300" t="n">
        <v>-0.2064618600671995</v>
      </c>
      <c r="N398" s="292" t="n">
        <v>7.761016458114788</v>
      </c>
      <c r="O398" s="206" t="inlineStr">
        <is>
          <t>—</t>
        </is>
      </c>
      <c r="P398" s="206" t="inlineStr">
        <is>
          <t>—</t>
        </is>
      </c>
      <c r="Q398" s="206" t="inlineStr">
        <is>
          <t>—</t>
        </is>
      </c>
      <c r="R398" s="206" t="inlineStr">
        <is>
          <t>—</t>
        </is>
      </c>
      <c r="S398" s="206" t="inlineStr">
        <is>
          <t>—</t>
        </is>
      </c>
    </row>
    <row r="399" ht="20" customHeight="1" s="215">
      <c r="A399" s="50" t="n">
        <v>394</v>
      </c>
      <c r="B399" s="51" t="inlineStr">
        <is>
          <t>DASH</t>
        </is>
      </c>
      <c r="C399" s="52" t="inlineStr">
        <is>
          <t>DoorDash Inc</t>
        </is>
      </c>
      <c r="D399" s="53" t="inlineStr">
        <is>
          <t>Consumer Discretionary</t>
        </is>
      </c>
      <c r="E399" s="294" t="n">
        <v>193.53</v>
      </c>
      <c r="F399" s="300" t="n">
        <v>-0.26125127</v>
      </c>
      <c r="G399" s="295" t="n">
        <v>83.856154624</v>
      </c>
      <c r="H399" s="289" t="n">
        <v>0.356</v>
      </c>
      <c r="I399" s="296" t="n">
        <v>0.52225</v>
      </c>
      <c r="J399" s="297" t="n">
        <v>101.857895</v>
      </c>
      <c r="K399" s="301" t="n">
        <v>5147.500032</v>
      </c>
      <c r="L399" s="295" t="n">
        <v>53.64973490287312</v>
      </c>
      <c r="M399" s="300" t="n">
        <v>-0.3602170867072131</v>
      </c>
      <c r="N399" s="297" t="n">
        <v>15.38024512678429</v>
      </c>
      <c r="O399" s="207" t="inlineStr">
        <is>
          <t>—</t>
        </is>
      </c>
      <c r="P399" s="207" t="inlineStr">
        <is>
          <t>—</t>
        </is>
      </c>
      <c r="Q399" s="207" t="inlineStr">
        <is>
          <t>—</t>
        </is>
      </c>
      <c r="R399" s="207" t="inlineStr">
        <is>
          <t>—</t>
        </is>
      </c>
      <c r="S399" s="207" t="inlineStr">
        <is>
          <t>—</t>
        </is>
      </c>
    </row>
    <row r="400" ht="20" customHeight="1" s="215">
      <c r="A400" s="50" t="n">
        <v>395</v>
      </c>
      <c r="B400" s="51" t="inlineStr">
        <is>
          <t>DDOG</t>
        </is>
      </c>
      <c r="C400" s="52" t="inlineStr">
        <is>
          <t>Datadog Inc</t>
        </is>
      </c>
      <c r="D400" s="53" t="inlineStr">
        <is>
          <t>Technology</t>
        </is>
      </c>
      <c r="E400" s="288" t="n">
        <v>260.36</v>
      </c>
      <c r="F400" s="289" t="n">
        <v>0.666304</v>
      </c>
      <c r="G400" s="290" t="n">
        <v>93.48876697599999</v>
      </c>
      <c r="H400" s="289" t="n">
        <v>0.356</v>
      </c>
      <c r="I400" s="291" t="n">
        <v>0.79536</v>
      </c>
      <c r="J400" s="292" t="n">
        <v>520.72</v>
      </c>
      <c r="K400" s="299" t="n">
        <v>1051.412352</v>
      </c>
      <c r="L400" s="290" t="n">
        <v>15.8750419823573</v>
      </c>
      <c r="M400" s="300" t="n">
        <v>-0.8301930542475475</v>
      </c>
      <c r="N400" s="292" t="n">
        <v>82.9320343585235</v>
      </c>
      <c r="O400" s="206" t="inlineStr">
        <is>
          <t>—</t>
        </is>
      </c>
      <c r="P400" s="206" t="inlineStr">
        <is>
          <t>—</t>
        </is>
      </c>
      <c r="Q400" s="206" t="inlineStr">
        <is>
          <t>—</t>
        </is>
      </c>
      <c r="R400" s="206" t="inlineStr">
        <is>
          <t>—</t>
        </is>
      </c>
      <c r="S400" s="206" t="inlineStr">
        <is>
          <t>—</t>
        </is>
      </c>
    </row>
    <row r="401" ht="20" customHeight="1" s="215">
      <c r="A401" s="54" t="n">
        <v>396</v>
      </c>
      <c r="B401" s="55" t="inlineStr">
        <is>
          <t>DECK</t>
        </is>
      </c>
      <c r="C401" s="56" t="inlineStr">
        <is>
          <t>Deckers Outdoor</t>
        </is>
      </c>
      <c r="D401" s="57" t="inlineStr">
        <is>
          <t>Consumer Discretionary</t>
        </is>
      </c>
      <c r="E401" s="294" t="n">
        <v>87.23999999999999</v>
      </c>
      <c r="F401" s="300" t="n">
        <v>-0.15268064</v>
      </c>
      <c r="G401" s="295" t="n">
        <v>11.88050432</v>
      </c>
      <c r="H401" s="289" t="n">
        <v>0.057</v>
      </c>
      <c r="I401" s="296" t="n">
        <v>0.57804</v>
      </c>
      <c r="J401" s="297" t="n">
        <v>12.339462</v>
      </c>
      <c r="K401" s="301" t="n">
        <v>871.420352</v>
      </c>
      <c r="L401" s="295" t="n">
        <v>6.375539422487551</v>
      </c>
      <c r="M401" s="300" t="n">
        <v>-0.4633612133994367</v>
      </c>
      <c r="N401" s="297" t="n">
        <v>13.63349522123624</v>
      </c>
      <c r="O401" s="207" t="inlineStr">
        <is>
          <t>—</t>
        </is>
      </c>
      <c r="P401" s="207" t="inlineStr">
        <is>
          <t>—</t>
        </is>
      </c>
      <c r="Q401" s="207" t="inlineStr">
        <is>
          <t>—</t>
        </is>
      </c>
      <c r="R401" s="207" t="inlineStr">
        <is>
          <t>—</t>
        </is>
      </c>
      <c r="S401" s="207" t="inlineStr">
        <is>
          <t>—</t>
        </is>
      </c>
    </row>
    <row r="402" ht="20" customHeight="1" s="215">
      <c r="A402" s="50" t="n">
        <v>397</v>
      </c>
      <c r="B402" s="51" t="inlineStr">
        <is>
          <t>DELL</t>
        </is>
      </c>
      <c r="C402" s="52" t="inlineStr">
        <is>
          <t>Dell Technologies</t>
        </is>
      </c>
      <c r="D402" s="53" t="inlineStr">
        <is>
          <t>Technology</t>
        </is>
      </c>
      <c r="E402" s="288" t="n">
        <v>455.44</v>
      </c>
      <c r="F402" s="289" t="n">
        <v>2.0478485</v>
      </c>
      <c r="G402" s="290" t="n">
        <v>289.574551552</v>
      </c>
      <c r="H402" s="289" t="n">
        <v>0.577</v>
      </c>
      <c r="I402" s="291" t="n">
        <v>0.19910999</v>
      </c>
      <c r="J402" s="292" t="n">
        <v>26.479069</v>
      </c>
      <c r="K402" s="299" t="n">
        <v>6033.375232</v>
      </c>
      <c r="L402" s="290" t="n">
        <v>73.32666540521203</v>
      </c>
      <c r="M402" s="300" t="n">
        <v>-0.7467779367620139</v>
      </c>
      <c r="N402" s="292" t="n">
        <v>23.81103207053441</v>
      </c>
      <c r="O402" s="206" t="inlineStr">
        <is>
          <t>—</t>
        </is>
      </c>
      <c r="P402" s="206" t="inlineStr">
        <is>
          <t>—</t>
        </is>
      </c>
      <c r="Q402" s="206" t="inlineStr">
        <is>
          <t>—</t>
        </is>
      </c>
      <c r="R402" s="206" t="inlineStr">
        <is>
          <t>—</t>
        </is>
      </c>
      <c r="S402" s="206" t="inlineStr">
        <is>
          <t>—</t>
        </is>
      </c>
    </row>
    <row r="403" ht="20" customHeight="1" s="215">
      <c r="A403" s="54" t="n">
        <v>398</v>
      </c>
      <c r="B403" s="55" t="inlineStr">
        <is>
          <t>DKNG</t>
        </is>
      </c>
      <c r="C403" s="56" t="inlineStr">
        <is>
          <t>DraftKings Inc</t>
        </is>
      </c>
      <c r="D403" s="57" t="inlineStr">
        <is>
          <t>Consumer Discretionary</t>
        </is>
      </c>
      <c r="E403" s="294" t="n">
        <v>19.77</v>
      </c>
      <c r="F403" s="300" t="n">
        <v>-0.41195714</v>
      </c>
      <c r="G403" s="295" t="n">
        <v>9.814896640000001</v>
      </c>
      <c r="H403" s="300" t="n">
        <v>-0.046</v>
      </c>
      <c r="I403" s="296" t="n">
        <v>0.76129997</v>
      </c>
      <c r="J403" s="297" t="n">
        <v>11.565259</v>
      </c>
      <c r="K403" s="301" t="n">
        <v>461.744736</v>
      </c>
      <c r="L403" s="295" t="n">
        <v>2.563237965890651</v>
      </c>
      <c r="M403" s="300" t="n">
        <v>-0.7388420826110044</v>
      </c>
      <c r="N403" s="297" t="n">
        <v>21.25610919570938</v>
      </c>
      <c r="O403" s="207" t="inlineStr">
        <is>
          <t>—</t>
        </is>
      </c>
      <c r="P403" s="207" t="inlineStr">
        <is>
          <t>—</t>
        </is>
      </c>
      <c r="Q403" s="207" t="inlineStr">
        <is>
          <t>—</t>
        </is>
      </c>
      <c r="R403" s="207" t="inlineStr">
        <is>
          <t>—</t>
        </is>
      </c>
      <c r="S403" s="207" t="inlineStr">
        <is>
          <t>—</t>
        </is>
      </c>
    </row>
    <row r="404" ht="20" customHeight="1" s="215">
      <c r="A404" s="50" t="n">
        <v>399</v>
      </c>
      <c r="B404" s="51" t="inlineStr">
        <is>
          <t>DPZ</t>
        </is>
      </c>
      <c r="C404" s="52" t="inlineStr">
        <is>
          <t>Domino's Pizza Inc</t>
        </is>
      </c>
      <c r="D404" s="53" t="inlineStr">
        <is>
          <t>Consumer Discretionary</t>
        </is>
      </c>
      <c r="E404" s="288" t="n">
        <v>305.42</v>
      </c>
      <c r="F404" s="300" t="n">
        <v>-0.27260172</v>
      </c>
      <c r="G404" s="290" t="n">
        <v>10.04711424</v>
      </c>
      <c r="H404" s="289" t="n">
        <v>0.034</v>
      </c>
      <c r="I404" s="291" t="n">
        <v>0.28874</v>
      </c>
      <c r="J404" s="292" t="n">
        <v>16.827549</v>
      </c>
      <c r="K404" s="299" t="n">
        <v>566.022976</v>
      </c>
      <c r="L404" s="290" t="n">
        <v>3.496124091624088</v>
      </c>
      <c r="M404" s="300" t="n">
        <v>-0.6520270389974099</v>
      </c>
      <c r="N404" s="292" t="n">
        <v>17.75036323529029</v>
      </c>
      <c r="O404" s="208" t="inlineStr">
        <is>
          <t>SOLD</t>
        </is>
      </c>
      <c r="P404" s="209" t="inlineStr">
        <is>
          <t>—</t>
        </is>
      </c>
      <c r="Q404" s="208" t="inlineStr">
        <is>
          <t>Sold</t>
        </is>
      </c>
      <c r="R404" s="209" t="n">
        <v>437</v>
      </c>
      <c r="S404" s="210" t="inlineStr">
        <is>
          <t>Added Q1-Q4-25 every quarter to ~2.4M sh → Q1-26: FULLY EXITED. Sharp reversal after consistent buying</t>
        </is>
      </c>
    </row>
    <row r="405" ht="20" customHeight="1" s="215">
      <c r="A405" s="54" t="n">
        <v>400</v>
      </c>
      <c r="B405" s="55" t="inlineStr">
        <is>
          <t>DXCM</t>
        </is>
      </c>
      <c r="C405" s="56" t="inlineStr">
        <is>
          <t>DexCom Inc</t>
        </is>
      </c>
      <c r="D405" s="57" t="inlineStr">
        <is>
          <t>Healthcare</t>
        </is>
      </c>
      <c r="E405" s="294" t="n">
        <v>85.98</v>
      </c>
      <c r="F405" s="289" t="n">
        <v>0.23268819</v>
      </c>
      <c r="G405" s="295" t="n">
        <v>32.44548096</v>
      </c>
      <c r="H405" s="289" t="n">
        <v>0.131</v>
      </c>
      <c r="I405" s="296" t="n">
        <v>0.62473</v>
      </c>
      <c r="J405" s="297" t="n">
        <v>34.11905</v>
      </c>
      <c r="K405" s="301" t="n">
        <v>1021.162496</v>
      </c>
      <c r="L405" s="295" t="n">
        <v>14.86835220641382</v>
      </c>
      <c r="M405" s="300" t="n">
        <v>-0.5417435104523775</v>
      </c>
      <c r="N405" s="297" t="n">
        <v>31.77308087771763</v>
      </c>
      <c r="O405" s="207" t="inlineStr">
        <is>
          <t>—</t>
        </is>
      </c>
      <c r="P405" s="207" t="inlineStr">
        <is>
          <t>—</t>
        </is>
      </c>
      <c r="Q405" s="207" t="inlineStr">
        <is>
          <t>—</t>
        </is>
      </c>
      <c r="R405" s="207" t="inlineStr">
        <is>
          <t>—</t>
        </is>
      </c>
      <c r="S405" s="207" t="inlineStr">
        <is>
          <t>—</t>
        </is>
      </c>
    </row>
    <row r="406" ht="20" customHeight="1" s="215">
      <c r="A406" s="50" t="n">
        <v>401</v>
      </c>
      <c r="B406" s="51" t="inlineStr">
        <is>
          <t>ELV</t>
        </is>
      </c>
      <c r="C406" s="52" t="inlineStr">
        <is>
          <t>Elevance Health Inc</t>
        </is>
      </c>
      <c r="D406" s="53" t="inlineStr">
        <is>
          <t>Healthcare</t>
        </is>
      </c>
      <c r="E406" s="288" t="n">
        <v>430.23</v>
      </c>
      <c r="F406" s="289" t="n">
        <v>0.23010719</v>
      </c>
      <c r="G406" s="290" t="n">
        <v>93.303676928</v>
      </c>
      <c r="H406" s="289" t="n">
        <v>0.014</v>
      </c>
      <c r="I406" s="291" t="n">
        <v>0.2599</v>
      </c>
      <c r="J406" s="292" t="n">
        <v>19.045153</v>
      </c>
      <c r="K406" s="299" t="n">
        <v>4306.375168</v>
      </c>
      <c r="L406" s="290" t="n">
        <v>59.11546939902922</v>
      </c>
      <c r="M406" s="300" t="n">
        <v>-0.3664186520253958</v>
      </c>
      <c r="N406" s="292" t="n">
        <v>21.66640643156802</v>
      </c>
      <c r="O406" s="206" t="inlineStr">
        <is>
          <t>—</t>
        </is>
      </c>
      <c r="P406" s="206" t="inlineStr">
        <is>
          <t>—</t>
        </is>
      </c>
      <c r="Q406" s="206" t="inlineStr">
        <is>
          <t>—</t>
        </is>
      </c>
      <c r="R406" s="206" t="inlineStr">
        <is>
          <t>—</t>
        </is>
      </c>
      <c r="S406" s="206" t="inlineStr">
        <is>
          <t>—</t>
        </is>
      </c>
    </row>
    <row r="407" ht="20" customHeight="1" s="215">
      <c r="A407" s="54" t="n">
        <v>402</v>
      </c>
      <c r="B407" s="55" t="inlineStr">
        <is>
          <t>ENPH</t>
        </is>
      </c>
      <c r="C407" s="56" t="inlineStr">
        <is>
          <t>Enphase Energy</t>
        </is>
      </c>
      <c r="D407" s="57" t="inlineStr">
        <is>
          <t>Technology</t>
        </is>
      </c>
      <c r="E407" s="294" t="n">
        <v>30.63</v>
      </c>
      <c r="F407" s="300" t="n">
        <v>-0.17417091</v>
      </c>
      <c r="G407" s="295" t="n">
        <v>4.036979456</v>
      </c>
      <c r="H407" s="300" t="n">
        <v>-0.196</v>
      </c>
      <c r="I407" s="296" t="n">
        <v>0.30037</v>
      </c>
      <c r="J407" s="297" t="n">
        <v>30.63</v>
      </c>
      <c r="K407" s="301" t="n">
        <v>78.32275199999999</v>
      </c>
      <c r="L407" s="295" t="n">
        <v>0.9827351946526289</v>
      </c>
      <c r="M407" s="300" t="n">
        <v>-0.7565667090051624</v>
      </c>
      <c r="N407" s="297" t="n">
        <v>51.54287069228619</v>
      </c>
      <c r="O407" s="207" t="inlineStr">
        <is>
          <t>—</t>
        </is>
      </c>
      <c r="P407" s="207" t="inlineStr">
        <is>
          <t>—</t>
        </is>
      </c>
      <c r="Q407" s="207" t="inlineStr">
        <is>
          <t>—</t>
        </is>
      </c>
      <c r="R407" s="207" t="inlineStr">
        <is>
          <t>—</t>
        </is>
      </c>
      <c r="S407" s="207" t="inlineStr">
        <is>
          <t>—</t>
        </is>
      </c>
    </row>
    <row r="408" ht="20" customHeight="1" s="215">
      <c r="A408" s="50" t="n">
        <v>403</v>
      </c>
      <c r="B408" s="51" t="inlineStr">
        <is>
          <t>EPAM</t>
        </is>
      </c>
      <c r="C408" s="52" t="inlineStr">
        <is>
          <t>EPAM Systems</t>
        </is>
      </c>
      <c r="D408" s="53" t="inlineStr">
        <is>
          <t>Technology</t>
        </is>
      </c>
      <c r="E408" s="288" t="n">
        <v>127.38</v>
      </c>
      <c r="F408" s="300" t="n">
        <v>-0.17861748</v>
      </c>
      <c r="G408" s="290" t="n">
        <v>6.571149312</v>
      </c>
      <c r="H408" s="289" t="n">
        <v>0.045</v>
      </c>
      <c r="I408" s="291" t="n">
        <v>0.29451</v>
      </c>
      <c r="J408" s="292" t="n">
        <v>17.283583</v>
      </c>
      <c r="K408" s="299" t="n">
        <v>650.156096</v>
      </c>
      <c r="L408" s="290" t="n">
        <v>4.863795974232224</v>
      </c>
      <c r="M408" s="300" t="n">
        <v>-0.2598256799080593</v>
      </c>
      <c r="N408" s="292" t="n">
        <v>10.10703380343295</v>
      </c>
      <c r="O408" s="206" t="inlineStr">
        <is>
          <t>—</t>
        </is>
      </c>
      <c r="P408" s="206" t="inlineStr">
        <is>
          <t>—</t>
        </is>
      </c>
      <c r="Q408" s="206" t="inlineStr">
        <is>
          <t>—</t>
        </is>
      </c>
      <c r="R408" s="206" t="inlineStr">
        <is>
          <t>—</t>
        </is>
      </c>
      <c r="S408" s="206" t="inlineStr">
        <is>
          <t>—</t>
        </is>
      </c>
    </row>
    <row r="409" ht="20" customHeight="1" s="215">
      <c r="A409" s="54" t="n">
        <v>404</v>
      </c>
      <c r="B409" s="55" t="inlineStr">
        <is>
          <t>EQT</t>
        </is>
      </c>
      <c r="C409" s="56" t="inlineStr">
        <is>
          <t>EQT Corp</t>
        </is>
      </c>
      <c r="D409" s="57" t="inlineStr">
        <is>
          <t>Energy</t>
        </is>
      </c>
      <c r="E409" s="294" t="n">
        <v>54.42</v>
      </c>
      <c r="F409" s="300" t="n">
        <v>-0.02315563</v>
      </c>
      <c r="G409" s="295" t="n">
        <v>34.040582144</v>
      </c>
      <c r="H409" s="300" t="n">
        <v>-0.039</v>
      </c>
      <c r="I409" s="296" t="n">
        <v>0.80748004</v>
      </c>
      <c r="J409" s="297" t="n">
        <v>12.62645</v>
      </c>
      <c r="K409" s="301" t="n">
        <v>2460.903936</v>
      </c>
      <c r="L409" s="295" t="n">
        <v>25.45356169062653</v>
      </c>
      <c r="M409" s="300" t="n">
        <v>-0.252258331454153</v>
      </c>
      <c r="N409" s="297" t="n">
        <v>13.83255161732571</v>
      </c>
      <c r="O409" s="207" t="inlineStr">
        <is>
          <t>—</t>
        </is>
      </c>
      <c r="P409" s="207" t="inlineStr">
        <is>
          <t>—</t>
        </is>
      </c>
      <c r="Q409" s="207" t="inlineStr">
        <is>
          <t>—</t>
        </is>
      </c>
      <c r="R409" s="207" t="inlineStr">
        <is>
          <t>—</t>
        </is>
      </c>
      <c r="S409" s="207" t="inlineStr">
        <is>
          <t>—</t>
        </is>
      </c>
    </row>
    <row r="410" ht="20" customHeight="1" s="215">
      <c r="A410" s="50" t="n">
        <v>405</v>
      </c>
      <c r="B410" s="51" t="inlineStr">
        <is>
          <t>ERIE</t>
        </is>
      </c>
      <c r="C410" s="52" t="inlineStr">
        <is>
          <t>Erie Indemnity Co</t>
        </is>
      </c>
      <c r="D410" s="53" t="inlineStr">
        <is>
          <t>Financials</t>
        </is>
      </c>
      <c r="E410" s="288" t="n">
        <v>242.25</v>
      </c>
      <c r="F410" s="300" t="n">
        <v>-0.25665104</v>
      </c>
      <c r="G410" s="290" t="n">
        <v>12.667220992</v>
      </c>
      <c r="H410" s="289" t="n">
        <v>0.028</v>
      </c>
      <c r="I410" s="291" t="n">
        <v>0.17904</v>
      </c>
      <c r="J410" s="292" t="n">
        <v>21.96283</v>
      </c>
      <c r="K410" s="299" t="n">
        <v>481.207744</v>
      </c>
      <c r="L410" s="290" t="n">
        <v>4.984974903205761</v>
      </c>
      <c r="M410" s="300" t="n">
        <v>-0.6064665717639229</v>
      </c>
      <c r="N410" s="292" t="n">
        <v>23.25253876837028</v>
      </c>
      <c r="O410" s="206" t="inlineStr">
        <is>
          <t>—</t>
        </is>
      </c>
      <c r="P410" s="206" t="inlineStr">
        <is>
          <t>—</t>
        </is>
      </c>
      <c r="Q410" s="206" t="inlineStr">
        <is>
          <t>—</t>
        </is>
      </c>
      <c r="R410" s="206" t="inlineStr">
        <is>
          <t>—</t>
        </is>
      </c>
      <c r="S410" s="206" t="inlineStr">
        <is>
          <t>—</t>
        </is>
      </c>
    </row>
    <row r="411" ht="20" customHeight="1" s="215">
      <c r="A411" s="54" t="n">
        <v>406</v>
      </c>
      <c r="B411" s="55" t="inlineStr">
        <is>
          <t>ETSY</t>
        </is>
      </c>
      <c r="C411" s="56" t="inlineStr">
        <is>
          <t>Etsy Inc</t>
        </is>
      </c>
      <c r="D411" s="57" t="inlineStr">
        <is>
          <t>Consumer Discretionary</t>
        </is>
      </c>
      <c r="E411" s="294" t="n">
        <v>85.26000000000001</v>
      </c>
      <c r="F411" s="289" t="n">
        <v>0.18515432</v>
      </c>
      <c r="G411" s="295" t="n">
        <v>7.825311744</v>
      </c>
      <c r="H411" s="289" t="n">
        <v>0.062</v>
      </c>
      <c r="I411" s="296" t="n">
        <v>0.71401</v>
      </c>
      <c r="J411" s="297" t="n">
        <v>24.929825</v>
      </c>
      <c r="K411" s="301" t="n">
        <v>169.665376</v>
      </c>
      <c r="L411" s="295" t="n">
        <v>1.806568782955567</v>
      </c>
      <c r="M411" s="300" t="n">
        <v>-0.7691377874701618</v>
      </c>
      <c r="N411" s="297" t="n">
        <v>46.12203160696735</v>
      </c>
      <c r="O411" s="207" t="inlineStr">
        <is>
          <t>—</t>
        </is>
      </c>
      <c r="P411" s="207" t="inlineStr">
        <is>
          <t>—</t>
        </is>
      </c>
      <c r="Q411" s="207" t="inlineStr">
        <is>
          <t>—</t>
        </is>
      </c>
      <c r="R411" s="207" t="inlineStr">
        <is>
          <t>—</t>
        </is>
      </c>
      <c r="S411" s="207" t="inlineStr">
        <is>
          <t>—</t>
        </is>
      </c>
    </row>
    <row r="412" ht="20" customHeight="1" s="215">
      <c r="A412" s="50" t="n">
        <v>407</v>
      </c>
      <c r="B412" s="51" t="inlineStr">
        <is>
          <t>FDS</t>
        </is>
      </c>
      <c r="C412" s="52" t="inlineStr">
        <is>
          <t>FactSet Research Systems</t>
        </is>
      </c>
      <c r="D412" s="53" t="inlineStr">
        <is>
          <t>Financials</t>
        </is>
      </c>
      <c r="E412" s="288" t="n">
        <v>303.21</v>
      </c>
      <c r="F412" s="289" t="n">
        <v>0.030940771</v>
      </c>
      <c r="G412" s="290" t="n">
        <v>10.783827968</v>
      </c>
      <c r="H412" s="289" t="n">
        <v>0.063</v>
      </c>
      <c r="I412" s="291" t="n">
        <v>0.50605</v>
      </c>
      <c r="J412" s="292" t="n">
        <v>20.81057</v>
      </c>
      <c r="K412" s="299" t="n">
        <v>641.526656</v>
      </c>
      <c r="L412" s="290" t="n">
        <v>2.791279591535876</v>
      </c>
      <c r="M412" s="300" t="n">
        <v>-0.7411605971628316</v>
      </c>
      <c r="N412" s="292" t="n">
        <v>16.80963400689932</v>
      </c>
      <c r="O412" s="206" t="inlineStr">
        <is>
          <t>—</t>
        </is>
      </c>
      <c r="P412" s="206" t="inlineStr">
        <is>
          <t>—</t>
        </is>
      </c>
      <c r="Q412" s="206" t="inlineStr">
        <is>
          <t>—</t>
        </is>
      </c>
      <c r="R412" s="206" t="inlineStr">
        <is>
          <t>—</t>
        </is>
      </c>
      <c r="S412" s="206" t="inlineStr">
        <is>
          <t>—</t>
        </is>
      </c>
    </row>
    <row r="413" ht="20" customHeight="1" s="215">
      <c r="A413" s="54" t="n">
        <v>408</v>
      </c>
      <c r="B413" s="55" t="inlineStr">
        <is>
          <t>FICO</t>
        </is>
      </c>
      <c r="C413" s="56" t="inlineStr">
        <is>
          <t>Fair Isaac Corp</t>
        </is>
      </c>
      <c r="D413" s="57" t="inlineStr">
        <is>
          <t>Technology</t>
        </is>
      </c>
      <c r="E413" s="294" t="n">
        <v>781.0700000000001</v>
      </c>
      <c r="F413" s="300" t="n">
        <v>-0.50117826</v>
      </c>
      <c r="G413" s="295" t="n">
        <v>16.869265408</v>
      </c>
      <c r="H413" s="289" t="n">
        <v>0.257</v>
      </c>
      <c r="I413" s="296" t="n">
        <v>0.851</v>
      </c>
      <c r="J413" s="297" t="n">
        <v>22.613491</v>
      </c>
      <c r="K413" s="301" t="n">
        <v>774.413504</v>
      </c>
      <c r="L413" s="295" t="n">
        <v>9.330441189871268</v>
      </c>
      <c r="M413" s="300" t="n">
        <v>-0.4468970068224522</v>
      </c>
      <c r="N413" s="297" t="n">
        <v>21.78327816123672</v>
      </c>
      <c r="O413" s="207" t="inlineStr">
        <is>
          <t>—</t>
        </is>
      </c>
      <c r="P413" s="207" t="inlineStr">
        <is>
          <t>—</t>
        </is>
      </c>
      <c r="Q413" s="207" t="inlineStr">
        <is>
          <t>—</t>
        </is>
      </c>
      <c r="R413" s="207" t="inlineStr">
        <is>
          <t>—</t>
        </is>
      </c>
      <c r="S413" s="207" t="inlineStr">
        <is>
          <t>—</t>
        </is>
      </c>
    </row>
    <row r="414" ht="20" customHeight="1" s="215">
      <c r="A414" s="50" t="n">
        <v>409</v>
      </c>
      <c r="B414" s="51" t="inlineStr">
        <is>
          <t>FSLR</t>
        </is>
      </c>
      <c r="C414" s="52" t="inlineStr">
        <is>
          <t>First Solar Inc</t>
        </is>
      </c>
      <c r="D414" s="53" t="inlineStr">
        <is>
          <t>Technology</t>
        </is>
      </c>
      <c r="E414" s="288" t="n">
        <v>171.8</v>
      </c>
      <c r="F414" s="300" t="n">
        <v>-0.24267137</v>
      </c>
      <c r="G414" s="290" t="n">
        <v>18.463309824</v>
      </c>
      <c r="H414" s="300" t="n">
        <v>-0.037</v>
      </c>
      <c r="I414" s="291" t="n">
        <v>0.44015998</v>
      </c>
      <c r="J414" s="292" t="n">
        <v>10.591863</v>
      </c>
      <c r="K414" s="299" t="n">
        <v>1598.6848</v>
      </c>
      <c r="L414" s="290" t="n">
        <v>8.392346625081956</v>
      </c>
      <c r="M414" s="300" t="n">
        <v>-0.5454581705511461</v>
      </c>
      <c r="N414" s="292" t="n">
        <v>11.54906181531219</v>
      </c>
      <c r="O414" s="206" t="inlineStr">
        <is>
          <t>—</t>
        </is>
      </c>
      <c r="P414" s="206" t="inlineStr">
        <is>
          <t>—</t>
        </is>
      </c>
      <c r="Q414" s="206" t="inlineStr">
        <is>
          <t>—</t>
        </is>
      </c>
      <c r="R414" s="206" t="inlineStr">
        <is>
          <t>—</t>
        </is>
      </c>
      <c r="S414" s="206" t="inlineStr">
        <is>
          <t>—</t>
        </is>
      </c>
    </row>
    <row r="415" ht="20" customHeight="1" s="215">
      <c r="A415" s="54" t="n">
        <v>410</v>
      </c>
      <c r="B415" s="55" t="inlineStr">
        <is>
          <t>GDDY</t>
        </is>
      </c>
      <c r="C415" s="56" t="inlineStr">
        <is>
          <t>GoDaddy Inc</t>
        </is>
      </c>
      <c r="D415" s="57" t="inlineStr">
        <is>
          <t>Technology</t>
        </is>
      </c>
      <c r="E415" s="294" t="n">
        <v>106.7</v>
      </c>
      <c r="F415" s="300" t="n">
        <v>-0.19605184</v>
      </c>
      <c r="G415" s="295" t="n">
        <v>13.513309184</v>
      </c>
      <c r="H415" s="289" t="n">
        <v>0.066</v>
      </c>
      <c r="I415" s="296" t="n">
        <v>0.63802</v>
      </c>
      <c r="J415" s="297" t="n">
        <v>15.877976</v>
      </c>
      <c r="K415" s="301" t="n">
        <v>1204.950016</v>
      </c>
      <c r="L415" s="295" t="n">
        <v>10.79096396495107</v>
      </c>
      <c r="M415" s="300" t="n">
        <v>-0.2014565923106558</v>
      </c>
      <c r="N415" s="297" t="n">
        <v>11.21483035591744</v>
      </c>
      <c r="O415" s="207" t="inlineStr">
        <is>
          <t>—</t>
        </is>
      </c>
      <c r="P415" s="207" t="inlineStr">
        <is>
          <t>—</t>
        </is>
      </c>
      <c r="Q415" s="207" t="inlineStr">
        <is>
          <t>—</t>
        </is>
      </c>
      <c r="R415" s="207" t="inlineStr">
        <is>
          <t>—</t>
        </is>
      </c>
      <c r="S415" s="207" t="inlineStr">
        <is>
          <t>—</t>
        </is>
      </c>
    </row>
    <row r="416" ht="20" customHeight="1" s="215">
      <c r="A416" s="50" t="n">
        <v>411</v>
      </c>
      <c r="B416" s="51" t="inlineStr">
        <is>
          <t>GEHC</t>
        </is>
      </c>
      <c r="C416" s="52" t="inlineStr">
        <is>
          <t>GE HealthCare Technologies</t>
        </is>
      </c>
      <c r="D416" s="53" t="inlineStr">
        <is>
          <t>Healthcare</t>
        </is>
      </c>
      <c r="E416" s="288" t="n">
        <v>69.76000000000001</v>
      </c>
      <c r="F416" s="300" t="n">
        <v>-0.08331144</v>
      </c>
      <c r="G416" s="290" t="n">
        <v>31.733252096</v>
      </c>
      <c r="H416" s="289" t="n">
        <v>0.058</v>
      </c>
      <c r="I416" s="291" t="n">
        <v>0.39528</v>
      </c>
      <c r="J416" s="292" t="n">
        <v>16.036783</v>
      </c>
      <c r="K416" s="299" t="n">
        <v>1573.124992</v>
      </c>
      <c r="L416" s="290" t="n">
        <v>16.46590343167383</v>
      </c>
      <c r="M416" s="300" t="n">
        <v>-0.4811151601524833</v>
      </c>
      <c r="N416" s="292" t="n">
        <v>20.17211038711919</v>
      </c>
      <c r="O416" s="206" t="inlineStr">
        <is>
          <t>—</t>
        </is>
      </c>
      <c r="P416" s="206" t="inlineStr">
        <is>
          <t>—</t>
        </is>
      </c>
      <c r="Q416" s="206" t="inlineStr">
        <is>
          <t>—</t>
        </is>
      </c>
      <c r="R416" s="206" t="inlineStr">
        <is>
          <t>—</t>
        </is>
      </c>
      <c r="S416" s="206" t="inlineStr">
        <is>
          <t>—</t>
        </is>
      </c>
    </row>
    <row r="417" ht="20" customHeight="1" s="215">
      <c r="A417" s="54" t="n">
        <v>412</v>
      </c>
      <c r="B417" s="55" t="inlineStr">
        <is>
          <t>GEN</t>
        </is>
      </c>
      <c r="C417" s="56" t="inlineStr">
        <is>
          <t>Gen Digital Inc</t>
        </is>
      </c>
      <c r="D417" s="57" t="inlineStr">
        <is>
          <t>Technology</t>
        </is>
      </c>
      <c r="E417" s="294" t="n">
        <v>23.64</v>
      </c>
      <c r="F417" s="300" t="n">
        <v>-0.13596493</v>
      </c>
      <c r="G417" s="295" t="n">
        <v>14.150596608</v>
      </c>
      <c r="H417" s="289" t="n">
        <v>0.063</v>
      </c>
      <c r="I417" s="296" t="n">
        <v>0.7800700699999999</v>
      </c>
      <c r="J417" s="297" t="n">
        <v>13.824561</v>
      </c>
      <c r="K417" s="301" t="n">
        <v>1547.124992</v>
      </c>
      <c r="L417" s="295" t="n">
        <v>12.9590545517732</v>
      </c>
      <c r="M417" s="300" t="n">
        <v>-0.08420436884994431</v>
      </c>
      <c r="N417" s="297" t="n">
        <v>9.146382813057162</v>
      </c>
      <c r="O417" s="207" t="inlineStr">
        <is>
          <t>—</t>
        </is>
      </c>
      <c r="P417" s="207" t="inlineStr">
        <is>
          <t>—</t>
        </is>
      </c>
      <c r="Q417" s="207" t="inlineStr">
        <is>
          <t>—</t>
        </is>
      </c>
      <c r="R417" s="207" t="inlineStr">
        <is>
          <t>—</t>
        </is>
      </c>
      <c r="S417" s="207" t="inlineStr">
        <is>
          <t>—</t>
        </is>
      </c>
    </row>
    <row r="418" ht="20" customHeight="1" s="215">
      <c r="A418" s="50" t="n">
        <v>413</v>
      </c>
      <c r="B418" s="51" t="inlineStr">
        <is>
          <t>GEV</t>
        </is>
      </c>
      <c r="C418" s="52" t="inlineStr">
        <is>
          <t>GE Vernova</t>
        </is>
      </c>
      <c r="D418" s="53" t="inlineStr">
        <is>
          <t>Industrials</t>
        </is>
      </c>
      <c r="E418" s="288" t="n">
        <v>908.4400000000001</v>
      </c>
      <c r="F418" s="289" t="n">
        <v>0.5520134</v>
      </c>
      <c r="G418" s="290" t="n">
        <v>241.948082176</v>
      </c>
      <c r="H418" s="289" t="n">
        <v>0.219</v>
      </c>
      <c r="I418" s="291" t="n">
        <v>0.2057</v>
      </c>
      <c r="J418" s="292" t="n">
        <v>26.044724</v>
      </c>
      <c r="K418" s="299" t="n">
        <v>15722.125312</v>
      </c>
      <c r="L418" s="290" t="n">
        <v>170.6408843786006</v>
      </c>
      <c r="M418" s="300" t="n">
        <v>-0.2947210705540064</v>
      </c>
      <c r="N418" s="292" t="n">
        <v>15.38901856601866</v>
      </c>
      <c r="O418" s="206" t="inlineStr">
        <is>
          <t>—</t>
        </is>
      </c>
      <c r="P418" s="206" t="inlineStr">
        <is>
          <t>—</t>
        </is>
      </c>
      <c r="Q418" s="206" t="inlineStr">
        <is>
          <t>—</t>
        </is>
      </c>
      <c r="R418" s="206" t="inlineStr">
        <is>
          <t>—</t>
        </is>
      </c>
      <c r="S418" s="206" t="inlineStr">
        <is>
          <t>—</t>
        </is>
      </c>
    </row>
    <row r="419" ht="20" customHeight="1" s="215">
      <c r="A419" s="54" t="n">
        <v>414</v>
      </c>
      <c r="B419" s="55" t="inlineStr">
        <is>
          <t>GNRC</t>
        </is>
      </c>
      <c r="C419" s="56" t="inlineStr">
        <is>
          <t>Generac Holdings</t>
        </is>
      </c>
      <c r="D419" s="57" t="inlineStr">
        <is>
          <t>Industrials</t>
        </is>
      </c>
      <c r="E419" s="294" t="n">
        <v>193.31</v>
      </c>
      <c r="F419" s="289" t="n">
        <v>0.0042078495</v>
      </c>
      <c r="G419" s="295" t="n">
        <v>11.417649152</v>
      </c>
      <c r="H419" s="289" t="n">
        <v>0.106</v>
      </c>
      <c r="I419" s="296" t="n">
        <v>0.39539</v>
      </c>
      <c r="J419" s="297" t="n">
        <v>44.43908</v>
      </c>
      <c r="K419" s="301" t="n">
        <v>289.056512</v>
      </c>
      <c r="L419" s="295" t="n">
        <v>2.627344715894435</v>
      </c>
      <c r="M419" s="300" t="n">
        <v>-0.7698874189496172</v>
      </c>
      <c r="N419" s="297" t="n">
        <v>39.49971303483382</v>
      </c>
      <c r="O419" s="207" t="inlineStr">
        <is>
          <t>—</t>
        </is>
      </c>
      <c r="P419" s="207" t="inlineStr">
        <is>
          <t>—</t>
        </is>
      </c>
      <c r="Q419" s="207" t="inlineStr">
        <is>
          <t>—</t>
        </is>
      </c>
      <c r="R419" s="207" t="inlineStr">
        <is>
          <t>—</t>
        </is>
      </c>
      <c r="S419" s="207" t="inlineStr">
        <is>
          <t>—</t>
        </is>
      </c>
    </row>
    <row r="420" ht="20" customHeight="1" s="215">
      <c r="A420" s="50" t="n">
        <v>415</v>
      </c>
      <c r="B420" s="51" t="inlineStr">
        <is>
          <t>HEI</t>
        </is>
      </c>
      <c r="C420" s="52" t="inlineStr">
        <is>
          <t>HEICO Corp</t>
        </is>
      </c>
      <c r="D420" s="53" t="inlineStr">
        <is>
          <t>Industrials</t>
        </is>
      </c>
      <c r="E420" s="288" t="n">
        <v>308.17</v>
      </c>
      <c r="F420" s="300" t="n">
        <v>-0.022117138</v>
      </c>
      <c r="G420" s="290" t="n">
        <v>43.069042688</v>
      </c>
      <c r="H420" s="289" t="n">
        <v>0.231</v>
      </c>
      <c r="I420" s="291" t="n">
        <v>0.40398</v>
      </c>
      <c r="J420" s="292" t="n">
        <v>51.191032</v>
      </c>
      <c r="K420" s="299" t="n">
        <v>845.386752</v>
      </c>
      <c r="L420" s="290" t="n">
        <v>14.7396396080112</v>
      </c>
      <c r="M420" s="300" t="n">
        <v>-0.6577671875646777</v>
      </c>
      <c r="N420" s="292" t="n">
        <v>20.13731385749229</v>
      </c>
      <c r="O420" s="208" t="inlineStr">
        <is>
          <t>SOLD</t>
        </is>
      </c>
      <c r="P420" s="209" t="inlineStr">
        <is>
          <t>—</t>
        </is>
      </c>
      <c r="Q420" s="208" t="inlineStr">
        <is>
          <t>Sold</t>
        </is>
      </c>
      <c r="R420" s="209" t="n">
        <v>265</v>
      </c>
      <c r="S420" s="210" t="inlineStr">
        <is>
          <t>New Q4-24: 5.6M sh @~$265 → Held all 2025 → Q1-26: FULLY EXITED. Aerospace/defense bet undone</t>
        </is>
      </c>
    </row>
    <row r="421" ht="20" customHeight="1" s="215">
      <c r="A421" s="54" t="n">
        <v>416</v>
      </c>
      <c r="B421" s="55" t="inlineStr">
        <is>
          <t>HUBB</t>
        </is>
      </c>
      <c r="C421" s="56" t="inlineStr">
        <is>
          <t>Hubbell Inc</t>
        </is>
      </c>
      <c r="D421" s="57" t="inlineStr">
        <is>
          <t>Industrials</t>
        </is>
      </c>
      <c r="E421" s="294" t="n">
        <v>464.92</v>
      </c>
      <c r="F421" s="289" t="n">
        <v>0.06806958</v>
      </c>
      <c r="G421" s="295" t="n">
        <v>24.567199744</v>
      </c>
      <c r="H421" s="289" t="n">
        <v>0.153</v>
      </c>
      <c r="I421" s="296" t="n">
        <v>0.35338002</v>
      </c>
      <c r="J421" s="297" t="n">
        <v>27.526348</v>
      </c>
      <c r="K421" s="301" t="n">
        <v>495.812512</v>
      </c>
      <c r="L421" s="295" t="n">
        <v>5.377013070459097</v>
      </c>
      <c r="M421" s="300" t="n">
        <v>-0.7811304045031704</v>
      </c>
      <c r="N421" s="297" t="n">
        <v>49.54937273313506</v>
      </c>
      <c r="O421" s="207" t="inlineStr">
        <is>
          <t>—</t>
        </is>
      </c>
      <c r="P421" s="207" t="inlineStr">
        <is>
          <t>—</t>
        </is>
      </c>
      <c r="Q421" s="207" t="inlineStr">
        <is>
          <t>—</t>
        </is>
      </c>
      <c r="R421" s="207" t="inlineStr">
        <is>
          <t>—</t>
        </is>
      </c>
      <c r="S421" s="207" t="inlineStr">
        <is>
          <t>—</t>
        </is>
      </c>
    </row>
    <row r="422" ht="20" customHeight="1" s="215">
      <c r="A422" s="50" t="n">
        <v>417</v>
      </c>
      <c r="B422" s="51" t="inlineStr">
        <is>
          <t>INVH</t>
        </is>
      </c>
      <c r="C422" s="52" t="inlineStr">
        <is>
          <t>Invitation Homes</t>
        </is>
      </c>
      <c r="D422" s="53" t="inlineStr">
        <is>
          <t>Real Estate</t>
        </is>
      </c>
      <c r="E422" s="288" t="n">
        <v>26.71</v>
      </c>
      <c r="F422" s="300" t="n">
        <v>-0.069013596</v>
      </c>
      <c r="G422" s="290" t="n">
        <v>15.775546368</v>
      </c>
      <c r="H422" s="289" t="n">
        <v>0.101</v>
      </c>
      <c r="I422" s="291" t="n">
        <v>0.56262</v>
      </c>
      <c r="J422" s="292" t="n">
        <v>24.504585</v>
      </c>
      <c r="K422" s="299" t="n">
        <v>1168.785536</v>
      </c>
      <c r="L422" s="290" t="n">
        <v>3.122673680392721</v>
      </c>
      <c r="M422" s="300" t="n">
        <v>-0.8020560678185494</v>
      </c>
      <c r="N422" s="292" t="n">
        <v>13.49738329278914</v>
      </c>
      <c r="O422" s="206" t="inlineStr">
        <is>
          <t>—</t>
        </is>
      </c>
      <c r="P422" s="206" t="inlineStr">
        <is>
          <t>—</t>
        </is>
      </c>
      <c r="Q422" s="206" t="inlineStr">
        <is>
          <t>—</t>
        </is>
      </c>
      <c r="R422" s="206" t="inlineStr">
        <is>
          <t>—</t>
        </is>
      </c>
      <c r="S422" s="206" t="inlineStr">
        <is>
          <t>—</t>
        </is>
      </c>
    </row>
    <row r="423" ht="20" customHeight="1" s="215">
      <c r="A423" s="54" t="n">
        <v>418</v>
      </c>
      <c r="B423" s="55" t="inlineStr">
        <is>
          <t>KVUE</t>
        </is>
      </c>
      <c r="C423" s="56" t="inlineStr">
        <is>
          <t>Kenvue Inc</t>
        </is>
      </c>
      <c r="D423" s="57" t="inlineStr">
        <is>
          <t>Consumer Staples</t>
        </is>
      </c>
      <c r="E423" s="294" t="n">
        <v>18.87</v>
      </c>
      <c r="F423" s="289" t="n">
        <v>0.26389813</v>
      </c>
      <c r="G423" s="295" t="n">
        <v>36.244996096</v>
      </c>
      <c r="H423" s="289" t="n">
        <v>0.03</v>
      </c>
      <c r="I423" s="296" t="n">
        <v>0.5843699999999999</v>
      </c>
      <c r="J423" s="297" t="n">
        <v>21.94186</v>
      </c>
      <c r="K423" s="301" t="n">
        <v>1907.500032</v>
      </c>
      <c r="L423" s="295" t="n">
        <v>13.60698926403389</v>
      </c>
      <c r="M423" s="300" t="n">
        <v>-0.6245829568309552</v>
      </c>
      <c r="N423" s="297" t="n">
        <v>19.00130784495316</v>
      </c>
      <c r="O423" s="207" t="inlineStr">
        <is>
          <t>—</t>
        </is>
      </c>
      <c r="P423" s="207" t="inlineStr">
        <is>
          <t>—</t>
        </is>
      </c>
      <c r="Q423" s="207" t="inlineStr">
        <is>
          <t>—</t>
        </is>
      </c>
      <c r="R423" s="207" t="inlineStr">
        <is>
          <t>—</t>
        </is>
      </c>
      <c r="S423" s="207" t="inlineStr">
        <is>
          <t>—</t>
        </is>
      </c>
    </row>
    <row r="424" ht="20" customHeight="1" s="215">
      <c r="A424" s="50" t="n">
        <v>419</v>
      </c>
      <c r="B424" s="51" t="inlineStr">
        <is>
          <t>LAMR</t>
        </is>
      </c>
      <c r="C424" s="52" t="inlineStr">
        <is>
          <t>Lamar Advertising</t>
        </is>
      </c>
      <c r="D424" s="53" t="inlineStr">
        <is>
          <t>Real Estate</t>
        </is>
      </c>
      <c r="E424" s="288" t="n">
        <v>150.92</v>
      </c>
      <c r="F424" s="289" t="n">
        <v>0.24613988</v>
      </c>
      <c r="G424" s="290" t="n">
        <v>15.325877248</v>
      </c>
      <c r="H424" s="289" t="n">
        <v>0.065</v>
      </c>
      <c r="I424" s="291" t="n">
        <v>0.67430997</v>
      </c>
      <c r="J424" s="292" t="n">
        <v>27.540146</v>
      </c>
      <c r="K424" s="299" t="n">
        <v>558.6944</v>
      </c>
      <c r="L424" s="290" t="n">
        <v>1.235857849495866</v>
      </c>
      <c r="M424" s="300" t="n">
        <v>-0.9193613631704414</v>
      </c>
      <c r="N424" s="292" t="n">
        <v>23.53630013309601</v>
      </c>
      <c r="O424" s="208" t="inlineStr">
        <is>
          <t>SOLD</t>
        </is>
      </c>
      <c r="P424" s="209" t="inlineStr">
        <is>
          <t>—</t>
        </is>
      </c>
      <c r="Q424" s="208" t="inlineStr">
        <is>
          <t>Sold</t>
        </is>
      </c>
      <c r="R424" s="209" t="n">
        <v>123</v>
      </c>
      <c r="S424" s="210" t="inlineStr">
        <is>
          <t>New Q2-25: 2M @~$120 → Added Q3-Q4-25 → Q1-26: FULLY EXITED</t>
        </is>
      </c>
    </row>
    <row r="425" ht="20" customHeight="1" s="215">
      <c r="A425" s="54" t="n">
        <v>420</v>
      </c>
      <c r="B425" s="55" t="inlineStr">
        <is>
          <t>LPX</t>
        </is>
      </c>
      <c r="C425" s="56" t="inlineStr">
        <is>
          <t>Louisiana-Pacific Corp</t>
        </is>
      </c>
      <c r="D425" s="57" t="inlineStr">
        <is>
          <t>Materials</t>
        </is>
      </c>
      <c r="E425" s="294" t="n">
        <v>70.69</v>
      </c>
      <c r="F425" s="300" t="n">
        <v>-0.23702103</v>
      </c>
      <c r="G425" s="295" t="n">
        <v>4.942885888</v>
      </c>
      <c r="H425" s="300" t="n">
        <v>-0.121</v>
      </c>
      <c r="I425" s="296" t="n">
        <v>0.18023</v>
      </c>
      <c r="J425" s="297" t="n">
        <v>91.8052</v>
      </c>
      <c r="K425" s="301" t="n">
        <v>-96</v>
      </c>
      <c r="L425" s="302" t="inlineStr">
        <is>
          <t>—</t>
        </is>
      </c>
      <c r="M425" s="303" t="inlineStr">
        <is>
          <t>—</t>
        </is>
      </c>
      <c r="N425" s="297" t="n">
        <v>-51.48839430104166</v>
      </c>
      <c r="O425" s="211" t="inlineStr">
        <is>
          <t>YES</t>
        </is>
      </c>
      <c r="P425" s="212" t="n">
        <v>1.1</v>
      </c>
      <c r="Q425" s="211" t="inlineStr">
        <is>
          <t>Hold</t>
        </is>
      </c>
      <c r="R425" s="212" t="n">
        <v>75</v>
      </c>
      <c r="S425" s="213" t="inlineStr">
        <is>
          <t>~11M sh. Q1-26: UNCHANGED</t>
        </is>
      </c>
    </row>
    <row r="426" ht="20" customHeight="1" s="215">
      <c r="A426" s="50" t="n">
        <v>421</v>
      </c>
      <c r="B426" s="51" t="inlineStr">
        <is>
          <t>LULU</t>
        </is>
      </c>
      <c r="C426" s="52" t="inlineStr">
        <is>
          <t>Lululemon Athletica</t>
        </is>
      </c>
      <c r="D426" s="53" t="inlineStr">
        <is>
          <t>Consumer Discretionary</t>
        </is>
      </c>
      <c r="E426" s="288" t="n">
        <v>97.76000000000001</v>
      </c>
      <c r="F426" s="300" t="n">
        <v>-0.46105075</v>
      </c>
      <c r="G426" s="290" t="n">
        <v>11.323148288</v>
      </c>
      <c r="H426" s="300" t="n">
        <v>-0.043</v>
      </c>
      <c r="I426" s="291" t="n">
        <v>0.54895</v>
      </c>
      <c r="J426" s="292" t="n">
        <v>8.046091000000001</v>
      </c>
      <c r="K426" s="299" t="n">
        <v>1148.51584</v>
      </c>
      <c r="L426" s="290" t="n">
        <v>5.672397517714535</v>
      </c>
      <c r="M426" s="300" t="n">
        <v>-0.4990441374219213</v>
      </c>
      <c r="N426" s="292" t="n">
        <v>8.988013344805067</v>
      </c>
      <c r="O426" s="206" t="inlineStr">
        <is>
          <t>—</t>
        </is>
      </c>
      <c r="P426" s="206" t="inlineStr">
        <is>
          <t>—</t>
        </is>
      </c>
      <c r="Q426" s="206" t="inlineStr">
        <is>
          <t>—</t>
        </is>
      </c>
      <c r="R426" s="206" t="inlineStr">
        <is>
          <t>—</t>
        </is>
      </c>
      <c r="S426" s="206" t="inlineStr">
        <is>
          <t>—</t>
        </is>
      </c>
    </row>
    <row r="427" ht="20" customHeight="1" s="215">
      <c r="A427" s="54" t="n">
        <v>422</v>
      </c>
      <c r="B427" s="55" t="inlineStr">
        <is>
          <t>META</t>
        </is>
      </c>
      <c r="C427" s="56" t="inlineStr">
        <is>
          <t>Meta Platforms Inc</t>
        </is>
      </c>
      <c r="D427" s="57" t="inlineStr">
        <is>
          <t>Communication Services</t>
        </is>
      </c>
      <c r="E427" s="294" t="n">
        <v>705.4400000000001</v>
      </c>
      <c r="F427" s="300" t="n">
        <v>-0.037953258</v>
      </c>
      <c r="G427" s="295" t="n">
        <v>1797.112725504</v>
      </c>
      <c r="H427" s="289" t="n">
        <v>0.28</v>
      </c>
      <c r="I427" s="296" t="n">
        <v>0.81747</v>
      </c>
      <c r="J427" s="297" t="n">
        <v>26.580256</v>
      </c>
      <c r="K427" s="301" t="n">
        <v>21553.625088</v>
      </c>
      <c r="L427" s="295" t="n">
        <v>337.180839754087</v>
      </c>
      <c r="M427" s="300" t="n">
        <v>-0.8123763551562829</v>
      </c>
      <c r="N427" s="297" t="n">
        <v>72.17281775282589</v>
      </c>
      <c r="O427" s="207" t="inlineStr">
        <is>
          <t>—</t>
        </is>
      </c>
      <c r="P427" s="207" t="inlineStr">
        <is>
          <t>—</t>
        </is>
      </c>
      <c r="Q427" s="207" t="inlineStr">
        <is>
          <t>—</t>
        </is>
      </c>
      <c r="R427" s="207" t="inlineStr">
        <is>
          <t>—</t>
        </is>
      </c>
      <c r="S427" s="207" t="inlineStr">
        <is>
          <t>—</t>
        </is>
      </c>
    </row>
    <row r="428" ht="20" customHeight="1" s="215">
      <c r="A428" s="50" t="n">
        <v>423</v>
      </c>
      <c r="B428" s="51" t="inlineStr">
        <is>
          <t>MNDY</t>
        </is>
      </c>
      <c r="C428" s="52" t="inlineStr">
        <is>
          <t>monday.com Ltd</t>
        </is>
      </c>
      <c r="D428" s="53" t="inlineStr">
        <is>
          <t>Technology</t>
        </is>
      </c>
      <c r="E428" s="288" t="n">
        <v>93.42</v>
      </c>
      <c r="F428" s="300" t="n">
        <v>-0.51414603</v>
      </c>
      <c r="G428" s="290" t="n">
        <v>3.949248256</v>
      </c>
      <c r="H428" s="289" t="n">
        <v>0.219</v>
      </c>
      <c r="I428" s="291" t="n">
        <v>0.8873799999999999</v>
      </c>
      <c r="J428" s="292" t="n">
        <v>39.41772</v>
      </c>
      <c r="K428" s="299" t="n">
        <v>284.63312</v>
      </c>
      <c r="L428" s="290" t="n">
        <v>4.106566538877036</v>
      </c>
      <c r="M428" s="289" t="n">
        <v>0.0398349945810639</v>
      </c>
      <c r="N428" s="292" t="n">
        <v>13.87487231626453</v>
      </c>
      <c r="O428" s="206" t="inlineStr">
        <is>
          <t>—</t>
        </is>
      </c>
      <c r="P428" s="206" t="inlineStr">
        <is>
          <t>—</t>
        </is>
      </c>
      <c r="Q428" s="206" t="inlineStr">
        <is>
          <t>—</t>
        </is>
      </c>
      <c r="R428" s="206" t="inlineStr">
        <is>
          <t>—</t>
        </is>
      </c>
      <c r="S428" s="206" t="inlineStr">
        <is>
          <t>—</t>
        </is>
      </c>
    </row>
    <row r="429" ht="20" customHeight="1" s="215">
      <c r="A429" s="54" t="n">
        <v>424</v>
      </c>
      <c r="B429" s="55" t="inlineStr">
        <is>
          <t>MOH</t>
        </is>
      </c>
      <c r="C429" s="56" t="inlineStr">
        <is>
          <t>Molina Healthcare</t>
        </is>
      </c>
      <c r="D429" s="57" t="inlineStr">
        <is>
          <t>Healthcare</t>
        </is>
      </c>
      <c r="E429" s="294" t="n">
        <v>210.2</v>
      </c>
      <c r="F429" s="289" t="n">
        <v>0.06808948500000001</v>
      </c>
      <c r="G429" s="295" t="n">
        <v>10.972439552</v>
      </c>
      <c r="H429" s="300" t="n">
        <v>-0.057</v>
      </c>
      <c r="I429" s="296" t="n">
        <v>0.08427</v>
      </c>
      <c r="J429" s="297" t="n">
        <v>2335.5554</v>
      </c>
      <c r="K429" s="301" t="n">
        <v>700.249984</v>
      </c>
      <c r="L429" s="295" t="n">
        <v>10.08431819223478</v>
      </c>
      <c r="M429" s="300" t="n">
        <v>-0.08094110298409765</v>
      </c>
      <c r="N429" s="297" t="n">
        <v>15.66931845870631</v>
      </c>
      <c r="O429" s="207" t="inlineStr">
        <is>
          <t>—</t>
        </is>
      </c>
      <c r="P429" s="207" t="inlineStr">
        <is>
          <t>—</t>
        </is>
      </c>
      <c r="Q429" s="207" t="inlineStr">
        <is>
          <t>—</t>
        </is>
      </c>
      <c r="R429" s="207" t="inlineStr">
        <is>
          <t>—</t>
        </is>
      </c>
      <c r="S429" s="207" t="inlineStr">
        <is>
          <t>—</t>
        </is>
      </c>
    </row>
    <row r="430" ht="20" customHeight="1" s="215">
      <c r="A430" s="50" t="n">
        <v>425</v>
      </c>
      <c r="B430" s="51" t="inlineStr">
        <is>
          <t>MPWR</t>
        </is>
      </c>
      <c r="C430" s="52" t="inlineStr">
        <is>
          <t>Monolithic Power Systems</t>
        </is>
      </c>
      <c r="D430" s="53" t="inlineStr">
        <is>
          <t>Technology</t>
        </is>
      </c>
      <c r="E430" s="288" t="n">
        <v>1253.66</v>
      </c>
      <c r="F430" s="289" t="n">
        <v>0.21871936</v>
      </c>
      <c r="G430" s="290" t="n">
        <v>61.608615936</v>
      </c>
      <c r="H430" s="289" t="n">
        <v>0.476</v>
      </c>
      <c r="I430" s="291" t="n">
        <v>0.5519500000000001</v>
      </c>
      <c r="J430" s="292" t="n">
        <v>76.25669000000001</v>
      </c>
      <c r="K430" s="299" t="n">
        <v>444.316128</v>
      </c>
      <c r="L430" s="290" t="n">
        <v>5.5287796833009</v>
      </c>
      <c r="M430" s="300" t="n">
        <v>-0.9102596349665723</v>
      </c>
      <c r="N430" s="292" t="n">
        <v>138.6594127413714</v>
      </c>
      <c r="O430" s="206" t="inlineStr">
        <is>
          <t>—</t>
        </is>
      </c>
      <c r="P430" s="206" t="inlineStr">
        <is>
          <t>—</t>
        </is>
      </c>
      <c r="Q430" s="206" t="inlineStr">
        <is>
          <t>—</t>
        </is>
      </c>
      <c r="R430" s="206" t="inlineStr">
        <is>
          <t>—</t>
        </is>
      </c>
      <c r="S430" s="206" t="inlineStr">
        <is>
          <t>—</t>
        </is>
      </c>
    </row>
    <row r="431" ht="20" customHeight="1" s="215">
      <c r="A431" s="54" t="n">
        <v>426</v>
      </c>
      <c r="B431" s="55" t="inlineStr">
        <is>
          <t>MRNA</t>
        </is>
      </c>
      <c r="C431" s="56" t="inlineStr">
        <is>
          <t>Moderna Inc</t>
        </is>
      </c>
      <c r="D431" s="57" t="inlineStr">
        <is>
          <t>Healthcare</t>
        </is>
      </c>
      <c r="E431" s="294" t="n">
        <v>226.89</v>
      </c>
      <c r="F431" s="289" t="n">
        <v>7.2535467</v>
      </c>
      <c r="G431" s="295" t="n">
        <v>90.5826304</v>
      </c>
      <c r="H431" s="289" t="n">
        <v>0.021</v>
      </c>
      <c r="I431" s="296" t="n">
        <v>-0.66023004</v>
      </c>
      <c r="J431" s="297" t="n">
        <v>-50.636723</v>
      </c>
      <c r="K431" s="301" t="n">
        <v>299.249984</v>
      </c>
      <c r="L431" s="295" t="n">
        <v>5.204878752192012</v>
      </c>
      <c r="M431" s="300" t="n">
        <v>-0.9425399910644235</v>
      </c>
      <c r="N431" s="297" t="n">
        <v>302.6988661600396</v>
      </c>
      <c r="O431" s="207" t="inlineStr">
        <is>
          <t>—</t>
        </is>
      </c>
      <c r="P431" s="207" t="inlineStr">
        <is>
          <t>—</t>
        </is>
      </c>
      <c r="Q431" s="207" t="inlineStr">
        <is>
          <t>—</t>
        </is>
      </c>
      <c r="R431" s="207" t="inlineStr">
        <is>
          <t>—</t>
        </is>
      </c>
      <c r="S431" s="207" t="inlineStr">
        <is>
          <t>—</t>
        </is>
      </c>
    </row>
    <row r="432" ht="20" customHeight="1" s="215">
      <c r="A432" s="50" t="n">
        <v>427</v>
      </c>
      <c r="B432" s="51" t="inlineStr">
        <is>
          <t>MSTR</t>
        </is>
      </c>
      <c r="C432" s="52" t="inlineStr">
        <is>
          <t>MicroStrategy Inc</t>
        </is>
      </c>
      <c r="D432" s="53" t="inlineStr">
        <is>
          <t>Technology</t>
        </is>
      </c>
      <c r="E432" s="288" t="n">
        <v>136.02</v>
      </c>
      <c r="F432" s="300" t="n">
        <v>-0.5494684</v>
      </c>
      <c r="G432" s="290" t="n">
        <v>57.597272064</v>
      </c>
      <c r="H432" s="289" t="n">
        <v>0.06900000000000001</v>
      </c>
      <c r="I432" s="291" t="n">
        <v>0.67600995</v>
      </c>
      <c r="J432" s="292" t="n">
        <v>2.748434</v>
      </c>
      <c r="K432" s="299" t="n">
        <v>-22587.523072</v>
      </c>
      <c r="L432" s="293" t="inlineStr">
        <is>
          <t>—</t>
        </is>
      </c>
      <c r="M432" s="293" t="inlineStr">
        <is>
          <t>—</t>
        </is>
      </c>
      <c r="N432" s="292" t="n">
        <v>-2.431687790174181</v>
      </c>
      <c r="O432" s="206" t="inlineStr">
        <is>
          <t>—</t>
        </is>
      </c>
      <c r="P432" s="206" t="inlineStr">
        <is>
          <t>—</t>
        </is>
      </c>
      <c r="Q432" s="206" t="inlineStr">
        <is>
          <t>—</t>
        </is>
      </c>
      <c r="R432" s="206" t="inlineStr">
        <is>
          <t>—</t>
        </is>
      </c>
      <c r="S432" s="206" t="inlineStr">
        <is>
          <t>—</t>
        </is>
      </c>
    </row>
    <row r="433" ht="20" customHeight="1" s="215">
      <c r="A433" s="54" t="n">
        <v>428</v>
      </c>
      <c r="B433" s="55" t="inlineStr">
        <is>
          <t>MTCH</t>
        </is>
      </c>
      <c r="C433" s="56" t="inlineStr">
        <is>
          <t>Match Group Inc</t>
        </is>
      </c>
      <c r="D433" s="57" t="inlineStr">
        <is>
          <t>Communication Services</t>
        </is>
      </c>
      <c r="E433" s="294" t="n">
        <v>44.73</v>
      </c>
      <c r="F433" s="289" t="n">
        <v>0.35299456</v>
      </c>
      <c r="G433" s="295" t="n">
        <v>10.267815936</v>
      </c>
      <c r="H433" s="300" t="n">
        <v>-0.012</v>
      </c>
      <c r="I433" s="296" t="n">
        <v>0.7487200000000001</v>
      </c>
      <c r="J433" s="297" t="n">
        <v>15.861702</v>
      </c>
      <c r="K433" s="301" t="n">
        <v>930.664</v>
      </c>
      <c r="L433" s="295" t="n">
        <v>6.005100322477723</v>
      </c>
      <c r="M433" s="300" t="n">
        <v>-0.4151530997528661</v>
      </c>
      <c r="N433" s="297" t="n">
        <v>11.03278472042541</v>
      </c>
      <c r="O433" s="207" t="inlineStr">
        <is>
          <t>—</t>
        </is>
      </c>
      <c r="P433" s="207" t="inlineStr">
        <is>
          <t>—</t>
        </is>
      </c>
      <c r="Q433" s="207" t="inlineStr">
        <is>
          <t>—</t>
        </is>
      </c>
      <c r="R433" s="207" t="inlineStr">
        <is>
          <t>—</t>
        </is>
      </c>
      <c r="S433" s="207" t="inlineStr">
        <is>
          <t>—</t>
        </is>
      </c>
    </row>
    <row r="434" ht="20" customHeight="1" s="215">
      <c r="A434" s="50" t="n">
        <v>429</v>
      </c>
      <c r="B434" s="51" t="inlineStr">
        <is>
          <t>NDSN</t>
        </is>
      </c>
      <c r="C434" s="52" t="inlineStr">
        <is>
          <t>Nordson Corp</t>
        </is>
      </c>
      <c r="D434" s="53" t="inlineStr">
        <is>
          <t>Industrials</t>
        </is>
      </c>
      <c r="E434" s="288" t="n">
        <v>323.88</v>
      </c>
      <c r="F434" s="289" t="n">
        <v>0.36238587</v>
      </c>
      <c r="G434" s="290" t="n">
        <v>18.045929472</v>
      </c>
      <c r="H434" s="289" t="n">
        <v>0.103</v>
      </c>
      <c r="I434" s="291" t="n">
        <v>0.55391</v>
      </c>
      <c r="J434" s="292" t="n">
        <v>32.781376</v>
      </c>
      <c r="K434" s="299" t="n">
        <v>613.806656</v>
      </c>
      <c r="L434" s="290" t="n">
        <v>5.190850705514816</v>
      </c>
      <c r="M434" s="300" t="n">
        <v>-0.7123533751160381</v>
      </c>
      <c r="N434" s="292" t="n">
        <v>29.40002168735036</v>
      </c>
      <c r="O434" s="206" t="inlineStr">
        <is>
          <t>—</t>
        </is>
      </c>
      <c r="P434" s="206" t="inlineStr">
        <is>
          <t>—</t>
        </is>
      </c>
      <c r="Q434" s="206" t="inlineStr">
        <is>
          <t>—</t>
        </is>
      </c>
      <c r="R434" s="206" t="inlineStr">
        <is>
          <t>—</t>
        </is>
      </c>
      <c r="S434" s="206" t="inlineStr">
        <is>
          <t>—</t>
        </is>
      </c>
    </row>
    <row r="435" ht="20" customHeight="1" s="215">
      <c r="A435" s="54" t="n">
        <v>430</v>
      </c>
      <c r="B435" s="55" t="inlineStr">
        <is>
          <t>NET</t>
        </is>
      </c>
      <c r="C435" s="56" t="inlineStr">
        <is>
          <t>Cloudflare Inc</t>
        </is>
      </c>
      <c r="D435" s="57" t="inlineStr">
        <is>
          <t>Technology</t>
        </is>
      </c>
      <c r="E435" s="294" t="n">
        <v>297.58</v>
      </c>
      <c r="F435" s="289" t="n">
        <v>0.39722037</v>
      </c>
      <c r="G435" s="295" t="n">
        <v>105.962192896</v>
      </c>
      <c r="H435" s="289" t="n">
        <v>0.359</v>
      </c>
      <c r="I435" s="296" t="n">
        <v>0.72577006</v>
      </c>
      <c r="J435" s="297" t="n">
        <v>177.53886</v>
      </c>
      <c r="K435" s="301" t="n">
        <v>691.946368</v>
      </c>
      <c r="L435" s="295" t="n">
        <v>11.05600388499408</v>
      </c>
      <c r="M435" s="300" t="n">
        <v>-0.895660861833566</v>
      </c>
      <c r="N435" s="297" t="n">
        <v>138.7461507197332</v>
      </c>
      <c r="O435" s="207" t="inlineStr">
        <is>
          <t>—</t>
        </is>
      </c>
      <c r="P435" s="207" t="inlineStr">
        <is>
          <t>—</t>
        </is>
      </c>
      <c r="Q435" s="207" t="inlineStr">
        <is>
          <t>—</t>
        </is>
      </c>
      <c r="R435" s="207" t="inlineStr">
        <is>
          <t>—</t>
        </is>
      </c>
      <c r="S435" s="207" t="inlineStr">
        <is>
          <t>—</t>
        </is>
      </c>
    </row>
    <row r="436" ht="20" customHeight="1" s="215">
      <c r="A436" s="50" t="n">
        <v>431</v>
      </c>
      <c r="B436" s="51" t="inlineStr">
        <is>
          <t>NTNX</t>
        </is>
      </c>
      <c r="C436" s="52" t="inlineStr">
        <is>
          <t>Nutanix Inc</t>
        </is>
      </c>
      <c r="D436" s="53" t="inlineStr">
        <is>
          <t>Technology</t>
        </is>
      </c>
      <c r="E436" s="288" t="n">
        <v>67.53</v>
      </c>
      <c r="F436" s="300" t="n">
        <v>-0.022579253</v>
      </c>
      <c r="G436" s="290" t="n">
        <v>18.271602688</v>
      </c>
      <c r="H436" s="289" t="n">
        <v>0.159</v>
      </c>
      <c r="I436" s="291" t="n">
        <v>0.86927</v>
      </c>
      <c r="J436" s="292" t="n">
        <v>13.061895</v>
      </c>
      <c r="K436" s="299" t="n">
        <v>727.732992</v>
      </c>
      <c r="L436" s="290" t="n">
        <v>10.23633232563295</v>
      </c>
      <c r="M436" s="300" t="n">
        <v>-0.4397682293980852</v>
      </c>
      <c r="N436" s="292" t="n">
        <v>25.10756608361931</v>
      </c>
      <c r="O436" s="206" t="inlineStr">
        <is>
          <t>—</t>
        </is>
      </c>
      <c r="P436" s="206" t="inlineStr">
        <is>
          <t>—</t>
        </is>
      </c>
      <c r="Q436" s="206" t="inlineStr">
        <is>
          <t>—</t>
        </is>
      </c>
      <c r="R436" s="206" t="inlineStr">
        <is>
          <t>—</t>
        </is>
      </c>
      <c r="S436" s="206" t="inlineStr">
        <is>
          <t>—</t>
        </is>
      </c>
    </row>
    <row r="437" ht="20" customHeight="1" s="215">
      <c r="A437" s="54" t="n">
        <v>432</v>
      </c>
      <c r="B437" s="55" t="inlineStr">
        <is>
          <t>NWS</t>
        </is>
      </c>
      <c r="C437" s="56" t="inlineStr">
        <is>
          <t>News Corp Class B</t>
        </is>
      </c>
      <c r="D437" s="57" t="inlineStr">
        <is>
          <t>Communication Services</t>
        </is>
      </c>
      <c r="E437" s="294" t="n">
        <v>32.9</v>
      </c>
      <c r="F437" s="289" t="n">
        <v>0.09666669</v>
      </c>
      <c r="G437" s="295" t="n">
        <v>17.72422144</v>
      </c>
      <c r="H437" s="289" t="n">
        <v>0.108</v>
      </c>
      <c r="I437" s="296" t="n">
        <v>0.57167</v>
      </c>
      <c r="J437" s="297" t="n">
        <v>31.94175</v>
      </c>
      <c r="K437" s="301" t="n">
        <v>1045.124992</v>
      </c>
      <c r="L437" s="295" t="n">
        <v>13.31520708746798</v>
      </c>
      <c r="M437" s="300" t="n">
        <v>-0.2487564470720146</v>
      </c>
      <c r="N437" s="297" t="n">
        <v>5.647259536972205</v>
      </c>
      <c r="O437" s="207" t="inlineStr">
        <is>
          <t>—</t>
        </is>
      </c>
      <c r="P437" s="207" t="inlineStr">
        <is>
          <t>—</t>
        </is>
      </c>
      <c r="Q437" s="207" t="inlineStr">
        <is>
          <t>—</t>
        </is>
      </c>
      <c r="R437" s="207" t="inlineStr">
        <is>
          <t>—</t>
        </is>
      </c>
      <c r="S437" s="207" t="inlineStr">
        <is>
          <t>—</t>
        </is>
      </c>
    </row>
    <row r="438" ht="20" customHeight="1" s="215">
      <c r="A438" s="50" t="n">
        <v>433</v>
      </c>
      <c r="B438" s="51" t="inlineStr">
        <is>
          <t>NXPI</t>
        </is>
      </c>
      <c r="C438" s="52" t="inlineStr">
        <is>
          <t>NXP Semiconductors</t>
        </is>
      </c>
      <c r="D438" s="53" t="inlineStr">
        <is>
          <t>Technology</t>
        </is>
      </c>
      <c r="E438" s="288" t="n">
        <v>230.19</v>
      </c>
      <c r="F438" s="289" t="n">
        <v>0.035306334</v>
      </c>
      <c r="G438" s="290" t="n">
        <v>58.045673472</v>
      </c>
      <c r="H438" s="289" t="n">
        <v>0.195</v>
      </c>
      <c r="I438" s="291" t="n">
        <v>0.56102</v>
      </c>
      <c r="J438" s="292" t="n">
        <v>19.657558</v>
      </c>
      <c r="K438" s="299" t="n">
        <v>3555.000064</v>
      </c>
      <c r="L438" s="290" t="n">
        <v>38.81607558617228</v>
      </c>
      <c r="M438" s="300" t="n">
        <v>-0.3312839137804761</v>
      </c>
      <c r="N438" s="292" t="n">
        <v>16.32789596851608</v>
      </c>
      <c r="O438" s="206" t="inlineStr">
        <is>
          <t>—</t>
        </is>
      </c>
      <c r="P438" s="206" t="inlineStr">
        <is>
          <t>—</t>
        </is>
      </c>
      <c r="Q438" s="206" t="inlineStr">
        <is>
          <t>—</t>
        </is>
      </c>
      <c r="R438" s="206" t="inlineStr">
        <is>
          <t>—</t>
        </is>
      </c>
      <c r="S438" s="206" t="inlineStr">
        <is>
          <t>—</t>
        </is>
      </c>
    </row>
    <row r="439" ht="20" customHeight="1" s="215">
      <c r="A439" s="54" t="n">
        <v>434</v>
      </c>
      <c r="B439" s="55" t="inlineStr">
        <is>
          <t>ON</t>
        </is>
      </c>
      <c r="C439" s="56" t="inlineStr">
        <is>
          <t>ON Semiconductor</t>
        </is>
      </c>
      <c r="D439" s="57" t="inlineStr">
        <is>
          <t>Technology</t>
        </is>
      </c>
      <c r="E439" s="294" t="n">
        <v>73.12</v>
      </c>
      <c r="F439" s="289" t="n">
        <v>0.3275236</v>
      </c>
      <c r="G439" s="295" t="n">
        <v>28.466978816</v>
      </c>
      <c r="H439" s="289" t="n">
        <v>0.092</v>
      </c>
      <c r="I439" s="296" t="n">
        <v>0.42776</v>
      </c>
      <c r="J439" s="297" t="n">
        <v>49.405407</v>
      </c>
      <c r="K439" s="301" t="n">
        <v>1656.649984</v>
      </c>
      <c r="L439" s="295" t="n">
        <v>15.97795037304587</v>
      </c>
      <c r="M439" s="300" t="n">
        <v>-0.4387198418096483</v>
      </c>
      <c r="N439" s="297" t="n">
        <v>17.18345894274309</v>
      </c>
      <c r="O439" s="207" t="inlineStr">
        <is>
          <t>—</t>
        </is>
      </c>
      <c r="P439" s="207" t="inlineStr">
        <is>
          <t>—</t>
        </is>
      </c>
      <c r="Q439" s="207" t="inlineStr">
        <is>
          <t>—</t>
        </is>
      </c>
      <c r="R439" s="207" t="inlineStr">
        <is>
          <t>—</t>
        </is>
      </c>
      <c r="S439" s="207" t="inlineStr">
        <is>
          <t>—</t>
        </is>
      </c>
    </row>
    <row r="440" ht="20" customHeight="1" s="215">
      <c r="A440" s="50" t="n">
        <v>435</v>
      </c>
      <c r="B440" s="51" t="inlineStr">
        <is>
          <t>PANW</t>
        </is>
      </c>
      <c r="C440" s="52" t="inlineStr">
        <is>
          <t>Palo Alto Networks</t>
        </is>
      </c>
      <c r="D440" s="53" t="inlineStr">
        <is>
          <t>Technology</t>
        </is>
      </c>
      <c r="E440" s="288" t="n">
        <v>346.95</v>
      </c>
      <c r="F440" s="289" t="n">
        <v>0.6182369</v>
      </c>
      <c r="G440" s="290" t="n">
        <v>283.80512256</v>
      </c>
      <c r="H440" s="289" t="n">
        <v>0.345</v>
      </c>
      <c r="I440" s="291" t="n">
        <v>0.70383</v>
      </c>
      <c r="J440" s="292" t="n">
        <v>867.375</v>
      </c>
      <c r="K440" s="299" t="n">
        <v>4240.624896</v>
      </c>
      <c r="L440" s="290" t="n">
        <v>52.27300480471005</v>
      </c>
      <c r="M440" s="300" t="n">
        <v>-0.81581373749285</v>
      </c>
      <c r="N440" s="292" t="n">
        <v>66.92530156763009</v>
      </c>
      <c r="O440" s="206" t="inlineStr">
        <is>
          <t>—</t>
        </is>
      </c>
      <c r="P440" s="206" t="inlineStr">
        <is>
          <t>—</t>
        </is>
      </c>
      <c r="Q440" s="206" t="inlineStr">
        <is>
          <t>—</t>
        </is>
      </c>
      <c r="R440" s="206" t="inlineStr">
        <is>
          <t>—</t>
        </is>
      </c>
      <c r="S440" s="206" t="inlineStr">
        <is>
          <t>—</t>
        </is>
      </c>
    </row>
    <row r="441" ht="20" customHeight="1" s="215">
      <c r="A441" s="50" t="n">
        <v>436</v>
      </c>
      <c r="B441" s="51" t="inlineStr">
        <is>
          <t>PCG</t>
        </is>
      </c>
      <c r="C441" s="52" t="inlineStr">
        <is>
          <t>PG&amp;E Corp</t>
        </is>
      </c>
      <c r="D441" s="53" t="inlineStr">
        <is>
          <t>Utilities</t>
        </is>
      </c>
      <c r="E441" s="294" t="n">
        <v>13.13</v>
      </c>
      <c r="F441" s="300" t="n">
        <v>-0.21611941</v>
      </c>
      <c r="G441" s="295" t="n">
        <v>39.421079552</v>
      </c>
      <c r="H441" s="289" t="n">
        <v>0.001</v>
      </c>
      <c r="I441" s="296" t="n">
        <v>0.39823002</v>
      </c>
      <c r="J441" s="297" t="n">
        <v>9.514493</v>
      </c>
      <c r="K441" s="301" t="n">
        <v>-6150.125056</v>
      </c>
      <c r="L441" s="298" t="inlineStr">
        <is>
          <t>—</t>
        </is>
      </c>
      <c r="M441" s="298" t="inlineStr">
        <is>
          <t>—</t>
        </is>
      </c>
      <c r="N441" s="297" t="n">
        <v>-4.70186820795925</v>
      </c>
      <c r="O441" s="207" t="inlineStr">
        <is>
          <t>—</t>
        </is>
      </c>
      <c r="P441" s="207" t="inlineStr">
        <is>
          <t>—</t>
        </is>
      </c>
      <c r="Q441" s="207" t="inlineStr">
        <is>
          <t>—</t>
        </is>
      </c>
      <c r="R441" s="207" t="inlineStr">
        <is>
          <t>—</t>
        </is>
      </c>
      <c r="S441" s="207" t="inlineStr">
        <is>
          <t>—</t>
        </is>
      </c>
    </row>
    <row r="442" ht="20" customHeight="1" s="215">
      <c r="A442" s="54" t="n">
        <v>437</v>
      </c>
      <c r="B442" s="55" t="inlineStr">
        <is>
          <t>PLTR</t>
        </is>
      </c>
      <c r="C442" s="56" t="inlineStr">
        <is>
          <t>Palantir Technologies</t>
        </is>
      </c>
      <c r="D442" s="57" t="inlineStr">
        <is>
          <t>Technology</t>
        </is>
      </c>
      <c r="E442" s="288" t="n">
        <v>194.15</v>
      </c>
      <c r="F442" s="289" t="n">
        <v>0.069638014</v>
      </c>
      <c r="G442" s="290" t="n">
        <v>466.553765888</v>
      </c>
      <c r="H442" s="289" t="n">
        <v>0.928</v>
      </c>
      <c r="I442" s="291" t="n">
        <v>0.84796</v>
      </c>
      <c r="J442" s="292" t="n">
        <v>167.37068</v>
      </c>
      <c r="K442" s="299" t="n">
        <v>2159.104512</v>
      </c>
      <c r="L442" s="290" t="n">
        <v>32.02808057841229</v>
      </c>
      <c r="M442" s="300" t="n">
        <v>-0.9313517906827894</v>
      </c>
      <c r="N442" s="292" t="n">
        <v>206.8836827225111</v>
      </c>
      <c r="O442" s="206" t="inlineStr">
        <is>
          <t>—</t>
        </is>
      </c>
      <c r="P442" s="206" t="inlineStr">
        <is>
          <t>—</t>
        </is>
      </c>
      <c r="Q442" s="206" t="inlineStr">
        <is>
          <t>—</t>
        </is>
      </c>
      <c r="R442" s="206" t="inlineStr">
        <is>
          <t>—</t>
        </is>
      </c>
      <c r="S442" s="206" t="inlineStr">
        <is>
          <t>—</t>
        </is>
      </c>
    </row>
    <row r="443" ht="20" customHeight="1" s="215">
      <c r="A443" s="50" t="n">
        <v>438</v>
      </c>
      <c r="B443" s="51" t="inlineStr">
        <is>
          <t>PODD</t>
        </is>
      </c>
      <c r="C443" s="52" t="inlineStr">
        <is>
          <t>Insulet Corp</t>
        </is>
      </c>
      <c r="D443" s="53" t="inlineStr">
        <is>
          <t>Healthcare</t>
        </is>
      </c>
      <c r="E443" s="294" t="n">
        <v>141.96</v>
      </c>
      <c r="F443" s="300" t="n">
        <v>-0.5684713</v>
      </c>
      <c r="G443" s="295" t="n">
        <v>9.845522431999999</v>
      </c>
      <c r="H443" s="289" t="n">
        <v>0.235</v>
      </c>
      <c r="I443" s="296" t="n">
        <v>0.71075</v>
      </c>
      <c r="J443" s="297" t="n">
        <v>26.58427</v>
      </c>
      <c r="K443" s="301" t="n">
        <v>236.9</v>
      </c>
      <c r="L443" s="295" t="n">
        <v>3.508398770554812</v>
      </c>
      <c r="M443" s="300" t="n">
        <v>-0.6436553981989026</v>
      </c>
      <c r="N443" s="297" t="n">
        <v>41.55982309008021</v>
      </c>
      <c r="O443" s="207" t="inlineStr">
        <is>
          <t>—</t>
        </is>
      </c>
      <c r="P443" s="207" t="inlineStr">
        <is>
          <t>—</t>
        </is>
      </c>
      <c r="Q443" s="207" t="inlineStr">
        <is>
          <t>—</t>
        </is>
      </c>
      <c r="R443" s="207" t="inlineStr">
        <is>
          <t>—</t>
        </is>
      </c>
      <c r="S443" s="207" t="inlineStr">
        <is>
          <t>—</t>
        </is>
      </c>
    </row>
    <row r="444" ht="20" customHeight="1" s="215">
      <c r="A444" s="54" t="n">
        <v>439</v>
      </c>
      <c r="B444" s="55" t="inlineStr">
        <is>
          <t>POOL</t>
        </is>
      </c>
      <c r="C444" s="56" t="inlineStr">
        <is>
          <t>Pool Corp</t>
        </is>
      </c>
      <c r="D444" s="57" t="inlineStr">
        <is>
          <t>Consumer Discretionary</t>
        </is>
      </c>
      <c r="E444" s="288" t="n">
        <v>168.07</v>
      </c>
      <c r="F444" s="300" t="n">
        <v>-0.4446354</v>
      </c>
      <c r="G444" s="290" t="n">
        <v>6.107789824</v>
      </c>
      <c r="H444" s="289" t="n">
        <v>0.022</v>
      </c>
      <c r="I444" s="291" t="n">
        <v>0.29579002</v>
      </c>
      <c r="J444" s="292" t="n">
        <v>15.433425</v>
      </c>
      <c r="K444" s="299" t="n">
        <v>212.930256</v>
      </c>
      <c r="L444" s="290" t="n">
        <v>1.197028713256736</v>
      </c>
      <c r="M444" s="300" t="n">
        <v>-0.8040160601870874</v>
      </c>
      <c r="N444" s="292" t="n">
        <v>28.68445970538823</v>
      </c>
      <c r="O444" s="208" t="inlineStr">
        <is>
          <t>SOLD</t>
        </is>
      </c>
      <c r="P444" s="209" t="inlineStr">
        <is>
          <t>—</t>
        </is>
      </c>
      <c r="Q444" s="208" t="inlineStr">
        <is>
          <t>Sold</t>
        </is>
      </c>
      <c r="R444" s="209" t="n">
        <v>333</v>
      </c>
      <c r="S444" s="210" t="inlineStr">
        <is>
          <t>Added Q1-Q2-25 → Trimmed Q4 → Q1-26: FULLY EXITED (Combs-era position)</t>
        </is>
      </c>
    </row>
    <row r="445" ht="20" customHeight="1" s="215">
      <c r="A445" s="50" t="n">
        <v>440</v>
      </c>
      <c r="B445" s="51" t="inlineStr">
        <is>
          <t>PTC</t>
        </is>
      </c>
      <c r="C445" s="52" t="inlineStr">
        <is>
          <t>PTC Inc</t>
        </is>
      </c>
      <c r="D445" s="53" t="inlineStr">
        <is>
          <t>Technology</t>
        </is>
      </c>
      <c r="E445" s="294" t="n">
        <v>193.06</v>
      </c>
      <c r="F445" s="300" t="n">
        <v>-0.056172073</v>
      </c>
      <c r="G445" s="295" t="n">
        <v>20.972537856</v>
      </c>
      <c r="H445" s="300" t="n">
        <v>-0.068</v>
      </c>
      <c r="I445" s="296" t="n">
        <v>0.84501</v>
      </c>
      <c r="J445" s="297" t="n">
        <v>18.725508</v>
      </c>
      <c r="K445" s="301" t="n">
        <v>1031.425152</v>
      </c>
      <c r="L445" s="295" t="n">
        <v>5.269735561335084</v>
      </c>
      <c r="M445" s="300" t="n">
        <v>-0.7487316223950706</v>
      </c>
      <c r="N445" s="297" t="n">
        <v>20.33355294566251</v>
      </c>
      <c r="O445" s="207" t="inlineStr">
        <is>
          <t>—</t>
        </is>
      </c>
      <c r="P445" s="207" t="inlineStr">
        <is>
          <t>—</t>
        </is>
      </c>
      <c r="Q445" s="207" t="inlineStr">
        <is>
          <t>—</t>
        </is>
      </c>
      <c r="R445" s="207" t="inlineStr">
        <is>
          <t>—</t>
        </is>
      </c>
      <c r="S445" s="207" t="inlineStr">
        <is>
          <t>—</t>
        </is>
      </c>
    </row>
    <row r="446" ht="20" customHeight="1" s="215">
      <c r="A446" s="54" t="n">
        <v>441</v>
      </c>
      <c r="B446" s="55" t="inlineStr">
        <is>
          <t>RVTY</t>
        </is>
      </c>
      <c r="C446" s="56" t="inlineStr">
        <is>
          <t>Revvity Inc</t>
        </is>
      </c>
      <c r="D446" s="57" t="inlineStr">
        <is>
          <t>Healthcare</t>
        </is>
      </c>
      <c r="E446" s="288" t="n">
        <v>150.94</v>
      </c>
      <c r="F446" s="289" t="n">
        <v>0.55784905</v>
      </c>
      <c r="G446" s="290" t="n">
        <v>16.842851328</v>
      </c>
      <c r="H446" s="289" t="n">
        <v>0.013</v>
      </c>
      <c r="I446" s="291" t="n">
        <v>0.54976004</v>
      </c>
      <c r="J446" s="292" t="n">
        <v>72.2201</v>
      </c>
      <c r="K446" s="299" t="n">
        <v>604.992128</v>
      </c>
      <c r="L446" s="290" t="n">
        <v>5.265161906638269</v>
      </c>
      <c r="M446" s="300" t="n">
        <v>-0.6873948594508267</v>
      </c>
      <c r="N446" s="292" t="n">
        <v>27.83978598633932</v>
      </c>
      <c r="O446" s="206" t="inlineStr">
        <is>
          <t>—</t>
        </is>
      </c>
      <c r="P446" s="206" t="inlineStr">
        <is>
          <t>—</t>
        </is>
      </c>
      <c r="Q446" s="206" t="inlineStr">
        <is>
          <t>—</t>
        </is>
      </c>
      <c r="R446" s="206" t="inlineStr">
        <is>
          <t>—</t>
        </is>
      </c>
      <c r="S446" s="206" t="inlineStr">
        <is>
          <t>—</t>
        </is>
      </c>
    </row>
    <row r="447" ht="20" customHeight="1" s="215">
      <c r="A447" s="50" t="n">
        <v>442</v>
      </c>
      <c r="B447" s="51" t="inlineStr">
        <is>
          <t>SEDG</t>
        </is>
      </c>
      <c r="C447" s="52" t="inlineStr">
        <is>
          <t>SolarEdge Technologies</t>
        </is>
      </c>
      <c r="D447" s="53" t="inlineStr">
        <is>
          <t>Technology</t>
        </is>
      </c>
      <c r="E447" s="294" t="n">
        <v>31.06</v>
      </c>
      <c r="F447" s="300" t="n">
        <v>-0.19886512</v>
      </c>
      <c r="G447" s="295" t="n">
        <v>1.910989696</v>
      </c>
      <c r="H447" s="289" t="n">
        <v>0.196</v>
      </c>
      <c r="I447" s="296" t="n">
        <v>0.21253</v>
      </c>
      <c r="J447" s="297" t="n">
        <v>38.59008</v>
      </c>
      <c r="K447" s="301" t="n">
        <v>113.761248</v>
      </c>
      <c r="L447" s="295" t="n">
        <v>1.602884634915453</v>
      </c>
      <c r="M447" s="300" t="n">
        <v>-0.1612280075237764</v>
      </c>
      <c r="N447" s="297" t="n">
        <v>16.79824866970517</v>
      </c>
      <c r="O447" s="207" t="inlineStr">
        <is>
          <t>—</t>
        </is>
      </c>
      <c r="P447" s="207" t="inlineStr">
        <is>
          <t>—</t>
        </is>
      </c>
      <c r="Q447" s="207" t="inlineStr">
        <is>
          <t>—</t>
        </is>
      </c>
      <c r="R447" s="207" t="inlineStr">
        <is>
          <t>—</t>
        </is>
      </c>
      <c r="S447" s="207" t="inlineStr">
        <is>
          <t>—</t>
        </is>
      </c>
    </row>
    <row r="448" ht="20" customHeight="1" s="215">
      <c r="A448" s="54" t="n">
        <v>443</v>
      </c>
      <c r="B448" s="55" t="inlineStr">
        <is>
          <t>SIRI</t>
        </is>
      </c>
      <c r="C448" s="56" t="inlineStr">
        <is>
          <t>Sirius XM Holdings</t>
        </is>
      </c>
      <c r="D448" s="57" t="inlineStr">
        <is>
          <t>Communication Services</t>
        </is>
      </c>
      <c r="E448" s="288" t="n">
        <v>26.84</v>
      </c>
      <c r="F448" s="289" t="n">
        <v>0.20955384</v>
      </c>
      <c r="G448" s="290" t="n">
        <v>9.046875136000001</v>
      </c>
      <c r="H448" s="289" t="n">
        <v>0.01</v>
      </c>
      <c r="I448" s="291" t="n">
        <v>0.47355998</v>
      </c>
      <c r="J448" s="292" t="n">
        <v>10.736</v>
      </c>
      <c r="K448" s="299" t="n">
        <v>1186</v>
      </c>
      <c r="L448" s="290" t="n">
        <v>8.136490019404874</v>
      </c>
      <c r="M448" s="300" t="n">
        <v>-0.1006297868500974</v>
      </c>
      <c r="N448" s="292" t="n">
        <v>7.628056791264756</v>
      </c>
      <c r="O448" s="208" t="inlineStr">
        <is>
          <t>YES</t>
        </is>
      </c>
      <c r="P448" s="209" t="n">
        <v>0.85</v>
      </c>
      <c r="Q448" s="208" t="inlineStr">
        <is>
          <t>Hold</t>
        </is>
      </c>
      <c r="R448" s="209" t="n">
        <v>25.5</v>
      </c>
      <c r="S448" s="210" t="inlineStr">
        <is>
          <t>Added 13M Q1-25 → 7M Q2 → 8M Q3 → Hold Q4 → Q1-26: small add per filings (Weschler)</t>
        </is>
      </c>
    </row>
    <row r="449" ht="20" customHeight="1" s="215">
      <c r="A449" s="50" t="n">
        <v>444</v>
      </c>
      <c r="B449" s="51" t="inlineStr">
        <is>
          <t>SMCI</t>
        </is>
      </c>
      <c r="C449" s="52" t="inlineStr">
        <is>
          <t>Super Micro Computer</t>
        </is>
      </c>
      <c r="D449" s="53" t="inlineStr">
        <is>
          <t>Technology</t>
        </is>
      </c>
      <c r="E449" s="294" t="n">
        <v>32.1</v>
      </c>
      <c r="F449" s="300" t="n">
        <v>-0.4144473</v>
      </c>
      <c r="G449" s="295" t="n">
        <v>20.764622848</v>
      </c>
      <c r="H449" s="289" t="n">
        <v>0.9320000000000001</v>
      </c>
      <c r="I449" s="296" t="n">
        <v>0.108219996</v>
      </c>
      <c r="J449" s="297" t="n">
        <v>9.846625</v>
      </c>
      <c r="K449" s="301" t="n">
        <v>-8248.783872</v>
      </c>
      <c r="L449" s="302" t="inlineStr">
        <is>
          <t>—</t>
        </is>
      </c>
      <c r="M449" s="303" t="inlineStr">
        <is>
          <t>—</t>
        </is>
      </c>
      <c r="N449" s="297" t="n">
        <v>-2.517295214532686</v>
      </c>
      <c r="O449" s="207" t="inlineStr">
        <is>
          <t>—</t>
        </is>
      </c>
      <c r="P449" s="207" t="inlineStr">
        <is>
          <t>—</t>
        </is>
      </c>
      <c r="Q449" s="207" t="inlineStr">
        <is>
          <t>—</t>
        </is>
      </c>
      <c r="R449" s="207" t="inlineStr">
        <is>
          <t>—</t>
        </is>
      </c>
      <c r="S449" s="207" t="inlineStr">
        <is>
          <t>—</t>
        </is>
      </c>
    </row>
    <row r="450" ht="20" customHeight="1" s="215">
      <c r="A450" s="54" t="n">
        <v>445</v>
      </c>
      <c r="B450" s="55" t="inlineStr">
        <is>
          <t>SNOW</t>
        </is>
      </c>
      <c r="C450" s="56" t="inlineStr">
        <is>
          <t>Snowflake Inc</t>
        </is>
      </c>
      <c r="D450" s="57" t="inlineStr">
        <is>
          <t>Technology</t>
        </is>
      </c>
      <c r="E450" s="288" t="n">
        <v>315.35</v>
      </c>
      <c r="F450" s="289" t="n">
        <v>0.27403843</v>
      </c>
      <c r="G450" s="290" t="n">
        <v>111.255478272</v>
      </c>
      <c r="H450" s="289" t="n">
        <v>0.351</v>
      </c>
      <c r="I450" s="291" t="n">
        <v>0.6703</v>
      </c>
      <c r="J450" s="292" t="n">
        <v>104.4029</v>
      </c>
      <c r="K450" s="299" t="n">
        <v>1739.526656</v>
      </c>
      <c r="L450" s="290" t="n">
        <v>22.19128045507256</v>
      </c>
      <c r="M450" s="300" t="n">
        <v>-0.8005376382381927</v>
      </c>
      <c r="N450" s="292" t="n">
        <v>63.9573297806366</v>
      </c>
      <c r="O450" s="206" t="inlineStr">
        <is>
          <t>—</t>
        </is>
      </c>
      <c r="P450" s="206" t="inlineStr">
        <is>
          <t>—</t>
        </is>
      </c>
      <c r="Q450" s="206" t="inlineStr">
        <is>
          <t>—</t>
        </is>
      </c>
      <c r="R450" s="206" t="inlineStr">
        <is>
          <t>—</t>
        </is>
      </c>
      <c r="S450" s="206" t="inlineStr">
        <is>
          <t>—</t>
        </is>
      </c>
    </row>
    <row r="451" ht="20" customHeight="1" s="215">
      <c r="A451" s="50" t="n">
        <v>446</v>
      </c>
      <c r="B451" s="51" t="inlineStr">
        <is>
          <t>SOLV</t>
        </is>
      </c>
      <c r="C451" s="52" t="inlineStr">
        <is>
          <t>Solventum Corp</t>
        </is>
      </c>
      <c r="D451" s="53" t="inlineStr">
        <is>
          <t>Healthcare</t>
        </is>
      </c>
      <c r="E451" s="294" t="n">
        <v>85.05</v>
      </c>
      <c r="F451" s="289" t="n">
        <v>0.16650665</v>
      </c>
      <c r="G451" s="295" t="n">
        <v>14.477529088</v>
      </c>
      <c r="H451" s="289" t="n">
        <v>0.022</v>
      </c>
      <c r="I451" s="296" t="n">
        <v>0.54777</v>
      </c>
      <c r="J451" s="297" t="n">
        <v>10.410037</v>
      </c>
      <c r="K451" s="301" t="n">
        <v>489</v>
      </c>
      <c r="L451" s="295" t="n">
        <v>4.134855686632766</v>
      </c>
      <c r="M451" s="300" t="n">
        <v>-0.7143949315176976</v>
      </c>
      <c r="N451" s="297" t="n">
        <v>29.60639703773006</v>
      </c>
      <c r="O451" s="207" t="inlineStr">
        <is>
          <t>—</t>
        </is>
      </c>
      <c r="P451" s="207" t="inlineStr">
        <is>
          <t>—</t>
        </is>
      </c>
      <c r="Q451" s="207" t="inlineStr">
        <is>
          <t>—</t>
        </is>
      </c>
      <c r="R451" s="207" t="inlineStr">
        <is>
          <t>—</t>
        </is>
      </c>
      <c r="S451" s="207" t="inlineStr">
        <is>
          <t>—</t>
        </is>
      </c>
    </row>
    <row r="452" ht="20" customHeight="1" s="215">
      <c r="A452" s="54" t="n">
        <v>447</v>
      </c>
      <c r="B452" s="55" t="inlineStr">
        <is>
          <t>SPOT</t>
        </is>
      </c>
      <c r="C452" s="56" t="inlineStr">
        <is>
          <t>Spotify Technology</t>
        </is>
      </c>
      <c r="D452" s="57" t="inlineStr">
        <is>
          <t>Communication Services</t>
        </is>
      </c>
      <c r="E452" s="288" t="n">
        <v>518.76</v>
      </c>
      <c r="F452" s="300" t="n">
        <v>-0.24731213</v>
      </c>
      <c r="G452" s="290" t="n">
        <v>106.667466752</v>
      </c>
      <c r="H452" s="289" t="n">
        <v>0.139</v>
      </c>
      <c r="I452" s="291" t="n">
        <v>0.32766998</v>
      </c>
      <c r="J452" s="292" t="n">
        <v>29.813795</v>
      </c>
      <c r="K452" s="299" t="n">
        <v>1541.374976</v>
      </c>
      <c r="L452" s="290" t="n">
        <v>24.48411371118977</v>
      </c>
      <c r="M452" s="300" t="n">
        <v>-0.770463155667558</v>
      </c>
      <c r="N452" s="292" t="n">
        <v>69.20279912754987</v>
      </c>
      <c r="O452" s="206" t="inlineStr">
        <is>
          <t>—</t>
        </is>
      </c>
      <c r="P452" s="206" t="inlineStr">
        <is>
          <t>—</t>
        </is>
      </c>
      <c r="Q452" s="206" t="inlineStr">
        <is>
          <t>—</t>
        </is>
      </c>
      <c r="R452" s="206" t="inlineStr">
        <is>
          <t>—</t>
        </is>
      </c>
      <c r="S452" s="206" t="inlineStr">
        <is>
          <t>—</t>
        </is>
      </c>
    </row>
    <row r="453" ht="20" customHeight="1" s="215">
      <c r="A453" s="54" t="n">
        <v>448</v>
      </c>
      <c r="B453" s="55" t="inlineStr">
        <is>
          <t>STLD</t>
        </is>
      </c>
      <c r="C453" s="56" t="inlineStr">
        <is>
          <t>Steel Dynamics</t>
        </is>
      </c>
      <c r="D453" s="57" t="inlineStr">
        <is>
          <t>Materials</t>
        </is>
      </c>
      <c r="E453" s="294" t="n">
        <v>245.17</v>
      </c>
      <c r="F453" s="289" t="n">
        <v>0.593876</v>
      </c>
      <c r="G453" s="295" t="n">
        <v>35.13974784</v>
      </c>
      <c r="H453" s="289" t="n">
        <v>0.348</v>
      </c>
      <c r="I453" s="296" t="n">
        <v>0.15904</v>
      </c>
      <c r="J453" s="297" t="n">
        <v>22.227562</v>
      </c>
      <c r="K453" s="301" t="n">
        <v>429.219744</v>
      </c>
      <c r="L453" s="295" t="n">
        <v>5.564303684107037</v>
      </c>
      <c r="M453" s="300" t="n">
        <v>-0.8416521453300492</v>
      </c>
      <c r="N453" s="297" t="n">
        <v>81.86889775266256</v>
      </c>
      <c r="O453" s="207" t="inlineStr">
        <is>
          <t>—</t>
        </is>
      </c>
      <c r="P453" s="207" t="inlineStr">
        <is>
          <t>—</t>
        </is>
      </c>
      <c r="Q453" s="207" t="inlineStr">
        <is>
          <t>—</t>
        </is>
      </c>
      <c r="R453" s="207" t="inlineStr">
        <is>
          <t>—</t>
        </is>
      </c>
      <c r="S453" s="207" t="inlineStr">
        <is>
          <t>—</t>
        </is>
      </c>
    </row>
    <row r="454" ht="20" customHeight="1" s="215">
      <c r="A454" s="50" t="n">
        <v>449</v>
      </c>
      <c r="B454" s="51" t="inlineStr">
        <is>
          <t>TDY</t>
        </is>
      </c>
      <c r="C454" s="52" t="inlineStr">
        <is>
          <t>Teledyne Technologies</t>
        </is>
      </c>
      <c r="D454" s="53" t="inlineStr">
        <is>
          <t>Technology</t>
        </is>
      </c>
      <c r="E454" s="288" t="n">
        <v>619.76</v>
      </c>
      <c r="F454" s="289" t="n">
        <v>0.08019173</v>
      </c>
      <c r="G454" s="290" t="n">
        <v>28.712945664</v>
      </c>
      <c r="H454" s="289" t="n">
        <v>0.098</v>
      </c>
      <c r="I454" s="291" t="n">
        <v>0.43339002</v>
      </c>
      <c r="J454" s="292" t="n">
        <v>29.983551</v>
      </c>
      <c r="K454" s="299" t="n">
        <v>912.675008</v>
      </c>
      <c r="L454" s="290" t="n">
        <v>8.226209032556902</v>
      </c>
      <c r="M454" s="300" t="n">
        <v>-0.7135017378982875</v>
      </c>
      <c r="N454" s="292" t="n">
        <v>31.46020907245002</v>
      </c>
      <c r="O454" s="206" t="inlineStr">
        <is>
          <t>—</t>
        </is>
      </c>
      <c r="P454" s="206" t="inlineStr">
        <is>
          <t>—</t>
        </is>
      </c>
      <c r="Q454" s="206" t="inlineStr">
        <is>
          <t>—</t>
        </is>
      </c>
      <c r="R454" s="206" t="inlineStr">
        <is>
          <t>—</t>
        </is>
      </c>
      <c r="S454" s="206" t="inlineStr">
        <is>
          <t>—</t>
        </is>
      </c>
    </row>
    <row r="455" ht="20" customHeight="1" s="215">
      <c r="A455" s="54" t="n">
        <v>450</v>
      </c>
      <c r="B455" s="55" t="inlineStr">
        <is>
          <t>TECH</t>
        </is>
      </c>
      <c r="C455" s="56" t="inlineStr">
        <is>
          <t>Bio-Techne Corp</t>
        </is>
      </c>
      <c r="D455" s="57" t="inlineStr">
        <is>
          <t>Healthcare</t>
        </is>
      </c>
      <c r="E455" s="294" t="n">
        <v>72.48999999999999</v>
      </c>
      <c r="F455" s="289" t="n">
        <v>0.1422944</v>
      </c>
      <c r="G455" s="295" t="n">
        <v>11.367753728</v>
      </c>
      <c r="H455" s="289" t="n">
        <v>0.013</v>
      </c>
      <c r="I455" s="296" t="n">
        <v>0.66243</v>
      </c>
      <c r="J455" s="297" t="n">
        <v>62.49138</v>
      </c>
      <c r="K455" s="301" t="n">
        <v>229.65312</v>
      </c>
      <c r="L455" s="295" t="n">
        <v>1.475600933348912</v>
      </c>
      <c r="M455" s="300" t="n">
        <v>-0.8701941501675615</v>
      </c>
      <c r="N455" s="297" t="n">
        <v>49.4996718207878</v>
      </c>
      <c r="O455" s="207" t="inlineStr">
        <is>
          <t>—</t>
        </is>
      </c>
      <c r="P455" s="207" t="inlineStr">
        <is>
          <t>—</t>
        </is>
      </c>
      <c r="Q455" s="207" t="inlineStr">
        <is>
          <t>—</t>
        </is>
      </c>
      <c r="R455" s="207" t="inlineStr">
        <is>
          <t>—</t>
        </is>
      </c>
      <c r="S455" s="207" t="inlineStr">
        <is>
          <t>—</t>
        </is>
      </c>
    </row>
    <row r="456" ht="20" customHeight="1" s="215">
      <c r="A456" s="50" t="n">
        <v>451</v>
      </c>
      <c r="B456" s="51" t="inlineStr">
        <is>
          <t>TER</t>
        </is>
      </c>
      <c r="C456" s="52" t="inlineStr">
        <is>
          <t>Teradyne Inc</t>
        </is>
      </c>
      <c r="D456" s="53" t="inlineStr">
        <is>
          <t>Technology</t>
        </is>
      </c>
      <c r="E456" s="288" t="n">
        <v>335.53</v>
      </c>
      <c r="F456" s="289" t="n">
        <v>1.3409615</v>
      </c>
      <c r="G456" s="290" t="n">
        <v>52.457013248</v>
      </c>
      <c r="H456" s="289" t="n">
        <v>1.039</v>
      </c>
      <c r="I456" s="291" t="n">
        <v>0.5924199999999999</v>
      </c>
      <c r="J456" s="292" t="n">
        <v>46.089283</v>
      </c>
      <c r="K456" s="299" t="n">
        <v>437.381248</v>
      </c>
      <c r="L456" s="290" t="n">
        <v>5.265008557223626</v>
      </c>
      <c r="M456" s="300" t="n">
        <v>-0.8996319418276381</v>
      </c>
      <c r="N456" s="292" t="n">
        <v>119.9342955084805</v>
      </c>
      <c r="O456" s="206" t="inlineStr">
        <is>
          <t>—</t>
        </is>
      </c>
      <c r="P456" s="206" t="inlineStr">
        <is>
          <t>—</t>
        </is>
      </c>
      <c r="Q456" s="206" t="inlineStr">
        <is>
          <t>—</t>
        </is>
      </c>
      <c r="R456" s="206" t="inlineStr">
        <is>
          <t>—</t>
        </is>
      </c>
      <c r="S456" s="206" t="inlineStr">
        <is>
          <t>—</t>
        </is>
      </c>
    </row>
    <row r="457" ht="20" customHeight="1" s="215">
      <c r="A457" s="54" t="n">
        <v>452</v>
      </c>
      <c r="B457" s="55" t="inlineStr">
        <is>
          <t>TPL</t>
        </is>
      </c>
      <c r="C457" s="56" t="inlineStr">
        <is>
          <t>Texas Pacific Land</t>
        </is>
      </c>
      <c r="D457" s="57" t="inlineStr">
        <is>
          <t>Energy</t>
        </is>
      </c>
      <c r="E457" s="294" t="n">
        <v>344.61</v>
      </c>
      <c r="F457" s="289" t="n">
        <v>0.113285184</v>
      </c>
      <c r="G457" s="295" t="n">
        <v>23.76936448</v>
      </c>
      <c r="H457" s="289" t="n">
        <v>0.312</v>
      </c>
      <c r="I457" s="296" t="n">
        <v>0.93336</v>
      </c>
      <c r="J457" s="297" t="n">
        <v>43.955353</v>
      </c>
      <c r="K457" s="301" t="n">
        <v>-32.836124</v>
      </c>
      <c r="L457" s="298" t="inlineStr">
        <is>
          <t>—</t>
        </is>
      </c>
      <c r="M457" s="298" t="inlineStr">
        <is>
          <t>—</t>
        </is>
      </c>
      <c r="N457" s="297" t="n">
        <v>-723.8785402512794</v>
      </c>
      <c r="O457" s="207" t="inlineStr">
        <is>
          <t>—</t>
        </is>
      </c>
      <c r="P457" s="207" t="inlineStr">
        <is>
          <t>—</t>
        </is>
      </c>
      <c r="Q457" s="207" t="inlineStr">
        <is>
          <t>—</t>
        </is>
      </c>
      <c r="R457" s="207" t="inlineStr">
        <is>
          <t>—</t>
        </is>
      </c>
      <c r="S457" s="207" t="inlineStr">
        <is>
          <t>—</t>
        </is>
      </c>
    </row>
    <row r="458" ht="20" customHeight="1" s="215">
      <c r="A458" s="50" t="n">
        <v>453</v>
      </c>
      <c r="B458" s="51" t="inlineStr">
        <is>
          <t>TRGP</t>
        </is>
      </c>
      <c r="C458" s="52" t="inlineStr">
        <is>
          <t>Targa Resources</t>
        </is>
      </c>
      <c r="D458" s="53" t="inlineStr">
        <is>
          <t>Energy</t>
        </is>
      </c>
      <c r="E458" s="288" t="n">
        <v>292.8</v>
      </c>
      <c r="F458" s="289" t="n">
        <v>0.93382204</v>
      </c>
      <c r="G458" s="290" t="n">
        <v>62.785400832</v>
      </c>
      <c r="H458" s="289" t="n">
        <v>0.042</v>
      </c>
      <c r="I458" s="291" t="n">
        <v>0.43192002</v>
      </c>
      <c r="J458" s="292" t="n">
        <v>28.18094</v>
      </c>
      <c r="K458" s="299" t="n">
        <v>65.83750000000001</v>
      </c>
      <c r="L458" s="290" t="n">
        <v>1.178615437221695</v>
      </c>
      <c r="M458" s="300" t="n">
        <v>-0.9812278742891932</v>
      </c>
      <c r="N458" s="292" t="n">
        <v>953.6419661864439</v>
      </c>
      <c r="O458" s="206" t="inlineStr">
        <is>
          <t>—</t>
        </is>
      </c>
      <c r="P458" s="206" t="inlineStr">
        <is>
          <t>—</t>
        </is>
      </c>
      <c r="Q458" s="206" t="inlineStr">
        <is>
          <t>—</t>
        </is>
      </c>
      <c r="R458" s="206" t="inlineStr">
        <is>
          <t>—</t>
        </is>
      </c>
      <c r="S458" s="206" t="inlineStr">
        <is>
          <t>—</t>
        </is>
      </c>
    </row>
    <row r="459" ht="20" customHeight="1" s="215">
      <c r="A459" s="54" t="n">
        <v>454</v>
      </c>
      <c r="B459" s="55" t="inlineStr">
        <is>
          <t>TRMB</t>
        </is>
      </c>
      <c r="C459" s="56" t="inlineStr">
        <is>
          <t>Trimble Inc</t>
        </is>
      </c>
      <c r="D459" s="57" t="inlineStr">
        <is>
          <t>Technology</t>
        </is>
      </c>
      <c r="E459" s="294" t="n">
        <v>59.95</v>
      </c>
      <c r="F459" s="300" t="n">
        <v>-0.2473321</v>
      </c>
      <c r="G459" s="295" t="n">
        <v>13.979131904</v>
      </c>
      <c r="H459" s="289" t="n">
        <v>0.11</v>
      </c>
      <c r="I459" s="296" t="n">
        <v>0.71773005</v>
      </c>
      <c r="J459" s="297" t="n">
        <v>14.491212</v>
      </c>
      <c r="K459" s="301" t="n">
        <v>686.174976</v>
      </c>
      <c r="L459" s="295" t="n">
        <v>6.539498101035501</v>
      </c>
      <c r="M459" s="300" t="n">
        <v>-0.5321956938424565</v>
      </c>
      <c r="N459" s="297" t="n">
        <v>20.37254691083343</v>
      </c>
      <c r="O459" s="207" t="inlineStr">
        <is>
          <t>—</t>
        </is>
      </c>
      <c r="P459" s="207" t="inlineStr">
        <is>
          <t>—</t>
        </is>
      </c>
      <c r="Q459" s="207" t="inlineStr">
        <is>
          <t>—</t>
        </is>
      </c>
      <c r="R459" s="207" t="inlineStr">
        <is>
          <t>—</t>
        </is>
      </c>
      <c r="S459" s="207" t="inlineStr">
        <is>
          <t>—</t>
        </is>
      </c>
    </row>
    <row r="460" ht="20" customHeight="1" s="215">
      <c r="A460" s="50" t="n">
        <v>455</v>
      </c>
      <c r="B460" s="51" t="inlineStr">
        <is>
          <t>TSLA</t>
        </is>
      </c>
      <c r="C460" s="52" t="inlineStr">
        <is>
          <t>Tesla Inc</t>
        </is>
      </c>
      <c r="D460" s="53" t="inlineStr">
        <is>
          <t>Consumer Discretionary</t>
        </is>
      </c>
      <c r="E460" s="288" t="n">
        <v>368.06</v>
      </c>
      <c r="F460" s="300" t="n">
        <v>-0.16841394</v>
      </c>
      <c r="G460" s="290" t="n">
        <v>1453.6704</v>
      </c>
      <c r="H460" s="289" t="n">
        <v>0.255</v>
      </c>
      <c r="I460" s="291" t="n">
        <v>0.18852</v>
      </c>
      <c r="J460" s="292" t="n">
        <v>340.7963</v>
      </c>
      <c r="K460" s="299" t="n">
        <v>4835.999744</v>
      </c>
      <c r="L460" s="290" t="n">
        <v>76.00601060356819</v>
      </c>
      <c r="M460" s="300" t="n">
        <v>-0.9477144127007275</v>
      </c>
      <c r="N460" s="292" t="n">
        <v>300.5935671603791</v>
      </c>
      <c r="O460" s="206" t="inlineStr">
        <is>
          <t>—</t>
        </is>
      </c>
      <c r="P460" s="206" t="inlineStr">
        <is>
          <t>—</t>
        </is>
      </c>
      <c r="Q460" s="206" t="inlineStr">
        <is>
          <t>—</t>
        </is>
      </c>
      <c r="R460" s="206" t="inlineStr">
        <is>
          <t>—</t>
        </is>
      </c>
      <c r="S460" s="206" t="inlineStr">
        <is>
          <t>—</t>
        </is>
      </c>
    </row>
    <row r="461" ht="20" customHeight="1" s="215">
      <c r="A461" s="54" t="n">
        <v>456</v>
      </c>
      <c r="B461" s="55" t="inlineStr">
        <is>
          <t>TYL</t>
        </is>
      </c>
      <c r="C461" s="56" t="inlineStr">
        <is>
          <t>Tyler Technologies</t>
        </is>
      </c>
      <c r="D461" s="57" t="inlineStr">
        <is>
          <t>Technology</t>
        </is>
      </c>
      <c r="E461" s="294" t="n">
        <v>360.09</v>
      </c>
      <c r="F461" s="300" t="n">
        <v>-0.30577028</v>
      </c>
      <c r="G461" s="295" t="n">
        <v>14.746503168</v>
      </c>
      <c r="H461" s="289" t="n">
        <v>0.082</v>
      </c>
      <c r="I461" s="296" t="n">
        <v>0.47205</v>
      </c>
      <c r="J461" s="297" t="n">
        <v>47.380264</v>
      </c>
      <c r="K461" s="301" t="n">
        <v>594.435648</v>
      </c>
      <c r="L461" s="295" t="n">
        <v>6.010925186423602</v>
      </c>
      <c r="M461" s="300" t="n">
        <v>-0.5923830132510773</v>
      </c>
      <c r="N461" s="297" t="n">
        <v>24.80757066685879</v>
      </c>
      <c r="O461" s="207" t="inlineStr">
        <is>
          <t>—</t>
        </is>
      </c>
      <c r="P461" s="207" t="inlineStr">
        <is>
          <t>—</t>
        </is>
      </c>
      <c r="Q461" s="207" t="inlineStr">
        <is>
          <t>—</t>
        </is>
      </c>
      <c r="R461" s="207" t="inlineStr">
        <is>
          <t>—</t>
        </is>
      </c>
      <c r="S461" s="207" t="inlineStr">
        <is>
          <t>—</t>
        </is>
      </c>
    </row>
    <row r="462" ht="20" customHeight="1" s="215">
      <c r="A462" s="50" t="n">
        <v>457</v>
      </c>
      <c r="B462" s="51" t="inlineStr">
        <is>
          <t>UBER</t>
        </is>
      </c>
      <c r="C462" s="52" t="inlineStr">
        <is>
          <t>Uber Technologies</t>
        </is>
      </c>
      <c r="D462" s="53" t="inlineStr">
        <is>
          <t>Industrials</t>
        </is>
      </c>
      <c r="E462" s="288" t="n">
        <v>69.95999999999999</v>
      </c>
      <c r="F462" s="300" t="n">
        <v>-0.24798453</v>
      </c>
      <c r="G462" s="290" t="n">
        <v>142.897512448</v>
      </c>
      <c r="H462" s="289" t="n">
        <v>0.122</v>
      </c>
      <c r="I462" s="291" t="n">
        <v>0.40752</v>
      </c>
      <c r="J462" s="292" t="n">
        <v>15.342105</v>
      </c>
      <c r="K462" s="299" t="n">
        <v>7244.749824</v>
      </c>
      <c r="L462" s="290" t="n">
        <v>83.84104490019864</v>
      </c>
      <c r="M462" s="300" t="n">
        <v>-0.413278485650979</v>
      </c>
      <c r="N462" s="292" t="n">
        <v>19.72428441790732</v>
      </c>
      <c r="O462" s="206" t="inlineStr">
        <is>
          <t>—</t>
        </is>
      </c>
      <c r="P462" s="206" t="inlineStr">
        <is>
          <t>—</t>
        </is>
      </c>
      <c r="Q462" s="206" t="inlineStr">
        <is>
          <t>—</t>
        </is>
      </c>
      <c r="R462" s="206" t="inlineStr">
        <is>
          <t>—</t>
        </is>
      </c>
      <c r="S462" s="206" t="inlineStr">
        <is>
          <t>—</t>
        </is>
      </c>
    </row>
    <row r="463" ht="20" customHeight="1" s="215">
      <c r="A463" s="54" t="n">
        <v>458</v>
      </c>
      <c r="B463" s="55" t="inlineStr">
        <is>
          <t>VICI</t>
        </is>
      </c>
      <c r="C463" s="56" t="inlineStr">
        <is>
          <t>VICI Properties</t>
        </is>
      </c>
      <c r="D463" s="57" t="inlineStr">
        <is>
          <t>Real Estate</t>
        </is>
      </c>
      <c r="E463" s="294" t="n">
        <v>23.1</v>
      </c>
      <c r="F463" s="300" t="n">
        <v>-0.25937802</v>
      </c>
      <c r="G463" s="295" t="n">
        <v>25.43489024</v>
      </c>
      <c r="H463" s="289" t="n">
        <v>0.057</v>
      </c>
      <c r="I463" s="296" t="n">
        <v>0.99271005</v>
      </c>
      <c r="J463" s="297" t="n">
        <v>8.988327</v>
      </c>
      <c r="K463" s="301" t="n">
        <v>267.028992</v>
      </c>
      <c r="L463" s="295" t="n">
        <v>14.04595771212578</v>
      </c>
      <c r="M463" s="300" t="n">
        <v>-0.4477681020208806</v>
      </c>
      <c r="N463" s="297" t="n">
        <v>95.25142379371302</v>
      </c>
      <c r="O463" s="207" t="inlineStr">
        <is>
          <t>—</t>
        </is>
      </c>
      <c r="P463" s="207" t="inlineStr">
        <is>
          <t>—</t>
        </is>
      </c>
      <c r="Q463" s="207" t="inlineStr">
        <is>
          <t>—</t>
        </is>
      </c>
      <c r="R463" s="207" t="inlineStr">
        <is>
          <t>—</t>
        </is>
      </c>
      <c r="S463" s="207" t="inlineStr">
        <is>
          <t>—</t>
        </is>
      </c>
    </row>
    <row r="464" ht="20" customHeight="1" s="215">
      <c r="A464" s="50" t="n">
        <v>459</v>
      </c>
      <c r="B464" s="51" t="inlineStr">
        <is>
          <t>VLTO</t>
        </is>
      </c>
      <c r="C464" s="52" t="inlineStr">
        <is>
          <t>Veralto Corp</t>
        </is>
      </c>
      <c r="D464" s="53" t="inlineStr">
        <is>
          <t>Industrials</t>
        </is>
      </c>
      <c r="E464" s="288" t="n">
        <v>100.47</v>
      </c>
      <c r="F464" s="300" t="n">
        <v>-0.031987667</v>
      </c>
      <c r="G464" s="290" t="n">
        <v>24.493918208</v>
      </c>
      <c r="H464" s="289" t="n">
        <v>0.075</v>
      </c>
      <c r="I464" s="291" t="n">
        <v>0.60183</v>
      </c>
      <c r="J464" s="292" t="n">
        <v>25.307304</v>
      </c>
      <c r="K464" s="299" t="n">
        <v>807.124992</v>
      </c>
      <c r="L464" s="290" t="n">
        <v>7.250769050167754</v>
      </c>
      <c r="M464" s="300" t="n">
        <v>-0.703976759104243</v>
      </c>
      <c r="N464" s="292" t="n">
        <v>30.3471178745014</v>
      </c>
      <c r="O464" s="206" t="inlineStr">
        <is>
          <t>—</t>
        </is>
      </c>
      <c r="P464" s="206" t="inlineStr">
        <is>
          <t>—</t>
        </is>
      </c>
      <c r="Q464" s="206" t="inlineStr">
        <is>
          <t>—</t>
        </is>
      </c>
      <c r="R464" s="206" t="inlineStr">
        <is>
          <t>—</t>
        </is>
      </c>
      <c r="S464" s="206" t="inlineStr">
        <is>
          <t>—</t>
        </is>
      </c>
    </row>
    <row r="465" ht="20" customHeight="1" s="215">
      <c r="A465" s="54" t="n">
        <v>460</v>
      </c>
      <c r="B465" s="55" t="inlineStr">
        <is>
          <t>VST</t>
        </is>
      </c>
      <c r="C465" s="56" t="inlineStr">
        <is>
          <t>Vistra Corp</t>
        </is>
      </c>
      <c r="D465" s="57" t="inlineStr">
        <is>
          <t>Utilities</t>
        </is>
      </c>
      <c r="E465" s="294" t="n">
        <v>149.7</v>
      </c>
      <c r="F465" s="300" t="n">
        <v>-0.1974051</v>
      </c>
      <c r="G465" s="295" t="n">
        <v>50.24458752</v>
      </c>
      <c r="H465" s="300" t="n">
        <v>-0.055</v>
      </c>
      <c r="I465" s="296" t="n">
        <v>0.38309</v>
      </c>
      <c r="J465" s="297" t="n">
        <v>25.24452</v>
      </c>
      <c r="K465" s="301" t="n">
        <v>37.125</v>
      </c>
      <c r="L465" s="295" t="n">
        <v>0.4985335988515716</v>
      </c>
      <c r="M465" s="300" t="n">
        <v>-0.9900778646326208</v>
      </c>
      <c r="N465" s="297" t="n">
        <v>1353.389594383838</v>
      </c>
      <c r="O465" s="207" t="inlineStr">
        <is>
          <t>—</t>
        </is>
      </c>
      <c r="P465" s="207" t="inlineStr">
        <is>
          <t>—</t>
        </is>
      </c>
      <c r="Q465" s="207" t="inlineStr">
        <is>
          <t>—</t>
        </is>
      </c>
      <c r="R465" s="207" t="inlineStr">
        <is>
          <t>—</t>
        </is>
      </c>
      <c r="S465" s="207" t="inlineStr">
        <is>
          <t>—</t>
        </is>
      </c>
    </row>
    <row r="466" ht="20" customHeight="1" s="215">
      <c r="A466" s="50" t="n">
        <v>461</v>
      </c>
      <c r="B466" s="51" t="inlineStr">
        <is>
          <t>VTRS</t>
        </is>
      </c>
      <c r="C466" s="52" t="inlineStr">
        <is>
          <t>Viatris Inc</t>
        </is>
      </c>
      <c r="D466" s="53" t="inlineStr">
        <is>
          <t>Healthcare</t>
        </is>
      </c>
      <c r="E466" s="288" t="n">
        <v>18.26</v>
      </c>
      <c r="F466" s="289" t="n">
        <v>0.75745904</v>
      </c>
      <c r="G466" s="290" t="n">
        <v>20.973268992</v>
      </c>
      <c r="H466" s="289" t="n">
        <v>0.049</v>
      </c>
      <c r="I466" s="291" t="n">
        <v>0.40307</v>
      </c>
      <c r="J466" s="292" t="n">
        <v>6.807667</v>
      </c>
      <c r="K466" s="299" t="n">
        <v>2677.3376</v>
      </c>
      <c r="L466" s="290" t="n">
        <v>25.39552214382708</v>
      </c>
      <c r="M466" s="289" t="n">
        <v>0.2108518778600464</v>
      </c>
      <c r="N466" s="292" t="n">
        <v>7.833628891866309</v>
      </c>
      <c r="O466" s="206" t="inlineStr">
        <is>
          <t>—</t>
        </is>
      </c>
      <c r="P466" s="206" t="inlineStr">
        <is>
          <t>—</t>
        </is>
      </c>
      <c r="Q466" s="206" t="inlineStr">
        <is>
          <t>—</t>
        </is>
      </c>
      <c r="R466" s="206" t="inlineStr">
        <is>
          <t>—</t>
        </is>
      </c>
      <c r="S466" s="206" t="inlineStr">
        <is>
          <t>—</t>
        </is>
      </c>
    </row>
    <row r="467" ht="20" customHeight="1" s="215">
      <c r="A467" s="54" t="n">
        <v>462</v>
      </c>
      <c r="B467" s="55" t="inlineStr">
        <is>
          <t>WBD</t>
        </is>
      </c>
      <c r="C467" s="56" t="inlineStr">
        <is>
          <t>Warner Bros Discovery</t>
        </is>
      </c>
      <c r="D467" s="57" t="inlineStr">
        <is>
          <t>Communication Services</t>
        </is>
      </c>
      <c r="E467" s="294" t="n">
        <v>30.95</v>
      </c>
      <c r="F467" s="289" t="n">
        <v>0.7014842999999999</v>
      </c>
      <c r="G467" s="295" t="n">
        <v>77.595885568</v>
      </c>
      <c r="H467" s="300" t="n">
        <v>-0.112</v>
      </c>
      <c r="I467" s="296" t="n">
        <v>0.47811002</v>
      </c>
      <c r="J467" s="297" t="n">
        <v>-1238</v>
      </c>
      <c r="K467" s="301" t="n">
        <v>16167.374848</v>
      </c>
      <c r="L467" s="295" t="n">
        <v>86.19343259756293</v>
      </c>
      <c r="M467" s="289" t="n">
        <v>0.1107990065018151</v>
      </c>
      <c r="N467" s="297" t="n">
        <v>4.799534968195474</v>
      </c>
      <c r="O467" s="207" t="inlineStr">
        <is>
          <t>—</t>
        </is>
      </c>
      <c r="P467" s="207" t="inlineStr">
        <is>
          <t>—</t>
        </is>
      </c>
      <c r="Q467" s="207" t="inlineStr">
        <is>
          <t>—</t>
        </is>
      </c>
      <c r="R467" s="207" t="inlineStr">
        <is>
          <t>—</t>
        </is>
      </c>
      <c r="S467" s="207" t="inlineStr">
        <is>
          <t>—</t>
        </is>
      </c>
    </row>
    <row r="468" ht="20" customHeight="1" s="215">
      <c r="A468" s="50" t="n">
        <v>463</v>
      </c>
      <c r="B468" s="51" t="inlineStr">
        <is>
          <t>WDAY</t>
        </is>
      </c>
      <c r="C468" s="52" t="inlineStr">
        <is>
          <t>Workday Inc</t>
        </is>
      </c>
      <c r="D468" s="53" t="inlineStr">
        <is>
          <t>Technology</t>
        </is>
      </c>
      <c r="E468" s="288" t="n">
        <v>195.2</v>
      </c>
      <c r="F468" s="300" t="n">
        <v>-0.2054382</v>
      </c>
      <c r="G468" s="290" t="n">
        <v>47.043198976</v>
      </c>
      <c r="H468" s="289" t="n">
        <v>0.128</v>
      </c>
      <c r="I468" s="291" t="n">
        <v>0.75795</v>
      </c>
      <c r="J468" s="292" t="n">
        <v>39.7556</v>
      </c>
      <c r="K468" s="299" t="n">
        <v>3046.374912</v>
      </c>
      <c r="L468" s="290" t="n">
        <v>37.09947709589245</v>
      </c>
      <c r="M468" s="300" t="n">
        <v>-0.2113742708096983</v>
      </c>
      <c r="N468" s="292" t="n">
        <v>12.55892695586905</v>
      </c>
      <c r="O468" s="206" t="inlineStr">
        <is>
          <t>—</t>
        </is>
      </c>
      <c r="P468" s="206" t="inlineStr">
        <is>
          <t>—</t>
        </is>
      </c>
      <c r="Q468" s="206" t="inlineStr">
        <is>
          <t>—</t>
        </is>
      </c>
      <c r="R468" s="206" t="inlineStr">
        <is>
          <t>—</t>
        </is>
      </c>
      <c r="S468" s="206" t="inlineStr">
        <is>
          <t>—</t>
        </is>
      </c>
    </row>
    <row r="469" ht="20" customHeight="1" s="215">
      <c r="A469" s="54" t="n">
        <v>464</v>
      </c>
      <c r="B469" s="55" t="inlineStr">
        <is>
          <t>WSM</t>
        </is>
      </c>
      <c r="C469" s="56" t="inlineStr">
        <is>
          <t>Williams-Sonoma</t>
        </is>
      </c>
      <c r="D469" s="57" t="inlineStr">
        <is>
          <t>Consumer Discretionary</t>
        </is>
      </c>
      <c r="E469" s="294" t="n">
        <v>249.43</v>
      </c>
      <c r="F469" s="289" t="n">
        <v>0.3065319</v>
      </c>
      <c r="G469" s="295" t="n">
        <v>29.374871552</v>
      </c>
      <c r="H469" s="289" t="n">
        <v>0.067</v>
      </c>
      <c r="I469" s="296" t="n">
        <v>0.45692003</v>
      </c>
      <c r="J469" s="297" t="n">
        <v>25.582563</v>
      </c>
      <c r="K469" s="301" t="n">
        <v>1069.320128</v>
      </c>
      <c r="L469" s="295" t="n">
        <v>7.537280301466966</v>
      </c>
      <c r="M469" s="300" t="n">
        <v>-0.7434106124302766</v>
      </c>
      <c r="N469" s="297" t="n">
        <v>27.47060629536752</v>
      </c>
      <c r="O469" s="207" t="inlineStr">
        <is>
          <t>—</t>
        </is>
      </c>
      <c r="P469" s="207" t="inlineStr">
        <is>
          <t>—</t>
        </is>
      </c>
      <c r="Q469" s="207" t="inlineStr">
        <is>
          <t>—</t>
        </is>
      </c>
      <c r="R469" s="207" t="inlineStr">
        <is>
          <t>—</t>
        </is>
      </c>
      <c r="S469" s="207" t="inlineStr">
        <is>
          <t>—</t>
        </is>
      </c>
    </row>
    <row r="470" ht="20" customHeight="1" s="215">
      <c r="A470" s="50" t="n">
        <v>465</v>
      </c>
      <c r="B470" s="51" t="inlineStr">
        <is>
          <t>WSO</t>
        </is>
      </c>
      <c r="C470" s="52" t="inlineStr">
        <is>
          <t>Watsco Inc</t>
        </is>
      </c>
      <c r="D470" s="53" t="inlineStr">
        <is>
          <t>Industrials</t>
        </is>
      </c>
      <c r="E470" s="288" t="n">
        <v>294</v>
      </c>
      <c r="F470" s="300" t="n">
        <v>-0.22460175</v>
      </c>
      <c r="G470" s="290" t="n">
        <v>12.128144384</v>
      </c>
      <c r="H470" s="289" t="n">
        <v>0.021</v>
      </c>
      <c r="I470" s="291" t="n">
        <v>0.27512</v>
      </c>
      <c r="J470" s="292" t="n">
        <v>25.192802</v>
      </c>
      <c r="K470" s="299" t="n">
        <v>483.663744</v>
      </c>
      <c r="L470" s="290" t="n">
        <v>2.963122437204631</v>
      </c>
      <c r="M470" s="300" t="n">
        <v>-0.755682127175719</v>
      </c>
      <c r="N470" s="292" t="n">
        <v>21.63299274299129</v>
      </c>
      <c r="O470" s="206" t="inlineStr">
        <is>
          <t>—</t>
        </is>
      </c>
      <c r="P470" s="206" t="inlineStr">
        <is>
          <t>—</t>
        </is>
      </c>
      <c r="Q470" s="206" t="inlineStr">
        <is>
          <t>—</t>
        </is>
      </c>
      <c r="R470" s="206" t="inlineStr">
        <is>
          <t>—</t>
        </is>
      </c>
      <c r="S470" s="206" t="inlineStr">
        <is>
          <t>—</t>
        </is>
      </c>
    </row>
    <row r="471" ht="20" customHeight="1" s="215">
      <c r="A471" s="54" t="n">
        <v>466</v>
      </c>
      <c r="B471" s="55" t="inlineStr">
        <is>
          <t>WST</t>
        </is>
      </c>
      <c r="C471" s="56" t="inlineStr">
        <is>
          <t>West Pharmaceutical</t>
        </is>
      </c>
      <c r="D471" s="57" t="inlineStr">
        <is>
          <t>Healthcare</t>
        </is>
      </c>
      <c r="E471" s="294" t="n">
        <v>383.91</v>
      </c>
      <c r="F471" s="289" t="n">
        <v>0.3741007</v>
      </c>
      <c r="G471" s="295" t="n">
        <v>27.017957376</v>
      </c>
      <c r="H471" s="289" t="n">
        <v>0.138</v>
      </c>
      <c r="I471" s="296" t="n">
        <v>0.36786</v>
      </c>
      <c r="J471" s="297" t="n">
        <v>49.15621</v>
      </c>
      <c r="K471" s="301" t="n">
        <v>277.937504</v>
      </c>
      <c r="L471" s="295" t="n">
        <v>3.97999955336875</v>
      </c>
      <c r="M471" s="300" t="n">
        <v>-0.8526905828601175</v>
      </c>
      <c r="N471" s="297" t="n">
        <v>97.20875520786142</v>
      </c>
      <c r="O471" s="207" t="inlineStr">
        <is>
          <t>—</t>
        </is>
      </c>
      <c r="P471" s="207" t="inlineStr">
        <is>
          <t>—</t>
        </is>
      </c>
      <c r="Q471" s="207" t="inlineStr">
        <is>
          <t>—</t>
        </is>
      </c>
      <c r="R471" s="207" t="inlineStr">
        <is>
          <t>—</t>
        </is>
      </c>
      <c r="S471" s="207" t="inlineStr">
        <is>
          <t>—</t>
        </is>
      </c>
    </row>
    <row r="472" ht="20" customHeight="1" s="215">
      <c r="A472" s="50" t="n">
        <v>467</v>
      </c>
      <c r="B472" s="51" t="inlineStr">
        <is>
          <t>ZS</t>
        </is>
      </c>
      <c r="C472" s="52" t="inlineStr">
        <is>
          <t>Zscaler Inc</t>
        </is>
      </c>
      <c r="D472" s="53" t="inlineStr">
        <is>
          <t>Technology</t>
        </is>
      </c>
      <c r="E472" s="288" t="n">
        <v>212.53</v>
      </c>
      <c r="F472" s="300" t="n">
        <v>-0.31523663</v>
      </c>
      <c r="G472" s="290" t="n">
        <v>34.654015488</v>
      </c>
      <c r="H472" s="289" t="n">
        <v>0.249</v>
      </c>
      <c r="I472" s="291" t="n">
        <v>0.76872003</v>
      </c>
      <c r="J472" s="292" t="n">
        <v>37.79413</v>
      </c>
      <c r="K472" s="299" t="n">
        <v>1074.91584</v>
      </c>
      <c r="L472" s="290" t="n">
        <v>15.11023029944782</v>
      </c>
      <c r="M472" s="300" t="n">
        <v>-0.5639688478617956</v>
      </c>
      <c r="N472" s="292" t="n">
        <v>32.23881691606666</v>
      </c>
      <c r="O472" s="206" t="inlineStr">
        <is>
          <t>—</t>
        </is>
      </c>
      <c r="P472" s="206" t="inlineStr">
        <is>
          <t>—</t>
        </is>
      </c>
      <c r="Q472" s="206" t="inlineStr">
        <is>
          <t>—</t>
        </is>
      </c>
      <c r="R472" s="206" t="inlineStr">
        <is>
          <t>—</t>
        </is>
      </c>
      <c r="S472" s="206" t="inlineStr">
        <is>
          <t>—</t>
        </is>
      </c>
    </row>
    <row r="473" ht="20" customHeight="1" s="215">
      <c r="A473" s="54" t="n">
        <v>468</v>
      </c>
      <c r="B473" s="55" t="inlineStr">
        <is>
          <t>ADSK</t>
        </is>
      </c>
      <c r="C473" s="56" t="inlineStr">
        <is>
          <t>Autodesk Inc</t>
        </is>
      </c>
      <c r="D473" s="57" t="inlineStr">
        <is>
          <t>Technology</t>
        </is>
      </c>
      <c r="E473" s="294" t="n">
        <v>240.7</v>
      </c>
      <c r="F473" s="300" t="n">
        <v>-0.22497344</v>
      </c>
      <c r="G473" s="295" t="n">
        <v>50.306297856</v>
      </c>
      <c r="H473" s="289" t="n">
        <v>0.161</v>
      </c>
      <c r="I473" s="296" t="n">
        <v>0.92503</v>
      </c>
      <c r="J473" s="297" t="n">
        <v>31.219194</v>
      </c>
      <c r="K473" s="301" t="n">
        <v>3157.499904</v>
      </c>
      <c r="L473" s="295" t="n">
        <v>40.21080871485422</v>
      </c>
      <c r="M473" s="300" t="n">
        <v>-0.2006804231558395</v>
      </c>
      <c r="N473" s="297" t="n">
        <v>15.93232035772059</v>
      </c>
      <c r="O473" s="207" t="inlineStr">
        <is>
          <t>—</t>
        </is>
      </c>
      <c r="P473" s="207" t="inlineStr">
        <is>
          <t>—</t>
        </is>
      </c>
      <c r="Q473" s="207" t="inlineStr">
        <is>
          <t>—</t>
        </is>
      </c>
      <c r="R473" s="207" t="inlineStr">
        <is>
          <t>—</t>
        </is>
      </c>
      <c r="S473" s="207" t="inlineStr">
        <is>
          <t>—</t>
        </is>
      </c>
    </row>
    <row r="474" ht="20" customHeight="1" s="215">
      <c r="A474" s="50" t="n">
        <v>469</v>
      </c>
      <c r="B474" s="51" t="inlineStr">
        <is>
          <t>AES</t>
        </is>
      </c>
      <c r="C474" s="52" t="inlineStr">
        <is>
          <t>AES Corp</t>
        </is>
      </c>
      <c r="D474" s="53" t="inlineStr">
        <is>
          <t>Utilities</t>
        </is>
      </c>
      <c r="E474" s="288" t="n">
        <v>14.96</v>
      </c>
      <c r="F474" s="289" t="n">
        <v>0.044692755</v>
      </c>
      <c r="G474" s="290" t="n">
        <v>10.668838912</v>
      </c>
      <c r="H474" s="289" t="n">
        <v>0.199</v>
      </c>
      <c r="I474" s="291" t="n">
        <v>0.2027</v>
      </c>
      <c r="J474" s="292" t="n">
        <v>5.602996</v>
      </c>
      <c r="K474" s="299" t="n">
        <v>-3089.12512</v>
      </c>
      <c r="L474" s="293" t="inlineStr">
        <is>
          <t>—</t>
        </is>
      </c>
      <c r="M474" s="293" t="inlineStr">
        <is>
          <t>—</t>
        </is>
      </c>
      <c r="N474" s="292" t="n">
        <v>-3.453676679331137</v>
      </c>
      <c r="O474" s="206" t="inlineStr">
        <is>
          <t>—</t>
        </is>
      </c>
      <c r="P474" s="206" t="inlineStr">
        <is>
          <t>—</t>
        </is>
      </c>
      <c r="Q474" s="206" t="inlineStr">
        <is>
          <t>—</t>
        </is>
      </c>
      <c r="R474" s="206" t="inlineStr">
        <is>
          <t>—</t>
        </is>
      </c>
      <c r="S474" s="206" t="inlineStr">
        <is>
          <t>—</t>
        </is>
      </c>
    </row>
    <row r="475" ht="20" customHeight="1" s="215">
      <c r="A475" s="54" t="n">
        <v>470</v>
      </c>
      <c r="B475" s="55" t="inlineStr">
        <is>
          <t>AMP</t>
        </is>
      </c>
      <c r="C475" s="56" t="inlineStr">
        <is>
          <t>Ameriprise Financial</t>
        </is>
      </c>
      <c r="D475" s="57" t="inlineStr">
        <is>
          <t>Financials</t>
        </is>
      </c>
      <c r="E475" s="294" t="n">
        <v>480.41</v>
      </c>
      <c r="F475" s="289" t="n">
        <v>0.0021904707</v>
      </c>
      <c r="G475" s="295" t="n">
        <v>42.468245504</v>
      </c>
      <c r="H475" s="289" t="n">
        <v>0.116</v>
      </c>
      <c r="I475" s="296" t="n">
        <v>0.54932</v>
      </c>
      <c r="J475" s="297" t="n">
        <v>11.598504</v>
      </c>
      <c r="K475" s="301" t="n">
        <v>2903.124992</v>
      </c>
      <c r="L475" s="295" t="n">
        <v>10.450408878</v>
      </c>
      <c r="M475" s="300" t="n">
        <v>-0.7539241672459557</v>
      </c>
      <c r="N475" s="297" t="n">
        <v>14.62845868401384</v>
      </c>
      <c r="O475" s="207" t="inlineStr">
        <is>
          <t>—</t>
        </is>
      </c>
      <c r="P475" s="207" t="inlineStr">
        <is>
          <t>—</t>
        </is>
      </c>
      <c r="Q475" s="207" t="inlineStr">
        <is>
          <t>—</t>
        </is>
      </c>
      <c r="R475" s="207" t="inlineStr">
        <is>
          <t>—</t>
        </is>
      </c>
      <c r="S475" s="207" t="inlineStr">
        <is>
          <t>—</t>
        </is>
      </c>
    </row>
    <row r="476" ht="20" customHeight="1" s="215">
      <c r="A476" s="50" t="n">
        <v>471</v>
      </c>
      <c r="B476" s="51" t="inlineStr">
        <is>
          <t>ANET</t>
        </is>
      </c>
      <c r="C476" s="52" t="inlineStr">
        <is>
          <t>Arista Networks</t>
        </is>
      </c>
      <c r="D476" s="53" t="inlineStr">
        <is>
          <t>Technology</t>
        </is>
      </c>
      <c r="E476" s="288" t="n">
        <v>182.95</v>
      </c>
      <c r="F476" s="289" t="n">
        <v>0.25359738</v>
      </c>
      <c r="G476" s="290" t="n">
        <v>230.741049344</v>
      </c>
      <c r="H476" s="289" t="n">
        <v>0.377</v>
      </c>
      <c r="I476" s="291" t="n">
        <v>0.63004</v>
      </c>
      <c r="J476" s="292" t="n">
        <v>57.712933</v>
      </c>
      <c r="K476" s="299" t="n">
        <v>3891.512576</v>
      </c>
      <c r="L476" s="290" t="n">
        <v>51.2355774254542</v>
      </c>
      <c r="M476" s="300" t="n">
        <v>-0.7779520481027644</v>
      </c>
      <c r="N476" s="292" t="n">
        <v>59.29340965634849</v>
      </c>
      <c r="O476" s="206" t="inlineStr">
        <is>
          <t>—</t>
        </is>
      </c>
      <c r="P476" s="206" t="inlineStr">
        <is>
          <t>—</t>
        </is>
      </c>
      <c r="Q476" s="206" t="inlineStr">
        <is>
          <t>—</t>
        </is>
      </c>
      <c r="R476" s="206" t="inlineStr">
        <is>
          <t>—</t>
        </is>
      </c>
      <c r="S476" s="206" t="inlineStr">
        <is>
          <t>—</t>
        </is>
      </c>
    </row>
    <row r="477" ht="20" customHeight="1" s="215">
      <c r="A477" s="54" t="n">
        <v>472</v>
      </c>
      <c r="B477" s="55" t="inlineStr">
        <is>
          <t>BAX</t>
        </is>
      </c>
      <c r="C477" s="56" t="inlineStr">
        <is>
          <t>Baxter International</t>
        </is>
      </c>
      <c r="D477" s="57" t="inlineStr">
        <is>
          <t>Healthcare</t>
        </is>
      </c>
      <c r="E477" s="294" t="n">
        <v>24.99</v>
      </c>
      <c r="F477" s="289" t="n">
        <v>0.09846151</v>
      </c>
      <c r="G477" s="295" t="n">
        <v>12.919730176</v>
      </c>
      <c r="H477" s="289" t="n">
        <v>0.053</v>
      </c>
      <c r="I477" s="296" t="n">
        <v>0.34098</v>
      </c>
      <c r="J477" s="297" t="n">
        <v>12.2525215</v>
      </c>
      <c r="K477" s="301" t="n">
        <v>1000.374976</v>
      </c>
      <c r="L477" s="295" t="n">
        <v>10.80952500131078</v>
      </c>
      <c r="M477" s="300" t="n">
        <v>-0.1633319849519136</v>
      </c>
      <c r="N477" s="297" t="n">
        <v>12.91488724225145</v>
      </c>
      <c r="O477" s="207" t="inlineStr">
        <is>
          <t>—</t>
        </is>
      </c>
      <c r="P477" s="207" t="inlineStr">
        <is>
          <t>—</t>
        </is>
      </c>
      <c r="Q477" s="207" t="inlineStr">
        <is>
          <t>—</t>
        </is>
      </c>
      <c r="R477" s="207" t="inlineStr">
        <is>
          <t>—</t>
        </is>
      </c>
      <c r="S477" s="207" t="inlineStr">
        <is>
          <t>—</t>
        </is>
      </c>
    </row>
    <row r="478" ht="20" customHeight="1" s="215">
      <c r="A478" s="50" t="n">
        <v>473</v>
      </c>
      <c r="B478" s="51" t="inlineStr">
        <is>
          <t>CMI</t>
        </is>
      </c>
      <c r="C478" s="52" t="inlineStr">
        <is>
          <t>Cummins Inc</t>
        </is>
      </c>
      <c r="D478" s="53" t="inlineStr">
        <is>
          <t>Industrials</t>
        </is>
      </c>
      <c r="E478" s="288" t="n">
        <v>522.13</v>
      </c>
      <c r="F478" s="289" t="n">
        <v>0.24920452</v>
      </c>
      <c r="G478" s="290" t="n">
        <v>72.048238592</v>
      </c>
      <c r="H478" s="289" t="n">
        <v>0.094</v>
      </c>
      <c r="I478" s="291" t="n">
        <v>0.25772</v>
      </c>
      <c r="J478" s="292" t="n">
        <v>26.680122</v>
      </c>
      <c r="K478" s="299" t="n">
        <v>2229.374976</v>
      </c>
      <c r="L478" s="290" t="n">
        <v>20.37327707956875</v>
      </c>
      <c r="M478" s="300" t="n">
        <v>-0.7172272705382844</v>
      </c>
      <c r="N478" s="292" t="n">
        <v>32.31768200878469</v>
      </c>
      <c r="O478" s="206" t="inlineStr">
        <is>
          <t>—</t>
        </is>
      </c>
      <c r="P478" s="206" t="inlineStr">
        <is>
          <t>—</t>
        </is>
      </c>
      <c r="Q478" s="206" t="inlineStr">
        <is>
          <t>—</t>
        </is>
      </c>
      <c r="R478" s="206" t="inlineStr">
        <is>
          <t>—</t>
        </is>
      </c>
      <c r="S478" s="206" t="inlineStr">
        <is>
          <t>—</t>
        </is>
      </c>
    </row>
    <row r="479" ht="20" customHeight="1" s="215">
      <c r="A479" s="54" t="n">
        <v>474</v>
      </c>
      <c r="B479" s="55" t="inlineStr">
        <is>
          <t>CVS</t>
        </is>
      </c>
      <c r="C479" s="56" t="inlineStr">
        <is>
          <t>CVS Health Corp</t>
        </is>
      </c>
      <c r="D479" s="57" t="inlineStr">
        <is>
          <t>Healthcare</t>
        </is>
      </c>
      <c r="E479" s="294" t="n">
        <v>92.68000000000001</v>
      </c>
      <c r="F479" s="289" t="n">
        <v>0.11608863</v>
      </c>
      <c r="G479" s="295" t="n">
        <v>118.534971392</v>
      </c>
      <c r="H479" s="289" t="n">
        <v>0.07099999999999999</v>
      </c>
      <c r="I479" s="296" t="n">
        <v>0.13645001</v>
      </c>
      <c r="J479" s="297" t="n">
        <v>24.389475</v>
      </c>
      <c r="K479" s="301" t="n">
        <v>8076.000256</v>
      </c>
      <c r="L479" s="295" t="n">
        <v>92.3430509009598</v>
      </c>
      <c r="M479" s="300" t="n">
        <v>-0.2209636547211241</v>
      </c>
      <c r="N479" s="297" t="n">
        <v>14.6774356168272</v>
      </c>
      <c r="O479" s="207" t="inlineStr">
        <is>
          <t>—</t>
        </is>
      </c>
      <c r="P479" s="207" t="inlineStr">
        <is>
          <t>—</t>
        </is>
      </c>
      <c r="Q479" s="207" t="inlineStr">
        <is>
          <t>—</t>
        </is>
      </c>
      <c r="R479" s="207" t="inlineStr">
        <is>
          <t>—</t>
        </is>
      </c>
      <c r="S479" s="207" t="inlineStr">
        <is>
          <t>—</t>
        </is>
      </c>
    </row>
    <row r="480" ht="20" customHeight="1" s="215">
      <c r="A480" s="50" t="n">
        <v>475</v>
      </c>
      <c r="B480" s="51" t="inlineStr">
        <is>
          <t>DRI</t>
        </is>
      </c>
      <c r="C480" s="52" t="inlineStr">
        <is>
          <t>Darden Restaurants</t>
        </is>
      </c>
      <c r="D480" s="53" t="inlineStr">
        <is>
          <t>Consumer Discretionary</t>
        </is>
      </c>
      <c r="E480" s="288" t="n">
        <v>216.24</v>
      </c>
      <c r="F480" s="289" t="n">
        <v>0.15334153</v>
      </c>
      <c r="G480" s="290" t="n">
        <v>24.466092032</v>
      </c>
      <c r="H480" s="289" t="n">
        <v>0.051</v>
      </c>
      <c r="I480" s="291" t="n">
        <v>0.21659</v>
      </c>
      <c r="J480" s="292" t="n">
        <v>20.994175</v>
      </c>
      <c r="K480" s="299" t="n">
        <v>794.78752</v>
      </c>
      <c r="L480" s="290" t="n">
        <v>5.266517055543289</v>
      </c>
      <c r="M480" s="300" t="n">
        <v>-0.7847422036729429</v>
      </c>
      <c r="N480" s="292" t="n">
        <v>30.78318436323711</v>
      </c>
      <c r="O480" s="206" t="inlineStr">
        <is>
          <t>—</t>
        </is>
      </c>
      <c r="P480" s="206" t="inlineStr">
        <is>
          <t>—</t>
        </is>
      </c>
      <c r="Q480" s="206" t="inlineStr">
        <is>
          <t>—</t>
        </is>
      </c>
      <c r="R480" s="206" t="inlineStr">
        <is>
          <t>—</t>
        </is>
      </c>
      <c r="S480" s="206" t="inlineStr">
        <is>
          <t>—</t>
        </is>
      </c>
    </row>
    <row r="481" ht="20" customHeight="1" s="215">
      <c r="A481" s="54" t="n">
        <v>476</v>
      </c>
      <c r="B481" s="55" t="inlineStr">
        <is>
          <t>EL</t>
        </is>
      </c>
      <c r="C481" s="56" t="inlineStr">
        <is>
          <t>Estée Lauder Cos</t>
        </is>
      </c>
      <c r="D481" s="57" t="inlineStr">
        <is>
          <t>Consumer Staples</t>
        </is>
      </c>
      <c r="E481" s="294" t="n">
        <v>105.78</v>
      </c>
      <c r="F481" s="289" t="n">
        <v>0.07347273999999999</v>
      </c>
      <c r="G481" s="295" t="n">
        <v>38.326505472</v>
      </c>
      <c r="H481" s="289" t="n">
        <v>0.063</v>
      </c>
      <c r="I481" s="296" t="n">
        <v>0.75487</v>
      </c>
      <c r="J481" s="297" t="n">
        <v>211.56</v>
      </c>
      <c r="K481" s="301" t="n">
        <v>1812.125056</v>
      </c>
      <c r="L481" s="295" t="n">
        <v>16.88614400047715</v>
      </c>
      <c r="M481" s="300" t="n">
        <v>-0.5594134191854884</v>
      </c>
      <c r="N481" s="297" t="n">
        <v>14.46584285360712</v>
      </c>
      <c r="O481" s="207" t="inlineStr">
        <is>
          <t>—</t>
        </is>
      </c>
      <c r="P481" s="207" t="inlineStr">
        <is>
          <t>—</t>
        </is>
      </c>
      <c r="Q481" s="207" t="inlineStr">
        <is>
          <t>—</t>
        </is>
      </c>
      <c r="R481" s="207" t="inlineStr">
        <is>
          <t>—</t>
        </is>
      </c>
      <c r="S481" s="207" t="inlineStr">
        <is>
          <t>—</t>
        </is>
      </c>
    </row>
    <row r="482" ht="20" customHeight="1" s="215">
      <c r="A482" s="50" t="n">
        <v>477</v>
      </c>
      <c r="B482" s="51" t="inlineStr">
        <is>
          <t>FISV</t>
        </is>
      </c>
      <c r="C482" s="52" t="inlineStr">
        <is>
          <t>Fiserv Inc</t>
        </is>
      </c>
      <c r="D482" s="53" t="inlineStr">
        <is>
          <t>Financials</t>
        </is>
      </c>
      <c r="E482" s="288" t="n">
        <v>47.69</v>
      </c>
      <c r="F482" s="300" t="n">
        <v>-0.6158369563841267</v>
      </c>
      <c r="G482" s="290" t="n">
        <v>25.35995392</v>
      </c>
      <c r="H482" s="293" t="inlineStr">
        <is>
          <t>—</t>
        </is>
      </c>
      <c r="I482" s="293" t="inlineStr">
        <is>
          <t>—</t>
        </is>
      </c>
      <c r="J482" s="292" t="n">
        <v>9.153549999999999</v>
      </c>
      <c r="K482" s="293" t="inlineStr">
        <is>
          <t>—</t>
        </is>
      </c>
      <c r="L482" s="293" t="inlineStr">
        <is>
          <t>—</t>
        </is>
      </c>
      <c r="M482" s="293" t="inlineStr">
        <is>
          <t>—</t>
        </is>
      </c>
      <c r="N482" s="293" t="inlineStr">
        <is>
          <t>—</t>
        </is>
      </c>
      <c r="O482" s="206" t="inlineStr">
        <is>
          <t>—</t>
        </is>
      </c>
      <c r="P482" s="206" t="inlineStr">
        <is>
          <t>—</t>
        </is>
      </c>
      <c r="Q482" s="206" t="inlineStr">
        <is>
          <t>—</t>
        </is>
      </c>
      <c r="R482" s="206" t="inlineStr">
        <is>
          <t>—</t>
        </is>
      </c>
      <c r="S482" s="206" t="inlineStr">
        <is>
          <t>—</t>
        </is>
      </c>
    </row>
    <row r="483" ht="20" customHeight="1" s="215">
      <c r="A483" s="54" t="n">
        <v>478</v>
      </c>
      <c r="B483" s="55" t="inlineStr">
        <is>
          <t>FTV</t>
        </is>
      </c>
      <c r="C483" s="56" t="inlineStr">
        <is>
          <t>Fortive Corp</t>
        </is>
      </c>
      <c r="D483" s="57" t="inlineStr">
        <is>
          <t>Industrials</t>
        </is>
      </c>
      <c r="E483" s="294" t="n">
        <v>57.48</v>
      </c>
      <c r="F483" s="289" t="n">
        <v>0.15468061</v>
      </c>
      <c r="G483" s="295" t="n">
        <v>17.523410944</v>
      </c>
      <c r="H483" s="289" t="n">
        <v>0.079</v>
      </c>
      <c r="I483" s="296" t="n">
        <v>0.6323</v>
      </c>
      <c r="J483" s="297" t="n">
        <v>30.252632</v>
      </c>
      <c r="K483" s="301" t="n">
        <v>939.112512</v>
      </c>
      <c r="L483" s="295" t="n">
        <v>7.713674719107581</v>
      </c>
      <c r="M483" s="300" t="n">
        <v>-0.5598074630699261</v>
      </c>
      <c r="N483" s="297" t="n">
        <v>18.65954426457476</v>
      </c>
      <c r="O483" s="207" t="inlineStr">
        <is>
          <t>—</t>
        </is>
      </c>
      <c r="P483" s="207" t="inlineStr">
        <is>
          <t>—</t>
        </is>
      </c>
      <c r="Q483" s="207" t="inlineStr">
        <is>
          <t>—</t>
        </is>
      </c>
      <c r="R483" s="207" t="inlineStr">
        <is>
          <t>—</t>
        </is>
      </c>
      <c r="S483" s="207" t="inlineStr">
        <is>
          <t>—</t>
        </is>
      </c>
    </row>
    <row r="484" ht="20" customHeight="1" s="215">
      <c r="A484" s="50" t="n">
        <v>479</v>
      </c>
      <c r="B484" s="51" t="inlineStr">
        <is>
          <t>GPN</t>
        </is>
      </c>
      <c r="C484" s="52" t="inlineStr">
        <is>
          <t>Global Payments</t>
        </is>
      </c>
      <c r="D484" s="53" t="inlineStr">
        <is>
          <t>Financials</t>
        </is>
      </c>
      <c r="E484" s="288" t="n">
        <v>84.59</v>
      </c>
      <c r="F484" s="300" t="n">
        <v>-0.035021663</v>
      </c>
      <c r="G484" s="290" t="n">
        <v>22.384068608</v>
      </c>
      <c r="H484" s="289" t="n">
        <v>0.6860000000000001</v>
      </c>
      <c r="I484" s="291" t="n">
        <v>0.63959</v>
      </c>
      <c r="J484" s="292" t="n">
        <v>39.71361</v>
      </c>
      <c r="K484" s="299" t="n">
        <v>7867.7632</v>
      </c>
      <c r="L484" s="290" t="n">
        <v>84.75233933108656</v>
      </c>
      <c r="M484" s="289" t="n">
        <v>2.786279465780244</v>
      </c>
      <c r="N484" s="292" t="n">
        <v>2.845036008468074</v>
      </c>
      <c r="O484" s="206" t="inlineStr">
        <is>
          <t>—</t>
        </is>
      </c>
      <c r="P484" s="206" t="inlineStr">
        <is>
          <t>—</t>
        </is>
      </c>
      <c r="Q484" s="206" t="inlineStr">
        <is>
          <t>—</t>
        </is>
      </c>
      <c r="R484" s="206" t="inlineStr">
        <is>
          <t>—</t>
        </is>
      </c>
      <c r="S484" s="206" t="inlineStr">
        <is>
          <t>—</t>
        </is>
      </c>
    </row>
    <row r="485" ht="20" customHeight="1" s="215">
      <c r="A485" s="50" t="n">
        <v>480</v>
      </c>
      <c r="B485" s="51" t="inlineStr">
        <is>
          <t>HIG</t>
        </is>
      </c>
      <c r="C485" s="52" t="inlineStr">
        <is>
          <t>Hartford Financial Services</t>
        </is>
      </c>
      <c r="D485" s="53" t="inlineStr">
        <is>
          <t>Financials</t>
        </is>
      </c>
      <c r="E485" s="294" t="n">
        <v>134.33</v>
      </c>
      <c r="F485" s="289" t="n">
        <v>0.07378100999999999</v>
      </c>
      <c r="G485" s="295" t="n">
        <v>36.386234368</v>
      </c>
      <c r="H485" s="289" t="n">
        <v>0.081</v>
      </c>
      <c r="I485" s="296" t="n">
        <v>0.37868</v>
      </c>
      <c r="J485" s="297" t="n">
        <v>9.588151</v>
      </c>
      <c r="K485" s="301" t="n">
        <v>5507.500032</v>
      </c>
      <c r="L485" s="295" t="n">
        <v>38.34861237925793</v>
      </c>
      <c r="M485" s="289" t="n">
        <v>0.05393187960619945</v>
      </c>
      <c r="N485" s="297" t="n">
        <v>6.606670143848671</v>
      </c>
      <c r="O485" s="207" t="inlineStr">
        <is>
          <t>—</t>
        </is>
      </c>
      <c r="P485" s="207" t="inlineStr">
        <is>
          <t>—</t>
        </is>
      </c>
      <c r="Q485" s="207" t="inlineStr">
        <is>
          <t>—</t>
        </is>
      </c>
      <c r="R485" s="207" t="inlineStr">
        <is>
          <t>—</t>
        </is>
      </c>
      <c r="S485" s="207" t="inlineStr">
        <is>
          <t>—</t>
        </is>
      </c>
    </row>
    <row r="486" ht="20" customHeight="1" s="215">
      <c r="A486" s="54" t="n">
        <v>481</v>
      </c>
      <c r="B486" s="55" t="inlineStr">
        <is>
          <t>ILMN</t>
        </is>
      </c>
      <c r="C486" s="56" t="inlineStr">
        <is>
          <t>Illumina Inc</t>
        </is>
      </c>
      <c r="D486" s="57" t="inlineStr">
        <is>
          <t>Healthcare</t>
        </is>
      </c>
      <c r="E486" s="288" t="n">
        <v>262.66</v>
      </c>
      <c r="F486" s="289" t="n">
        <v>1.6542037</v>
      </c>
      <c r="G486" s="290" t="n">
        <v>39.661662208</v>
      </c>
      <c r="H486" s="289" t="n">
        <v>0.094</v>
      </c>
      <c r="I486" s="291" t="n">
        <v>0.67934996</v>
      </c>
      <c r="J486" s="292" t="n">
        <v>49.00373</v>
      </c>
      <c r="K486" s="299" t="n">
        <v>797.6250240000001</v>
      </c>
      <c r="L486" s="290" t="n">
        <v>10.02045267604958</v>
      </c>
      <c r="M486" s="300" t="n">
        <v>-0.7473516711554162</v>
      </c>
      <c r="N486" s="292" t="n">
        <v>49.72469369265927</v>
      </c>
      <c r="O486" s="206" t="inlineStr">
        <is>
          <t>—</t>
        </is>
      </c>
      <c r="P486" s="206" t="inlineStr">
        <is>
          <t>—</t>
        </is>
      </c>
      <c r="Q486" s="206" t="inlineStr">
        <is>
          <t>—</t>
        </is>
      </c>
      <c r="R486" s="206" t="inlineStr">
        <is>
          <t>—</t>
        </is>
      </c>
      <c r="S486" s="206" t="inlineStr">
        <is>
          <t>—</t>
        </is>
      </c>
    </row>
    <row r="487" ht="20" customHeight="1" s="215">
      <c r="A487" s="50" t="n">
        <v>482</v>
      </c>
      <c r="B487" s="51" t="inlineStr">
        <is>
          <t>INTC</t>
        </is>
      </c>
      <c r="C487" s="52" t="inlineStr">
        <is>
          <t>Intel Corp</t>
        </is>
      </c>
      <c r="D487" s="53" t="inlineStr">
        <is>
          <t>Technology</t>
        </is>
      </c>
      <c r="E487" s="294" t="n">
        <v>92.03</v>
      </c>
      <c r="F487" s="289" t="n">
        <v>1.4142182</v>
      </c>
      <c r="G487" s="295" t="n">
        <v>486.480248832</v>
      </c>
      <c r="H487" s="289" t="n">
        <v>0.254</v>
      </c>
      <c r="I487" s="296" t="n">
        <v>0.38873002</v>
      </c>
      <c r="J487" s="297" t="n">
        <v>43.568417</v>
      </c>
      <c r="K487" s="301" t="n">
        <v>4866.375168</v>
      </c>
      <c r="L487" s="295" t="n">
        <v>70.09665269049363</v>
      </c>
      <c r="M487" s="300" t="n">
        <v>-0.855910588644061</v>
      </c>
      <c r="N487" s="297" t="n">
        <v>99.96768651558679</v>
      </c>
      <c r="O487" s="207" t="inlineStr">
        <is>
          <t>—</t>
        </is>
      </c>
      <c r="P487" s="207" t="inlineStr">
        <is>
          <t>—</t>
        </is>
      </c>
      <c r="Q487" s="207" t="inlineStr">
        <is>
          <t>—</t>
        </is>
      </c>
      <c r="R487" s="207" t="inlineStr">
        <is>
          <t>—</t>
        </is>
      </c>
      <c r="S487" s="207" t="inlineStr">
        <is>
          <t>—</t>
        </is>
      </c>
    </row>
    <row r="488" ht="20" customHeight="1" s="215">
      <c r="A488" s="54" t="n">
        <v>483</v>
      </c>
      <c r="B488" s="55" t="inlineStr">
        <is>
          <t>JCI</t>
        </is>
      </c>
      <c r="C488" s="56" t="inlineStr">
        <is>
          <t>Johnson Controls Intl</t>
        </is>
      </c>
      <c r="D488" s="57" t="inlineStr">
        <is>
          <t>Industrials</t>
        </is>
      </c>
      <c r="E488" s="288" t="n">
        <v>148.22</v>
      </c>
      <c r="F488" s="289" t="n">
        <v>0.3331535</v>
      </c>
      <c r="G488" s="290" t="n">
        <v>89.782992896</v>
      </c>
      <c r="H488" s="289" t="n">
        <v>0.093</v>
      </c>
      <c r="I488" s="291" t="n">
        <v>0.36651</v>
      </c>
      <c r="J488" s="292" t="n">
        <v>41.870056</v>
      </c>
      <c r="K488" s="299" t="n">
        <v>2984.124928</v>
      </c>
      <c r="L488" s="290" t="n">
        <v>24.06024246322278</v>
      </c>
      <c r="M488" s="300" t="n">
        <v>-0.732017816658296</v>
      </c>
      <c r="N488" s="292" t="n">
        <v>30.08687734248906</v>
      </c>
      <c r="O488" s="206" t="inlineStr">
        <is>
          <t>—</t>
        </is>
      </c>
      <c r="P488" s="206" t="inlineStr">
        <is>
          <t>—</t>
        </is>
      </c>
      <c r="Q488" s="206" t="inlineStr">
        <is>
          <t>—</t>
        </is>
      </c>
      <c r="R488" s="206" t="inlineStr">
        <is>
          <t>—</t>
        </is>
      </c>
      <c r="S488" s="206" t="inlineStr">
        <is>
          <t>—</t>
        </is>
      </c>
    </row>
    <row r="489" ht="20" customHeight="1" s="215">
      <c r="A489" s="50" t="n">
        <v>484</v>
      </c>
      <c r="B489" s="51" t="inlineStr">
        <is>
          <t>PEG</t>
        </is>
      </c>
      <c r="C489" s="52" t="inlineStr">
        <is>
          <t>Public Service Enterprise</t>
        </is>
      </c>
      <c r="D489" s="53" t="inlineStr">
        <is>
          <t>Utilities</t>
        </is>
      </c>
      <c r="E489" s="294" t="n">
        <v>70.31999999999999</v>
      </c>
      <c r="F489" s="300" t="n">
        <v>-0.1539942</v>
      </c>
      <c r="G489" s="295" t="n">
        <v>35.041959936</v>
      </c>
      <c r="H489" s="300" t="n">
        <v>-0.089</v>
      </c>
      <c r="I489" s="296" t="n">
        <v>0.33333</v>
      </c>
      <c r="J489" s="297" t="n">
        <v>17.492537</v>
      </c>
      <c r="K489" s="301" t="n">
        <v>107.75</v>
      </c>
      <c r="L489" s="295" t="n">
        <v>0.6868495023907565</v>
      </c>
      <c r="M489" s="300" t="n">
        <v>-0.9803992269940036</v>
      </c>
      <c r="N489" s="297" t="n">
        <v>325.2154152077958</v>
      </c>
      <c r="O489" s="207" t="inlineStr">
        <is>
          <t>—</t>
        </is>
      </c>
      <c r="P489" s="207" t="inlineStr">
        <is>
          <t>—</t>
        </is>
      </c>
      <c r="Q489" s="207" t="inlineStr">
        <is>
          <t>—</t>
        </is>
      </c>
      <c r="R489" s="207" t="inlineStr">
        <is>
          <t>—</t>
        </is>
      </c>
      <c r="S489" s="207" t="inlineStr">
        <is>
          <t>—</t>
        </is>
      </c>
    </row>
    <row r="490" ht="20" customHeight="1" s="215">
      <c r="A490" s="54" t="n">
        <v>485</v>
      </c>
      <c r="B490" s="55" t="inlineStr">
        <is>
          <t>PFG</t>
        </is>
      </c>
      <c r="C490" s="56" t="inlineStr">
        <is>
          <t>Principal Financial Group</t>
        </is>
      </c>
      <c r="D490" s="57" t="inlineStr">
        <is>
          <t>Financials</t>
        </is>
      </c>
      <c r="E490" s="288" t="n">
        <v>106.86</v>
      </c>
      <c r="F490" s="289" t="n">
        <v>0.3460133</v>
      </c>
      <c r="G490" s="290" t="n">
        <v>22.87922176</v>
      </c>
      <c r="H490" s="289" t="n">
        <v>0.064</v>
      </c>
      <c r="I490" s="291" t="n">
        <v>0.47345</v>
      </c>
      <c r="J490" s="292" t="n">
        <v>15.222222</v>
      </c>
      <c r="K490" s="299" t="n">
        <v>1056.374976</v>
      </c>
      <c r="L490" s="290" t="n">
        <v>8.277630308844646</v>
      </c>
      <c r="M490" s="300" t="n">
        <v>-0.6382031523766023</v>
      </c>
      <c r="N490" s="292" t="n">
        <v>21.65823922097526</v>
      </c>
      <c r="O490" s="206" t="inlineStr">
        <is>
          <t>—</t>
        </is>
      </c>
      <c r="P490" s="206" t="inlineStr">
        <is>
          <t>—</t>
        </is>
      </c>
      <c r="Q490" s="206" t="inlineStr">
        <is>
          <t>—</t>
        </is>
      </c>
      <c r="R490" s="206" t="inlineStr">
        <is>
          <t>—</t>
        </is>
      </c>
      <c r="S490" s="206" t="inlineStr">
        <is>
          <t>—</t>
        </is>
      </c>
    </row>
    <row r="491" ht="20" customHeight="1" s="215">
      <c r="A491" s="50" t="n">
        <v>486</v>
      </c>
      <c r="B491" s="51" t="inlineStr">
        <is>
          <t>PH</t>
        </is>
      </c>
      <c r="C491" s="52" t="inlineStr">
        <is>
          <t>Parker-Hannifin</t>
        </is>
      </c>
      <c r="D491" s="53" t="inlineStr">
        <is>
          <t>Industrials</t>
        </is>
      </c>
      <c r="E491" s="294" t="n">
        <v>966.26</v>
      </c>
      <c r="F491" s="289" t="n">
        <v>0.27503526</v>
      </c>
      <c r="G491" s="295" t="n">
        <v>121.857384448</v>
      </c>
      <c r="H491" s="289" t="n">
        <v>0.098</v>
      </c>
      <c r="I491" s="296" t="n">
        <v>0.37546003</v>
      </c>
      <c r="J491" s="297" t="n">
        <v>33.92767</v>
      </c>
      <c r="K491" s="301" t="n">
        <v>2961.750016</v>
      </c>
      <c r="L491" s="295" t="n">
        <v>24.39417207027238</v>
      </c>
      <c r="M491" s="300" t="n">
        <v>-0.7998137562136658</v>
      </c>
      <c r="N491" s="297" t="n">
        <v>41.14370944867077</v>
      </c>
      <c r="O491" s="207" t="inlineStr">
        <is>
          <t>—</t>
        </is>
      </c>
      <c r="P491" s="207" t="inlineStr">
        <is>
          <t>—</t>
        </is>
      </c>
      <c r="Q491" s="207" t="inlineStr">
        <is>
          <t>—</t>
        </is>
      </c>
      <c r="R491" s="207" t="inlineStr">
        <is>
          <t>—</t>
        </is>
      </c>
      <c r="S491" s="207" t="inlineStr">
        <is>
          <t>—</t>
        </is>
      </c>
    </row>
    <row r="492" ht="20" customHeight="1" s="215">
      <c r="A492" s="50" t="n">
        <v>487</v>
      </c>
      <c r="B492" s="51" t="inlineStr">
        <is>
          <t>ROL</t>
        </is>
      </c>
      <c r="C492" s="52" t="inlineStr">
        <is>
          <t>Rollins Inc</t>
        </is>
      </c>
      <c r="D492" s="53" t="inlineStr">
        <is>
          <t>Industrials</t>
        </is>
      </c>
      <c r="E492" s="288" t="n">
        <v>32.66</v>
      </c>
      <c r="F492" s="300" t="n">
        <v>-0.42020237</v>
      </c>
      <c r="G492" s="290" t="n">
        <v>15.714208768</v>
      </c>
      <c r="H492" s="289" t="n">
        <v>0.079</v>
      </c>
      <c r="I492" s="291" t="n">
        <v>0.52366</v>
      </c>
      <c r="J492" s="292" t="n">
        <v>29.690908</v>
      </c>
      <c r="K492" s="299" t="n">
        <v>501.737504</v>
      </c>
      <c r="L492" s="290" t="n">
        <v>3.48882468444998</v>
      </c>
      <c r="M492" s="300" t="n">
        <v>-0.7779827965914179</v>
      </c>
      <c r="N492" s="292" t="n">
        <v>31.31958199130356</v>
      </c>
      <c r="O492" s="206" t="inlineStr">
        <is>
          <t>—</t>
        </is>
      </c>
      <c r="P492" s="206" t="inlineStr">
        <is>
          <t>—</t>
        </is>
      </c>
      <c r="Q492" s="206" t="inlineStr">
        <is>
          <t>—</t>
        </is>
      </c>
      <c r="R492" s="206" t="inlineStr">
        <is>
          <t>—</t>
        </is>
      </c>
      <c r="S492" s="206" t="inlineStr">
        <is>
          <t>—</t>
        </is>
      </c>
    </row>
    <row r="493" ht="20" customHeight="1" s="215">
      <c r="A493" s="54" t="n">
        <v>488</v>
      </c>
      <c r="B493" s="55" t="inlineStr">
        <is>
          <t>STX</t>
        </is>
      </c>
      <c r="C493" s="56" t="inlineStr">
        <is>
          <t>Seagate Technology</t>
        </is>
      </c>
      <c r="D493" s="57" t="inlineStr">
        <is>
          <t>Technology</t>
        </is>
      </c>
      <c r="E493" s="294" t="n">
        <v>660.8099999999999</v>
      </c>
      <c r="F493" s="289" t="n">
        <v>2.0796943</v>
      </c>
      <c r="G493" s="295" t="n">
        <v>150.263578624</v>
      </c>
      <c r="H493" s="289" t="n">
        <v>0.485</v>
      </c>
      <c r="I493" s="296" t="n">
        <v>0.45576</v>
      </c>
      <c r="J493" s="297" t="n">
        <v>47.540287</v>
      </c>
      <c r="K493" s="301" t="n">
        <v>1943.750016</v>
      </c>
      <c r="L493" s="295" t="n">
        <v>22.26765784342035</v>
      </c>
      <c r="M493" s="300" t="n">
        <v>-0.8518093469666389</v>
      </c>
      <c r="N493" s="297" t="n">
        <v>77.3060199842797</v>
      </c>
      <c r="O493" s="207" t="inlineStr">
        <is>
          <t>—</t>
        </is>
      </c>
      <c r="P493" s="207" t="inlineStr">
        <is>
          <t>—</t>
        </is>
      </c>
      <c r="Q493" s="207" t="inlineStr">
        <is>
          <t>—</t>
        </is>
      </c>
      <c r="R493" s="207" t="inlineStr">
        <is>
          <t>—</t>
        </is>
      </c>
      <c r="S493" s="207" t="inlineStr">
        <is>
          <t>—</t>
        </is>
      </c>
    </row>
    <row r="494" ht="20" customHeight="1" s="215">
      <c r="A494" s="50" t="n">
        <v>489</v>
      </c>
      <c r="B494" s="51" t="inlineStr">
        <is>
          <t>TEL</t>
        </is>
      </c>
      <c r="C494" s="52" t="inlineStr">
        <is>
          <t>TE Connectivity</t>
        </is>
      </c>
      <c r="D494" s="53" t="inlineStr">
        <is>
          <t>Technology</t>
        </is>
      </c>
      <c r="E494" s="288" t="n">
        <v>212.33</v>
      </c>
      <c r="F494" s="300" t="n">
        <v>-0.069625795</v>
      </c>
      <c r="G494" s="290" t="n">
        <v>61.56310528</v>
      </c>
      <c r="H494" s="289" t="n">
        <v>0.138</v>
      </c>
      <c r="I494" s="291" t="n">
        <v>0.36119</v>
      </c>
      <c r="J494" s="292" t="n">
        <v>20.796278</v>
      </c>
      <c r="K494" s="299" t="n">
        <v>2336.875008</v>
      </c>
      <c r="L494" s="290" t="n">
        <v>25.97075494596849</v>
      </c>
      <c r="M494" s="300" t="n">
        <v>-0.5781441688516383</v>
      </c>
      <c r="N494" s="292" t="n">
        <v>26.34420012837931</v>
      </c>
      <c r="O494" s="206" t="inlineStr">
        <is>
          <t>—</t>
        </is>
      </c>
      <c r="P494" s="206" t="inlineStr">
        <is>
          <t>—</t>
        </is>
      </c>
      <c r="Q494" s="206" t="inlineStr">
        <is>
          <t>—</t>
        </is>
      </c>
      <c r="R494" s="206" t="inlineStr">
        <is>
          <t>—</t>
        </is>
      </c>
      <c r="S494" s="206" t="inlineStr">
        <is>
          <t>—</t>
        </is>
      </c>
    </row>
    <row r="495" ht="20" customHeight="1" s="215">
      <c r="A495" s="54" t="n">
        <v>490</v>
      </c>
      <c r="B495" s="55" t="inlineStr">
        <is>
          <t>TSCO</t>
        </is>
      </c>
      <c r="C495" s="56" t="inlineStr">
        <is>
          <t>Tractor Supply Co</t>
        </is>
      </c>
      <c r="D495" s="57" t="inlineStr">
        <is>
          <t>Consumer Discretionary</t>
        </is>
      </c>
      <c r="E495" s="294" t="n">
        <v>32.81</v>
      </c>
      <c r="F495" s="300" t="n">
        <v>-0.40094942</v>
      </c>
      <c r="G495" s="295" t="n">
        <v>17.095327744</v>
      </c>
      <c r="H495" s="289" t="n">
        <v>0.023</v>
      </c>
      <c r="I495" s="296" t="n">
        <v>0.36499</v>
      </c>
      <c r="J495" s="297" t="n">
        <v>17.088543</v>
      </c>
      <c r="K495" s="301" t="n">
        <v>103.175</v>
      </c>
      <c r="L495" s="295" t="n">
        <v>0.683564265775009</v>
      </c>
      <c r="M495" s="300" t="n">
        <v>-0.9600145562570498</v>
      </c>
      <c r="N495" s="297" t="n">
        <v>165.6925310876666</v>
      </c>
      <c r="O495" s="207" t="inlineStr">
        <is>
          <t>—</t>
        </is>
      </c>
      <c r="P495" s="207" t="inlineStr">
        <is>
          <t>—</t>
        </is>
      </c>
      <c r="Q495" s="207" t="inlineStr">
        <is>
          <t>—</t>
        </is>
      </c>
      <c r="R495" s="207" t="inlineStr">
        <is>
          <t>—</t>
        </is>
      </c>
      <c r="S495" s="207" t="inlineStr">
        <is>
          <t>—</t>
        </is>
      </c>
    </row>
    <row r="496" ht="20" customHeight="1" s="215">
      <c r="A496" s="50" t="n">
        <v>491</v>
      </c>
      <c r="B496" s="51" t="inlineStr">
        <is>
          <t>UHS</t>
        </is>
      </c>
      <c r="C496" s="52" t="inlineStr">
        <is>
          <t>Universal Health Services</t>
        </is>
      </c>
      <c r="D496" s="53" t="inlineStr">
        <is>
          <t>Healthcare</t>
        </is>
      </c>
      <c r="E496" s="288" t="n">
        <v>182.29</v>
      </c>
      <c r="F496" s="300" t="n">
        <v>-0.11852032</v>
      </c>
      <c r="G496" s="290" t="n">
        <v>10.74353664</v>
      </c>
      <c r="H496" s="289" t="n">
        <v>0.083</v>
      </c>
      <c r="I496" s="291" t="n">
        <v>0.44607</v>
      </c>
      <c r="J496" s="292" t="n">
        <v>7.434339</v>
      </c>
      <c r="K496" s="299" t="n">
        <v>498.316992</v>
      </c>
      <c r="L496" s="290" t="n">
        <v>5.517552860791866</v>
      </c>
      <c r="M496" s="300" t="n">
        <v>-0.4864304887974147</v>
      </c>
      <c r="N496" s="292" t="n">
        <v>18.90797172194361</v>
      </c>
      <c r="O496" s="206" t="inlineStr">
        <is>
          <t>—</t>
        </is>
      </c>
      <c r="P496" s="206" t="inlineStr">
        <is>
          <t>—</t>
        </is>
      </c>
      <c r="Q496" s="206" t="inlineStr">
        <is>
          <t>—</t>
        </is>
      </c>
      <c r="R496" s="206" t="inlineStr">
        <is>
          <t>—</t>
        </is>
      </c>
      <c r="S496" s="206" t="inlineStr">
        <is>
          <t>—</t>
        </is>
      </c>
    </row>
    <row r="497" ht="20" customHeight="1" s="215">
      <c r="A497" s="54" t="n">
        <v>492</v>
      </c>
      <c r="B497" s="55" t="inlineStr">
        <is>
          <t>WDC</t>
        </is>
      </c>
      <c r="C497" s="56" t="inlineStr">
        <is>
          <t>Western Digital</t>
        </is>
      </c>
      <c r="D497" s="57" t="inlineStr">
        <is>
          <t>Technology</t>
        </is>
      </c>
      <c r="E497" s="294" t="n">
        <v>352.21</v>
      </c>
      <c r="F497" s="289" t="n">
        <v>1.9009967</v>
      </c>
      <c r="G497" s="295" t="n">
        <v>131.840393216</v>
      </c>
      <c r="H497" s="289" t="n">
        <v>0.438</v>
      </c>
      <c r="I497" s="296" t="n">
        <v>0.48851</v>
      </c>
      <c r="J497" s="297" t="n">
        <v>13.083581</v>
      </c>
      <c r="K497" s="301" t="n">
        <v>2268.75008</v>
      </c>
      <c r="L497" s="295" t="n">
        <v>25.71622639159018</v>
      </c>
      <c r="M497" s="300" t="n">
        <v>-0.8049442529387929</v>
      </c>
      <c r="N497" s="297" t="n">
        <v>58.11146839694656</v>
      </c>
      <c r="O497" s="207" t="inlineStr">
        <is>
          <t>—</t>
        </is>
      </c>
      <c r="P497" s="207" t="inlineStr">
        <is>
          <t>—</t>
        </is>
      </c>
      <c r="Q497" s="207" t="inlineStr">
        <is>
          <t>—</t>
        </is>
      </c>
      <c r="R497" s="207" t="inlineStr">
        <is>
          <t>—</t>
        </is>
      </c>
      <c r="S497" s="207" t="inlineStr">
        <is>
          <t>—</t>
        </is>
      </c>
    </row>
    <row r="498" ht="20" customHeight="1" s="215">
      <c r="A498" s="50" t="n">
        <v>493</v>
      </c>
      <c r="B498" s="51" t="inlineStr">
        <is>
          <t>WY</t>
        </is>
      </c>
      <c r="C498" s="52" t="inlineStr">
        <is>
          <t>Weyerhaeuser Co</t>
        </is>
      </c>
      <c r="D498" s="53" t="inlineStr">
        <is>
          <t>Real Estate</t>
        </is>
      </c>
      <c r="E498" s="288" t="n">
        <v>19.2</v>
      </c>
      <c r="F498" s="300" t="n">
        <v>-0.19021511</v>
      </c>
      <c r="G498" s="290" t="n">
        <v>13.838132224</v>
      </c>
      <c r="H498" s="300" t="n">
        <v>-0.008999999999999999</v>
      </c>
      <c r="I498" s="291" t="n">
        <v>0.14507</v>
      </c>
      <c r="J498" s="292" t="n">
        <v>29.538464</v>
      </c>
      <c r="K498" s="299" t="n">
        <v>13.625</v>
      </c>
      <c r="L498" s="290" t="n">
        <v>2.299635999297707</v>
      </c>
      <c r="M498" s="300" t="n">
        <v>-0.8338189025749183</v>
      </c>
      <c r="N498" s="292" t="n">
        <v>1015.642656880734</v>
      </c>
      <c r="O498" s="206" t="inlineStr">
        <is>
          <t>—</t>
        </is>
      </c>
      <c r="P498" s="206" t="inlineStr">
        <is>
          <t>—</t>
        </is>
      </c>
      <c r="Q498" s="206" t="inlineStr">
        <is>
          <t>—</t>
        </is>
      </c>
      <c r="R498" s="206" t="inlineStr">
        <is>
          <t>—</t>
        </is>
      </c>
      <c r="S498" s="206" t="inlineStr">
        <is>
          <t>—</t>
        </is>
      </c>
    </row>
    <row r="499" ht="20" customHeight="1" s="215">
      <c r="A499" s="54" t="n">
        <v>494</v>
      </c>
      <c r="B499" s="55" t="inlineStr">
        <is>
          <t>ZBH</t>
        </is>
      </c>
      <c r="C499" s="56" t="inlineStr">
        <is>
          <t>Zimmer Biomet Holdings</t>
        </is>
      </c>
      <c r="D499" s="57" t="inlineStr">
        <is>
          <t>Healthcare</t>
        </is>
      </c>
      <c r="E499" s="294" t="n">
        <v>94.98999999999999</v>
      </c>
      <c r="F499" s="300" t="n">
        <v>-0.07498294</v>
      </c>
      <c r="G499" s="295" t="n">
        <v>18.118172672</v>
      </c>
      <c r="H499" s="289" t="n">
        <v>0.048</v>
      </c>
      <c r="I499" s="296" t="n">
        <v>0.69524</v>
      </c>
      <c r="J499" s="297" t="n">
        <v>23.055826</v>
      </c>
      <c r="K499" s="301" t="n">
        <v>1072.150016</v>
      </c>
      <c r="L499" s="295" t="n">
        <v>10.01852874376335</v>
      </c>
      <c r="M499" s="300" t="n">
        <v>-0.4470452994828734</v>
      </c>
      <c r="N499" s="297" t="n">
        <v>16.89891601709401</v>
      </c>
      <c r="O499" s="207" t="inlineStr">
        <is>
          <t>—</t>
        </is>
      </c>
      <c r="P499" s="207" t="inlineStr">
        <is>
          <t>—</t>
        </is>
      </c>
      <c r="Q499" s="207" t="inlineStr">
        <is>
          <t>—</t>
        </is>
      </c>
      <c r="R499" s="207" t="inlineStr">
        <is>
          <t>—</t>
        </is>
      </c>
      <c r="S499" s="207" t="inlineStr">
        <is>
          <t>—</t>
        </is>
      </c>
    </row>
    <row r="500" ht="20" customHeight="1" s="215"/>
    <row r="501" ht="20" customHeight="1" s="215"/>
    <row r="502" ht="20" customHeight="1" s="215"/>
    <row r="503" ht="20" customHeight="1" s="215"/>
    <row r="504" ht="20" customHeight="1" s="215"/>
    <row r="505" ht="20" customHeight="1" s="215"/>
    <row r="506" ht="20" customHeight="1" s="215"/>
    <row r="507" ht="20" customHeight="1" s="215"/>
    <row r="508" ht="20" customHeight="1" s="215"/>
    <row r="509" ht="20" customHeight="1" s="215"/>
    <row r="510" ht="20" customHeight="1" s="215"/>
    <row r="511" ht="20" customHeight="1" s="215"/>
    <row r="512" ht="20" customHeight="1" s="215"/>
    <row r="513" ht="20" customHeight="1" s="215"/>
    <row r="514" ht="20" customHeight="1" s="215"/>
    <row r="515" ht="20" customHeight="1" s="215"/>
    <row r="516" ht="20" customHeight="1" s="215"/>
    <row r="517" ht="20" customHeight="1" s="215"/>
  </sheetData>
  <autoFilter ref="A5:S499"/>
  <mergeCells count="6">
    <mergeCell ref="A1:S1"/>
    <mergeCell ref="A3:S3"/>
    <mergeCell ref="J4:L4"/>
    <mergeCell ref="M4:N4"/>
    <mergeCell ref="A2:S2"/>
    <mergeCell ref="O4:S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S919"/>
  <sheetViews>
    <sheetView showGridLines="0" workbookViewId="0">
      <pane xSplit="14" ySplit="2" topLeftCell="O3" activePane="bottomRight" state="frozen"/>
      <selection pane="topRight" activeCell="O1" sqref="O1"/>
      <selection pane="bottomLeft" activeCell="A3" sqref="A3"/>
      <selection pane="bottomRight" activeCell="O3" sqref="O3"/>
    </sheetView>
  </sheetViews>
  <sheetFormatPr baseColWidth="10" defaultColWidth="12.6640625" defaultRowHeight="15.75" customHeight="1"/>
  <cols>
    <col width="4.6640625" customWidth="1" style="215" min="1" max="1"/>
    <col width="13.6640625" customWidth="1" style="215" min="2" max="2"/>
    <col width="28.33203125" customWidth="1" style="215" min="3" max="3"/>
    <col width="8.6640625" customWidth="1" style="215" min="4" max="4"/>
    <col width="10.1640625" customWidth="1" style="215" min="5" max="5"/>
    <col width="15.6640625" customWidth="1" style="215" min="6" max="6"/>
    <col width="12" customWidth="1" style="215" min="7" max="7"/>
    <col width="8.83203125" customWidth="1" style="215" min="8" max="9"/>
    <col width="12.5" customWidth="1" style="215" min="10" max="10"/>
    <col width="12.6640625" customWidth="1" style="215" min="11" max="11"/>
    <col width="8.83203125" customWidth="1" style="215" min="12" max="12"/>
    <col width="7" customWidth="1" style="215" min="13" max="14"/>
  </cols>
  <sheetData>
    <row r="1" ht="15" customHeight="1" s="215">
      <c r="A1" s="1" t="inlineStr">
        <is>
          <t>№</t>
        </is>
      </c>
      <c r="B1" s="1" t="inlineStr">
        <is>
          <t>Company</t>
        </is>
      </c>
      <c r="C1" s="1" t="n"/>
      <c r="D1" s="1" t="inlineStr">
        <is>
          <t>Ticker</t>
        </is>
      </c>
      <c r="E1" s="1" t="inlineStr">
        <is>
          <t>Share price</t>
        </is>
      </c>
      <c r="F1" s="1" t="inlineStr">
        <is>
          <t>1 year change</t>
        </is>
      </c>
      <c r="G1" s="2" t="inlineStr">
        <is>
          <t>Market Cap</t>
        </is>
      </c>
      <c r="H1" s="2" t="inlineStr">
        <is>
          <t>IV</t>
        </is>
      </c>
      <c r="I1" s="2" t="inlineStr">
        <is>
          <t>Discount</t>
        </is>
      </c>
      <c r="J1" s="2" t="inlineStr">
        <is>
          <t>Growth annual</t>
        </is>
      </c>
      <c r="K1" s="2" t="inlineStr">
        <is>
          <t>Margin (gross)</t>
        </is>
      </c>
      <c r="L1" s="1" t="inlineStr">
        <is>
          <t>P/E</t>
        </is>
      </c>
      <c r="M1" s="1" t="inlineStr">
        <is>
          <t>Beta</t>
        </is>
      </c>
      <c r="N1" s="3" t="inlineStr">
        <is>
          <t>Tangible book value/share</t>
        </is>
      </c>
      <c r="O1" s="4" t="inlineStr">
        <is>
          <t>USD/RUB</t>
        </is>
      </c>
      <c r="P1" s="4" t="inlineStr">
        <is>
          <t>HKD/USD</t>
        </is>
      </c>
      <c r="Q1" s="4" t="n"/>
      <c r="R1" s="4" t="n"/>
      <c r="S1" s="4" t="n"/>
    </row>
    <row r="2" ht="20.25" customHeight="1" s="215">
      <c r="A2" s="5" t="n"/>
      <c r="B2" s="5" t="n"/>
      <c r="C2" s="5" t="n"/>
      <c r="D2" s="5" t="n"/>
      <c r="E2" s="5" t="inlineStr">
        <is>
          <t>$</t>
        </is>
      </c>
      <c r="F2" s="5" t="inlineStr">
        <is>
          <t>%</t>
        </is>
      </c>
      <c r="G2" s="2" t="inlineStr">
        <is>
          <t>mkn $</t>
        </is>
      </c>
      <c r="H2" s="2" t="inlineStr">
        <is>
          <t>mln $</t>
        </is>
      </c>
      <c r="I2" s="2" t="n"/>
      <c r="J2" s="2" t="inlineStr">
        <is>
          <t>%</t>
        </is>
      </c>
      <c r="K2" s="2" t="inlineStr">
        <is>
          <t>%</t>
        </is>
      </c>
      <c r="L2" s="5" t="n"/>
      <c r="M2" s="5" t="n"/>
      <c r="N2" s="3" t="n"/>
      <c r="O2" s="4" t="n">
        <v>77</v>
      </c>
      <c r="P2" s="4" t="n">
        <v>0.13</v>
      </c>
      <c r="Q2" s="4" t="n"/>
      <c r="R2" s="4" t="n"/>
      <c r="S2" s="4" t="n"/>
    </row>
    <row r="3" ht="20.25" customHeight="1" s="215">
      <c r="A3" s="6">
        <f>A2+1</f>
        <v/>
      </c>
      <c r="B3" s="7">
        <f>HYPERLINK("https://finance.yahoo.com/quote/"&amp;D3, C3)</f>
        <v/>
      </c>
      <c r="C3" s="6" t="inlineStr">
        <is>
          <t>Severstal' PAO</t>
        </is>
      </c>
      <c r="D3" s="6" t="inlineStr">
        <is>
          <t>SVST</t>
        </is>
      </c>
      <c r="E3" s="8">
        <f>IFERROR(__xludf.DUMMYFUNCTION("iferror(googlefinance(D3,""price""),"""")"),"")</f>
        <v/>
      </c>
      <c r="F3" s="9">
        <f>IFERROR(__xludf.DUMMYFUNCTION("IFERROR(GOOGLEFINANCE(D3,""price"") / index(GOOGLEFINANCE(D3,""price"", datevalue(today()-365) ) , 2,2) - 1,"""")"),"")</f>
        <v/>
      </c>
      <c r="G3" s="10">
        <f>IFERROR(__xludf.DUMMYFUNCTION("iferror(googlefinance(D3,""marketcap""),"""")/10^6"),0)</f>
        <v/>
      </c>
      <c r="H3" s="11">
        <f>IFERROR(__xludf.DUMMYFUNCTION("IMPORTRANGE(""https://docs.google.com/spreadsheets/d/1dlfFsw9YFF_dEa-0WVRTnvUf7PBFwRrC6Y6BImZdJ_g/edit#gid=412432278"",""Summary!C30"")"),985803.888993602)</f>
        <v/>
      </c>
      <c r="I3" s="9">
        <f>(H3-G3)/G3</f>
        <v/>
      </c>
      <c r="J3" s="9">
        <f>IFERROR(__xludf.DUMMYFUNCTION("IMPORTRANGE(""https://docs.google.com/spreadsheets/d/1dlfFsw9YFF_dEa-0WVRTnvUf7PBFwRrC6Y6BImZdJ_g/edit#gid=412432278"",""Summary!H2"")"),-0.157778595071717)</f>
        <v/>
      </c>
      <c r="K3" s="9">
        <f>IFERROR(__xludf.DUMMYFUNCTION("IMPORTRANGE(""https://docs.google.com/spreadsheets/d/1dlfFsw9YFF_dEa-0WVRTnvUf7PBFwRrC6Y6BImZdJ_g/edit#gid=412432278"",""Summary!B16"")"),0.280931586608442)</f>
        <v/>
      </c>
      <c r="L3" s="12">
        <f>IFERROR(__xludf.DUMMYFUNCTION("IFERROR(googlefinance(D3,""pe""),"""")"),"")</f>
        <v/>
      </c>
      <c r="M3" s="12">
        <f>IFERROR(__xludf.DUMMYFUNCTION("IFERROR(googlefinance(D3,""beta""),"""")"),"")</f>
        <v/>
      </c>
      <c r="N3" s="13" t="n"/>
      <c r="O3" s="4" t="n"/>
      <c r="P3" s="4" t="n"/>
      <c r="Q3" s="4" t="n"/>
      <c r="R3" s="4" t="n"/>
      <c r="S3" s="4" t="n"/>
    </row>
    <row r="4" ht="20.25" customHeight="1" s="215">
      <c r="A4" s="6">
        <f>A3+1</f>
        <v/>
      </c>
      <c r="B4" s="7">
        <f>HYPERLINK("https://finance.yahoo.com/quote/"&amp;D4, C4)</f>
        <v/>
      </c>
      <c r="C4" s="6" t="inlineStr">
        <is>
          <t>Sberbank Rossii PAO</t>
        </is>
      </c>
      <c r="D4" s="6" t="inlineStr">
        <is>
          <t>SBRCY</t>
        </is>
      </c>
      <c r="E4" s="8">
        <f>IFERROR(__xludf.DUMMYFUNCTION("iferror(googlefinance(D4,""price""),"""")"),"")</f>
        <v/>
      </c>
      <c r="F4" s="9">
        <f>IFERROR(__xludf.DUMMYFUNCTION("IFERROR(GOOGLEFINANCE(D4,""price"") / index(GOOGLEFINANCE(D4,""price"", datevalue(today()-365) ) , 2,2) - 1,"""")"),"")</f>
        <v/>
      </c>
      <c r="G4" s="10">
        <f>IFERROR(__xludf.DUMMYFUNCTION("iferror(googlefinance(D4,""marketcap""),"""")/10^6"),0)</f>
        <v/>
      </c>
      <c r="H4" s="11">
        <f>IFERROR(__xludf.DUMMYFUNCTION("IMPORTRANGE(""https://docs.google.com/spreadsheets/d/1qkyVDQA4KrhGN7P_pvU-cCYRhkeObohXrHMSpHSzFaY/edit#gid=1866964818"",""Summary!C34"")"),9333100.82858735)</f>
        <v/>
      </c>
      <c r="I4" s="9">
        <f>(H4-G4)/G4</f>
        <v/>
      </c>
      <c r="J4" s="9">
        <f>IFERROR(__xludf.DUMMYFUNCTION("IMPORTRANGE(""https://docs.google.com/spreadsheets/d/1qkyVDQA4KrhGN7P_pvU-cCYRhkeObohXrHMSpHSzFaY/edit#gid=1866964818"",""Summary!I2"")"),0.0894187779433681)</f>
        <v/>
      </c>
      <c r="K4" s="9">
        <f>IFERROR(__xludf.DUMMYFUNCTION("IMPORTRANGE(""https://docs.google.com/spreadsheets/d/1qkyVDQA4KrhGN7P_pvU-cCYRhkeObohXrHMSpHSzFaY/edit#gid=1866964818"",""Summary!H20"")"),0.347013223894208)</f>
        <v/>
      </c>
      <c r="L4" s="12">
        <f>IFERROR(__xludf.DUMMYFUNCTION("IFERROR(googlefinance(D4,""pe""),"""")"),"")</f>
        <v/>
      </c>
      <c r="M4" s="12">
        <f>IFERROR(__xludf.DUMMYFUNCTION("IFERROR(googlefinance(D4,""beta""),"""")"),"")</f>
        <v/>
      </c>
      <c r="N4" s="13" t="n"/>
      <c r="O4" s="4" t="n"/>
      <c r="P4" s="4" t="n"/>
      <c r="Q4" s="4" t="n"/>
      <c r="R4" s="4" t="n"/>
      <c r="S4" s="4" t="n"/>
    </row>
    <row r="5" ht="20.25" customHeight="1" s="215">
      <c r="A5" s="14">
        <f>A4+1</f>
        <v/>
      </c>
      <c r="B5" s="7">
        <f>HYPERLINK("https://finance.yahoo.com/quote/"&amp;D5, C5)</f>
        <v/>
      </c>
      <c r="C5" s="6" t="inlineStr">
        <is>
          <t>DouYu International Holdings Ltd</t>
        </is>
      </c>
      <c r="D5" s="6" t="inlineStr">
        <is>
          <t>DOYU</t>
        </is>
      </c>
      <c r="E5" s="8">
        <f>IFERROR(__xludf.DUMMYFUNCTION("iferror(googlefinance(D5,""price""),"""")"),5.28)</f>
        <v/>
      </c>
      <c r="F5" s="9">
        <f>IFERROR(__xludf.DUMMYFUNCTION("IFERROR(GOOGLEFINANCE(D5,""price"") / index(GOOGLEFINANCE(D5,""price"", datevalue(today()-365) ) , 2,2) - 1,"""")"),-0.218934911242603)</f>
        <v/>
      </c>
      <c r="G5" s="10">
        <f>IFERROR(__xludf.DUMMYFUNCTION("iferror(googlefinance(D5,""marketcap""),"""")/10^6"),163.952824)</f>
        <v/>
      </c>
      <c r="H5" s="11">
        <f>IFERROR(__xludf.DUMMYFUNCTION("IMPORTRANGE(""https://docs.google.com/spreadsheets/d/1LupNll8EBZR0CxUoQzkZLRitp2lxm5UXiwXAxqniEg4/edit#gid=1537202402"",""DOYU!E29"")"),58.701638056861)</f>
        <v/>
      </c>
      <c r="I5" s="9">
        <f>(H5-G5)/G5</f>
        <v/>
      </c>
      <c r="J5" s="9">
        <f>IFERROR(__xludf.DUMMYFUNCTION("IMPORTRANGE(""https://docs.google.com/spreadsheets/d/1LupNll8EBZR0CxUoQzkZLRitp2lxm5UXiwXAxqniEg4/edit#gid=1537202402"",""DOYU!I6"")"),5530)</f>
        <v/>
      </c>
      <c r="K5" s="9">
        <f>IFERROR(__xludf.DUMMYFUNCTION("IMPORTRANGE(""https://docs.google.com/spreadsheets/d/1LupNll8EBZR0CxUoQzkZLRitp2lxm5UXiwXAxqniEg4/edit#gid=1537202402"",""DOYU!F23"")"),0.16248307467972)</f>
        <v/>
      </c>
      <c r="L5" s="12">
        <f>IFERROR(__xludf.DUMMYFUNCTION("IFERROR(googlefinance(D5,""pe""),"""")"),"")</f>
        <v/>
      </c>
      <c r="M5" s="12">
        <f>IFERROR(__xludf.DUMMYFUNCTION("IFERROR(googlefinance(D5,""beta""),"""")"),"")</f>
        <v/>
      </c>
      <c r="N5" s="13" t="n"/>
      <c r="O5" s="4" t="n"/>
      <c r="P5" s="4" t="n"/>
      <c r="Q5" s="4" t="n"/>
      <c r="R5" s="4" t="n"/>
      <c r="S5" s="4" t="n"/>
    </row>
    <row r="6" ht="20.25" customHeight="1" s="215">
      <c r="A6" s="6">
        <f>A5+1</f>
        <v/>
      </c>
      <c r="B6" s="7">
        <f>HYPERLINK("https://finance.yahoo.com/quote/"&amp;D6, C6)</f>
        <v/>
      </c>
      <c r="C6" s="15" t="inlineStr">
        <is>
          <t>TCS Group Holding PLC</t>
        </is>
      </c>
      <c r="D6" s="6" t="inlineStr">
        <is>
          <t>TCSG</t>
        </is>
      </c>
      <c r="E6" s="8">
        <f>IFERROR(__xludf.DUMMYFUNCTION("iferror(googlefinance(D6,""price""),"""")"),"")</f>
        <v/>
      </c>
      <c r="F6" s="9">
        <f>IFERROR(__xludf.DUMMYFUNCTION("IFERROR(GOOGLEFINANCE(D6,""price"") / index(GOOGLEFINANCE(D6,""price"", datevalue(today()-365) ) , 2,2) - 1,"""")"),"")</f>
        <v/>
      </c>
      <c r="G6" s="10">
        <f>IFERROR(__xludf.DUMMYFUNCTION("iferror(googlefinance(D6,""marketcap""),"""")/10^6"),0)</f>
        <v/>
      </c>
      <c r="H6" s="11">
        <f>IFERROR(__xludf.DUMMYFUNCTION("importrange(""https://docs.google.com/spreadsheets/d/1dcdnXtSf0zvBGYPG5ZVxziOJBBQiAwWkEZT-UAXL40I/edit#gid=1344089490"",""Summary!C36"")/#REF!*1000"),"#REF!")</f>
        <v/>
      </c>
      <c r="I6" s="9" t="n">
        <v>0</v>
      </c>
      <c r="J6" s="9">
        <f>IFERROR(__xludf.DUMMYFUNCTION("importrange(""https://docs.google.com/spreadsheets/d/1dcdnXtSf0zvBGYPG5ZVxziOJBBQiAwWkEZT-UAXL40I/edit#gid=1344089490"",""Summary!J2"")"),0.78)</f>
        <v/>
      </c>
      <c r="K6" s="9">
        <f>IFERROR(__xludf.DUMMYFUNCTION("importrange(""https://docs.google.com/spreadsheets/d/1dcdnXtSf0zvBGYPG5ZVxziOJBBQiAwWkEZT-UAXL40I/edit#gid=1344089490"",""Summary!I22"")"),0.351235955056179)</f>
        <v/>
      </c>
      <c r="L6" s="12">
        <f>IFERROR(__xludf.DUMMYFUNCTION("IFERROR(googlefinance(D6,""pe""),"""")"),"")</f>
        <v/>
      </c>
      <c r="M6" s="12">
        <f>IFERROR(__xludf.DUMMYFUNCTION("IFERROR(googlefinance(D6,""beta""),"""")"),"")</f>
        <v/>
      </c>
      <c r="N6" s="13" t="n"/>
      <c r="O6" s="4" t="n"/>
      <c r="P6" s="4" t="n"/>
      <c r="Q6" s="4" t="n"/>
      <c r="R6" s="4" t="n"/>
      <c r="S6" s="4" t="n"/>
    </row>
    <row r="7" ht="20.25" customHeight="1" s="215">
      <c r="A7" s="6">
        <f>A6+1</f>
        <v/>
      </c>
      <c r="B7" s="7">
        <f>HYPERLINK("https://finance.yahoo.com/quote/"&amp;D7, C7)</f>
        <v/>
      </c>
      <c r="C7" s="15" t="inlineStr">
        <is>
          <t>Boeing Co</t>
        </is>
      </c>
      <c r="D7" s="6" t="inlineStr">
        <is>
          <t>BA</t>
        </is>
      </c>
      <c r="E7" s="8">
        <f>IFERROR(__xludf.DUMMYFUNCTION("iferror(googlefinance(D7,""price""),"""")"),227.53)</f>
        <v/>
      </c>
      <c r="F7" s="9">
        <f>IFERROR(__xludf.DUMMYFUNCTION("IFERROR(GOOGLEFINANCE(D7,""price"") / index(GOOGLEFINANCE(D7,""price"", datevalue(today()-365) ) , 2,2) - 1,"""")"),0.337939550746795)</f>
        <v/>
      </c>
      <c r="G7" s="10">
        <f>IFERROR(__xludf.DUMMYFUNCTION("iferror(googlefinance(D7,""marketcap""),"""")/10^6"),178690.024704)</f>
        <v/>
      </c>
      <c r="H7" s="11">
        <f>IFERROR(__xludf.DUMMYFUNCTION("importrange(""https://docs.google.com/spreadsheets/d/1NdaSGlewe3S15DWFefRKHC-Z0tqbjFNPLDNlxW-5Kck/edit#gid=314785295"",""Financials!B41"")*1000"),63766.7712618821)</f>
        <v/>
      </c>
      <c r="I7" s="9">
        <f>(H7-G7)/G7</f>
        <v/>
      </c>
      <c r="J7" s="9">
        <f>IFERROR(__xludf.DUMMYFUNCTION("importrange(""https://docs.google.com/spreadsheets/d/1NdaSGlewe3S15DWFefRKHC-Z0tqbjFNPLDNlxW-5Kck/edit#gid=314785295"",""Financials!F2"")"),-0.368018065699869)</f>
        <v/>
      </c>
      <c r="K7" s="9">
        <f>IFERROR(__xludf.DUMMYFUNCTION("importrange(""https://docs.google.com/spreadsheets/d/1NdaSGlewe3S15DWFefRKHC-Z0tqbjFNPLDNlxW-5Kck/edit#gid=314785295"",""Financials!D19"")"),-0.0563899279772207)</f>
        <v/>
      </c>
      <c r="L7" s="12">
        <f>IFERROR(__xludf.DUMMYFUNCTION("IFERROR(googlefinance(D7,""pe""),"""")"),"")</f>
        <v/>
      </c>
      <c r="M7" s="12">
        <f>IFERROR(__xludf.DUMMYFUNCTION("IFERROR(googlefinance(D7,""beta""),"""")"),"")</f>
        <v/>
      </c>
      <c r="N7" s="13" t="n"/>
      <c r="O7" s="4" t="n"/>
      <c r="P7" s="4" t="n"/>
      <c r="Q7" s="4" t="n"/>
      <c r="R7" s="4" t="n"/>
      <c r="S7" s="4" t="n"/>
    </row>
    <row r="8" ht="20.25" customHeight="1" s="215">
      <c r="A8" s="6" t="n">
        <v>1</v>
      </c>
      <c r="B8" s="7">
        <f>HYPERLINK("https://finance.yahoo.com/quote/"&amp;D8, C8)</f>
        <v/>
      </c>
      <c r="C8" s="6" t="inlineStr">
        <is>
          <t>GameStop Corp.</t>
        </is>
      </c>
      <c r="D8" s="16" t="inlineStr">
        <is>
          <t>GME</t>
        </is>
      </c>
      <c r="E8" s="8">
        <f>IFERROR(__xludf.DUMMYFUNCTION("iferror(googlefinance(D8,""price""),"""")"),24.03)</f>
        <v/>
      </c>
      <c r="F8" s="9">
        <f>IFERROR(__xludf.DUMMYFUNCTION("IFERROR(GOOGLEFINANCE(D8,""price"") / index(GOOGLEFINANCE(D8,""price"", datevalue(today()-365) ) , 2,2) - 1,"""")"),-0.0151639344262294)</f>
        <v/>
      </c>
      <c r="G8" s="10">
        <f>IFERROR(__xludf.DUMMYFUNCTION("iferror(googlefinance(D8,""marketcap""),"""")/10^6"),10765.668592)</f>
        <v/>
      </c>
      <c r="H8" s="11">
        <f>IFERROR(__xludf.DUMMYFUNCTION("IMPORTRANGE(""https://docs.google.com/spreadsheets/d/1L4yfv89QVUE9L_HHdbGE4xVtgtA9FIdzCOWtDZY6v_8/edit#gid=469363836"",""Summary!B34"")"),4338.4200830816)</f>
        <v/>
      </c>
      <c r="I8" s="9">
        <f>(H8-G8)/G8</f>
        <v/>
      </c>
      <c r="J8" s="9">
        <f>IFERROR(__xludf.DUMMYFUNCTION("IMPORTRANGE(""https://docs.google.com/spreadsheets/d/1L4yfv89QVUE9L_HHdbGE4xVtgtA9FIdzCOWtDZY6v_8/edit#gid=469363836"",""Summary!I3"")"),-0.247560964024813)</f>
        <v/>
      </c>
      <c r="K8" s="9">
        <f>IFERROR(__xludf.DUMMYFUNCTION("IMPORTRANGE(""https://docs.google.com/spreadsheets/d/1L4yfv89QVUE9L_HHdbGE4xVtgtA9FIdzCOWtDZY6v_8/edit#gid=469363836"",""Summary!H11"")"),0.377315136288459)</f>
        <v/>
      </c>
      <c r="L8" s="12">
        <f>IFERROR(__xludf.DUMMYFUNCTION("IFERROR(googlefinance(D8,""pe""),"""")"),"")</f>
        <v/>
      </c>
      <c r="M8" s="12">
        <f>IFERROR(__xludf.DUMMYFUNCTION("IFERROR(googlefinance(D8,""beta""),"""")"),"")</f>
        <v/>
      </c>
      <c r="N8" s="13" t="n"/>
      <c r="O8" s="4" t="n"/>
      <c r="P8" s="4" t="n"/>
      <c r="Q8" s="4" t="n"/>
      <c r="R8" s="4" t="n"/>
      <c r="S8" s="4" t="n"/>
    </row>
    <row r="9" ht="20.25" customHeight="1" s="215">
      <c r="A9" s="14">
        <f>A8+1</f>
        <v/>
      </c>
      <c r="B9" s="7">
        <f>HYPERLINK("https://finance.yahoo.com/quote/"&amp;D9, C9)</f>
        <v/>
      </c>
      <c r="C9" s="15" t="inlineStr">
        <is>
          <t>Baidu Inc</t>
        </is>
      </c>
      <c r="D9" s="6" t="inlineStr">
        <is>
          <t>BIDU</t>
        </is>
      </c>
      <c r="E9" s="8">
        <f>IFERROR(__xludf.DUMMYFUNCTION("iferror(googlefinance(D9,""price""),"""")"),124.44)</f>
        <v/>
      </c>
      <c r="F9" s="9">
        <f>IFERROR(__xludf.DUMMYFUNCTION("IFERROR(GOOGLEFINANCE(D9,""price"") / index(GOOGLEFINANCE(D9,""price"", datevalue(today()-365) ) , 2,2) - 1,"""")"),0.475806451612903)</f>
        <v/>
      </c>
      <c r="G9" s="10">
        <f>IFERROR(__xludf.DUMMYFUNCTION("iferror(googlefinance(D9,""marketcap""),"""")/10^6"),42778.851635)</f>
        <v/>
      </c>
      <c r="H9" s="11">
        <f>IFERROR(__xludf.DUMMYFUNCTION("IMPORTRANGE(""https://docs.google.com/spreadsheets/d/1IVS0z4Rl2pa89mr25nlgvj339ilU2tVdVu3j7nFXQIc/edit#gid=300601680"",""Summary!B87"")*1000"),68732.0998158358)</f>
        <v/>
      </c>
      <c r="I9" s="9">
        <f>(H9-G9)/G9</f>
        <v/>
      </c>
      <c r="J9" s="9">
        <f>IFERROR(__xludf.DUMMYFUNCTION("IMPORTRANGE(""https://docs.google.com/spreadsheets/d/1IVS0z4Rl2pa89mr25nlgvj339ilU2tVdVu3j7nFXQIc/edit#gid=300601680"",""Summary!N2"")"),-0.028912676056338)</f>
        <v/>
      </c>
      <c r="K9" s="9">
        <f>IFERROR(__xludf.DUMMYFUNCTION("IMPORTRANGE(""https://docs.google.com/spreadsheets/d/1IVS0z4Rl2pa89mr25nlgvj339ilU2tVdVu3j7nFXQIc/edit#gid=300601680"",""Summary!G38"")"),0.239090343630986)</f>
        <v/>
      </c>
      <c r="L9" s="12">
        <f>IFERROR(__xludf.DUMMYFUNCTION("IFERROR(googlefinance(D9,""pe""),"""")"),"")</f>
        <v/>
      </c>
      <c r="M9" s="12">
        <f>IFERROR(__xludf.DUMMYFUNCTION("IFERROR(googlefinance(D9,""beta""),"""")"),"")</f>
        <v/>
      </c>
      <c r="N9" s="13" t="n"/>
      <c r="O9" s="4" t="n"/>
      <c r="P9" s="4" t="n"/>
      <c r="Q9" s="4" t="n"/>
      <c r="R9" s="4" t="n"/>
      <c r="S9" s="4" t="n"/>
    </row>
    <row r="10" ht="20.25" customHeight="1" s="215">
      <c r="A10" s="6">
        <f>A9+1</f>
        <v/>
      </c>
      <c r="B10" s="7">
        <f>HYPERLINK("https://finance.yahoo.com/quote/"&amp;#REF!, C10)</f>
        <v/>
      </c>
      <c r="C10" s="15" t="inlineStr">
        <is>
          <t>Southwest Airlines Co</t>
        </is>
      </c>
      <c r="D10" s="9" t="n"/>
      <c r="E10" s="8">
        <f>IFERROR(__xludf.DUMMYFUNCTION("iferror(googlefinance(#REF!,""price""),"""")"),"")</f>
        <v/>
      </c>
      <c r="F10" s="9">
        <f>IFERROR(__xludf.DUMMYFUNCTION("IFERROR(GOOGLEFINANCE(#REF!,""price"") / index(GOOGLEFINANCE(#REF!,""price"", datevalue(today()-365) ) , 2,2) - 1,"""")"),"")</f>
        <v/>
      </c>
      <c r="G10" s="10">
        <f>IFERROR(__xludf.DUMMYFUNCTION("iferror(googlefinance(#REF!,""marketcap""),"""")/10^6"),0)</f>
        <v/>
      </c>
      <c r="H10" s="11">
        <f>IFERROR(__xludf.DUMMYFUNCTION("importrange(""https://docs.google.com/spreadsheets/d/134U-14NIeFgI3O-C1JHtY0ItSiJlwkxRAneHpKC9G-c/edit#gid=893603675"",""Financials!B49"")*1000"),31298.0232402297)</f>
        <v/>
      </c>
      <c r="I10" s="9">
        <f>(H10-G10)/G10</f>
        <v/>
      </c>
      <c r="K10" s="9">
        <f>IFERROR(__xludf.DUMMYFUNCTION("importrange(""https://docs.google.com/spreadsheets/d/134U-14NIeFgI3O-C1JHtY0ItSiJlwkxRAneHpKC9G-c/edit#gid=893603675"",""Financials!H16"")"),0.0984871957621025)</f>
        <v/>
      </c>
      <c r="L10" s="12">
        <f>IFERROR(__xludf.DUMMYFUNCTION("IFERROR(googlefinance(#REF!,""pe""),"""")"),"")</f>
        <v/>
      </c>
      <c r="M10" s="12">
        <f>IFERROR(__xludf.DUMMYFUNCTION("IFERROR(googlefinance(#REF!,""beta""),"""")"),"")</f>
        <v/>
      </c>
      <c r="N10" s="13" t="n"/>
      <c r="O10" s="4" t="n"/>
      <c r="P10" s="4" t="n"/>
      <c r="Q10" s="4" t="n"/>
      <c r="R10" s="4" t="n"/>
      <c r="S10" s="4" t="n"/>
    </row>
    <row r="11" ht="20.25" customHeight="1" s="215">
      <c r="A11" s="14">
        <f>A10+1</f>
        <v/>
      </c>
      <c r="B11" s="7">
        <f>HYPERLINK("https://finance.yahoo.com/quote/"&amp;D11, C11)</f>
        <v/>
      </c>
      <c r="C11" s="6" t="inlineStr">
        <is>
          <t>American Airlines Group Inc</t>
        </is>
      </c>
      <c r="D11" s="16" t="inlineStr">
        <is>
          <t>AAL</t>
        </is>
      </c>
      <c r="E11" s="8">
        <f>IFERROR(__xludf.DUMMYFUNCTION("iferror(googlefinance(D11,""price""),"""")"),13.07)</f>
        <v/>
      </c>
      <c r="F11" s="9">
        <f>IFERROR(__xludf.DUMMYFUNCTION("IFERROR(GOOGLEFINANCE(D11,""price"") / index(GOOGLEFINANCE(D11,""price"", datevalue(today()-365) ) , 2,2) - 1,"""")"),-0.0576784426820474)</f>
        <v/>
      </c>
      <c r="G11" s="10">
        <f>IFERROR(__xludf.DUMMYFUNCTION("iferror(googlefinance(D11,""marketcap""),"""")/10^6"),8630.179613)</f>
        <v/>
      </c>
      <c r="H11" s="11">
        <f>IFERROR(__xludf.DUMMYFUNCTION("importrange(""https://docs.google.com/spreadsheets/d/1Y-0VcPnHxxHb4ZZr1UWvNQuaZIkoxtvWgysgmaSL9Gs/edit#gid=1635501517"",""Financials!B48"")*1000"),14832.1796340825)</f>
        <v/>
      </c>
      <c r="I11" s="9">
        <f>(H11-G11)/G11</f>
        <v/>
      </c>
      <c r="J11" s="9">
        <f>IFERROR(__xludf.DUMMYFUNCTION("importrange(""https://docs.google.com/spreadsheets/d/1Y-0VcPnHxxHb4ZZr1UWvNQuaZIkoxtvWgysgmaSL9Gs/edit#gid=1635501517"",""Financials!Q3"")"),0.0116950434413679)</f>
        <v/>
      </c>
      <c r="K11" s="9">
        <f>IFERROR(__xludf.DUMMYFUNCTION("importrange(""https://docs.google.com/spreadsheets/d/1Y-0VcPnHxxHb4ZZr1UWvNQuaZIkoxtvWgysgmaSL9Gs/edit#gid=1635501517"",""Financials!M16"")"),0)</f>
        <v/>
      </c>
      <c r="L11" s="12">
        <f>IFERROR(__xludf.DUMMYFUNCTION("IFERROR(googlefinance(D11,""pe""),"""")"),"")</f>
        <v/>
      </c>
      <c r="M11" s="12">
        <f>IFERROR(__xludf.DUMMYFUNCTION("IFERROR(googlefinance(D11,""beta""),"""")"),"")</f>
        <v/>
      </c>
      <c r="N11" s="13">
        <f>IFERROR(__xludf.DUMMYFUNCTION("IMPORTRANGE(""https://docs.google.com/spreadsheets/d/1zPx-sYL2WZELC72hI-Xc5oMEa-YaHSyQySKfbmi4y7s/edit#gid=303626986"",""Summary!I13"")"),32.23)</f>
        <v/>
      </c>
      <c r="O11" s="4" t="n"/>
      <c r="P11" s="4" t="n"/>
      <c r="Q11" s="4" t="n"/>
      <c r="R11" s="4" t="n"/>
      <c r="S11" s="4" t="n"/>
    </row>
    <row r="12" ht="20.25" customHeight="1" s="215">
      <c r="A12" s="14">
        <f>A11+1</f>
        <v/>
      </c>
      <c r="B12" s="7">
        <f>HYPERLINK("https://finance.yahoo.com/quote/"&amp;D12, C12)</f>
        <v/>
      </c>
      <c r="C12" s="17" t="inlineStr">
        <is>
          <t>Synchrony</t>
        </is>
      </c>
      <c r="D12" s="16" t="inlineStr">
        <is>
          <t>SYF</t>
        </is>
      </c>
      <c r="E12" s="8">
        <f>IFERROR(__xludf.DUMMYFUNCTION("iferror(googlefinance(D12,""price""),"""")"),69.11)</f>
        <v/>
      </c>
      <c r="F12" s="9">
        <f>IFERROR(__xludf.DUMMYFUNCTION("IFERROR(GOOGLEFINANCE(D12,""price"") / index(GOOGLEFINANCE(D12,""price"", datevalue(today()-365) ) , 2,2) - 1,"""")"),0.191140985866942)</f>
        <v/>
      </c>
      <c r="G12" s="10">
        <f>IFERROR(__xludf.DUMMYFUNCTION("iferror(googlefinance(D12,""marketcap""),"""")/10^6"),24022.373594)</f>
        <v/>
      </c>
      <c r="H12" s="11">
        <f>IFERROR(__xludf.DUMMYFUNCTION("IMPORTRANGE(""https://docs.google.com/spreadsheets/d/1iemsJA0zDOHQP6QC15q0vMx_VbJPUq1by9erqpBNeOY/edit#gid=1736956277"",""SYF!C28"")"),47018.17007173)</f>
        <v/>
      </c>
      <c r="I12" s="9">
        <f>(H12-G12)/G12</f>
        <v/>
      </c>
      <c r="J12" s="9">
        <f>IFERROR(__xludf.DUMMYFUNCTION("IMPORTRANGE(""https://docs.google.com/spreadsheets/d/1iemsJA0zDOHQP6QC15q0vMx_VbJPUq1by9erqpBNeOY/edit#gid=1736956277"",""SYF!M2"")"),20759)</f>
        <v/>
      </c>
      <c r="K12" s="9">
        <f>IFERROR(__xludf.DUMMYFUNCTION("IMPORTRANGE(""https://docs.google.com/spreadsheets/d/1iemsJA0zDOHQP6QC15q0vMx_VbJPUq1by9erqpBNeOY/edit#gid=1736956277"",""SYF!I17"")"),0.111844152610941)</f>
        <v/>
      </c>
      <c r="L12" s="12">
        <f>IFERROR(__xludf.DUMMYFUNCTION("IFERROR(googlefinance(D12,""pe""),"""")"),"")</f>
        <v/>
      </c>
      <c r="M12" s="12">
        <f>IFERROR(__xludf.DUMMYFUNCTION("IFERROR(googlefinance(D12,""beta""),"""")"),"")</f>
        <v/>
      </c>
      <c r="N12" s="13" t="n"/>
      <c r="O12" s="4" t="n"/>
      <c r="P12" s="4" t="n"/>
      <c r="Q12" s="4" t="n"/>
      <c r="R12" s="4" t="n"/>
      <c r="S12" s="4" t="n"/>
    </row>
    <row r="13" ht="20.25" customHeight="1" s="215">
      <c r="A13" s="6">
        <f>A12+1</f>
        <v/>
      </c>
      <c r="B13" s="7">
        <f>HYPERLINK("https://finance.yahoo.com/quote/"&amp;D13, C13)</f>
        <v/>
      </c>
      <c r="C13" s="6" t="inlineStr">
        <is>
          <t>JPMorgan Chase &amp; Co.</t>
        </is>
      </c>
      <c r="D13" s="16" t="inlineStr">
        <is>
          <t>JPM</t>
        </is>
      </c>
      <c r="E13" s="8">
        <f>IFERROR(__xludf.DUMMYFUNCTION("iferror(googlefinance(D13,""price""),"""")"),300.3)</f>
        <v/>
      </c>
      <c r="F13" s="9">
        <f>IFERROR(__xludf.DUMMYFUNCTION("IFERROR(GOOGLEFINANCE(D13,""price"") / index(GOOGLEFINANCE(D13,""price"", datevalue(today()-365) ) , 2,2) - 1,"""")"),0.15225232138746)</f>
        <v/>
      </c>
      <c r="G13" s="10">
        <f>IFERROR(__xludf.DUMMYFUNCTION("iferror(googlefinance(D13,""marketcap""),"""")/10^6"),809918.676677)</f>
        <v/>
      </c>
      <c r="H13" s="11">
        <f>IFERROR(__xludf.DUMMYFUNCTION("IMPORTRANGE(""https://docs.google.com/spreadsheets/d/18ffdmQve-35mEbb2ekY2flpF2A2bw2ki4JoC3jzdg1I/edit#gid=650781654"",""JPM!B1"")*1000"),426806.632058656)</f>
        <v/>
      </c>
      <c r="I13" s="9">
        <f>(H13-G13)/G13</f>
        <v/>
      </c>
      <c r="J13" s="9">
        <f>IFERROR(__xludf.DUMMYFUNCTION("IMPORTRANGE(""https://docs.google.com/spreadsheets/d/18ffdmQve-35mEbb2ekY2flpF2A2bw2ki4JoC3jzdg1I/edit#gid=650781654"",""JPM!I53"")"),0.0265768375898362)</f>
        <v/>
      </c>
      <c r="K13" s="9">
        <f>IFERROR(__xludf.DUMMYFUNCTION("IMPORTRANGE(""https://docs.google.com/spreadsheets/d/18ffdmQve-35mEbb2ekY2flpF2A2bw2ki4JoC3jzdg1I/edit#gid=650781654"",""JPM!H65"")"),0.262535804549283)</f>
        <v/>
      </c>
      <c r="L13" s="12">
        <f>IFERROR(__xludf.DUMMYFUNCTION("G13/IMPORTRANGE(""https://docs.google.com/spreadsheets/d/18ffdmQve-35mEbb2ekY2flpF2A2bw2ki4JoC3jzdg1I/edit#gid=650781654"",""JPM!H55"")"),33.3423357077518)</f>
        <v/>
      </c>
      <c r="M13" s="12">
        <f>IFERROR(__xludf.DUMMYFUNCTION("IFERROR(googlefinance(D13,""beta""),"""")"),"")</f>
        <v/>
      </c>
      <c r="N13" s="13" t="n"/>
      <c r="O13" s="4" t="n"/>
      <c r="P13" s="4" t="n"/>
      <c r="Q13" s="4" t="n"/>
      <c r="R13" s="4" t="n"/>
      <c r="S13" s="4" t="n"/>
    </row>
    <row r="14" ht="20.25" customHeight="1" s="215">
      <c r="A14" s="6">
        <f>A13+1</f>
        <v/>
      </c>
      <c r="B14" s="7">
        <f>HYPERLINK("https://finance.yahoo.com/quote/"&amp;D14, C14)</f>
        <v/>
      </c>
      <c r="C14" s="15" t="inlineStr">
        <is>
          <t>United Airlines Holdings Inc</t>
        </is>
      </c>
      <c r="D14" s="6" t="inlineStr">
        <is>
          <t>UAL</t>
        </is>
      </c>
      <c r="E14" s="8">
        <f>IFERROR(__xludf.DUMMYFUNCTION("iferror(googlefinance(D14,""price""),"""")"),106.3)</f>
        <v/>
      </c>
      <c r="F14" s="9">
        <f>IFERROR(__xludf.DUMMYFUNCTION("IFERROR(GOOGLEFINANCE(D14,""price"") / index(GOOGLEFINANCE(D14,""price"", datevalue(today()-365) ) , 2,2) - 1,"""")"),0.159594196574669)</f>
        <v/>
      </c>
      <c r="G14" s="10">
        <f>IFERROR(__xludf.DUMMYFUNCTION("iferror(googlefinance(D14,""marketcap""),"""")/10^6"),34380.641877)</f>
        <v/>
      </c>
      <c r="H14" s="11">
        <f>IFERROR(__xludf.DUMMYFUNCTION("importrange(""https://docs.google.com/spreadsheets/d/1E88W75oZAuEU3j_FKIjWcy8x6xr33WZ1jtcDeEarqCM/edit#gid=1816187640"",""Summary!B27"")"),21653.5369773099)</f>
        <v/>
      </c>
      <c r="I14" s="9">
        <f>(H14-G14)/G14</f>
        <v/>
      </c>
      <c r="J14" s="9">
        <f>IFERROR(__xludf.DUMMYFUNCTION("importrange(""https://docs.google.com/spreadsheets/d/1E88W75oZAuEU3j_FKIjWcy8x6xr33WZ1jtcDeEarqCM/edit#gid=1816187640"",""Summary!F2"")"),-0.352566585956416)</f>
        <v/>
      </c>
      <c r="K14" s="9">
        <f>IFERROR(__xludf.DUMMYFUNCTION("importrange(""https://docs.google.com/spreadsheets/d/1E88W75oZAuEU3j_FKIjWcy8x6xr33WZ1jtcDeEarqCM/edit#gid=1816187640"",""Summary!D14"")"),0.0994243972352574)</f>
        <v/>
      </c>
      <c r="L14" s="12">
        <f>IFERROR(__xludf.DUMMYFUNCTION("IFERROR(googlefinance(D14,""pe""),"""")"),"")</f>
        <v/>
      </c>
      <c r="M14" s="12">
        <f>IFERROR(__xludf.DUMMYFUNCTION("IFERROR(googlefinance(D14,""beta""),"""")"),"")</f>
        <v/>
      </c>
      <c r="N14" s="13" t="n"/>
      <c r="O14" s="4" t="n"/>
      <c r="P14" s="4" t="n"/>
      <c r="Q14" s="4" t="n"/>
      <c r="R14" s="4" t="n"/>
      <c r="S14" s="4" t="n"/>
    </row>
    <row r="15" ht="20.25" customHeight="1" s="215">
      <c r="A15" s="14">
        <f>A14+1</f>
        <v/>
      </c>
      <c r="B15" s="7">
        <f>HYPERLINK("https://finance.yahoo.com/quote/"&amp;D15, C15)</f>
        <v/>
      </c>
      <c r="C15" s="18" t="inlineStr">
        <is>
          <t>U.S. Bancorp</t>
        </is>
      </c>
      <c r="D15" s="16" t="inlineStr">
        <is>
          <t>USB</t>
        </is>
      </c>
      <c r="E15" s="8">
        <f>IFERROR(__xludf.DUMMYFUNCTION("iferror(googlefinance(D15,""price""),"""")"),54.66)</f>
        <v/>
      </c>
      <c r="F15" s="9">
        <f>IFERROR(__xludf.DUMMYFUNCTION("IFERROR(GOOGLEFINANCE(D15,""price"") / index(GOOGLEFINANCE(D15,""price"", datevalue(today()-365) ) , 2,2) - 1,"""")"),0.182093425605536)</f>
        <v/>
      </c>
      <c r="G15" s="10">
        <f>IFERROR(__xludf.DUMMYFUNCTION("iferror(googlefinance(D15,""marketcap""),"""")/10^6"),84924.968462)</f>
        <v/>
      </c>
      <c r="H15" s="11">
        <f>IFERROR(__xludf.DUMMYFUNCTION("IMPORTRANGE(""https://docs.google.com/spreadsheets/d/1BkE_9jEXhHz4aashYd9x7c-jGM6MGTH38F1LR9rqUwQ/edit#gid=467477759"",""Summary!C29"")"),120236.19642455)</f>
        <v/>
      </c>
      <c r="I15" s="9">
        <f>(H15-G15)/G15</f>
        <v/>
      </c>
      <c r="J15" s="9">
        <f>IFERROR(__xludf.DUMMYFUNCTION("IMPORTRANGE(""https://docs.google.com/spreadsheets/d/1BkE_9jEXhHz4aashYd9x7c-jGM6MGTH38F1LR9rqUwQ/edit#gid=467477759"",""Summary!M2"")"),0.225660439470002)</f>
        <v/>
      </c>
      <c r="K15" s="9">
        <f>IFERROR(__xludf.DUMMYFUNCTION("IMPORTRANGE(""https://docs.google.com/spreadsheets/d/1BkE_9jEXhHz4aashYd9x7c-jGM6MGTH38F1LR9rqUwQ/edit#gid=467477759"",""Summary!I19"")"),0.212604501607717)</f>
        <v/>
      </c>
      <c r="L15" s="12">
        <f>IFERROR(__xludf.DUMMYFUNCTION("IFERROR(googlefinance(D15,""pe""),"""")"),"")</f>
        <v/>
      </c>
      <c r="M15" s="12">
        <f>IFERROR(__xludf.DUMMYFUNCTION("IFERROR(googlefinance(D15,""beta""),"""")"),"")</f>
        <v/>
      </c>
      <c r="N15" s="13">
        <f>IFERROR(__xludf.DUMMYFUNCTION("IMPORTRANGE(""https://docs.google.com/spreadsheets/d/18ffdmQve-35mEbb2ekY2flpF2A2bw2ki4JoC3jzdg1I/edit#gid=650781654"",""JPM!H72"")"),61.76)</f>
        <v/>
      </c>
      <c r="O15" s="4" t="n"/>
      <c r="P15" s="4" t="n"/>
      <c r="Q15" s="4" t="n"/>
      <c r="R15" s="4" t="n"/>
      <c r="S15" s="4" t="n"/>
    </row>
    <row r="16" ht="20.25" customHeight="1" s="215">
      <c r="A16" s="19">
        <f>A15+1</f>
        <v/>
      </c>
      <c r="B16" s="7">
        <f>HYPERLINK("https://finance.yahoo.com/quote/"&amp;D16, C16)</f>
        <v/>
      </c>
      <c r="C16" s="6" t="inlineStr">
        <is>
          <t>Bank of America Corp</t>
        </is>
      </c>
      <c r="D16" s="16" t="inlineStr">
        <is>
          <t>BAC</t>
        </is>
      </c>
      <c r="E16" s="8">
        <f>IFERROR(__xludf.DUMMYFUNCTION("iferror(googlefinance(D16,""price""),"""")"),49.83)</f>
        <v/>
      </c>
      <c r="F16" s="9">
        <f>IFERROR(__xludf.DUMMYFUNCTION("IFERROR(GOOGLEFINANCE(D16,""price"") / index(GOOGLEFINANCE(D16,""price"", datevalue(today()-365) ) , 2,2) - 1,"""")"),0.0937225636523264)</f>
        <v/>
      </c>
      <c r="G16" s="10">
        <f>IFERROR(__xludf.DUMMYFUNCTION("iferror(googlefinance(D16,""marketcap""),"""")/10^6"),357614.0772)</f>
        <v/>
      </c>
      <c r="H16" s="11">
        <f>IFERROR(__xludf.DUMMYFUNCTION("IMPORTRANGE(""https://docs.google.com/spreadsheets/d/1ajry6MlMHVl1AsbljgX5BXpRLc8MVU1N9Z23HIyADoU/edit#gid=1672282254"",""Summary!B73"")"),258602.069066145)</f>
        <v/>
      </c>
      <c r="I16" s="9">
        <f>(H16-G16)/G16</f>
        <v/>
      </c>
      <c r="J16" s="9">
        <f>IFERROR(__xludf.DUMMYFUNCTION("IMPORTRANGE(""https://docs.google.com/spreadsheets/d/1ajry6MlMHVl1AsbljgX5BXpRLc8MVU1N9Z23HIyADoU/edit#gid=1672282254"",""Summary!K48"")"),-0.01889645632832)</f>
        <v/>
      </c>
      <c r="K16" s="9">
        <f>IFERROR(__xludf.DUMMYFUNCTION("IMPORTRANGE(""https://docs.google.com/spreadsheets/d/1ajry6MlMHVl1AsbljgX5BXpRLc8MVU1N9Z23HIyADoU/edit#gid=1672282254"",""Summary!I64"")"),0.21958338706085)</f>
        <v/>
      </c>
      <c r="L16" s="12">
        <f>IFERROR(__xludf.DUMMYFUNCTION("IFERROR(googlefinance(D16,""pe""),"""")"),"")</f>
        <v/>
      </c>
      <c r="M16" s="12">
        <f>IFERROR(__xludf.DUMMYFUNCTION("IFERROR(googlefinance(D16,""beta""),"""")"),"")</f>
        <v/>
      </c>
      <c r="N16" s="13">
        <f>IFERROR(__xludf.DUMMYFUNCTION("IMPORTRANGE(""https://docs.google.com/spreadsheets/d/1BkE_9jEXhHz4aashYd9x7c-jGM6MGTH38F1LR9rqUwQ/edit#gid=467477759"",""Summary!I21"")"),30.24)</f>
        <v/>
      </c>
      <c r="O16" s="4" t="n"/>
      <c r="P16" s="4" t="n"/>
      <c r="Q16" s="4" t="n"/>
      <c r="R16" s="4" t="n"/>
      <c r="S16" s="4" t="n"/>
    </row>
    <row r="17" ht="20.25" customHeight="1" s="215">
      <c r="A17" s="6">
        <f>A16+1</f>
        <v/>
      </c>
      <c r="B17" s="7">
        <f>HYPERLINK("https://finance.yahoo.com/quote/"&amp;D17, C17)</f>
        <v/>
      </c>
      <c r="C17" s="20" t="inlineStr">
        <is>
          <t>Delta Air Lines, Inc.</t>
        </is>
      </c>
      <c r="D17" s="21" t="inlineStr">
        <is>
          <t>DAL</t>
        </is>
      </c>
      <c r="E17" s="8">
        <f>IFERROR(__xludf.DUMMYFUNCTION("iferror(googlefinance(D17,""price""),"""")"),65.7)</f>
        <v/>
      </c>
      <c r="F17" s="9">
        <f>IFERROR(__xludf.DUMMYFUNCTION("IFERROR(GOOGLEFINANCE(D17,""price"") / index(GOOGLEFINANCE(D17,""price"", datevalue(today()-365) ) , 2,2) - 1,"""")"),0.124037639007698)</f>
        <v/>
      </c>
      <c r="G17" s="10">
        <f>IFERROR(__xludf.DUMMYFUNCTION("iferror(googlefinance(D17,""marketcap""),"""")/10^6"),42910.684996)</f>
        <v/>
      </c>
      <c r="H17" s="11">
        <f>IFERROR(__xludf.DUMMYFUNCTION("IMPORTRANGE(""https://docs.google.com/spreadsheets/d/1Z6RobysQCGMiI-pRQ6lMweET1m6J6B9TgwscNtCNb1g/edit#gid=428240719"",""Financials!B46"")*1000"),3385.90206884782)</f>
        <v/>
      </c>
      <c r="I17" s="9">
        <f>(H17-G17)/G17</f>
        <v/>
      </c>
      <c r="J17" s="9">
        <f>IFERROR(__xludf.DUMMYFUNCTION("IMPORTRANGE(""https://docs.google.com/spreadsheets/d/1Z6RobysQCGMiI-pRQ6lMweET1m6J6B9TgwscNtCNb1g/edit#gid=428240719"",""Financials!I3"")"),-0.636330759248622)</f>
        <v/>
      </c>
      <c r="K17" s="9">
        <f>IFERROR(__xludf.DUMMYFUNCTION("IMPORTRANGE(""https://docs.google.com/spreadsheets/d/1Z6RobysQCGMiI-pRQ6lMweET1m6J6B9TgwscNtCNb1g/edit#gid=428240719"",""Financials!H16"")"),-0.72939455981281)</f>
        <v/>
      </c>
      <c r="L17" s="12">
        <f>IFERROR(__xludf.DUMMYFUNCTION("IFERROR(googlefinance(D17,""pe""),"""")"),"")</f>
        <v/>
      </c>
      <c r="M17" s="12">
        <f>IFERROR(__xludf.DUMMYFUNCTION("IFERROR(googlefinance(D17,""beta""),"""")"),"")</f>
        <v/>
      </c>
      <c r="N17" s="13">
        <f>IFERROR(__xludf.DUMMYFUNCTION("IMPORTRANGE(""https://docs.google.com/spreadsheets/d/1ajry6MlMHVl1AsbljgX5BXpRLc8MVU1N9Z23HIyADoU/edit#gid=1672282254"",""Summary!I59"")"),19.9)</f>
        <v/>
      </c>
      <c r="O17" s="4" t="n"/>
      <c r="P17" s="4" t="n"/>
      <c r="Q17" s="4" t="n"/>
      <c r="R17" s="4" t="n"/>
      <c r="S17" s="4" t="n"/>
    </row>
    <row r="18" ht="20.25" customHeight="1" s="215">
      <c r="A18" s="22">
        <f>A17+1</f>
        <v/>
      </c>
      <c r="B18" s="7">
        <f>HYPERLINK("https://finance.yahoo.com/quote/"&amp;D18, C18)</f>
        <v/>
      </c>
      <c r="C18" s="6" t="inlineStr">
        <is>
          <t>Kraft Heinz Co</t>
        </is>
      </c>
      <c r="D18" s="6" t="inlineStr">
        <is>
          <t>KHC</t>
        </is>
      </c>
      <c r="E18" s="8">
        <f>IFERROR(__xludf.DUMMYFUNCTION("iferror(googlefinance(D18,""price""),"""")"),24.61)</f>
        <v/>
      </c>
      <c r="F18" s="9">
        <f>IFERROR(__xludf.DUMMYFUNCTION("IFERROR(GOOGLEFINANCE(D18,""price"") / index(GOOGLEFINANCE(D18,""price"", datevalue(today()-365) ) , 2,2) - 1,"""")"),-0.214240102171136)</f>
        <v/>
      </c>
      <c r="G18" s="10">
        <f>IFERROR(__xludf.DUMMYFUNCTION("iferror(googlefinance(D18,""marketcap""),"""")/10^6"),29131.940562)</f>
        <v/>
      </c>
      <c r="H18" s="11">
        <f>IFERROR(__xludf.DUMMYFUNCTION("IMPORTRANGE(""https://docs.google.com/spreadsheets/d/1QoccdSVrkp1XvlXW4dlFxIR8583ws9aFmqE3W8dNEWw/edit#gid=254823806"",""Summary!B25"")"),38077.3874469667)</f>
        <v/>
      </c>
      <c r="I18" s="9">
        <f>(H18-G18)/G18</f>
        <v/>
      </c>
      <c r="J18" s="9">
        <f>IFERROR(__xludf.DUMMYFUNCTION("IMPORTRANGE(""https://docs.google.com/spreadsheets/d/1QoccdSVrkp1XvlXW4dlFxIR8583ws9aFmqE3W8dNEWw/edit#gid=254823806"",""Summary!H2"")"),0.0362039335497422)</f>
        <v/>
      </c>
      <c r="K18" s="9">
        <f>IFERROR(__xludf.DUMMYFUNCTION("IMPORTRANGE(""https://docs.google.com/spreadsheets/d/1QoccdSVrkp1XvlXW4dlFxIR8583ws9aFmqE3W8dNEWw/edit#gid=254823806"",""Summary!F18"")"),0.0812679014703074)</f>
        <v/>
      </c>
      <c r="L18" s="12">
        <f>IFERROR(__xludf.DUMMYFUNCTION("IFERROR(googlefinance(D18,""pe""),"""")"),"")</f>
        <v/>
      </c>
      <c r="M18" s="12">
        <f>IFERROR(__xludf.DUMMYFUNCTION("IFERROR(googlefinance(D18,""beta""),"""")"),"")</f>
        <v/>
      </c>
      <c r="N18" s="13" t="n"/>
      <c r="O18" s="4" t="n"/>
      <c r="P18" s="4" t="n"/>
      <c r="Q18" s="4" t="n"/>
      <c r="R18" s="4" t="n"/>
      <c r="S18" s="4" t="n"/>
    </row>
    <row r="19" ht="20.25" customHeight="1" s="215">
      <c r="A19" s="6">
        <f>A18+1</f>
        <v/>
      </c>
      <c r="B19" s="7">
        <f>HYPERLINK("https://finance.yahoo.com/quote/"&amp;D19, C19)</f>
        <v/>
      </c>
      <c r="C19" s="15" t="inlineStr">
        <is>
          <t>VANGUARD IX FUN/S&amp;P 500 ETF SHS NEW</t>
        </is>
      </c>
      <c r="D19" s="6" t="inlineStr">
        <is>
          <t>VOO</t>
        </is>
      </c>
      <c r="E19" s="8">
        <f>IFERROR(__xludf.DUMMYFUNCTION("iferror(googlefinance(D19,""price""),"""")"),631.04)</f>
        <v/>
      </c>
      <c r="F19" s="9">
        <f>IFERROR(__xludf.DUMMYFUNCTION("IFERROR(GOOGLEFINANCE(D19,""price"") / index(GOOGLEFINANCE(D19,""price"", datevalue(today()-365) ) , 2,2) - 1,"""")"),0.175296133502197)</f>
        <v/>
      </c>
      <c r="G19" s="10">
        <f>IFERROR(__xludf.DUMMYFUNCTION("iferror(googlefinance(D19,""marketcap""),"""")/10^6"),0)</f>
        <v/>
      </c>
      <c r="H19" s="11" t="n"/>
      <c r="I19" s="9" t="n">
        <v>0</v>
      </c>
      <c r="J19" s="9" t="n"/>
      <c r="K19" s="9" t="n"/>
      <c r="L19" s="12">
        <f>IFERROR(__xludf.DUMMYFUNCTION("IFERROR(googlefinance(D19,""pe""),"""")"),"")</f>
        <v/>
      </c>
      <c r="M19" s="12">
        <f>IFERROR(__xludf.DUMMYFUNCTION("IFERROR(googlefinance(D19,""beta""),"""")"),"")</f>
        <v/>
      </c>
      <c r="N19" s="13" t="n"/>
      <c r="O19" s="4" t="n"/>
      <c r="P19" s="4" t="n"/>
      <c r="Q19" s="4" t="n"/>
      <c r="R19" s="4" t="n"/>
      <c r="S19" s="4" t="n"/>
    </row>
    <row r="20" ht="20.25" customHeight="1" s="215">
      <c r="A20" s="19">
        <f>A19+1</f>
        <v/>
      </c>
      <c r="B20" s="7">
        <f>HYPERLINK("https://finance.yahoo.com/quote/"&amp;D20, C20)</f>
        <v/>
      </c>
      <c r="C20" s="6" t="inlineStr">
        <is>
          <t>Wells Fargo &amp; Co</t>
        </is>
      </c>
      <c r="D20" s="6" t="inlineStr">
        <is>
          <t>WFC</t>
        </is>
      </c>
      <c r="E20" s="8">
        <f>IFERROR(__xludf.DUMMYFUNCTION("iferror(googlefinance(D20,""price""),"""")"),81.45)</f>
        <v/>
      </c>
      <c r="F20" s="9">
        <f>IFERROR(__xludf.DUMMYFUNCTION("IFERROR(GOOGLEFINANCE(D20,""price"") / index(GOOGLEFINANCE(D20,""price"", datevalue(today()-365) ) , 2,2) - 1,"""")"),0.0573802414643644)</f>
        <v/>
      </c>
      <c r="G20" s="10">
        <f>IFERROR(__xludf.DUMMYFUNCTION("iferror(googlefinance(D20,""marketcap""),"""")/10^6"),251324.879883)</f>
        <v/>
      </c>
      <c r="H20" s="11">
        <f>IFERROR(__xludf.DUMMYFUNCTION("IMPORTRANGE(""https://docs.google.com/spreadsheets/d/1zPx-sYL2WZELC72hI-Xc5oMEa-YaHSyQySKfbmi4y7s/edit#gid=303626986"",""Summary!C31"")"),263669.218435059)</f>
        <v/>
      </c>
      <c r="I20" s="9">
        <f>(H20-G20)/G20</f>
        <v/>
      </c>
      <c r="J20" s="9">
        <f>IFERROR(__xludf.DUMMYFUNCTION("IMPORTRANGE(""https://docs.google.com/spreadsheets/d/1zPx-sYL2WZELC72hI-Xc5oMEa-YaHSyQySKfbmi4y7s/edit#gid=303626986"",""Summary!K2"")"),0.0510920652474426)</f>
        <v/>
      </c>
      <c r="K20" s="9">
        <f>IFERROR(__xludf.DUMMYFUNCTION("IMPORTRANGE(""https://docs.google.com/spreadsheets/d/1zPx-sYL2WZELC72hI-Xc5oMEa-YaHSyQySKfbmi4y7s/edit#gid=303626986"",""Summary!I18"")"),0.00803151783245783)</f>
        <v/>
      </c>
      <c r="L20" s="12">
        <f>IFERROR(__xludf.DUMMYFUNCTION("IFERROR(googlefinance(D20,""pe""),"""")"),"")</f>
        <v/>
      </c>
      <c r="M20" s="12">
        <f>IFERROR(__xludf.DUMMYFUNCTION("IFERROR(googlefinance(D20,""beta""),"""")"),"")</f>
        <v/>
      </c>
      <c r="N20" s="13" t="n"/>
      <c r="O20" s="4" t="n"/>
      <c r="P20" s="4" t="n"/>
      <c r="Q20" s="4" t="n"/>
      <c r="R20" s="4" t="n"/>
      <c r="S20" s="4" t="n"/>
    </row>
    <row r="21" ht="20.25" customHeight="1" s="215">
      <c r="A21" s="19">
        <f>A20+1</f>
        <v/>
      </c>
      <c r="B21" s="7">
        <f>HYPERLINK("https://finance.yahoo.com/quote/"&amp;D21, C21)</f>
        <v/>
      </c>
      <c r="C21" s="6" t="inlineStr">
        <is>
          <t>Berkshire Hathaway Inc. Class B</t>
        </is>
      </c>
      <c r="D21" s="6" t="inlineStr">
        <is>
          <t>BRK.B</t>
        </is>
      </c>
      <c r="E21" s="8">
        <f>IFERROR(__xludf.DUMMYFUNCTION("iferror(googlefinance(D21,""price""),"""")"),504.95)</f>
        <v/>
      </c>
      <c r="F21" s="9">
        <f>IFERROR(__xludf.DUMMYFUNCTION("IFERROR(GOOGLEFINANCE(D21,""price"") / index(GOOGLEFINANCE(D21,""price"", datevalue(today()-365) ) , 2,2) - 1,"""")"),-0.0100572459222082)</f>
        <v/>
      </c>
      <c r="G21" s="10">
        <f>IFERROR(__xludf.DUMMYFUNCTION("iferror(googlefinance(D21,""marketcap""),"""")/10^6"),1089429.737)</f>
        <v/>
      </c>
      <c r="H21" s="11">
        <f>IFERROR(__xludf.DUMMYFUNCTION("IMPORTRANGE(""https://docs.google.com/spreadsheets/d/1tZBWcuxGf2na1a_8BX668tEyP4ZXHcAPPbDukT46GvY/edit#gid=105525789"",""Summary!B41"")"),808581.73454059)</f>
        <v/>
      </c>
      <c r="I21" s="9">
        <f>(H21-G21)/G21</f>
        <v/>
      </c>
      <c r="J21" s="9">
        <f>IFERROR(__xludf.DUMMYFUNCTION("IMPORTRANGE(""https://docs.google.com/spreadsheets/d/1tZBWcuxGf2na1a_8BX668tEyP4ZXHcAPPbDukT46GvY/edit#gid=105525789"",""Summary!L2"")"),365632)</f>
        <v/>
      </c>
      <c r="K21" s="9">
        <f>IFERROR(__xludf.DUMMYFUNCTION("IMPORTRANGE(""https://docs.google.com/spreadsheets/d/1tZBWcuxGf2na1a_8BX668tEyP4ZXHcAPPbDukT46GvY/edit#gid=105525789"",""Summary!H29"")"),0.0892020691621522)</f>
        <v/>
      </c>
      <c r="L21" s="12">
        <f>IFERROR(__xludf.DUMMYFUNCTION("IFERROR(googlefinance(D21,""pe""),"""")"),"")</f>
        <v/>
      </c>
      <c r="M21" s="12">
        <f>IFERROR(__xludf.DUMMYFUNCTION("IFERROR(googlefinance(D21,""beta""),"""")"),"")</f>
        <v/>
      </c>
      <c r="N21" s="13" t="n"/>
      <c r="O21" s="4" t="n"/>
      <c r="P21" s="4" t="n"/>
      <c r="Q21" s="4" t="n"/>
      <c r="R21" s="4" t="n"/>
      <c r="S21" s="4" t="n"/>
    </row>
    <row r="22" ht="20.25" customHeight="1" s="215">
      <c r="A22" s="6">
        <f>A21+1</f>
        <v/>
      </c>
      <c r="B22" s="7">
        <f>HYPERLINK("https://finance.yahoo.com/quote/"&amp;D22, C22)</f>
        <v/>
      </c>
      <c r="C22" s="6" t="inlineStr">
        <is>
          <t>Apple Inc.</t>
        </is>
      </c>
      <c r="D22" s="6" t="inlineStr">
        <is>
          <t>AAPL</t>
        </is>
      </c>
      <c r="E22" s="8">
        <f>IFERROR(__xludf.DUMMYFUNCTION("iferror(googlefinance(D22,""price""),"""")"),264.18)</f>
        <v/>
      </c>
      <c r="F22" s="9">
        <f>IFERROR(__xludf.DUMMYFUNCTION("IFERROR(GOOGLEFINANCE(D22,""price"") / index(GOOGLEFINANCE(D22,""price"", datevalue(today()-365) ) , 2,2) - 1,"""")"),0.109860101667857)</f>
        <v/>
      </c>
      <c r="G22" s="10">
        <f>IFERROR(__xludf.DUMMYFUNCTION("iferror(googlefinance(D22,""marketcap""),"""")/10^6"),3884159.178314)</f>
        <v/>
      </c>
      <c r="H22" s="11">
        <f>IFERROR(__xludf.DUMMYFUNCTION("IMPORTRANGE(""https://docs.google.com/spreadsheets/d/1NuuuuRncvZrOMOsu3B716qUsqv19xrPgc9ljJgJ3oUU/edit#gid=1975317421"",""Summary!B34"")"),1020704.71323773)</f>
        <v/>
      </c>
      <c r="I22" s="9">
        <f>(H22-G22)/G22</f>
        <v/>
      </c>
      <c r="J22" s="9">
        <f>IFERROR(__xludf.DUMMYFUNCTION("IMPORTRANGE(""https://docs.google.com/spreadsheets/d/1NuuuuRncvZrOMOsu3B716qUsqv19xrPgc9ljJgJ3oUU/edit#gid=1975317421"",""Summary!F2"")"),0.0525917270749575)</f>
        <v/>
      </c>
      <c r="K22" s="9">
        <f>IFERROR(__xludf.DUMMYFUNCTION("IMPORTRANGE(""https://docs.google.com/spreadsheets/d/1NuuuuRncvZrOMOsu3B716qUsqv19xrPgc9ljJgJ3oUU/edit#gid=1975317421"",""Summary!E20"")"),0.249462310621966)</f>
        <v/>
      </c>
      <c r="L22" s="12">
        <f>IFERROR(__xludf.DUMMYFUNCTION("IFERROR(googlefinance(D22,""pe""),"""")"),"")</f>
        <v/>
      </c>
      <c r="M22" s="12">
        <f>IFERROR(__xludf.DUMMYFUNCTION("IFERROR(googlefinance(D22,""beta""),"""")"),"")</f>
        <v/>
      </c>
      <c r="N22" s="13" t="n"/>
      <c r="O22" s="4" t="n"/>
      <c r="P22" s="4" t="n"/>
      <c r="Q22" s="4" t="n"/>
      <c r="R22" s="4" t="n"/>
      <c r="S22" s="4" t="n"/>
    </row>
    <row r="23" ht="20.25" customHeight="1" s="215">
      <c r="A23" s="14">
        <f>A22+1</f>
        <v/>
      </c>
      <c r="B23" s="7">
        <f>HYPERLINK("https://finance.yahoo.com/quote/"&amp;D23, C23)</f>
        <v/>
      </c>
      <c r="C23" s="23" t="inlineStr">
        <is>
          <t>TotalEnergies SE</t>
        </is>
      </c>
      <c r="D23" s="24" t="inlineStr">
        <is>
          <t>TTE</t>
        </is>
      </c>
      <c r="E23" s="8">
        <f>IFERROR(__xludf.DUMMYFUNCTION("iferror(googlefinance(D23,""price""),"""")"),80.34)</f>
        <v/>
      </c>
      <c r="F23" s="9">
        <f>IFERROR(__xludf.DUMMYFUNCTION("IFERROR(GOOGLEFINANCE(D23,""price"") / index(GOOGLEFINANCE(D23,""price"", datevalue(today()-365) ) , 2,2) - 1,"""")"),0.337439653737306)</f>
        <v/>
      </c>
      <c r="G23" s="10">
        <f>IFERROR(__xludf.DUMMYFUNCTION("iferror(googlefinance(D23,""marketcap""),"""")/10^6"),177141.336565)</f>
        <v/>
      </c>
      <c r="H23" s="11">
        <f>IFERROR(__xludf.DUMMYFUNCTION("IMPORTRANGE(""https://docs.google.com/spreadsheets/d/1mU5D8jxgWAnX--xBp56WIFjKkjv6_AK_aK6kbd_IxYE/edit#gid=1186441318"",""Summary!C58"")"),103710.452849875)</f>
        <v/>
      </c>
      <c r="I23" s="9">
        <f>(H23-G23)/G23</f>
        <v/>
      </c>
      <c r="J23" s="9">
        <f>IFERROR(__xludf.DUMMYFUNCTION("IMPORTRANGE(""https://docs.google.com/spreadsheets/d/1mU5D8jxgWAnX--xBp56WIFjKkjv6_AK_aK6kbd_IxYE/edit#gid=1186441318"",""Summary!I26"")"),184630)</f>
        <v/>
      </c>
      <c r="K23" s="9">
        <f>IFERROR(__xludf.DUMMYFUNCTION("IMPORTRANGE(""https://docs.google.com/spreadsheets/d/1mU5D8jxgWAnX--xBp56WIFjKkjv6_AK_aK6kbd_IxYE/edit#gid=1186441318"",""Summary!G48"")"),-0.05147670327327)</f>
        <v/>
      </c>
      <c r="L23" s="12">
        <f>IFERROR(__xludf.DUMMYFUNCTION("IFERROR(googlefinance(D23,""pe""),"""")"),"")</f>
        <v/>
      </c>
      <c r="M23" s="12">
        <f>IFERROR(__xludf.DUMMYFUNCTION("IFERROR(googlefinance(D23,""beta""),"""")"),"")</f>
        <v/>
      </c>
      <c r="N23" s="13" t="n"/>
      <c r="O23" s="4" t="n"/>
      <c r="P23" s="4" t="n"/>
      <c r="Q23" s="4" t="n"/>
      <c r="R23" s="4" t="n"/>
      <c r="S23" s="4" t="n"/>
    </row>
    <row r="24" ht="20.25" customHeight="1" s="215">
      <c r="A24" s="19">
        <f>A23+1</f>
        <v/>
      </c>
      <c r="B24" s="7">
        <f>HYPERLINK("https://finance.yahoo.com/quote/"&amp;D24, C24)</f>
        <v/>
      </c>
      <c r="C24" s="6" t="inlineStr">
        <is>
          <t>Capital Product Partners L.P.</t>
        </is>
      </c>
      <c r="D24" s="16" t="inlineStr">
        <is>
          <t>CPLP</t>
        </is>
      </c>
      <c r="E24" s="8">
        <f>IFERROR(__xludf.DUMMYFUNCTION("iferror(googlefinance(D24,""price""),"""")"),"")</f>
        <v/>
      </c>
      <c r="F24" s="9">
        <f>IFERROR(__xludf.DUMMYFUNCTION("IFERROR(GOOGLEFINANCE(D24,""price"") / index(GOOGLEFINANCE(D24,""price"", datevalue(today()-365) ) , 2,2) - 1,"""")"),"")</f>
        <v/>
      </c>
      <c r="G24" s="10">
        <f>IFERROR(__xludf.DUMMYFUNCTION("iferror(googlefinance(D24,""marketcap""),"""")/10^6"),0)</f>
        <v/>
      </c>
      <c r="H24" s="11">
        <f>IFERROR(__xludf.DUMMYFUNCTION("IMPORTRANGE(""https://docs.google.com/spreadsheets/d/1kl2650HmVB8eKAI4aW3PYUJGx0ZK4DWMgpwRB8Fac_c/edit#gid=87393437"",""Summary!B28"")"),842.853988286684)</f>
        <v/>
      </c>
      <c r="I24" s="9">
        <f>(H24-G24)/G24</f>
        <v/>
      </c>
      <c r="J24" s="9">
        <f>IFERROR(__xludf.DUMMYFUNCTION("IMPORTRANGE(""https://docs.google.com/spreadsheets/d/1kl2650HmVB8eKAI4aW3PYUJGx0ZK4DWMgpwRB8Fac_c/edit#gid=87393437"",""Summary!J2"")"),342.692)</f>
        <v/>
      </c>
      <c r="K24" s="9">
        <f>IFERROR(__xludf.DUMMYFUNCTION("IMPORTRANGE(""https://docs.google.com/spreadsheets/d/1kl2650HmVB8eKAI4aW3PYUJGx0ZK4DWMgpwRB8Fac_c/edit#gid=87393437"",""Summary!E16"")"),0.211613956625137)</f>
        <v/>
      </c>
      <c r="L24" s="12">
        <f>IFERROR(__xludf.DUMMYFUNCTION("IFERROR(googlefinance(D24,""pe""),"""")"),"")</f>
        <v/>
      </c>
      <c r="M24" s="12">
        <f>IFERROR(__xludf.DUMMYFUNCTION("IFERROR(googlefinance(D24,""beta""),"""")"),"")</f>
        <v/>
      </c>
      <c r="N24" s="13" t="n"/>
      <c r="O24" s="4" t="n"/>
      <c r="P24" s="4" t="n"/>
      <c r="Q24" s="4" t="n"/>
      <c r="R24" s="4" t="n"/>
      <c r="S24" s="4" t="n"/>
    </row>
    <row r="25" ht="20.25" customHeight="1" s="215">
      <c r="A25" s="14">
        <f>A24+1</f>
        <v/>
      </c>
      <c r="B25" s="7">
        <f>HYPERLINK("https://finance.yahoo.com/quote/"&amp;D25, C25)</f>
        <v/>
      </c>
      <c r="C25" s="6" t="inlineStr">
        <is>
          <t>Occidental Petroleum Corporation</t>
        </is>
      </c>
      <c r="D25" s="16" t="inlineStr">
        <is>
          <t>OXY</t>
        </is>
      </c>
      <c r="E25" s="8">
        <f>IFERROR(__xludf.DUMMYFUNCTION("iferror(googlefinance(D25,""price""),"""")"),53.08)</f>
        <v/>
      </c>
      <c r="F25" s="9">
        <f>IFERROR(__xludf.DUMMYFUNCTION("IFERROR(GOOGLEFINANCE(D25,""price"") / index(GOOGLEFINANCE(D25,""price"", datevalue(today()-365) ) , 2,2) - 1,"""")"),0.142734122712594)</f>
        <v/>
      </c>
      <c r="G25" s="10">
        <f>IFERROR(__xludf.DUMMYFUNCTION("iferror(googlefinance(D25,""marketcap""),"""")/10^6"),52351.038241)</f>
        <v/>
      </c>
      <c r="H25" s="11">
        <f>IFERROR(__xludf.DUMMYFUNCTION("importrange(""https://docs.google.com/spreadsheets/d/11j3ALnRBR3BKHGi2K9B3sAM9ODJYyy8euIH2EYSIsnI/edit#gid=1513331917"",""OXY!B50"")*1000"),56267.2195148696)</f>
        <v/>
      </c>
      <c r="I25" s="9">
        <f>(H25-G25)/G25</f>
        <v/>
      </c>
      <c r="J25" s="9">
        <f>IFERROR(__xludf.DUMMYFUNCTION("importrange(""https://docs.google.com/spreadsheets/d/11j3ALnRBR3BKHGi2K9B3sAM9ODJYyy8euIH2EYSIsnI/edit#gid=1513331917"",""OXY!M2"")"),21593)</f>
        <v/>
      </c>
      <c r="K25" s="9">
        <f>IFERROR(__xludf.DUMMYFUNCTION("importrange(""https://docs.google.com/spreadsheets/d/11j3ALnRBR3BKHGi2K9B3sAM9ODJYyy8euIH2EYSIsnI/edit#gid=1513331917"",""OXY!H26"")"),-0.000881857487787074)</f>
        <v/>
      </c>
      <c r="L25" s="12">
        <f>IFERROR(__xludf.DUMMYFUNCTION("IFERROR(googlefinance(D25,""pe""),"""")"),"")</f>
        <v/>
      </c>
      <c r="M25" s="12">
        <f>IFERROR(__xludf.DUMMYFUNCTION("IFERROR(googlefinance(D25,""beta""),"""")"),"")</f>
        <v/>
      </c>
      <c r="N25" s="13" t="n"/>
      <c r="O25" s="4" t="n"/>
      <c r="P25" s="4" t="n"/>
      <c r="Q25" s="4" t="n"/>
      <c r="R25" s="4" t="n"/>
      <c r="S25" s="4" t="n"/>
    </row>
    <row r="26" ht="20.25" customHeight="1" s="215">
      <c r="A26" s="6">
        <f>A25+1</f>
        <v/>
      </c>
      <c r="B26" s="7">
        <f>HYPERLINK("https://finance.yahoo.com/quote/"&amp;D26, C26)</f>
        <v/>
      </c>
      <c r="C26" s="15" t="inlineStr">
        <is>
          <t>Suncor Energy Inc.</t>
        </is>
      </c>
      <c r="D26" s="6" t="inlineStr">
        <is>
          <t>SU</t>
        </is>
      </c>
      <c r="E26" s="8">
        <f>IFERROR(__xludf.DUMMYFUNCTION("iferror(googlefinance(D26,""price""),"""")"),56.52)</f>
        <v/>
      </c>
      <c r="F26" s="9">
        <f>IFERROR(__xludf.DUMMYFUNCTION("IFERROR(GOOGLEFINANCE(D26,""price"") / index(GOOGLEFINANCE(D26,""price"", datevalue(today()-365) ) , 2,2) - 1,"""")"),0.561757391544625)</f>
        <v/>
      </c>
      <c r="G26" s="10">
        <f>IFERROR(__xludf.DUMMYFUNCTION("iferror(googlefinance(D26,""marketcap""),"""")/10^6"),67272.591424)</f>
        <v/>
      </c>
      <c r="H26" s="11">
        <f>IFERROR(__xludf.DUMMYFUNCTION("importrange(""https://docs.google.com/spreadsheets/d/10OMzBR1Fr-0UWX4RkucmriJ6cc8Zs05zUfFXAYGqaYg/edit#gid=1507715394"",""Financials!B42"")*1000"),19070.5553148654)</f>
        <v/>
      </c>
      <c r="I26" s="9">
        <f>(H26-G26)/G26</f>
        <v/>
      </c>
      <c r="J26" s="9">
        <f>IFERROR(__xludf.DUMMYFUNCTION("importrange(""https://docs.google.com/spreadsheets/d/10OMzBR1Fr-0UWX4RkucmriJ6cc8Zs05zUfFXAYGqaYg/edit#gid=1507715394"",""Financials!I5"")"),-0.666666666666666)</f>
        <v/>
      </c>
      <c r="K26" s="9">
        <f>IFERROR(__xludf.DUMMYFUNCTION("importrange(""https://docs.google.com/spreadsheets/d/10OMzBR1Fr-0UWX4RkucmriJ6cc8Zs05zUfFXAYGqaYg/edit#gid=1507715394"",""Financials!G22"")"),0.158738642437199)</f>
        <v/>
      </c>
      <c r="L26" s="12">
        <f>IFERROR(__xludf.DUMMYFUNCTION("IFERROR(googlefinance(D26,""pe""),"""")"),"")</f>
        <v/>
      </c>
      <c r="M26" s="12">
        <f>IFERROR(__xludf.DUMMYFUNCTION("IFERROR(googlefinance(D26,""beta""),"""")"),"")</f>
        <v/>
      </c>
      <c r="N26" s="13" t="n"/>
      <c r="O26" s="4" t="n"/>
      <c r="P26" s="4" t="n"/>
      <c r="Q26" s="4" t="n"/>
      <c r="R26" s="4" t="n"/>
      <c r="S26" s="4" t="n"/>
    </row>
    <row r="27" ht="15" customHeight="1" s="215">
      <c r="A27" s="6">
        <f>A26+1</f>
        <v/>
      </c>
      <c r="B27" s="7">
        <f>HYPERLINK("https://finance.yahoo.com/quote/"&amp;D27, C27)</f>
        <v/>
      </c>
      <c r="C27" s="15" t="inlineStr">
        <is>
          <t>Western Midstream Partners LP</t>
        </is>
      </c>
      <c r="D27" s="6" t="inlineStr">
        <is>
          <t>WES</t>
        </is>
      </c>
      <c r="E27" s="8">
        <f>IFERROR(__xludf.DUMMYFUNCTION("iferror(googlefinance(D27,""price""),"""")"),41.59)</f>
        <v/>
      </c>
      <c r="F27" s="9">
        <f>IFERROR(__xludf.DUMMYFUNCTION("IFERROR(GOOGLEFINANCE(D27,""price"") / index(GOOGLEFINANCE(D27,""price"", datevalue(today()-365) ) , 2,2) - 1,"""")"),0.0537116797567773)</f>
        <v/>
      </c>
      <c r="G27" s="10">
        <f>IFERROR(__xludf.DUMMYFUNCTION("iferror(googlefinance(D27,""marketcap""),"""")/10^6"),16372.627226)</f>
        <v/>
      </c>
      <c r="H27" s="11">
        <f>IFERROR(__xludf.DUMMYFUNCTION("importrange(""https://docs.google.com/spreadsheets/d/1TVqA7MehmxEyS2xPogFAxn7w_OiM0llWV7V7QxYNm1Y/edit#gid=692269516"",""WES!B37"")*1000"),1173.9724833648)</f>
        <v/>
      </c>
      <c r="I27" s="9">
        <f>(H27-G27)/G27</f>
        <v/>
      </c>
      <c r="J27" s="9">
        <f>IFERROR(__xludf.DUMMYFUNCTION("importrange(""https://docs.google.com/spreadsheets/d/1TVqA7MehmxEyS2xPogFAxn7w_OiM0llWV7V7QxYNm1Y/edit#gid=692269516"",""WES!H2"")"),0.296682972612843)</f>
        <v/>
      </c>
      <c r="K27" s="9">
        <f>IFERROR(__xludf.DUMMYFUNCTION("importrange(""https://docs.google.com/spreadsheets/d/1TVqA7MehmxEyS2xPogFAxn7w_OiM0llWV7V7QxYNm1Y/edit#gid=692269516"",""WES!B17"")"),0.245419464133973)</f>
        <v/>
      </c>
      <c r="L27" s="12">
        <f>IFERROR(__xludf.DUMMYFUNCTION("IFERROR(googlefinance(D27,""pe""),"""")"),"")</f>
        <v/>
      </c>
      <c r="M27" s="12">
        <f>IFERROR(__xludf.DUMMYFUNCTION("IFERROR(googlefinance(D27,""beta""),"""")"),"")</f>
        <v/>
      </c>
      <c r="N27" s="13" t="n"/>
      <c r="O27" s="4" t="n"/>
      <c r="P27" s="4" t="n"/>
      <c r="Q27" s="4" t="n"/>
      <c r="R27" s="4" t="n"/>
      <c r="S27" s="4" t="n"/>
    </row>
    <row r="28" ht="16" customHeight="1" s="215">
      <c r="A28" s="6">
        <f>A27+1</f>
        <v/>
      </c>
      <c r="B28" s="7">
        <f>HYPERLINK("https://finance.yahoo.com/quote/"&amp;D28, C28)</f>
        <v/>
      </c>
      <c r="C28" s="15" t="inlineStr">
        <is>
          <t>PNC Financial Services Group Inc</t>
        </is>
      </c>
      <c r="D28" s="6" t="inlineStr">
        <is>
          <t>PNC</t>
        </is>
      </c>
      <c r="E28" s="8">
        <f>IFERROR(__xludf.DUMMYFUNCTION("iferror(googlefinance(D28,""price""),"""")"),212.35)</f>
        <v/>
      </c>
      <c r="F28" s="9">
        <f>IFERROR(__xludf.DUMMYFUNCTION("IFERROR(GOOGLEFINANCE(D28,""price"") / index(GOOGLEFINANCE(D28,""price"", datevalue(today()-365) ) , 2,2) - 1,"""")"),0.120639611589002)</f>
        <v/>
      </c>
      <c r="G28" s="10">
        <f>IFERROR(__xludf.DUMMYFUNCTION("iferror(googlefinance(D28,""marketcap""),"""")/10^6"),85655.813076)</f>
        <v/>
      </c>
      <c r="H28" s="11">
        <f>IFERROR(__xludf.DUMMYFUNCTION("importrange(""https://docs.google.com/spreadsheets/d/1reQ8upYIYmCrro_8afTKwl6jD0hb8jsQOtumLTkmqvM/edit#gid=544878967"",""Financials!B24"")*1000"),85346.4025626145)</f>
        <v/>
      </c>
      <c r="I28" s="9">
        <f>(H28-G28)/G28</f>
        <v/>
      </c>
      <c r="J28" s="9">
        <f>IFERROR(__xludf.DUMMYFUNCTION("importrange(""https://docs.google.com/spreadsheets/d/1reQ8upYIYmCrro_8afTKwl6jD0hb8jsQOtumLTkmqvM/edit#gid=544878967"",""Financials!H28"")"),0.0203062769955685)</f>
        <v/>
      </c>
      <c r="K28" s="9">
        <f>IFERROR(__xludf.DUMMYFUNCTION("importrange(""https://docs.google.com/spreadsheets/d/1reQ8upYIYmCrro_8afTKwl6jD0hb8jsQOtumLTkmqvM/edit#gid=544878967"",""Financials!G44"")"),0.0343614272362416)</f>
        <v/>
      </c>
      <c r="L28" s="12">
        <f>IFERROR(__xludf.DUMMYFUNCTION("IFERROR(googlefinance(D28,""pe""),"""")"),"")</f>
        <v/>
      </c>
      <c r="M28" s="12">
        <f>IFERROR(__xludf.DUMMYFUNCTION("IFERROR(googlefinance(D28,""beta""),"""")"),"")</f>
        <v/>
      </c>
      <c r="N28" s="25">
        <f>IFERROR(__xludf.DUMMYFUNCTION("importrange(""https://docs.google.com/spreadsheets/d/1reQ8upYIYmCrro_8afTKwl6jD0hb8jsQOtumLTkmqvM/edit#gid=544878967"",""Financials!G42"")"),93.54)</f>
        <v/>
      </c>
      <c r="O28" s="4" t="n"/>
      <c r="P28" s="4" t="n"/>
      <c r="Q28" s="4" t="n"/>
      <c r="R28" s="4" t="n"/>
      <c r="S28" s="4" t="n"/>
    </row>
    <row r="29" ht="15" customHeight="1" s="215">
      <c r="A29" s="6">
        <f>A28+1</f>
        <v/>
      </c>
      <c r="B29" s="7">
        <f>HYPERLINK("https://finance.yahoo.com/quote/"&amp;D29, C29)</f>
        <v/>
      </c>
      <c r="C29" s="15" t="inlineStr">
        <is>
          <t>Silvergate Capital Corporation</t>
        </is>
      </c>
      <c r="D29" s="6" t="inlineStr">
        <is>
          <t>SI</t>
        </is>
      </c>
      <c r="E29" s="8">
        <f>IFERROR(__xludf.DUMMYFUNCTION("iferror(googlefinance(D29,""price""),"""")"),13.56)</f>
        <v/>
      </c>
      <c r="F29" s="9">
        <f>IFERROR(__xludf.DUMMYFUNCTION("IFERROR(GOOGLEFINANCE(D29,""price"") / index(GOOGLEFINANCE(D29,""price"", datevalue(today()-365) ) , 2,2) - 1,"""")"),"")</f>
        <v/>
      </c>
      <c r="G29" s="10">
        <f>IFERROR(__xludf.DUMMYFUNCTION("iferror(googlefinance(D29,""marketcap""),"""")/10^6"),279.358789)</f>
        <v/>
      </c>
      <c r="H29" s="11">
        <f>IFERROR(__xludf.DUMMYFUNCTION("importrange(""https://docs.google.com/spreadsheets/d/1YFzudXBMN9O6LHJPHlI2Fee6KTcJLlI_a4y-R0kc6D8/edit#gid=429640807"",""Si!B36"")"),309.646082557911)</f>
        <v/>
      </c>
      <c r="I29" s="9">
        <f>(H29-G29)/G29</f>
        <v/>
      </c>
      <c r="J29" s="9">
        <f>IFERROR(__xludf.DUMMYFUNCTION("importrange(""https://docs.google.com/spreadsheets/d/1YFzudXBMN9O6LHJPHlI2Fee6KTcJLlI_a4y-R0kc6D8/edit#gid=429640807"",""Si!I2"")"),-0.318425925925925)</f>
        <v/>
      </c>
      <c r="K29" s="9">
        <f>IFERROR(__xludf.DUMMYFUNCTION("importrange(""https://docs.google.com/spreadsheets/d/1YFzudXBMN9O6LHJPHlI2Fee6KTcJLlI_a4y-R0kc6D8/edit#gid=429640807"",""Si!B18"")"),0.0686048091291944)</f>
        <v/>
      </c>
      <c r="L29" s="12">
        <f>IFERROR(__xludf.DUMMYFUNCTION("IFERROR(googlefinance(D29,""pe""),"""")"),"")</f>
        <v/>
      </c>
      <c r="M29" s="12">
        <f>IFERROR(__xludf.DUMMYFUNCTION("IFERROR(googlefinance(D29,""beta""),"""")"),"")</f>
        <v/>
      </c>
      <c r="N29" s="25" t="n"/>
      <c r="O29" s="4" t="n"/>
      <c r="P29" s="4" t="n"/>
      <c r="Q29" s="4" t="n"/>
      <c r="R29" s="4" t="n"/>
      <c r="S29" s="4" t="n"/>
    </row>
    <row r="30" ht="15" customHeight="1" s="215">
      <c r="A30" s="14">
        <f>A29+1</f>
        <v/>
      </c>
      <c r="B30" s="7">
        <f>HYPERLINK("https://finance.yahoo.com/quote/"&amp;D30, C30)</f>
        <v/>
      </c>
      <c r="C30" s="15" t="inlineStr">
        <is>
          <t>Alphabet Inc Class A</t>
        </is>
      </c>
      <c r="D30" s="6" t="inlineStr">
        <is>
          <t>GOOGL</t>
        </is>
      </c>
      <c r="E30" s="8">
        <f>IFERROR(__xludf.DUMMYFUNCTION("iferror(googlefinance(D30,""price""),"""")"),311.76)</f>
        <v/>
      </c>
      <c r="F30" s="9">
        <f>IFERROR(__xludf.DUMMYFUNCTION("IFERROR(GOOGLEFINANCE(D30,""price"") / index(GOOGLEFINANCE(D30,""price"", datevalue(today()-365) ) , 2,2) - 1,"""")"),0.86671456798994)</f>
        <v/>
      </c>
      <c r="G30" s="10">
        <f>IFERROR(__xludf.DUMMYFUNCTION("iferror(googlefinance(D30,""marketcap""),"""")/10^6"),3772448.880568)</f>
        <v/>
      </c>
      <c r="H30" s="11">
        <f>IFERROR(__xludf.DUMMYFUNCTION("importrange(""https://docs.google.com/spreadsheets/d/1iAF7jMo93TaexbWSxBYGJ0tOkaL3h1mOkFPQL7_eiwc/edit?usp=sharing"",""Summary!B38"")"),2954821.64786503)</f>
        <v/>
      </c>
      <c r="I30" s="9">
        <f>(H30-G30)/G30</f>
        <v/>
      </c>
      <c r="J30" s="9">
        <f>IFERROR(__xludf.DUMMYFUNCTION("importrange(""https://docs.google.com/spreadsheets/d/1iAF7jMo93TaexbWSxBYGJ0tOkaL3h1mOkFPQL7_eiwc/edit?usp=sharing"",""Summary!Q2"")"),0.143049786011005)</f>
        <v/>
      </c>
      <c r="K30" s="9" t="n"/>
      <c r="L30" s="12">
        <f>IFERROR(__xludf.DUMMYFUNCTION("IFERROR(googlefinance(D30,""pe""),"""")"),"")</f>
        <v/>
      </c>
      <c r="M30" s="12">
        <f>IFERROR(__xludf.DUMMYFUNCTION("IFERROR(googlefinance(D30,""beta""),"""")"),"")</f>
        <v/>
      </c>
      <c r="N30" s="25" t="n"/>
      <c r="O30" s="4" t="n"/>
      <c r="P30" s="4" t="n"/>
      <c r="Q30" s="4" t="n"/>
      <c r="R30" s="4" t="n"/>
      <c r="S30" s="4" t="n"/>
    </row>
    <row r="31" ht="15" customHeight="1" s="215">
      <c r="A31" s="6">
        <f>A30+1</f>
        <v/>
      </c>
      <c r="B31" s="7">
        <f>HYPERLINK("https://finance.yahoo.com/quote/"&amp;D31, C31)</f>
        <v/>
      </c>
      <c r="C31" s="15" t="inlineStr">
        <is>
          <t>Amazon.com, Inc.</t>
        </is>
      </c>
      <c r="D31" s="6" t="inlineStr">
        <is>
          <t>AMZN</t>
        </is>
      </c>
      <c r="E31" s="8">
        <f>IFERROR(__xludf.DUMMYFUNCTION("iferror(googlefinance(D31,""price""),"""")"),210)</f>
        <v/>
      </c>
      <c r="F31" s="9">
        <f>IFERROR(__xludf.DUMMYFUNCTION("IFERROR(GOOGLEFINANCE(D31,""price"") / index(GOOGLEFINANCE(D31,""price"", datevalue(today()-365) ) , 2,2) - 1,"""")"),0.0242903131401814)</f>
        <v/>
      </c>
      <c r="G31" s="10">
        <f>IFERROR(__xludf.DUMMYFUNCTION("iferror(googlefinance(D31,""marketcap""),"""")/10^6"),2254333.2)</f>
        <v/>
      </c>
      <c r="H31" s="11">
        <f>IFERROR(__xludf.DUMMYFUNCTION("importrange(""https://docs.google.com/spreadsheets/d/17ZFyNeH7OiIizNcbhItyGFR-iS15ex-5EH0Bkr_P-5Y/edit#gid=2037953563"",""Summary!C20"")"),308018.29857362)</f>
        <v/>
      </c>
      <c r="I31" s="9">
        <f>(H31-G31)/G31</f>
        <v/>
      </c>
      <c r="J31" s="9">
        <f>IFERROR(__xludf.DUMMYFUNCTION("importrange(""https://docs.google.com/spreadsheets/d/17ZFyNeH7OiIizNcbhItyGFR-iS15ex-5EH0Bkr_P-5Y/edit#gid=2037953563"",""Summary!S21"")"),0.0939951726398508)</f>
        <v/>
      </c>
      <c r="K31" s="9">
        <f>IFERROR(__xludf.DUMMYFUNCTION("importrange(""https://docs.google.com/spreadsheets/d/17ZFyNeH7OiIizNcbhItyGFR-iS15ex-5EH0Bkr_P-5Y/edit#gid=2037953563"",""Summary!P41"")"),0.0552524969953168)</f>
        <v/>
      </c>
      <c r="L31" s="12">
        <f>IFERROR(__xludf.DUMMYFUNCTION("IFERROR(googlefinance(D31,""pe""),"""")"),"")</f>
        <v/>
      </c>
      <c r="M31" s="12">
        <f>IFERROR(__xludf.DUMMYFUNCTION("IFERROR(googlefinance(D31,""beta""),"""")"),"")</f>
        <v/>
      </c>
      <c r="N31" s="25" t="n"/>
      <c r="O31" s="4" t="n"/>
      <c r="P31" s="4" t="n"/>
      <c r="Q31" s="4" t="n"/>
      <c r="R31" s="4" t="n"/>
      <c r="S31" s="4" t="n"/>
    </row>
    <row r="32" ht="15" customHeight="1" s="215">
      <c r="A32" s="6">
        <f>A31+1</f>
        <v/>
      </c>
      <c r="B32" s="7">
        <f>HYPERLINK("https://finance.yahoo.com/quote/"&amp;D32, C32)</f>
        <v/>
      </c>
      <c r="C32" s="15" t="inlineStr">
        <is>
          <t>Microsoft Corporation</t>
        </is>
      </c>
      <c r="D32" s="6" t="inlineStr">
        <is>
          <t>MSFT</t>
        </is>
      </c>
      <c r="E32" s="8">
        <f>IFERROR(__xludf.DUMMYFUNCTION("iferror(googlefinance(D32,""price""),"""")"),392.74)</f>
        <v/>
      </c>
      <c r="F32" s="9">
        <f>IFERROR(__xludf.DUMMYFUNCTION("IFERROR(GOOGLEFINANCE(D32,""price"") / index(GOOGLEFINANCE(D32,""price"", datevalue(today()-365) ) , 2,2) - 1,"""")"),0.0109397925300522)</f>
        <v/>
      </c>
      <c r="G32" s="10">
        <f>IFERROR(__xludf.DUMMYFUNCTION("iferror(googlefinance(D32,""marketcap""),"""")/10^6"),2916341.460944)</f>
        <v/>
      </c>
      <c r="H32" s="11">
        <f>IFERROR(__xludf.DUMMYFUNCTION("importrange(""https://docs.google.com/spreadsheets/d/1-0wE4FJcTwa8HIXiUmKh_2bax-86FCPaaGwzK8mYxjE/edit#gid=644621603"",""MSFT!B37"")*1000"),1430442.87045515)</f>
        <v/>
      </c>
      <c r="I32" s="9">
        <f>(H32-G32)/G32</f>
        <v/>
      </c>
      <c r="J32" s="9">
        <f>IFERROR(__xludf.DUMMYFUNCTION("importrange(""https://docs.google.com/spreadsheets/d/1-0wE4FJcTwa8HIXiUmKh_2bax-86FCPaaGwzK8mYxjE/edit#gid=644621603"",""MSFT!J2"")"),0.114645316924798)</f>
        <v/>
      </c>
      <c r="K32" s="9">
        <f>IFERROR(__xludf.DUMMYFUNCTION("importrange(""https://docs.google.com/spreadsheets/d/1-0wE4FJcTwa8HIXiUmKh_2bax-86FCPaaGwzK8mYxjE/edit#gid=644621603"",""MSFT!H16"")"),0.370303814285214)</f>
        <v/>
      </c>
      <c r="L32" s="12">
        <f>IFERROR(__xludf.DUMMYFUNCTION("IFERROR(googlefinance(D32,""pe""),"""")"),"")</f>
        <v/>
      </c>
      <c r="M32" s="12">
        <f>IFERROR(__xludf.DUMMYFUNCTION("IFERROR(googlefinance(D32,""beta""),"""")"),"")</f>
        <v/>
      </c>
      <c r="N32" s="25" t="n"/>
      <c r="O32" s="4" t="n"/>
      <c r="P32" s="4" t="n"/>
      <c r="Q32" s="4" t="n"/>
      <c r="R32" s="4" t="n"/>
      <c r="S32" s="4" t="n"/>
    </row>
    <row r="33" ht="15" customHeight="1" s="215">
      <c r="A33" s="22">
        <f>A32+1</f>
        <v/>
      </c>
      <c r="B33" s="7">
        <f>HYPERLINK("https://finance.yahoo.com/quote/"&amp;D33, C33)</f>
        <v/>
      </c>
      <c r="C33" s="15" t="inlineStr">
        <is>
          <t>Meta Platforms, Inc.</t>
        </is>
      </c>
      <c r="D33" s="6" t="inlineStr">
        <is>
          <t>META</t>
        </is>
      </c>
      <c r="E33" s="8">
        <f>IFERROR(__xludf.DUMMYFUNCTION("iferror(googlefinance(D33,""price""),"""")"),648.18)</f>
        <v/>
      </c>
      <c r="F33" s="9">
        <f>IFERROR(__xludf.DUMMYFUNCTION("IFERROR(GOOGLEFINANCE(D33,""price"") / index(GOOGLEFINANCE(D33,""price"", datevalue(today()-365) ) , 2,2) - 1,"""")"),-0.0104877490267918)</f>
        <v/>
      </c>
      <c r="G33" s="10">
        <f>IFERROR(__xludf.DUMMYFUNCTION("iferror(googlefinance(D33,""marketcap""),"""")/10^6"),1639606.941372)</f>
        <v/>
      </c>
      <c r="H33" s="11">
        <f>IFERROR(__xludf.DUMMYFUNCTION("importrange(""https://docs.google.com/spreadsheets/d/17uqhWqgxDFZCVvpEWDzsuYjUy_GuQnhH4-9GU95cukk/edit#gid=150498026"",""Summary!B29"")"),240226.174847726)</f>
        <v/>
      </c>
      <c r="I33" s="9">
        <f>(H33-G33)/G33</f>
        <v/>
      </c>
      <c r="J33" s="9">
        <f>IFERROR(__xludf.DUMMYFUNCTION("importrange(""https://docs.google.com/spreadsheets/d/17uqhWqgxDFZCVvpEWDzsuYjUy_GuQnhH4-9GU95cukk/edit#gid=150498026"",""Summary!J2"")"),-0.0111931755547829)</f>
        <v/>
      </c>
      <c r="K33" s="9">
        <f>IFERROR(__xludf.DUMMYFUNCTION("importrange(""https://docs.google.com/spreadsheets/d/17uqhWqgxDFZCVvpEWDzsuYjUy_GuQnhH4-9GU95cukk/edit#gid=150498026"",""Summary!G16"")"),0.380050020357122)</f>
        <v/>
      </c>
      <c r="L33" s="12">
        <f>IFERROR(__xludf.DUMMYFUNCTION("IFERROR(googlefinance(D33,""pe""),"""")"),"")</f>
        <v/>
      </c>
      <c r="M33" s="12">
        <f>IFERROR(__xludf.DUMMYFUNCTION("IFERROR(googlefinance(D33,""beta""),"""")"),"")</f>
        <v/>
      </c>
      <c r="N33" s="25" t="n"/>
      <c r="O33" s="4" t="n"/>
      <c r="P33" s="4" t="n"/>
      <c r="Q33" s="4" t="n"/>
      <c r="R33" s="4" t="n"/>
      <c r="S33" s="4" t="n"/>
    </row>
    <row r="34" ht="15" customHeight="1" s="215">
      <c r="A34" s="6">
        <f>A33+1</f>
        <v/>
      </c>
      <c r="B34" s="7">
        <f>HYPERLINK("https://finance.yahoo.com/quote/"&amp;D34, C34)</f>
        <v/>
      </c>
      <c r="C34" s="15" t="inlineStr">
        <is>
          <t>Park Hotels &amp; Resorts Inc.</t>
        </is>
      </c>
      <c r="D34" s="6" t="inlineStr">
        <is>
          <t>PK</t>
        </is>
      </c>
      <c r="E34" s="8">
        <f>IFERROR(__xludf.DUMMYFUNCTION("iferror(googlefinance(D34,""price""),"""")"),11.31)</f>
        <v/>
      </c>
      <c r="F34" s="9">
        <f>IFERROR(__xludf.DUMMYFUNCTION("IFERROR(GOOGLEFINANCE(D34,""price"") / index(GOOGLEFINANCE(D34,""price"", datevalue(today()-365) ) , 2,2) - 1,"""")"),-0.0582847626977518)</f>
        <v/>
      </c>
      <c r="G34" s="10">
        <f>IFERROR(__xludf.DUMMYFUNCTION("iferror(googlefinance(D34,""marketcap""),"""")/10^6"),2277.815988)</f>
        <v/>
      </c>
      <c r="H34" s="11" t="n"/>
      <c r="I34" s="9" t="n">
        <v>0</v>
      </c>
      <c r="J34" s="9" t="n"/>
      <c r="K34" s="9" t="n"/>
      <c r="L34" s="12">
        <f>IFERROR(__xludf.DUMMYFUNCTION("IFERROR(googlefinance(D34,""pe""),"""")"),"")</f>
        <v/>
      </c>
      <c r="M34" s="12">
        <f>IFERROR(__xludf.DUMMYFUNCTION("IFERROR(googlefinance(D34,""beta""),"""")"),"")</f>
        <v/>
      </c>
      <c r="N34" s="25" t="n"/>
      <c r="O34" s="4" t="n"/>
      <c r="P34" s="4" t="n"/>
      <c r="Q34" s="4" t="n"/>
      <c r="R34" s="4" t="n"/>
      <c r="S34" s="4" t="n"/>
    </row>
    <row r="35" ht="15" customHeight="1" s="215">
      <c r="A35" s="6">
        <f>A34+1</f>
        <v/>
      </c>
      <c r="B35" s="7">
        <f>HYPERLINK("https://finance.yahoo.com/quote/"&amp;D35, C35)</f>
        <v/>
      </c>
      <c r="C35" s="15" t="inlineStr">
        <is>
          <t>The Howard Hughes Corporation</t>
        </is>
      </c>
      <c r="D35" s="6" t="inlineStr">
        <is>
          <t>HHC</t>
        </is>
      </c>
      <c r="E35" s="8">
        <f>IFERROR(__xludf.DUMMYFUNCTION("iferror(googlefinance(D35,""price""),"""")"),0)</f>
        <v/>
      </c>
      <c r="F35" s="9">
        <f>IFERROR(__xludf.DUMMYFUNCTION("IFERROR(GOOGLEFINANCE(D35,""price"") / index(GOOGLEFINANCE(D35,""price"", datevalue(today()-365) ) , 2,2) - 1,"""")"),"")</f>
        <v/>
      </c>
      <c r="G35" s="10">
        <f>IFERROR(__xludf.DUMMYFUNCTION("iferror(googlefinance(D35,""marketcap""),"""")/10^6"),4315.882813)</f>
        <v/>
      </c>
      <c r="H35" s="11" t="n"/>
      <c r="I35" s="9" t="n">
        <v>0</v>
      </c>
      <c r="J35" s="9" t="n"/>
      <c r="K35" s="9" t="n"/>
      <c r="L35" s="12">
        <f>IFERROR(__xludf.DUMMYFUNCTION("IFERROR(googlefinance(D35,""pe""),"""")"),"")</f>
        <v/>
      </c>
      <c r="M35" s="12">
        <f>IFERROR(__xludf.DUMMYFUNCTION("IFERROR(googlefinance(D35,""beta""),"""")"),"")</f>
        <v/>
      </c>
      <c r="N35" s="25" t="n"/>
      <c r="O35" s="4" t="n"/>
      <c r="P35" s="4" t="n"/>
      <c r="Q35" s="4" t="n"/>
      <c r="R35" s="4" t="n"/>
      <c r="S35" s="4" t="n"/>
    </row>
    <row r="36" ht="15" customHeight="1" s="215">
      <c r="A36" s="19">
        <f>A35+1</f>
        <v/>
      </c>
      <c r="B36" s="7">
        <f>HYPERLINK("https://finance.yahoo.com/quote/"&amp;D36, C36)</f>
        <v/>
      </c>
      <c r="C36" s="15" t="inlineStr">
        <is>
          <t xml:space="preserve">Charles Schwab Corp. </t>
        </is>
      </c>
      <c r="D36" s="6" t="inlineStr">
        <is>
          <t>SCHW</t>
        </is>
      </c>
      <c r="E36" s="8">
        <f>IFERROR(__xludf.DUMMYFUNCTION("iferror(googlefinance(D36,""price""),"""")"),95.2)</f>
        <v/>
      </c>
      <c r="F36" s="9">
        <f>IFERROR(__xludf.DUMMYFUNCTION("IFERROR(GOOGLEFINANCE(D36,""price"") / index(GOOGLEFINANCE(D36,""price"", datevalue(today()-365) ) , 2,2) - 1,"""")"),0.218637992831541)</f>
        <v/>
      </c>
      <c r="G36" s="10">
        <f>IFERROR(__xludf.DUMMYFUNCTION("iferror(googlefinance(D36,""marketcap""),"""")/10^6"),166810.386652)</f>
        <v/>
      </c>
      <c r="H36" s="11">
        <f>IFERROR(__xludf.DUMMYFUNCTION("importrange(""https://docs.google.com/spreadsheets/d/1F8tm1olP0GJTuf6jBnMAafmh7af_8JW2W4-P4xhp35s/edit#gid=644621603"",""SCHW!B31"")*1000"),103739.317847309)</f>
        <v/>
      </c>
      <c r="I36" s="9">
        <f>(H36-G36)/G36</f>
        <v/>
      </c>
      <c r="J36" s="9">
        <f>IFERROR(__xludf.DUMMYFUNCTION("importrange(""https://docs.google.com/spreadsheets/d/1F8tm1olP0GJTuf6jBnMAafmh7af_8JW2W4-P4xhp35s/edit#gid=644621603"",""SCHW!I2"")"),0.184415362244461)</f>
        <v/>
      </c>
      <c r="K36" s="9">
        <f>IFERROR(__xludf.DUMMYFUNCTION("importrange(""https://docs.google.com/spreadsheets/d/1F8tm1olP0GJTuf6jBnMAafmh7af_8JW2W4-P4xhp35s/edit#gid=644621603"",""SCHW!H16"")"),0.394479464350194)</f>
        <v/>
      </c>
      <c r="L36" s="12">
        <f>IFERROR(__xludf.DUMMYFUNCTION("IFERROR(googlefinance(D36,""pe""),"""")"),"")</f>
        <v/>
      </c>
      <c r="M36" s="12">
        <f>IFERROR(__xludf.DUMMYFUNCTION("IFERROR(googlefinance(D36,""beta""),"""")"),"")</f>
        <v/>
      </c>
      <c r="N36" s="25" t="n"/>
      <c r="O36" s="4" t="n"/>
      <c r="P36" s="4" t="n"/>
      <c r="Q36" s="4" t="n"/>
      <c r="R36" s="4" t="n"/>
      <c r="S36" s="4" t="n"/>
    </row>
    <row r="37" ht="15" customHeight="1" s="215">
      <c r="A37" s="6">
        <f>A36+1</f>
        <v/>
      </c>
      <c r="B37" s="7">
        <f>HYPERLINK("https://finance.yahoo.com/quote/"&amp;D37, C37)</f>
        <v/>
      </c>
      <c r="C37" s="15" t="inlineStr">
        <is>
          <t>Restaurant Brands International Inc.</t>
        </is>
      </c>
      <c r="D37" s="6" t="inlineStr">
        <is>
          <t>QSR</t>
        </is>
      </c>
      <c r="E37" s="8">
        <f>IFERROR(__xludf.DUMMYFUNCTION("iferror(googlefinance(D37,""price""),"""")"),71.71)</f>
        <v/>
      </c>
      <c r="F37" s="9">
        <f>IFERROR(__xludf.DUMMYFUNCTION("IFERROR(GOOGLEFINANCE(D37,""price"") / index(GOOGLEFINANCE(D37,""price"", datevalue(today()-365) ) , 2,2) - 1,"""")"),0.106123708159802)</f>
        <v/>
      </c>
      <c r="G37" s="10">
        <f>IFERROR(__xludf.DUMMYFUNCTION("iferror(googlefinance(D37,""marketcap""),"""")/10^6"),24847.815864)</f>
        <v/>
      </c>
      <c r="H37" s="11" t="n"/>
      <c r="I37" s="9" t="n">
        <v>0</v>
      </c>
      <c r="J37" s="9" t="n"/>
      <c r="K37" s="9" t="n"/>
      <c r="L37" s="12">
        <f>IFERROR(__xludf.DUMMYFUNCTION("IFERROR(googlefinance(D37,""pe""),"""")"),"")</f>
        <v/>
      </c>
      <c r="M37" s="12">
        <f>IFERROR(__xludf.DUMMYFUNCTION("IFERROR(googlefinance(D37,""beta""),"""")"),"")</f>
        <v/>
      </c>
      <c r="N37" s="25" t="n"/>
      <c r="O37" s="4" t="n"/>
      <c r="P37" s="4" t="n"/>
      <c r="Q37" s="4" t="n"/>
      <c r="R37" s="4" t="n"/>
      <c r="S37" s="4" t="n"/>
    </row>
    <row r="38" ht="15" customHeight="1" s="215">
      <c r="A38" s="6">
        <f>A37+1</f>
        <v/>
      </c>
      <c r="B38" s="7">
        <f>HYPERLINK("https://finance.yahoo.com/quote/"&amp;D38, C38)</f>
        <v/>
      </c>
      <c r="C38" s="15" t="inlineStr">
        <is>
          <t>Xilinx Inc.</t>
        </is>
      </c>
      <c r="D38" s="6" t="inlineStr">
        <is>
          <t>XLNX</t>
        </is>
      </c>
      <c r="E38" s="8">
        <f>IFERROR(__xludf.DUMMYFUNCTION("iferror(googlefinance(D38,""price""),"""")"),"")</f>
        <v/>
      </c>
      <c r="F38" s="9" t="n">
        <v>0</v>
      </c>
      <c r="G38" s="10">
        <f>IFERROR(__xludf.DUMMYFUNCTION("iferror(googlefinance(D38,""marketcap""),"""")/10^6"),0)</f>
        <v/>
      </c>
      <c r="H38" s="11" t="n"/>
      <c r="I38" s="9" t="n">
        <v>0</v>
      </c>
      <c r="J38" s="9" t="n"/>
      <c r="K38" s="9" t="n"/>
      <c r="L38" s="12">
        <f>IFERROR(__xludf.DUMMYFUNCTION("IFERROR(googlefinance(D38,""pe""),"""")"),"")</f>
        <v/>
      </c>
      <c r="M38" s="12">
        <f>IFERROR(__xludf.DUMMYFUNCTION("IFERROR(googlefinance(D38,""beta""),"""")"),"")</f>
        <v/>
      </c>
      <c r="N38" s="25" t="n"/>
      <c r="O38" s="4" t="n"/>
      <c r="P38" s="4" t="n"/>
      <c r="Q38" s="4" t="n"/>
      <c r="R38" s="4" t="n"/>
      <c r="S38" s="4" t="n"/>
    </row>
    <row r="39" ht="30" customHeight="1" s="215">
      <c r="A39" s="6">
        <f>A38+1</f>
        <v/>
      </c>
      <c r="B39" s="7">
        <f>HYPERLINK("https://finance.yahoo.com/quote/"&amp;D39, C39)</f>
        <v/>
      </c>
      <c r="C39" s="15" t="inlineStr">
        <is>
          <t>Walt Disney Co.</t>
        </is>
      </c>
      <c r="D39" s="6" t="inlineStr">
        <is>
          <t>DIS</t>
        </is>
      </c>
      <c r="E39" s="8">
        <f>IFERROR(__xludf.DUMMYFUNCTION("iferror(googlefinance(D39,""price""),"""")"),106.04)</f>
        <v/>
      </c>
      <c r="F39" s="9">
        <f>IFERROR(__xludf.DUMMYFUNCTION("IFERROR(GOOGLEFINANCE(D39,""price"") / index(GOOGLEFINANCE(D39,""price"", datevalue(today()-365) ) , 2,2) - 1,"""")"),-0.0598457310045217)</f>
        <v/>
      </c>
      <c r="G39" s="10">
        <f>IFERROR(__xludf.DUMMYFUNCTION("iferror(googlefinance(D39,""marketcap""),"""")/10^6"),187851.876381)</f>
        <v/>
      </c>
      <c r="H39" s="11">
        <f>IFERROR(__xludf.DUMMYFUNCTION("importrange(""https://docs.google.com/spreadsheets/d/1L4FKQtUpj3I5jkPXYxo00-bMwvduNEaET-STfup6mZo/edit#gid=644621603"",""DIS!B32"")*1000"),117528.235825075)</f>
        <v/>
      </c>
      <c r="I39" s="9">
        <f>(H39-G39)/G39</f>
        <v/>
      </c>
      <c r="J39" s="9">
        <f>IFERROR(__xludf.DUMMYFUNCTION("importrange(""https://docs.google.com/spreadsheets/d/1L4FKQtUpj3I5jkPXYxo00-bMwvduNEaET-STfup6mZo/edit#gid=644621603"",""DIS!I2"")*1000"),39.380081300813)</f>
        <v/>
      </c>
      <c r="K39" s="9">
        <f>IFERROR(__xludf.DUMMYFUNCTION("importrange(""https://docs.google.com/spreadsheets/d/1L4FKQtUpj3I5jkPXYxo00-bMwvduNEaET-STfup6mZo/edit#gid=644621603"",""DIS!H15"")*1000"),230.69986714016)</f>
        <v/>
      </c>
      <c r="L39" s="12">
        <f>IFERROR(__xludf.DUMMYFUNCTION("IFERROR(googlefinance(D39,""pe""),"""")"),"")</f>
        <v/>
      </c>
      <c r="M39" s="12">
        <f>IFERROR(__xludf.DUMMYFUNCTION("IFERROR(googlefinance(D39,""beta""),"""")"),"")</f>
        <v/>
      </c>
      <c r="N39" s="25" t="n"/>
      <c r="O39" s="4" t="n"/>
      <c r="P39" s="4" t="n"/>
      <c r="Q39" s="4" t="n"/>
      <c r="R39" s="4" t="n"/>
      <c r="S39" s="4" t="n"/>
    </row>
    <row r="40" ht="15" customHeight="1" s="215">
      <c r="A40" s="6">
        <f>A39+1</f>
        <v/>
      </c>
      <c r="B40" s="7">
        <f>HYPERLINK("https://finance.yahoo.com/quote/"&amp;D40, C40)</f>
        <v/>
      </c>
      <c r="C40" s="15" t="inlineStr">
        <is>
          <t>TD Ameritrade</t>
        </is>
      </c>
      <c r="D40" s="6" t="inlineStr">
        <is>
          <t>AMTD</t>
        </is>
      </c>
      <c r="E40" s="8">
        <f>IFERROR(__xludf.DUMMYFUNCTION("iferror(googlefinance(D40,""price""),"""")"),"")</f>
        <v/>
      </c>
      <c r="F40" s="9">
        <f>IFERROR(__xludf.DUMMYFUNCTION("IFERROR(GOOGLEFINANCE(D40,""price"") / index(GOOGLEFINANCE(D40,""price"", datevalue(today()-365) ) , 2,2) - 1,"""")"),"")</f>
        <v/>
      </c>
      <c r="G40" s="10">
        <f>IFERROR(__xludf.DUMMYFUNCTION("iferror(googlefinance(D40,""marketcap""),"""")/10^6"),0)</f>
        <v/>
      </c>
      <c r="H40" s="11">
        <f>IFERROR(__xludf.DUMMYFUNCTION("importrange(""https://docs.google.com/spreadsheets/d/1vtcCV4JW-Qg5Z2YuuMjmX7GPYTyQzX2iEzo7hKgj-j8/edit#gid=644621603"",""AMTD!B31"")*1000"),19943.9520305236)</f>
        <v/>
      </c>
      <c r="I40" s="9">
        <f>(H40-G40)/G40</f>
        <v/>
      </c>
      <c r="J40" s="9">
        <f>IFERROR(__xludf.DUMMYFUNCTION("importrange(""https://docs.google.com/spreadsheets/d/1vtcCV4JW-Qg5Z2YuuMjmX7GPYTyQzX2iEzo7hKgj-j8/edit#gid=644621603"",""AMTD!I2"")"),0.0372956403269754)</f>
        <v/>
      </c>
      <c r="K40" s="9">
        <f>IFERROR(__xludf.DUMMYFUNCTION("importrange(""https://docs.google.com/spreadsheets/d/1vtcCV4JW-Qg5Z2YuuMjmX7GPYTyQzX2iEzo7hKgj-j8/edit#gid=644621603"",""AMTD!H16"")"),0.447731957811457)</f>
        <v/>
      </c>
      <c r="L40" s="12">
        <f>IFERROR(__xludf.DUMMYFUNCTION("IFERROR(googlefinance(D40,""pe""),"""")"),"")</f>
        <v/>
      </c>
      <c r="M40" s="12">
        <f>IFERROR(__xludf.DUMMYFUNCTION("IFERROR(googlefinance(D40,""beta""),"""")"),"")</f>
        <v/>
      </c>
      <c r="N40" s="25" t="n"/>
      <c r="O40" s="4" t="n"/>
      <c r="P40" s="4" t="n"/>
      <c r="Q40" s="4" t="n"/>
      <c r="R40" s="4" t="n"/>
      <c r="S40" s="4" t="n"/>
    </row>
    <row r="41" ht="30" customHeight="1" s="215">
      <c r="A41" s="6">
        <f>A40+1</f>
        <v/>
      </c>
      <c r="B41" s="7">
        <f>HYPERLINK("https://finance.yahoo.com/quote/"&amp;D41, C41)</f>
        <v/>
      </c>
      <c r="C41" s="15" t="inlineStr">
        <is>
          <t>Mail.ru Group Ltd GDR</t>
        </is>
      </c>
      <c r="D41" s="6" t="inlineStr">
        <is>
          <t>MLRYY</t>
        </is>
      </c>
      <c r="E41" s="8">
        <f>IFERROR(__xludf.DUMMYFUNCTION("iferror(googlefinance(D41,""price""),"""")"),0)</f>
        <v/>
      </c>
      <c r="F41" s="9" t="n">
        <v>0</v>
      </c>
      <c r="G41" s="10">
        <f>IFERROR(__xludf.DUMMYFUNCTION("iferror(googlefinance(D41,""marketcap""),"""")/10^6"),125.739851)</f>
        <v/>
      </c>
      <c r="H41" s="11">
        <f>IFERROR(__xludf.DUMMYFUNCTION("importrange(""https://docs.google.com/spreadsheets/d/1POuxvulNjw70dgr4wRAoUiHRR0maG6qOrFcFl7BShmU/edit#gid=1344089490"",""Summary!C33"")*1000"),1622.66051906179)</f>
        <v/>
      </c>
      <c r="I41" s="9">
        <f>(H41-G41)/G41</f>
        <v/>
      </c>
      <c r="J41" s="9">
        <f>IFERROR(__xludf.DUMMYFUNCTION("importrange(""https://docs.google.com/spreadsheets/d/1POuxvulNjw70dgr4wRAoUiHRR0maG6qOrFcFl7BShmU/edit#gid=1344089490"",""Summary!H2"")"),0.115925155925155)</f>
        <v/>
      </c>
      <c r="K41" s="9">
        <f>IFERROR(__xludf.DUMMYFUNCTION("importrange(""https://docs.google.com/spreadsheets/d/1POuxvulNjw70dgr4wRAoUiHRR0maG6qOrFcFl7BShmU/edit#gid=1344089490"",""Summary!G19"")"),0.307399955287279)</f>
        <v/>
      </c>
      <c r="L41" s="12">
        <f>IFERROR(__xludf.DUMMYFUNCTION("IFERROR(googlefinance(D41,""pe""),"""")"),"")</f>
        <v/>
      </c>
      <c r="M41" s="12">
        <f>IFERROR(__xludf.DUMMYFUNCTION("IFERROR(googlefinance(D41,""beta""),"""")"),"")</f>
        <v/>
      </c>
      <c r="N41" s="25" t="n"/>
      <c r="O41" s="4" t="n"/>
      <c r="P41" s="4" t="n"/>
      <c r="Q41" s="4" t="n"/>
      <c r="R41" s="4" t="n"/>
      <c r="S41" s="4" t="n"/>
    </row>
    <row r="42" ht="30" customHeight="1" s="215">
      <c r="A42" s="6">
        <f>A41+1</f>
        <v/>
      </c>
      <c r="B42" s="7">
        <f>HYPERLINK("https://finance.yahoo.com/quote/"&amp;D42, C42)</f>
        <v/>
      </c>
      <c r="C42" s="15" t="inlineStr">
        <is>
          <t>American Express Co</t>
        </is>
      </c>
      <c r="D42" s="6" t="inlineStr">
        <is>
          <t>AXP</t>
        </is>
      </c>
      <c r="E42" s="8">
        <f>IFERROR(__xludf.DUMMYFUNCTION("iferror(googlefinance(D42,""price""),"""")"),308.9)</f>
        <v/>
      </c>
      <c r="F42" s="9">
        <f>IFERROR(__xludf.DUMMYFUNCTION("IFERROR(GOOGLEFINANCE(D42,""price"") / index(GOOGLEFINANCE(D42,""price"", datevalue(today()-365) ) , 2,2) - 1,"""")"),0.0453822464381197)</f>
        <v/>
      </c>
      <c r="G42" s="10">
        <f>IFERROR(__xludf.DUMMYFUNCTION("iferror(googlefinance(D42,""marketcap""),"""")/10^6"),212095.029519)</f>
        <v/>
      </c>
      <c r="H42" s="11">
        <f>IFERROR(__xludf.DUMMYFUNCTION("importrange(""https://docs.google.com/spreadsheets/d/1pPtPZdU5W0LctnDqTA4epwxgxp6IRPtePwNDmucu_Fs/edit#gid=1023062230"",""Summary!C27"")"),96956.5069582258)</f>
        <v/>
      </c>
      <c r="I42" s="9">
        <f>(H42-G42)/G42</f>
        <v/>
      </c>
      <c r="J42" s="9">
        <f>IFERROR(__xludf.DUMMYFUNCTION("importrange(""https://docs.google.com/spreadsheets/d/1pPtPZdU5W0LctnDqTA4epwxgxp6IRPtePwNDmucu_Fs/edit#gid=1023062230"",""Summary!J2"")"),-0.00247956653503535)</f>
        <v/>
      </c>
      <c r="K42" s="9">
        <f>IFERROR(__xludf.DUMMYFUNCTION("importrange(""https://docs.google.com/spreadsheets/d/1pPtPZdU5W0LctnDqTA4epwxgxp6IRPtePwNDmucu_Fs/edit#gid=1023062230"",""Summary!I14"")"),0.101109372122997)</f>
        <v/>
      </c>
      <c r="L42" s="12">
        <f>IFERROR(__xludf.DUMMYFUNCTION("IFERROR(googlefinance(D42,""pe""),"""")"),"")</f>
        <v/>
      </c>
      <c r="M42" s="12">
        <f>IFERROR(__xludf.DUMMYFUNCTION("IFERROR(googlefinance(D42,""beta""),"""")"),"")</f>
        <v/>
      </c>
      <c r="N42" s="25" t="n"/>
      <c r="O42" s="4" t="n"/>
      <c r="P42" s="4" t="n"/>
      <c r="Q42" s="4" t="n"/>
      <c r="R42" s="4" t="n"/>
      <c r="S42" s="4" t="n"/>
    </row>
    <row r="43" ht="45" customHeight="1" s="215">
      <c r="A43" s="19">
        <f>A42+1</f>
        <v/>
      </c>
      <c r="B43" s="7">
        <f>HYPERLINK("https://finance.yahoo.com/quote/"&amp;D43, C43)</f>
        <v/>
      </c>
      <c r="C43" s="15" t="inlineStr">
        <is>
          <t>Bank of New York Mellon Corp</t>
        </is>
      </c>
      <c r="D43" s="6" t="inlineStr">
        <is>
          <t>BK</t>
        </is>
      </c>
      <c r="E43" s="8">
        <f>IFERROR(__xludf.DUMMYFUNCTION("iferror(googlefinance(D43,""price""),"""")"),119.1)</f>
        <v/>
      </c>
      <c r="F43" s="9">
        <f>IFERROR(__xludf.DUMMYFUNCTION("IFERROR(GOOGLEFINANCE(D43,""price"") / index(GOOGLEFINANCE(D43,""price"", datevalue(today()-365) ) , 2,2) - 1,"""")"),0.348047538200339)</f>
        <v/>
      </c>
      <c r="G43" s="10">
        <f>IFERROR(__xludf.DUMMYFUNCTION("iferror(googlefinance(D43,""marketcap""),"""")/10^6"),81810.670291)</f>
        <v/>
      </c>
      <c r="H43" s="11">
        <f>IFERROR(__xludf.DUMMYFUNCTION("importrange(""https://docs.google.com/spreadsheets/d/1RDmGZo9Acgc7RPfWGhcWjGvuUfMMhJaYtkT38IdjaG8/edit#gid=892062421"",""BK!B32"")"),44754.6996211422)</f>
        <v/>
      </c>
      <c r="I43" s="9">
        <f>(H43-G43)/G43</f>
        <v/>
      </c>
      <c r="J43" s="9">
        <f>IFERROR(__xludf.DUMMYFUNCTION("importrange(""https://docs.google.com/spreadsheets/d/1RDmGZo9Acgc7RPfWGhcWjGvuUfMMhJaYtkT38IdjaG8/edit#gid=892062421"",""BK!J3"")"),-0.0295152004584886)</f>
        <v/>
      </c>
      <c r="K43" s="9">
        <f>IFERROR(__xludf.DUMMYFUNCTION("importrange(""https://docs.google.com/spreadsheets/d/1RDmGZo9Acgc7RPfWGhcWjGvuUfMMhJaYtkT38IdjaG8/edit#gid=892062421"",""BK!H24"")"),0.282641700404858)</f>
        <v/>
      </c>
      <c r="L43" s="12">
        <f>IFERROR(__xludf.DUMMYFUNCTION("IFERROR(googlefinance(D43,""pe""),"""")"),"")</f>
        <v/>
      </c>
      <c r="M43" s="12">
        <f>IFERROR(__xludf.DUMMYFUNCTION("IFERROR(googlefinance(D43,""beta""),"""")"),"")</f>
        <v/>
      </c>
      <c r="N43" s="25" t="n"/>
      <c r="O43" s="4" t="n"/>
      <c r="P43" s="4" t="n"/>
      <c r="Q43" s="4" t="n"/>
      <c r="R43" s="4" t="n"/>
      <c r="S43" s="4" t="n"/>
    </row>
    <row r="44" ht="15" customHeight="1" s="215">
      <c r="A44" s="14">
        <f>A43+1</f>
        <v/>
      </c>
      <c r="B44" s="7">
        <f>HYPERLINK("https://finance.yahoo.com/quote/"&amp;D44, C44)</f>
        <v/>
      </c>
      <c r="C44" s="15" t="inlineStr">
        <is>
          <t>Tesla Inc</t>
        </is>
      </c>
      <c r="D44" s="6" t="inlineStr">
        <is>
          <t>TSLA</t>
        </is>
      </c>
      <c r="E44" s="8">
        <f>IFERROR(__xludf.DUMMYFUNCTION("iferror(googlefinance(D44,""price""),"""")"),402.51)</f>
        <v/>
      </c>
      <c r="F44" s="9">
        <f>IFERROR(__xludf.DUMMYFUNCTION("IFERROR(GOOGLEFINANCE(D44,""price"") / index(GOOGLEFINANCE(D44,""price"", datevalue(today()-365) ) , 2,2) - 1,"""")"),0.414052344985069)</f>
        <v/>
      </c>
      <c r="G44" s="10">
        <f>IFERROR(__xludf.DUMMYFUNCTION("iferror(googlefinance(D44,""marketcap""),"""")/10^6"),1261253.0403)</f>
        <v/>
      </c>
      <c r="H44" s="11">
        <f>IFERROR(__xludf.DUMMYFUNCTION("importrange(""https://docs.google.com/spreadsheets/d/1s0WAt5f5uINzrh-BFNyDhLtn62N1pGkxpCpJuOZLxdU/edit#gid=1887439665"",""Summary!B4"")*1000"),24725.0400745573)</f>
        <v/>
      </c>
      <c r="I44" s="9">
        <f>(H44-G44)/G44</f>
        <v/>
      </c>
      <c r="J44" s="9">
        <f>IFERROR(__xludf.DUMMYFUNCTION("importrange(""https://docs.google.com/spreadsheets/d/1s0WAt5f5uINzrh-BFNyDhLtn62N1pGkxpCpJuOZLxdU/edit#gid=1887439665"",""Summary!B1"")"),0.145386766076421)</f>
        <v/>
      </c>
      <c r="K44" s="9">
        <f>IFERROR(__xludf.DUMMYFUNCTION("importrange(""https://docs.google.com/spreadsheets/d/1s0WAt5f5uINzrh-BFNyDhLtn62N1pGkxpCpJuOZLxdU/edit#gid=1887439665"",""Summary!B10"")"),0.03228285933897)</f>
        <v/>
      </c>
      <c r="L44" s="12">
        <f>IFERROR(__xludf.DUMMYFUNCTION("IFERROR(googlefinance(D44,""pe""),"""")"),"")</f>
        <v/>
      </c>
      <c r="M44" s="12">
        <f>IFERROR(__xludf.DUMMYFUNCTION("IFERROR(googlefinance(D44,""beta""),"""")"),"")</f>
        <v/>
      </c>
      <c r="N44" s="25" t="n"/>
      <c r="O44" s="4" t="n"/>
      <c r="P44" s="4" t="n"/>
      <c r="Q44" s="4" t="n"/>
      <c r="R44" s="4" t="n"/>
      <c r="S44" s="4" t="n"/>
    </row>
    <row r="45" ht="45" customHeight="1" s="215">
      <c r="A45" s="22">
        <f>A44+1</f>
        <v/>
      </c>
      <c r="B45" s="7">
        <f>HYPERLINK("https://finance.yahoo.com/quote/"&amp;D45, C45)</f>
        <v/>
      </c>
      <c r="C45" s="15" t="inlineStr">
        <is>
          <t>Bristol-Myers Squibb Company</t>
        </is>
      </c>
      <c r="D45" s="6" t="inlineStr">
        <is>
          <t>BMY</t>
        </is>
      </c>
      <c r="E45" s="8">
        <f>IFERROR(__xludf.DUMMYFUNCTION("iferror(googlefinance(D45,""price""),"""")"),62.37)</f>
        <v/>
      </c>
      <c r="F45" s="9">
        <f>IFERROR(__xludf.DUMMYFUNCTION("IFERROR(GOOGLEFINANCE(D45,""price"") / index(GOOGLEFINANCE(D45,""price"", datevalue(today()-365) ) , 2,2) - 1,"""")"),0.0417571404710206)</f>
        <v/>
      </c>
      <c r="G45" s="10">
        <f>IFERROR(__xludf.DUMMYFUNCTION("iferror(googlefinance(D45,""marketcap""),"""")/10^6"),127014.756464)</f>
        <v/>
      </c>
      <c r="H45" s="11">
        <f>IFERROR(__xludf.DUMMYFUNCTION("importrange(""https://docs.google.com/spreadsheets/d/1PKkvs4NFYwl4R4yvsfSA-VcPcz_8gWCI9jloSK2IhP0/edit#gid=254823806"",""Summary!B25"")*1000"),60721.1126872985)</f>
        <v/>
      </c>
      <c r="I45" s="9">
        <f>(H45-G45)/G45</f>
        <v/>
      </c>
      <c r="J45" s="9">
        <f>IFERROR(__xludf.DUMMYFUNCTION("importrange(""https://docs.google.com/spreadsheets/d/1PKkvs4NFYwl4R4yvsfSA-VcPcz_8gWCI9jloSK2IhP0/edit#gid=254823806"",""Summary!H2"")"),0.62623828647925)</f>
        <v/>
      </c>
      <c r="K45" s="9">
        <f>IFERROR(__xludf.DUMMYFUNCTION("importrange(""https://docs.google.com/spreadsheets/d/1PKkvs4NFYwl4R4yvsfSA-VcPcz_8gWCI9jloSK2IhP0/edit#gid=254823806"",""Summary!G18"")"),-0.161602144973893)</f>
        <v/>
      </c>
      <c r="L45" s="12">
        <f>IFERROR(__xludf.DUMMYFUNCTION("IFERROR(googlefinance(D45,""pe""),"""")"),"")</f>
        <v/>
      </c>
      <c r="M45" s="12">
        <f>IFERROR(__xludf.DUMMYFUNCTION("IFERROR(googlefinance(D45,""beta""),"""")"),"")</f>
        <v/>
      </c>
      <c r="N45" s="25" t="n"/>
      <c r="O45" s="4" t="n"/>
      <c r="P45" s="4" t="n"/>
      <c r="Q45" s="4" t="n"/>
      <c r="R45" s="4" t="n"/>
      <c r="S45" s="4" t="n"/>
    </row>
    <row r="46" ht="30" customHeight="1" s="215">
      <c r="A46" s="6">
        <f>A45+1</f>
        <v/>
      </c>
      <c r="B46" s="7">
        <f>HYPERLINK("https://finance.yahoo.com/quote/"&amp;D46, C46)</f>
        <v/>
      </c>
      <c r="C46" s="15" t="inlineStr">
        <is>
          <t>T-Mobile US, Inc.</t>
        </is>
      </c>
      <c r="D46" s="6" t="inlineStr">
        <is>
          <t>TMUS</t>
        </is>
      </c>
      <c r="E46" s="8">
        <f>IFERROR(__xludf.DUMMYFUNCTION("iferror(googlefinance(D46,""price""),"""")"),217.09)</f>
        <v/>
      </c>
      <c r="F46" s="9">
        <f>IFERROR(__xludf.DUMMYFUNCTION("IFERROR(GOOGLEFINANCE(D46,""price"") / index(GOOGLEFINANCE(D46,""price"", datevalue(today()-365) ) , 2,2) - 1,"""")"),-0.204303045852728)</f>
        <v/>
      </c>
      <c r="G46" s="10">
        <f>IFERROR(__xludf.DUMMYFUNCTION("iferror(googlefinance(D46,""marketcap""),"""")/10^6"),239203.217544)</f>
        <v/>
      </c>
      <c r="H46" s="11" t="n"/>
      <c r="I46" s="9" t="n"/>
      <c r="J46" s="9" t="n"/>
      <c r="K46" s="9" t="n"/>
      <c r="L46" s="12">
        <f>IFERROR(__xludf.DUMMYFUNCTION("IFERROR(googlefinance(D46,""pe""),"""")"),"")</f>
        <v/>
      </c>
      <c r="M46" s="12">
        <f>IFERROR(__xludf.DUMMYFUNCTION("IFERROR(googlefinance(D46,""beta""),"""")"),"")</f>
        <v/>
      </c>
      <c r="N46" s="25" t="n"/>
      <c r="O46" s="4" t="n"/>
      <c r="P46" s="4" t="n"/>
      <c r="Q46" s="4" t="n"/>
      <c r="R46" s="4" t="n"/>
      <c r="S46" s="4" t="n"/>
    </row>
    <row r="47" ht="15" customHeight="1" s="215">
      <c r="A47" s="22">
        <f>A46+1</f>
        <v/>
      </c>
      <c r="B47" s="7">
        <f>HYPERLINK("https://finance.yahoo.com/quote/"&amp;D47, C47)</f>
        <v/>
      </c>
      <c r="C47" s="15" t="inlineStr">
        <is>
          <t>Pfizer Inc.</t>
        </is>
      </c>
      <c r="D47" s="6" t="inlineStr">
        <is>
          <t>PFE</t>
        </is>
      </c>
      <c r="E47" s="8">
        <f>IFERROR(__xludf.DUMMYFUNCTION("iferror(googlefinance(D47,""price""),"""")"),27.65)</f>
        <v/>
      </c>
      <c r="F47" s="9">
        <f>IFERROR(__xludf.DUMMYFUNCTION("IFERROR(GOOGLEFINANCE(D47,""price"") / index(GOOGLEFINANCE(D47,""price"", datevalue(today()-365) ) , 2,2) - 1,"""")"),0.0533333333333332)</f>
        <v/>
      </c>
      <c r="G47" s="10">
        <f>IFERROR(__xludf.DUMMYFUNCTION("iferror(googlefinance(D47,""marketcap""),"""")/10^6"),157209.824031)</f>
        <v/>
      </c>
      <c r="H47" s="11">
        <f>IFERROR(__xludf.DUMMYFUNCTION("importrange(""https://docs.google.com/spreadsheets/d/11SV-exCGxMmladm_kNssrzP_5btf3-nnwAh3xCyaL_g/edit#gid=254823806"",""Summary!B27"")*1000"),134501.097187239)</f>
        <v/>
      </c>
      <c r="I47" s="9">
        <f>(H47-G47)/G47</f>
        <v/>
      </c>
      <c r="J47" s="9">
        <f>IFERROR(__xludf.DUMMYFUNCTION("importrange(""https://docs.google.com/spreadsheets/d/1oN8uGVHIkDbEs0vjYAQFVmfq4DbVF1dUmjRufJfa5kE/edit#gid=254823806"",""Summary!H2"")"),-0.0493333333333332)</f>
        <v/>
      </c>
      <c r="K47" s="9">
        <f>IFERROR(__xludf.DUMMYFUNCTION("importrange(""https://docs.google.com/spreadsheets/d/1oN8uGVHIkDbEs0vjYAQFVmfq4DbVF1dUmjRufJfa5kE/edit#gid=254823806"",""Summary!G18"")"),0.346708132609711)</f>
        <v/>
      </c>
      <c r="L47" s="12">
        <f>IFERROR(__xludf.DUMMYFUNCTION("IFERROR(googlefinance(D47,""pe""),"""")"),"")</f>
        <v/>
      </c>
      <c r="M47" s="12">
        <f>IFERROR(__xludf.DUMMYFUNCTION("IFERROR(googlefinance(D47,""beta""),"""")"),"")</f>
        <v/>
      </c>
      <c r="N47" s="25" t="n"/>
      <c r="O47" s="4" t="n"/>
      <c r="P47" s="4" t="n"/>
      <c r="Q47" s="4" t="n"/>
      <c r="R47" s="4" t="n"/>
      <c r="S47" s="4" t="n"/>
    </row>
    <row r="48" ht="15" customHeight="1" s="215">
      <c r="A48" s="6">
        <f>A47+1</f>
        <v/>
      </c>
      <c r="B48" s="7">
        <f>HYPERLINK("https://finance.yahoo.com/quote/"&amp;D48, C48)</f>
        <v/>
      </c>
      <c r="C48" s="15" t="inlineStr">
        <is>
          <t>AbbVie Inc.</t>
        </is>
      </c>
      <c r="D48" s="6" t="inlineStr">
        <is>
          <t>ABBV</t>
        </is>
      </c>
      <c r="E48" s="8">
        <f>IFERROR(__xludf.DUMMYFUNCTION("iferror(googlefinance(D48,""price""),"""")"),232.08)</f>
        <v/>
      </c>
      <c r="F48" s="9">
        <f>IFERROR(__xludf.DUMMYFUNCTION("IFERROR(GOOGLEFINANCE(D48,""price"") / index(GOOGLEFINANCE(D48,""price"", datevalue(today()-365) ) , 2,2) - 1,"""")"),0.0974087384149802)</f>
        <v/>
      </c>
      <c r="G48" s="10">
        <f>IFERROR(__xludf.DUMMYFUNCTION("iferror(googlefinance(D48,""marketcap""),"""")/10^6"),410356.664757)</f>
        <v/>
      </c>
      <c r="H48" s="11">
        <f>IFERROR(__xludf.DUMMYFUNCTION("importrange(""https://docs.google.com/spreadsheets/d/1Lmha0aFigcxfAAQHBnl381BiKV2pruikPErrfchf7bM/edit#gid=254823806"",""Summary!B25"")*1000"),78350.5041602617)</f>
        <v/>
      </c>
      <c r="I48" s="9">
        <f>(H48-G48)/G48</f>
        <v/>
      </c>
      <c r="J48" s="9">
        <f>IFERROR(__xludf.DUMMYFUNCTION("importrange(""https://docs.google.com/spreadsheets/d/1Lmha0aFigcxfAAQHBnl381BiKV2pruikPErrfchf7bM/edit#gid=254823806"",""Summary!H2"")"),0.221968376119761)</f>
        <v/>
      </c>
      <c r="K48" s="9">
        <f>IFERROR(__xludf.DUMMYFUNCTION("importrange(""https://docs.google.com/spreadsheets/d/1Lmha0aFigcxfAAQHBnl381BiKV2pruikPErrfchf7bM/edit#gid=254823806"",""Summary!G18"")"),0.196285362853628)</f>
        <v/>
      </c>
      <c r="L48" s="12">
        <f>IFERROR(__xludf.DUMMYFUNCTION("IFERROR(googlefinance(D48,""pe""),"""")"),"")</f>
        <v/>
      </c>
      <c r="M48" s="12">
        <f>IFERROR(__xludf.DUMMYFUNCTION("IFERROR(googlefinance(D48,""beta""),"""")"),"")</f>
        <v/>
      </c>
      <c r="N48" s="25" t="n"/>
      <c r="O48" s="4" t="n"/>
      <c r="P48" s="4" t="n"/>
      <c r="Q48" s="4" t="n"/>
      <c r="R48" s="4" t="n"/>
      <c r="S48" s="4" t="n"/>
    </row>
    <row r="49" ht="30" customHeight="1" s="215">
      <c r="A49" s="19">
        <f>A48+1</f>
        <v/>
      </c>
      <c r="B49" s="7">
        <f>HYPERLINK("https://finance.yahoo.com/quote/"&amp;D49, C49)</f>
        <v/>
      </c>
      <c r="C49" s="15" t="inlineStr">
        <is>
          <t>Merck &amp; Co., Inc.</t>
        </is>
      </c>
      <c r="D49" s="6" t="inlineStr">
        <is>
          <t>MRK</t>
        </is>
      </c>
      <c r="E49" s="8">
        <f>IFERROR(__xludf.DUMMYFUNCTION("iferror(googlefinance(D49,""price""),"""")"),123.82)</f>
        <v/>
      </c>
      <c r="F49" s="9">
        <f>IFERROR(__xludf.DUMMYFUNCTION("IFERROR(GOOGLEFINANCE(D49,""price"") / index(GOOGLEFINANCE(D49,""price"", datevalue(today()-365) ) , 2,2) - 1,"""")"),0.329253891572732)</f>
        <v/>
      </c>
      <c r="G49" s="10">
        <f>IFERROR(__xludf.DUMMYFUNCTION("iferror(googlefinance(D49,""marketcap""),"""")/10^6"),306131.576685)</f>
        <v/>
      </c>
      <c r="H49" s="11">
        <f>IFERROR(__xludf.DUMMYFUNCTION("importrange(""https://docs.google.com/spreadsheets/d/14Gn_cN5n5NHpurg7-PTOOMSPh6udDbRDZOjcOd1G0L0/edit#gid=254823806"",""Summary!B27"")*1000"),129175.142804748)</f>
        <v/>
      </c>
      <c r="I49" s="9">
        <f>(H49-G49)/G49</f>
        <v/>
      </c>
      <c r="J49" s="9">
        <f>IFERROR(__xludf.DUMMYFUNCTION("importrange(""https://docs.google.com/spreadsheets/d/14Gn_cN5n5NHpurg7-PTOOMSPh6udDbRDZOjcOd1G0L0/edit#gid=254823806"",""Summary!I2"")"),0.00194310093564531)</f>
        <v/>
      </c>
      <c r="K49" s="9">
        <f>IFERROR(__xludf.DUMMYFUNCTION("importrange(""https://docs.google.com/spreadsheets/d/14Gn_cN5n5NHpurg7-PTOOMSPh6udDbRDZOjcOd1G0L0/edit#gid=254823806"",""Summary!G18"")"),0.286712991319407)</f>
        <v/>
      </c>
      <c r="L49" s="12">
        <f>IFERROR(__xludf.DUMMYFUNCTION("IFERROR(googlefinance(D49,""pe""),"""")"),"")</f>
        <v/>
      </c>
      <c r="M49" s="12">
        <f>IFERROR(__xludf.DUMMYFUNCTION("IFERROR(googlefinance(D49,""beta""),"""")"),"")</f>
        <v/>
      </c>
      <c r="N49" s="25" t="n"/>
      <c r="O49" s="4" t="n"/>
      <c r="P49" s="4" t="n"/>
      <c r="Q49" s="4" t="n"/>
      <c r="R49" s="4" t="n"/>
      <c r="S49" s="4" t="n"/>
    </row>
    <row r="50" ht="15" customHeight="1" s="215">
      <c r="A50" s="14">
        <f>A49+1</f>
        <v/>
      </c>
      <c r="B50" s="7">
        <f>HYPERLINK("https://finance.yahoo.com/quote/"&amp;D50, C50)</f>
        <v/>
      </c>
      <c r="C50" s="15" t="inlineStr">
        <is>
          <t>The Kroger Co.</t>
        </is>
      </c>
      <c r="D50" s="6" t="inlineStr">
        <is>
          <t>KR</t>
        </is>
      </c>
      <c r="E50" s="8">
        <f>IFERROR(__xludf.DUMMYFUNCTION("iferror(googlefinance(D50,""price""),"""")"),68.24)</f>
        <v/>
      </c>
      <c r="F50" s="9">
        <f>IFERROR(__xludf.DUMMYFUNCTION("IFERROR(GOOGLEFINANCE(D50,""price"") / index(GOOGLEFINANCE(D50,""price"", datevalue(today()-365) ) , 2,2) - 1,"""")"),0.085069168389251)</f>
        <v/>
      </c>
      <c r="G50" s="10">
        <f>IFERROR(__xludf.DUMMYFUNCTION("iferror(googlefinance(D50,""marketcap""),"""")/10^6"),43185.614408)</f>
        <v/>
      </c>
      <c r="H50" s="11">
        <f>IFERROR(__xludf.DUMMYFUNCTION("importrange(""https://docs.google.com/spreadsheets/d/1j2x-RO8OrHlQoHZHO1fDKUUR3lcU5qiurqfM2Tagy3g/edit#gid=254823806"",""Summary!B25"")*1000"),30024.0645122656)</f>
        <v/>
      </c>
      <c r="I50" s="9">
        <f>(H50-G50)/G50</f>
        <v/>
      </c>
      <c r="J50" s="9">
        <f>IFERROR(__xludf.DUMMYFUNCTION("importrange(""https://docs.google.com/spreadsheets/d/1j2x-RO8OrHlQoHZHO1fDKUUR3lcU5qiurqfM2Tagy3g/edit#gid=254823806"",""Summary!H2"")"),0.127586150499648)</f>
        <v/>
      </c>
      <c r="K50" s="9">
        <f>IFERROR(__xludf.DUMMYFUNCTION("importrange(""https://docs.google.com/spreadsheets/d/1j2x-RO8OrHlQoHZHO1fDKUUR3lcU5qiurqfM2Tagy3g/edit#gid=254823806"",""Summary!G18"")"),0.0252161174286377)</f>
        <v/>
      </c>
      <c r="L50" s="12">
        <f>IFERROR(__xludf.DUMMYFUNCTION("IFERROR(googlefinance(D50,""pe""),"""")"),"")</f>
        <v/>
      </c>
      <c r="M50" s="12">
        <f>IFERROR(__xludf.DUMMYFUNCTION("IFERROR(googlefinance(D50,""beta""),"""")"),"")</f>
        <v/>
      </c>
      <c r="N50" s="25" t="n"/>
      <c r="O50" s="4" t="n"/>
      <c r="P50" s="4" t="n"/>
      <c r="Q50" s="4" t="n"/>
      <c r="R50" s="4" t="n"/>
      <c r="S50" s="4" t="n"/>
    </row>
    <row r="51" ht="45" customHeight="1" s="215">
      <c r="A51" s="6">
        <f>A50+1</f>
        <v/>
      </c>
      <c r="B51" s="7">
        <f>HYPERLINK("https://finance.yahoo.com/quote/"&amp;D51, C51)</f>
        <v/>
      </c>
      <c r="C51" s="15" t="inlineStr">
        <is>
          <t>General Motors Company</t>
        </is>
      </c>
      <c r="D51" s="6" t="inlineStr">
        <is>
          <t>GME</t>
        </is>
      </c>
      <c r="E51" s="8">
        <f>IFERROR(__xludf.DUMMYFUNCTION("iferror(googlefinance(D51,""price""),"""")"),24.03)</f>
        <v/>
      </c>
      <c r="F51" s="9">
        <f>IFERROR(__xludf.DUMMYFUNCTION("IFERROR(GOOGLEFINANCE(D51,""price"") / index(GOOGLEFINANCE(D51,""price"", datevalue(today()-365) ) , 2,2) - 1,"""")"),-0.0151639344262294)</f>
        <v/>
      </c>
      <c r="G51" s="10">
        <f>IFERROR(__xludf.DUMMYFUNCTION("iferror(googlefinance(D51,""marketcap""),"""")/10^6"),10765.668592)</f>
        <v/>
      </c>
      <c r="H51" s="11" t="n"/>
      <c r="I51" s="9" t="n">
        <v>0</v>
      </c>
      <c r="J51" s="9" t="n"/>
      <c r="K51" s="9" t="n"/>
      <c r="L51" s="12">
        <f>IFERROR(__xludf.DUMMYFUNCTION("IFERROR(googlefinance(D51,""pe""),"""")"),"")</f>
        <v/>
      </c>
      <c r="M51" s="12">
        <f>IFERROR(__xludf.DUMMYFUNCTION("IFERROR(googlefinance(D51,""beta""),"""")"),"")</f>
        <v/>
      </c>
      <c r="N51" s="25" t="n"/>
      <c r="O51" s="4" t="n"/>
      <c r="P51" s="4" t="n"/>
      <c r="Q51" s="4" t="n"/>
      <c r="R51" s="4" t="n"/>
      <c r="S51" s="4" t="n"/>
    </row>
    <row r="52" ht="15" customHeight="1" s="215">
      <c r="A52" s="6">
        <f>A51+1</f>
        <v/>
      </c>
      <c r="B52" s="7">
        <f>HYPERLINK("https://finance.yahoo.com/quote/"&amp;D52, C52)</f>
        <v/>
      </c>
      <c r="C52" s="15" t="inlineStr">
        <is>
          <t>Globe Life Inc</t>
        </is>
      </c>
      <c r="D52" s="6" t="inlineStr">
        <is>
          <t>GL</t>
        </is>
      </c>
      <c r="E52" s="8">
        <f>IFERROR(__xludf.DUMMYFUNCTION("iferror(googlefinance(D52,""price""),"""")"),145.26)</f>
        <v/>
      </c>
      <c r="F52" s="9">
        <f>IFERROR(__xludf.DUMMYFUNCTION("IFERROR(GOOGLEFINANCE(D52,""price"") / index(GOOGLEFINANCE(D52,""price"", datevalue(today()-365) ) , 2,2) - 1,"""")"),0.129636830235632)</f>
        <v/>
      </c>
      <c r="G52" s="10">
        <f>IFERROR(__xludf.DUMMYFUNCTION("iferror(googlefinance(D52,""marketcap""),"""")/10^6"),11422.826166)</f>
        <v/>
      </c>
      <c r="H52" s="11" t="n"/>
      <c r="I52" s="9" t="n">
        <v>0</v>
      </c>
      <c r="J52" s="9" t="n"/>
      <c r="K52" s="9" t="n"/>
      <c r="L52" s="12">
        <f>IFERROR(__xludf.DUMMYFUNCTION("IFERROR(googlefinance(D52,""pe""),"""")"),"")</f>
        <v/>
      </c>
      <c r="M52" s="12">
        <f>IFERROR(__xludf.DUMMYFUNCTION("IFERROR(googlefinance(D52,""beta""),"""")"),"")</f>
        <v/>
      </c>
      <c r="N52" s="25" t="n"/>
      <c r="O52" s="4" t="n"/>
      <c r="P52" s="4" t="n"/>
      <c r="Q52" s="4" t="n"/>
      <c r="R52" s="4" t="n"/>
      <c r="S52" s="4" t="n"/>
    </row>
    <row r="53" ht="15" customHeight="1" s="215">
      <c r="A53" s="6">
        <f>A52+1</f>
        <v/>
      </c>
      <c r="B53" s="7">
        <f>HYPERLINK("https://finance.yahoo.com/quote/"&amp;D53, C53)</f>
        <v/>
      </c>
      <c r="C53" s="15" t="inlineStr">
        <is>
          <t>Snowflake Inc</t>
        </is>
      </c>
      <c r="D53" s="6" t="inlineStr">
        <is>
          <t>SNOW</t>
        </is>
      </c>
      <c r="E53" s="8">
        <f>IFERROR(__xludf.DUMMYFUNCTION("iferror(googlefinance(D53,""price""),"""")"),168.41)</f>
        <v/>
      </c>
      <c r="F53" s="9">
        <f>IFERROR(__xludf.DUMMYFUNCTION("IFERROR(GOOGLEFINANCE(D53,""price"") / index(GOOGLEFINANCE(D53,""price"", datevalue(today()-365) ) , 2,2) - 1,"""")"),-0.030175640656493)</f>
        <v/>
      </c>
      <c r="G53" s="10">
        <f>IFERROR(__xludf.DUMMYFUNCTION("iferror(googlefinance(D53,""marketcap""),"""")/10^6"),57629.886412)</f>
        <v/>
      </c>
      <c r="H53" s="11" t="n"/>
      <c r="I53" s="9" t="n">
        <v>0</v>
      </c>
      <c r="J53" s="9" t="n"/>
      <c r="K53" s="9" t="n"/>
      <c r="L53" s="12">
        <f>IFERROR(__xludf.DUMMYFUNCTION("IFERROR(googlefinance(D53,""pe""),"""")"),"")</f>
        <v/>
      </c>
      <c r="M53" s="12">
        <f>IFERROR(__xludf.DUMMYFUNCTION("IFERROR(googlefinance(D53,""beta""),"""")"),"")</f>
        <v/>
      </c>
      <c r="N53" s="25" t="n"/>
      <c r="O53" s="4" t="n"/>
      <c r="P53" s="4" t="n"/>
      <c r="Q53" s="4" t="n"/>
      <c r="R53" s="4" t="n"/>
      <c r="S53" s="4" t="n"/>
    </row>
    <row r="54" ht="15" customHeight="1" s="215">
      <c r="A54" s="6">
        <f>A53+1</f>
        <v/>
      </c>
      <c r="B54" s="7">
        <f>HYPERLINK("https://finance.yahoo.com/quote/"&amp;D54, C54)</f>
        <v/>
      </c>
      <c r="C54" s="15" t="inlineStr">
        <is>
          <t>AirBNB</t>
        </is>
      </c>
      <c r="D54" s="6" t="inlineStr">
        <is>
          <t>ABNB</t>
        </is>
      </c>
      <c r="E54" s="8">
        <f>IFERROR(__xludf.DUMMYFUNCTION("iferror(googlefinance(D54,""price""),"""")"),135.11)</f>
        <v/>
      </c>
      <c r="F54" s="9">
        <f>IFERROR(__xludf.DUMMYFUNCTION("IFERROR(GOOGLEFINANCE(D54,""price"") / index(GOOGLEFINANCE(D54,""price"", datevalue(today()-365) ) , 2,2) - 1,"""")"),-0.0416371116470419)</f>
        <v/>
      </c>
      <c r="G54" s="10">
        <f>IFERROR(__xludf.DUMMYFUNCTION("iferror(googlefinance(D54,""marketcap""),"""")/10^6"),82243.3354)</f>
        <v/>
      </c>
      <c r="H54" s="11">
        <f>IFERROR(__xludf.DUMMYFUNCTION("importrange(""https://docs.google.com/spreadsheets/d/1LupNll8EBZR0CxUoQzkZLRitp2lxm5UXiwXAxqniEg4/edit#gid=1608086994"",""ABNB!B34"")*1000"),-2820.06535744982)</f>
        <v/>
      </c>
      <c r="I54" s="9">
        <f>(H54-G54)/G54</f>
        <v/>
      </c>
      <c r="J54" s="9">
        <f>IFERROR(__xludf.DUMMYFUNCTION("importrange(""https://docs.google.com/spreadsheets/d/1LupNll8EBZR0CxUoQzkZLRitp2lxm5UXiwXAxqniEg4/edit#gid=1608086994"",""ABNB!F2"")"),-0.486235694401484)</f>
        <v/>
      </c>
      <c r="K54" s="9">
        <f>IFERROR(__xludf.DUMMYFUNCTION("importrange(""https://docs.google.com/spreadsheets/d/1LupNll8EBZR0CxUoQzkZLRitp2lxm5UXiwXAxqniEg4/edit#gid=1608086994"",""ABNB!D18"")"),-0.0526534859521332)</f>
        <v/>
      </c>
      <c r="L54" s="12">
        <f>IFERROR(__xludf.DUMMYFUNCTION("IFERROR(googlefinance(D54,""pe""),"""")"),"")</f>
        <v/>
      </c>
      <c r="M54" s="12">
        <f>IFERROR(__xludf.DUMMYFUNCTION("IFERROR(googlefinance(D54,""beta""),"""")"),"")</f>
        <v/>
      </c>
      <c r="N54" s="25" t="n"/>
      <c r="O54" s="4" t="n"/>
      <c r="P54" s="4" t="n"/>
      <c r="Q54" s="4" t="n"/>
      <c r="R54" s="4" t="n"/>
      <c r="S54" s="4" t="n"/>
    </row>
    <row r="55" ht="30" customHeight="1" s="215">
      <c r="A55" s="6">
        <f>A54+1</f>
        <v/>
      </c>
      <c r="B55" s="7">
        <f>HYPERLINK("https://finance.yahoo.com/quote/"&amp;D55, C55)</f>
        <v/>
      </c>
      <c r="C55" s="7" t="inlineStr">
        <is>
          <t>Nano-X Imaging Ltd</t>
        </is>
      </c>
      <c r="D55" s="6" t="inlineStr">
        <is>
          <t>NNOX</t>
        </is>
      </c>
      <c r="E55" s="8">
        <f>IFERROR(__xludf.DUMMYFUNCTION("iferror(googlefinance(D55,""price""),"""")"),2.37)</f>
        <v/>
      </c>
      <c r="F55" s="9">
        <f>IFERROR(__xludf.DUMMYFUNCTION("IFERROR(GOOGLEFINANCE(D55,""price"") / index(GOOGLEFINANCE(D55,""price"", datevalue(today()-365) ) , 2,2) - 1,"""")"),-0.584938704028021)</f>
        <v/>
      </c>
      <c r="G55" s="10">
        <f>IFERROR(__xludf.DUMMYFUNCTION("iferror(googlefinance(D55,""marketcap""),"""")/10^6"),164.0263)</f>
        <v/>
      </c>
      <c r="H55" s="11" t="n"/>
      <c r="I55" s="9" t="n">
        <v>0</v>
      </c>
      <c r="J55" s="9" t="n"/>
      <c r="K55" s="9" t="n"/>
      <c r="L55" s="12">
        <f>IFERROR(__xludf.DUMMYFUNCTION("IFERROR(googlefinance(D55,""pe""),"""")"),"")</f>
        <v/>
      </c>
      <c r="M55" s="12">
        <f>IFERROR(__xludf.DUMMYFUNCTION("IFERROR(googlefinance(D55,""beta""),"""")"),"")</f>
        <v/>
      </c>
      <c r="N55" s="25" t="n"/>
      <c r="O55" s="4" t="n"/>
      <c r="P55" s="4" t="n"/>
      <c r="Q55" s="4" t="n"/>
      <c r="R55" s="4" t="n"/>
      <c r="S55" s="4" t="n"/>
    </row>
    <row r="56" ht="15" customHeight="1" s="215">
      <c r="A56" s="6">
        <f>A55+1</f>
        <v/>
      </c>
      <c r="B56" s="7">
        <f>HYPERLINK("https://finance.yahoo.com/quote/"&amp;D56, C56)</f>
        <v/>
      </c>
      <c r="C56" s="7" t="inlineStr">
        <is>
          <t>Ozon Holdings</t>
        </is>
      </c>
      <c r="D56" s="7" t="inlineStr">
        <is>
          <t>OZON</t>
        </is>
      </c>
      <c r="E56" s="8">
        <f>IFERROR(__xludf.DUMMYFUNCTION("iferror(googlefinance(D56,""price""),"""")"),"")</f>
        <v/>
      </c>
      <c r="F56" s="9">
        <f>IFERROR(__xludf.DUMMYFUNCTION("IFERROR(GOOGLEFINANCE(D56,""price"") / index(GOOGLEFINANCE(D56,""price"", datevalue(today()-365) ) , 2,2) - 1,"""")"),"")</f>
        <v/>
      </c>
      <c r="G56" s="10">
        <f>IFERROR(__xludf.DUMMYFUNCTION("iferror(googlefinance(D56,""marketcap""),"""")/10^6"),0)</f>
        <v/>
      </c>
      <c r="H56" s="11">
        <f>IFERROR(__xludf.DUMMYFUNCTION("importrange(""https://docs.google.com/spreadsheets/d/1LupNll8EBZR0CxUoQzkZLRitp2lxm5UXiwXAxqniEg4/edit#gid=865153574"",""OZON!B34"")*1000"),3382.20113289964)</f>
        <v/>
      </c>
      <c r="I56" s="9">
        <f>(H56-G56)/G56</f>
        <v/>
      </c>
      <c r="J56" s="9">
        <f>IFERROR(__xludf.DUMMYFUNCTION("importrange(""https://docs.google.com/spreadsheets/d/1LupNll8EBZR0CxUoQzkZLRitp2lxm5UXiwXAxqniEg4/edit#gid=865153574"",""OZON!F2"")"),0.378247984009924)</f>
        <v/>
      </c>
      <c r="K56" s="9">
        <f>IFERROR(__xludf.DUMMYFUNCTION("importrange(""https://docs.google.com/spreadsheets/d/1LupNll8EBZR0CxUoQzkZLRitp2lxm5UXiwXAxqniEg4/edit#gid=865153574"",""OZON!E18"")"),-0.183858294851471)</f>
        <v/>
      </c>
      <c r="L56" s="12">
        <f>IFERROR(__xludf.DUMMYFUNCTION("IFERROR(googlefinance(D56,""pe""),"""")"),"")</f>
        <v/>
      </c>
      <c r="M56" s="12">
        <f>IFERROR(__xludf.DUMMYFUNCTION("IFERROR(googlefinance(D56,""beta""),"""")"),"")</f>
        <v/>
      </c>
      <c r="N56" s="25" t="n"/>
      <c r="O56" s="4" t="n"/>
      <c r="P56" s="4" t="n"/>
      <c r="Q56" s="4" t="n"/>
      <c r="R56" s="4" t="n"/>
      <c r="S56" s="4" t="n"/>
    </row>
    <row r="57" ht="15" customHeight="1" s="215">
      <c r="A57" s="6">
        <f>A56+1</f>
        <v/>
      </c>
      <c r="B57" s="7">
        <f>HYPERLINK("https://finance.yahoo.com/quote/"&amp;D57, C57)</f>
        <v/>
      </c>
      <c r="C57" s="7" t="inlineStr">
        <is>
          <t>DoorDash, Inc.</t>
        </is>
      </c>
      <c r="D57" s="7" t="inlineStr">
        <is>
          <t>DD</t>
        </is>
      </c>
      <c r="E57" s="8">
        <f>IFERROR(__xludf.DUMMYFUNCTION("iferror(googlefinance(D57,""price""),"""")"),50.04)</f>
        <v/>
      </c>
      <c r="F57" s="9">
        <f>IFERROR(__xludf.DUMMYFUNCTION("IFERROR(GOOGLEFINANCE(D57,""price"") / index(GOOGLEFINANCE(D57,""price"", datevalue(today()-365) ) , 2,2) - 1,"""")"),0.517743403093721)</f>
        <v/>
      </c>
      <c r="G57" s="10">
        <f>IFERROR(__xludf.DUMMYFUNCTION("iferror(googlefinance(D57,""marketcap""),"""")/10^6"),20462.55233)</f>
        <v/>
      </c>
      <c r="H57" s="11">
        <f>IFERROR(__xludf.DUMMYFUNCTION("importrange(""https://docs.google.com/spreadsheets/d/1LupNll8EBZR0CxUoQzkZLRitp2lxm5UXiwXAxqniEg4/edit#gid=1126927364"",""DD!B30"")*1000"),-11995.5634010475)</f>
        <v/>
      </c>
      <c r="I57" s="9">
        <f>(H57-G57)/G57</f>
        <v/>
      </c>
      <c r="J57" s="9">
        <f>IFERROR(__xludf.DUMMYFUNCTION("importrange(""https://docs.google.com/spreadsheets/d/1LupNll8EBZR0CxUoQzkZLRitp2lxm5UXiwXAxqniEg4/edit#gid=1126927364"",""DD!F2"")"),0.861448711716091)</f>
        <v/>
      </c>
      <c r="K57" s="9">
        <f>IFERROR(__xludf.DUMMYFUNCTION("importrange(""https://docs.google.com/spreadsheets/d/1LupNll8EBZR0CxUoQzkZLRitp2lxm5UXiwXAxqniEg4/edit#gid=1126927364"",""DD!E18"")"),0.0717873926430076)</f>
        <v/>
      </c>
      <c r="L57" s="12">
        <f>IFERROR(__xludf.DUMMYFUNCTION("IFERROR(googlefinance(D57,""pe""),"""")"),"")</f>
        <v/>
      </c>
      <c r="M57" s="12">
        <f>IFERROR(__xludf.DUMMYFUNCTION("IFERROR(googlefinance(D57,""beta""),"""")"),"")</f>
        <v/>
      </c>
      <c r="N57" s="25" t="n"/>
      <c r="O57" s="4" t="n"/>
      <c r="P57" s="4" t="n"/>
      <c r="Q57" s="4" t="n"/>
      <c r="R57" s="4" t="n"/>
      <c r="S57" s="4" t="n"/>
    </row>
    <row r="58" ht="45" customHeight="1" s="215">
      <c r="A58" s="14">
        <f>A57+1</f>
        <v/>
      </c>
      <c r="B58" s="7">
        <f>HYPERLINK("https://finance.yahoo.com/quote/"&amp;D58, C58)</f>
        <v/>
      </c>
      <c r="C58" s="7" t="inlineStr">
        <is>
          <t>Alibaba Group Holding Ltd ADR</t>
        </is>
      </c>
      <c r="D58" s="7" t="inlineStr">
        <is>
          <t>BABA</t>
        </is>
      </c>
      <c r="E58" s="8">
        <f>IFERROR(__xludf.DUMMYFUNCTION("iferror(googlefinance(D58,""price""),"""")"),144.11)</f>
        <v/>
      </c>
      <c r="F58" s="9">
        <f>IFERROR(__xludf.DUMMYFUNCTION("IFERROR(GOOGLEFINANCE(D58,""price"") / index(GOOGLEFINANCE(D58,""price"", datevalue(today()-365) ) , 2,2) - 1,"""")"),0.101674183930892)</f>
        <v/>
      </c>
      <c r="G58" s="10">
        <f>IFERROR(__xludf.DUMMYFUNCTION("E58*importrange(""https://docs.google.com/spreadsheets/d/18wXnZnXLelWNP84oOajcjx739bSr2i1dqUwcRDFtaMk/edit#gid=1602544562"",""Summary!J9"")"),389909.7804)</f>
        <v/>
      </c>
      <c r="H58" s="11">
        <f>IFERROR(__xludf.DUMMYFUNCTION("importrange(""https://docs.google.com/spreadsheets/d/18wXnZnXLelWNP84oOajcjx739bSr2i1dqUwcRDFtaMk/edit#gid=1602544562"",""Summary!B32"")"),353530.194421304)</f>
        <v/>
      </c>
      <c r="I58" s="9">
        <f>(H58-G58)/G58</f>
        <v/>
      </c>
      <c r="J58" s="9">
        <f>IFERROR(__xludf.DUMMYFUNCTION("importrange(""https://docs.google.com/spreadsheets/d/18wXnZnXLelWNP84oOajcjx739bSr2i1dqUwcRDFtaMk/edit#gid=1602544562"",""Summary!M2"")"),941.168)</f>
        <v/>
      </c>
      <c r="K58" s="9">
        <f>IFERROR(__xludf.DUMMYFUNCTION("importrange(""https://docs.google.com/spreadsheets/d/18wXnZnXLelWNP84oOajcjx739bSr2i1dqUwcRDFtaMk/edit#gid=1602544562"",""Summary!K14"")"),0.0816329879891496)</f>
        <v/>
      </c>
      <c r="L58" s="12">
        <f>IFERROR(__xludf.DUMMYFUNCTION("IFERROR(googlefinance(D58,""pe""),"""")"),"")</f>
        <v/>
      </c>
      <c r="M58" s="12">
        <f>IFERROR(__xludf.DUMMYFUNCTION("IFERROR(googlefinance(D58,""beta""),"""")"),"")</f>
        <v/>
      </c>
      <c r="N58" s="25" t="n"/>
      <c r="O58" s="4" t="n"/>
      <c r="P58" s="4" t="n"/>
      <c r="Q58" s="4" t="n"/>
      <c r="R58" s="4" t="n"/>
      <c r="S58" s="4" t="n"/>
    </row>
    <row r="59" ht="45" customHeight="1" s="215">
      <c r="A59" s="14">
        <f>A58+1</f>
        <v/>
      </c>
      <c r="B59" s="7">
        <f>HYPERLINK("https://finance.yahoo.com/quote/"&amp;D59, C59)</f>
        <v/>
      </c>
      <c r="C59" s="7" t="inlineStr">
        <is>
          <t>Verizon Communications Inc</t>
        </is>
      </c>
      <c r="D59" s="7" t="inlineStr">
        <is>
          <t>VZ</t>
        </is>
      </c>
      <c r="E59" s="8">
        <f>IFERROR(__xludf.DUMMYFUNCTION("iferror(googlefinance(D59,""price""),"""")"),50.14)</f>
        <v/>
      </c>
      <c r="F59" s="9">
        <f>IFERROR(__xludf.DUMMYFUNCTION("IFERROR(GOOGLEFINANCE(D59,""price"") / index(GOOGLEFINANCE(D59,""price"", datevalue(today()-365) ) , 2,2) - 1,"""")"),0.142922270344198)</f>
        <v/>
      </c>
      <c r="G59" s="10">
        <f>IFERROR(__xludf.DUMMYFUNCTION("iferror(googlefinance(D59,""marketcap""),"""")/10^6"),211474.673185)</f>
        <v/>
      </c>
      <c r="H59" s="11">
        <f>IFERROR(__xludf.DUMMYFUNCTION("importrange(""https://docs.google.com/spreadsheets/d/1s2M_ltAGS6izvtgc6SVn4ngI84PWAhIzn_dv0RMInIU/edit#gid=1579911573"",""Summary!C18"")"),197185.256804111)</f>
        <v/>
      </c>
      <c r="I59" s="9">
        <f>(H59-G59)/G59</f>
        <v/>
      </c>
      <c r="J59" s="9">
        <f>IFERROR(__xludf.DUMMYFUNCTION("importrange(""https://docs.google.com/spreadsheets/d/1s2M_ltAGS6izvtgc6SVn4ngI84PWAhIzn_dv0RMInIU/edit#gid=1579911573"",""Summary!H44"")"),0.00971053647240455)</f>
        <v/>
      </c>
      <c r="K59" s="9">
        <f>IFERROR(__xludf.DUMMYFUNCTION("importrange(""https://docs.google.com/spreadsheets/d/1s2M_ltAGS6izvtgc6SVn4ngI84PWAhIzn_dv0RMInIU/edit#gid=1579911573"",""Summary!G54"")"),0.231493631802392)</f>
        <v/>
      </c>
      <c r="L59" s="12">
        <f>IFERROR(__xludf.DUMMYFUNCTION("IFERROR(googlefinance(D59,""pe""),"""")"),"")</f>
        <v/>
      </c>
      <c r="M59" s="12" t="n"/>
      <c r="N59" s="25" t="n"/>
      <c r="O59" s="4" t="n"/>
      <c r="P59" s="4" t="n"/>
      <c r="Q59" s="4" t="n"/>
      <c r="R59" s="4" t="n"/>
      <c r="S59" s="4" t="n"/>
    </row>
    <row r="60" ht="15" customHeight="1" s="215">
      <c r="A60" s="19">
        <f>A59+1</f>
        <v/>
      </c>
      <c r="B60" s="7">
        <f>HYPERLINK("https://finance.yahoo.com/quote/"&amp;D60, C60)</f>
        <v/>
      </c>
      <c r="C60" s="7" t="inlineStr">
        <is>
          <t>POSCO</t>
        </is>
      </c>
      <c r="D60" s="7" t="inlineStr">
        <is>
          <t>PKX</t>
        </is>
      </c>
      <c r="E60" s="8">
        <f>IFERROR(__xludf.DUMMYFUNCTION("iferror(googlefinance(D60,""price""),"""")"),69.59)</f>
        <v/>
      </c>
      <c r="F60" s="9">
        <f>IFERROR(__xludf.DUMMYFUNCTION("IFERROR(GOOGLEFINANCE(D60,""price"") / index(GOOGLEFINANCE(D60,""price"", datevalue(today()-365) ) , 2,2) - 1,"""")"),0.521425448185395)</f>
        <v/>
      </c>
      <c r="G60" s="10">
        <f>IFERROR(__xludf.DUMMYFUNCTION("iferror(googlefinance(D60,""marketcap""),"""")/10^6"),23114.212898)</f>
        <v/>
      </c>
      <c r="H60" s="11" t="n"/>
      <c r="I60" s="9" t="n">
        <v>0</v>
      </c>
      <c r="J60" s="9" t="n"/>
      <c r="K60" s="9" t="n"/>
      <c r="L60" s="12" t="n"/>
      <c r="M60" s="12" t="n"/>
      <c r="N60" s="25" t="n"/>
      <c r="O60" s="4" t="n"/>
      <c r="P60" s="4" t="n"/>
      <c r="Q60" s="4" t="n"/>
      <c r="R60" s="4" t="n"/>
      <c r="S60" s="4" t="n"/>
    </row>
    <row r="61" ht="15" customHeight="1" s="215">
      <c r="A61" s="19">
        <f>A60+1</f>
        <v/>
      </c>
      <c r="B61" s="7">
        <f>HYPERLINK("https://finance.yahoo.com/quote/"&amp;D61, C61)</f>
        <v/>
      </c>
      <c r="C61" s="7" t="inlineStr">
        <is>
          <t>Chevron Corp</t>
        </is>
      </c>
      <c r="D61" s="7" t="inlineStr">
        <is>
          <t>CVX</t>
        </is>
      </c>
      <c r="E61" s="8">
        <f>IFERROR(__xludf.DUMMYFUNCTION("iferror(googlefinance(D61,""price""),"""")"),186.76)</f>
        <v/>
      </c>
      <c r="F61" s="9">
        <f>IFERROR(__xludf.DUMMYFUNCTION("IFERROR(GOOGLEFINANCE(D61,""price"") / index(GOOGLEFINANCE(D61,""price"", datevalue(today()-365) ) , 2,2) - 1,"""")"),0.219935985368084)</f>
        <v/>
      </c>
      <c r="G61" s="10">
        <f>IFERROR(__xludf.DUMMYFUNCTION("iferror(googlefinance(D61,""marketcap""),"""")/10^6"),372658.091639)</f>
        <v/>
      </c>
      <c r="H61" s="11">
        <f>IFERROR(__xludf.DUMMYFUNCTION("importrange(""https://docs.google.com/spreadsheets/d/1D0UrAGo7_Xn5F11kLcw58eM9AUUwte6YDSCpw6-idzw/edit?gid=1513331917"",""Summary!B43"")*1000"),151973.109689238)</f>
        <v/>
      </c>
      <c r="I61" s="9">
        <f>(H61-G61)/G61</f>
        <v/>
      </c>
      <c r="J61" s="9">
        <f>IFERROR(__xludf.DUMMYFUNCTION("importrange(""https://docs.google.com/spreadsheets/d/1D0UrAGo7_Xn5F11kLcw58eM9AUUwte6YDSCpw6-idzw/edit?gid=1513331917"",""Summary!H19"")"),0.112538019601216)</f>
        <v/>
      </c>
      <c r="K61" s="9" t="n"/>
      <c r="L61" s="12">
        <f>IFERROR(__xludf.DUMMYFUNCTION("IFERROR(googlefinance(D61,""pe""),"""")"),"")</f>
        <v/>
      </c>
      <c r="M61" s="12">
        <f>IFERROR(__xludf.DUMMYFUNCTION("IFERROR(googlefinance(D61,""beta""),"""")"),"")</f>
        <v/>
      </c>
      <c r="N61" s="25" t="n"/>
      <c r="O61" s="4" t="n"/>
      <c r="P61" s="4" t="n"/>
      <c r="Q61" s="4" t="n"/>
      <c r="R61" s="4" t="n"/>
      <c r="S61" s="4" t="n"/>
    </row>
    <row r="62" ht="45" customHeight="1" s="215">
      <c r="A62" s="6">
        <f>A61+1</f>
        <v/>
      </c>
      <c r="B62" s="7">
        <f>HYPERLINK("https://finance.yahoo.com/quote/"&amp;D62, C62)</f>
        <v/>
      </c>
      <c r="C62" s="7" t="inlineStr">
        <is>
          <t>The E W Scripps Co Class A</t>
        </is>
      </c>
      <c r="D62" s="7" t="inlineStr">
        <is>
          <t>SSP</t>
        </is>
      </c>
      <c r="E62" s="8">
        <f>IFERROR(__xludf.DUMMYFUNCTION("iferror(googlefinance(D62,""price""),"""")"),4.15)</f>
        <v/>
      </c>
      <c r="F62" s="9">
        <f>IFERROR(__xludf.DUMMYFUNCTION("IFERROR(GOOGLEFINANCE(D62,""price"") / index(GOOGLEFINANCE(D62,""price"", datevalue(today()-365) ) , 2,2) - 1,"""")"),1.84246575342465)</f>
        <v/>
      </c>
      <c r="G62" s="10">
        <f>IFERROR(__xludf.DUMMYFUNCTION("iferror(googlefinance(D62,""marketcap""),"""")/10^6"),368.528889)</f>
        <v/>
      </c>
      <c r="H62" s="11" t="n"/>
      <c r="I62" s="9" t="n">
        <v>0</v>
      </c>
      <c r="J62" s="9" t="n"/>
      <c r="K62" s="9" t="n"/>
      <c r="L62" s="12" t="n"/>
      <c r="M62" s="12">
        <f>IFERROR(__xludf.DUMMYFUNCTION("IFERROR(googlefinance(D62,""beta""),"""")"),"")</f>
        <v/>
      </c>
      <c r="N62" s="25" t="n"/>
      <c r="O62" s="4" t="n"/>
      <c r="P62" s="4" t="n"/>
      <c r="Q62" s="4" t="n"/>
      <c r="R62" s="4" t="n"/>
      <c r="S62" s="4" t="n"/>
    </row>
    <row r="63" ht="45" customHeight="1" s="215">
      <c r="A63" s="6">
        <f>A62+1</f>
        <v/>
      </c>
      <c r="B63" s="7">
        <f>HYPERLINK("https://finance.yahoo.com/quote/"&amp;D63, C63)</f>
        <v/>
      </c>
      <c r="C63" s="7" t="inlineStr">
        <is>
          <t>Marsh &amp; McLennan Companies Inc</t>
        </is>
      </c>
      <c r="D63" s="7" t="inlineStr">
        <is>
          <t>MMC</t>
        </is>
      </c>
      <c r="E63" s="8">
        <f>IFERROR(__xludf.DUMMYFUNCTION("iferror(googlefinance(D63,""price""),"""")"),"")</f>
        <v/>
      </c>
      <c r="F63" s="9">
        <f>IFERROR(__xludf.DUMMYFUNCTION("IFERROR(GOOGLEFINANCE(D63,""price"") / index(GOOGLEFINANCE(D63,""price"", datevalue(today()-365) ) , 2,2) - 1,"""")"),"")</f>
        <v/>
      </c>
      <c r="G63" s="10">
        <f>IFERROR(__xludf.DUMMYFUNCTION("iferror(googlefinance(D63,""marketcap""),"""")/10^6"),0)</f>
        <v/>
      </c>
      <c r="H63" s="11" t="n"/>
      <c r="I63" s="9" t="n">
        <v>0</v>
      </c>
      <c r="J63" s="9" t="n"/>
      <c r="K63" s="9" t="n"/>
      <c r="L63" s="12" t="n"/>
      <c r="M63" s="12">
        <f>IFERROR(__xludf.DUMMYFUNCTION("IFERROR(googlefinance(D63,""beta""),"""")"),"")</f>
        <v/>
      </c>
      <c r="N63" s="25" t="n"/>
      <c r="O63" s="4" t="n"/>
      <c r="P63" s="4" t="n"/>
      <c r="Q63" s="4" t="n"/>
      <c r="R63" s="4" t="n"/>
      <c r="S63" s="4" t="n"/>
    </row>
    <row r="64" ht="15" customHeight="1" s="215">
      <c r="A64" s="6">
        <f>A63+1</f>
        <v/>
      </c>
      <c r="B64" s="7">
        <f>HYPERLINK("https://finance.yahoo.com/quote/"&amp;D64, C64)</f>
        <v/>
      </c>
      <c r="C64" s="7" t="inlineStr">
        <is>
          <t>Segezha Group</t>
        </is>
      </c>
      <c r="D64" s="7" t="n"/>
      <c r="E64" s="8">
        <f>IFERROR(__xludf.DUMMYFUNCTION("iferror(googlefinance(D64,""price""),"""")"),"")</f>
        <v/>
      </c>
      <c r="F64" s="9">
        <f>IFERROR(__xludf.DUMMYFUNCTION("IFERROR(GOOGLEFINANCE(D64,""price"") / index(GOOGLEFINANCE(D64,""price"", datevalue(today()-365) ) , 2,2) - 1,"""")"),"")</f>
        <v/>
      </c>
      <c r="G64" s="10">
        <f>IFERROR(__xludf.DUMMYFUNCTION("importrange(""https://docs.google.com/spreadsheets/d/1jU-MirNEtnSxLLg8W-onD3ZzFvcJwcUyUn9TIvxZtjU/edit#gid=134408949"",""Summary!C34"")"),122.384999999999)</f>
        <v/>
      </c>
      <c r="H64" s="11">
        <f>IFERROR(__xludf.DUMMYFUNCTION("importrange(""https://docs.google.com/spreadsheets/d/1jU-MirNEtnSxLLg8W-onD3ZzFvcJwcUyUn9TIvxZtjU/edit#gid=134408949"",""Summary!C32"")"),167.071626396776)</f>
        <v/>
      </c>
      <c r="I64" s="9">
        <f>(H64-G64)/G64</f>
        <v/>
      </c>
      <c r="J64" s="9">
        <f>IFERROR(__xludf.DUMMYFUNCTION("importrange(""https://docs.google.com/spreadsheets/d/1jU-MirNEtnSxLLg8W-onD3ZzFvcJwcUyUn9TIvxZtjU/edit#gid=134408949"",""Summary!J2"")"),0.179487179487179)</f>
        <v/>
      </c>
      <c r="K64" s="9">
        <f>IFERROR(__xludf.DUMMYFUNCTION("importrange(""https://docs.google.com/spreadsheets/d/1jU-MirNEtnSxLLg8W-onD3ZzFvcJwcUyUn9TIvxZtjU/edit#gid=134408949"",""Summary!I16"")"),0.161826086956521)</f>
        <v/>
      </c>
      <c r="L64" s="12" t="n"/>
      <c r="M64" s="12">
        <f>IFERROR(__xludf.DUMMYFUNCTION("IFERROR(googlefinance(D64,""beta""),"""")"),"")</f>
        <v/>
      </c>
      <c r="N64" s="25" t="n"/>
      <c r="O64" s="4" t="n"/>
      <c r="P64" s="4" t="n"/>
      <c r="Q64" s="4" t="n"/>
      <c r="R64" s="4" t="n"/>
      <c r="S64" s="4" t="n"/>
    </row>
    <row r="65" ht="30" customHeight="1" s="215">
      <c r="A65" s="6">
        <f>A64+1</f>
        <v/>
      </c>
      <c r="B65" s="7">
        <f>HYPERLINK("https://finance.yahoo.com/quote/"&amp;D65, C65)</f>
        <v/>
      </c>
      <c r="C65" s="7" t="inlineStr">
        <is>
          <t>Elaton Group Plc</t>
        </is>
      </c>
      <c r="D65" s="7" t="inlineStr">
        <is>
          <t>ETLN</t>
        </is>
      </c>
      <c r="E65" s="8">
        <f>IFERROR(__xludf.DUMMYFUNCTION("iferror(googlefinance(D65,""price""),"""")"),0)</f>
        <v/>
      </c>
      <c r="F65" s="9">
        <f>IFERROR(__xludf.DUMMYFUNCTION("IFERROR(GOOGLEFINANCE(D65,""price"") / index(GOOGLEFINANCE(D65,""price"", datevalue(today()-365) ) , 2,2) - 1,"""")"),"")</f>
        <v/>
      </c>
      <c r="G65" s="10" t="n"/>
      <c r="H65" s="11" t="n"/>
      <c r="I65" s="9" t="n">
        <v>0</v>
      </c>
      <c r="J65" s="9" t="n"/>
      <c r="K65" s="9" t="n"/>
      <c r="L65" s="12" t="n"/>
      <c r="M65" s="12">
        <f>IFERROR(__xludf.DUMMYFUNCTION("IFERROR(googlefinance(D65,""beta""),"""")"),"")</f>
        <v/>
      </c>
      <c r="N65" s="25" t="n"/>
      <c r="O65" s="4" t="n"/>
      <c r="P65" s="4" t="n"/>
      <c r="Q65" s="4" t="n"/>
      <c r="R65" s="4" t="n"/>
      <c r="S65" s="4" t="n"/>
    </row>
    <row r="66" ht="15" customHeight="1" s="215">
      <c r="A66" s="14">
        <f>A65+1</f>
        <v/>
      </c>
      <c r="B66" s="7">
        <f>HYPERLINK("https://finance.yahoo.com/quote/"&amp;D66, C66)</f>
        <v/>
      </c>
      <c r="C66" s="7" t="inlineStr">
        <is>
          <t>Wise plc</t>
        </is>
      </c>
      <c r="D66" s="7" t="inlineStr">
        <is>
          <t>WISE.L</t>
        </is>
      </c>
      <c r="E66" s="8">
        <f>IFERROR(__xludf.DUMMYFUNCTION("iferror(googlefinance(D66,""price""),"""")"),"")</f>
        <v/>
      </c>
      <c r="F66" s="9">
        <f>IFERROR(__xludf.DUMMYFUNCTION("IFERROR(GOOGLEFINANCE(D66,""price"") / index(GOOGLEFINANCE(D66,""price"", datevalue(today()-365) ) , 2,2) - 1,"""")"),"")</f>
        <v/>
      </c>
      <c r="G66" s="10">
        <f>IFERROR(__xludf.DUMMYFUNCTION("importrange(""https://docs.google.com/spreadsheets/d/11C3zL8Lqn71AMKui3dRgPghYoFUIcpycZSsaYmD_Gsg/edit#gid=254823806"",""Summary!B26"")"),7.7044)</f>
        <v/>
      </c>
      <c r="H66" s="11">
        <f>IFERROR(__xludf.DUMMYFUNCTION("importrange(""https://docs.google.com/spreadsheets/d/11C3zL8Lqn71AMKui3dRgPghYoFUIcpycZSsaYmD_Gsg/edit#gid=254823806"",""Summary!B25"")"),11.4522079949057)</f>
        <v/>
      </c>
      <c r="I66" s="9">
        <f>(H66-G66)/G66</f>
        <v/>
      </c>
      <c r="J66" s="9">
        <f>IFERROR(__xludf.DUMMYFUNCTION("importrange(""https://docs.google.com/spreadsheets/d/11C3zL8Lqn71AMKui3dRgPghYoFUIcpycZSsaYmD_Gsg/edit#gid=254823806"",""Summary!H2"")"),0.253128689492325)</f>
        <v/>
      </c>
      <c r="K66" s="9">
        <f>IFERROR(__xludf.DUMMYFUNCTION("importrange(""https://docs.google.com/spreadsheets/d/11C3zL8Lqn71AMKui3dRgPghYoFUIcpycZSsaYmD_Gsg/edit#gid=254823806"",""Summary!D18"")"),0.0976247030878859)</f>
        <v/>
      </c>
      <c r="L66" s="12" t="n"/>
      <c r="M66" s="12">
        <f>IFERROR(__xludf.DUMMYFUNCTION("IFERROR(googlefinance(D66,""beta""),"""")"),"")</f>
        <v/>
      </c>
      <c r="N66" s="25" t="n"/>
      <c r="O66" s="4" t="n"/>
      <c r="P66" s="4" t="n"/>
      <c r="Q66" s="4" t="n"/>
      <c r="R66" s="4" t="n"/>
      <c r="S66" s="4" t="n"/>
    </row>
    <row r="67" ht="90" customHeight="1" s="215">
      <c r="A67" s="19">
        <f>A66+1</f>
        <v/>
      </c>
      <c r="B67" s="7">
        <f>HYPERLINK("https://finance.yahoo.com/quote/"&amp;D67, C67)</f>
        <v/>
      </c>
      <c r="C67" s="7" t="inlineStr">
        <is>
          <t>Coinbase Global Inc Ordinary Shares - Class A - Stock Quote</t>
        </is>
      </c>
      <c r="D67" s="7" t="inlineStr">
        <is>
          <t>COIN</t>
        </is>
      </c>
      <c r="E67" s="8">
        <f>IFERROR(__xludf.DUMMYFUNCTION("iferror(googlefinance(D67,""price""),"""")"),175.85)</f>
        <v/>
      </c>
      <c r="F67" s="9">
        <f>IFERROR(__xludf.DUMMYFUNCTION("IFERROR(GOOGLEFINANCE(D67,""price"") / index(GOOGLEFINANCE(D67,""price"", datevalue(today()-365) ) , 2,2) - 1,"""")"),-0.145321992709599)</f>
        <v/>
      </c>
      <c r="G67" s="10">
        <f>IFERROR(__xludf.DUMMYFUNCTION("iferror(googlefinance(D67,""marketcap""),"""")/10^6"),46437.607946)</f>
        <v/>
      </c>
      <c r="H67" s="11">
        <f>IFERROR(__xludf.DUMMYFUNCTION("importrange(""https://docs.google.com/spreadsheets/d/1Su6GwjWTshoYV5M4DYz6MZVzzpMhsogTV4mioI8emKc/edit#gid=254823806"",""Summary!B25"")*1000"),0)</f>
        <v/>
      </c>
      <c r="I67" s="9">
        <f>(H67-G67)/G67</f>
        <v/>
      </c>
      <c r="J67" s="9">
        <f>IFERROR(__xludf.DUMMYFUNCTION("importrange(""https://docs.google.com/spreadsheets/d/1Su6GwjWTshoYV5M4DYz6MZVzzpMhsogTV4mioI8emKc/edit#gid=254823806"",""Summary!F2"")"),3.108)</f>
        <v/>
      </c>
      <c r="K67" s="9">
        <f>IFERROR(__xludf.DUMMYFUNCTION("importrange(""https://docs.google.com/spreadsheets/d/1Su6GwjWTshoYV5M4DYz6MZVzzpMhsogTV4mioI8emKc/edit#gid=254823806"",""Summary!E18"")"),-0.556525046963055)</f>
        <v/>
      </c>
      <c r="L67" s="12">
        <f>IFERROR(__xludf.DUMMYFUNCTION("IFERROR(googlefinance(D67,""pe""),"""")"),"")</f>
        <v/>
      </c>
      <c r="M67" s="12">
        <f>IFERROR(__xludf.DUMMYFUNCTION("IFERROR(googlefinance(D67,""beta""),"""")"),"")</f>
        <v/>
      </c>
      <c r="N67" s="25" t="n"/>
      <c r="O67" s="4" t="n"/>
      <c r="P67" s="4" t="n"/>
      <c r="Q67" s="4" t="n"/>
      <c r="R67" s="4" t="n"/>
      <c r="S67" s="4" t="n"/>
    </row>
    <row r="68" ht="18" customHeight="1" s="215">
      <c r="A68" s="19">
        <f>A67+1</f>
        <v/>
      </c>
      <c r="B68" s="7">
        <f>HYPERLINK("https://finance.yahoo.com/quote/"&amp;D68, C68)</f>
        <v/>
      </c>
      <c r="C68" s="7" t="inlineStr">
        <is>
          <t>Ally Financial Inc.</t>
        </is>
      </c>
      <c r="D68" s="7" t="inlineStr">
        <is>
          <t>ALLY</t>
        </is>
      </c>
      <c r="E68" s="8">
        <f>IFERROR(__xludf.DUMMYFUNCTION("iferror(googlefinance(D68,""price""),"""")"),39.44)</f>
        <v/>
      </c>
      <c r="F68" s="9">
        <f>IFERROR(__xludf.DUMMYFUNCTION("IFERROR(GOOGLEFINANCE(D68,""price"") / index(GOOGLEFINANCE(D68,""price"", datevalue(today()-365) ) , 2,2) - 1,"""")"),0.120136324907696)</f>
        <v/>
      </c>
      <c r="G68" s="10">
        <f>IFERROR(__xludf.DUMMYFUNCTION("iferror(googlefinance(D68,""marketcap""),"""")/10^6"),12190.576223)</f>
        <v/>
      </c>
      <c r="H68" s="11">
        <f>IFERROR(__xludf.DUMMYFUNCTION("importrange(""https://docs.google.com/spreadsheets/d/1f_Jzu9pXiiSiiKEQUwtTFdX08DOB9GKdGgfSvPnCqxM/edit#gid=254823806"",""Summary!B25"")*1000"),27766.701002473)</f>
        <v/>
      </c>
      <c r="I68" s="9">
        <f>(H68-G68)/G68</f>
        <v/>
      </c>
      <c r="J68" s="9">
        <f>IFERROR(__xludf.DUMMYFUNCTION("importrange(""https://docs.google.com/spreadsheets/d/1f_Jzu9pXiiSiiKEQUwtTFdX08DOB9GKdGgfSvPnCqxM/edit#gid=254823806"",""Summary!H2"")"),0.0282307130688731)</f>
        <v/>
      </c>
      <c r="K68" s="9">
        <f>IFERROR(__xludf.DUMMYFUNCTION("importrange(""https://docs.google.com/spreadsheets/d/1f_Jzu9pXiiSiiKEQUwtTFdX08DOB9GKdGgfSvPnCqxM/edit#gid=254823806"",""Summary!G18"")"),0.437159763313609)</f>
        <v/>
      </c>
      <c r="L68" s="12">
        <f>IFERROR(__xludf.DUMMYFUNCTION("IFERROR(googlefinance(D68,""pe""),"""")"),"")</f>
        <v/>
      </c>
      <c r="M68" s="12">
        <f>IFERROR(__xludf.DUMMYFUNCTION("IFERROR(googlefinance(D68,""beta""),"""")"),"")</f>
        <v/>
      </c>
      <c r="N68" s="25" t="n"/>
      <c r="O68" s="4" t="n"/>
      <c r="P68" s="4" t="n"/>
      <c r="Q68" s="4" t="n"/>
      <c r="R68" s="4" t="n"/>
      <c r="S68" s="4" t="n"/>
    </row>
    <row r="69" ht="18" customHeight="1" s="215">
      <c r="A69" s="19">
        <f>A68+1</f>
        <v/>
      </c>
      <c r="B69" s="7">
        <f>HYPERLINK("https://finance.yahoo.com/quote/"&amp;D69, C69)</f>
        <v/>
      </c>
      <c r="C69" s="7" t="inlineStr">
        <is>
          <t>Celanese Corporation</t>
        </is>
      </c>
      <c r="D69" s="7" t="inlineStr">
        <is>
          <t>CE</t>
        </is>
      </c>
      <c r="E69" s="8">
        <f>IFERROR(__xludf.DUMMYFUNCTION("iferror(googlefinance(D69,""price""),"""")"),49.94)</f>
        <v/>
      </c>
      <c r="F69" s="9">
        <f>IFERROR(__xludf.DUMMYFUNCTION("IFERROR(GOOGLEFINANCE(D69,""price"") / index(GOOGLEFINANCE(D69,""price"", datevalue(today()-365) ) , 2,2) - 1,"""")"),0.0621012335176518)</f>
        <v/>
      </c>
      <c r="G69" s="10">
        <f>IFERROR(__xludf.DUMMYFUNCTION("iferror(googlefinance(D69,""marketcap""),"""")/10^6"),5472.020535)</f>
        <v/>
      </c>
      <c r="H69" s="11">
        <f>IFERROR(__xludf.DUMMYFUNCTION("importrange(""https://docs.google.com/spreadsheets/d/1Fanf8gqdVakniENbQR3f6zZtBUSq0HtMFYxPGHvZhhI/edit#gid=254823806"",""Summary!B25"")*1000"),10978.4910926615)</f>
        <v/>
      </c>
      <c r="I69" s="9">
        <f>(H69-G69)/G69</f>
        <v/>
      </c>
      <c r="J69" s="9">
        <f>IFERROR(__xludf.DUMMYFUNCTION("importrange(""https://docs.google.com/spreadsheets/d/1Fanf8gqdVakniENbQR3f6zZtBUSq0HtMFYxPGHvZhhI/edit#gid=254823806"",""Summary!H2"")"),0.0866815040412321)</f>
        <v/>
      </c>
      <c r="K69" s="9">
        <f>IFERROR(__xludf.DUMMYFUNCTION("importrange(""https://docs.google.com/spreadsheets/d/1Fanf8gqdVakniENbQR3f6zZtBUSq0HtMFYxPGHvZhhI/edit#gid=254823806"",""Summary!G18"")"),0.264632963242427)</f>
        <v/>
      </c>
      <c r="L69" s="12">
        <f>IFERROR(__xludf.DUMMYFUNCTION("IFERROR(googlefinance(D69,""pe""),"""")"),"")</f>
        <v/>
      </c>
      <c r="M69" s="12">
        <f>IFERROR(__xludf.DUMMYFUNCTION("IFERROR(googlefinance(D69,""beta""),"""")"),"")</f>
        <v/>
      </c>
      <c r="N69" s="25" t="n"/>
      <c r="O69" s="4" t="n"/>
      <c r="P69" s="4" t="n"/>
      <c r="Q69" s="4" t="n"/>
      <c r="R69" s="4" t="n"/>
      <c r="S69" s="4" t="n"/>
    </row>
    <row r="70" ht="18" customHeight="1" s="215">
      <c r="A70" s="19">
        <f>A69+1</f>
        <v/>
      </c>
      <c r="B70" s="7">
        <f>HYPERLINK("https://finance.yahoo.com/quote/"&amp;D70, C70)</f>
        <v/>
      </c>
      <c r="C70" s="7" t="inlineStr">
        <is>
          <t>Paramount Global</t>
        </is>
      </c>
      <c r="D70" s="7" t="inlineStr">
        <is>
          <t>PARA</t>
        </is>
      </c>
      <c r="E70" s="8">
        <f>IFERROR(__xludf.DUMMYFUNCTION("iferror(googlefinance(D70,""price""),"""")"),"")</f>
        <v/>
      </c>
      <c r="F70" s="9">
        <f>IFERROR(__xludf.DUMMYFUNCTION("IFERROR(GOOGLEFINANCE(D70,""price"") / index(GOOGLEFINANCE(D70,""price"", datevalue(today()-365) ) , 2,2) - 1,"""")"),"")</f>
        <v/>
      </c>
      <c r="G70" s="10">
        <f>IFERROR(__xludf.DUMMYFUNCTION("iferror(googlefinance(D70,""marketcap""),"""")/10^6"),0)</f>
        <v/>
      </c>
      <c r="H70" s="11">
        <f>IFERROR(__xludf.DUMMYFUNCTION("importrange(""https://docs.google.com/spreadsheets/d/1wvZQWyHqlMg08UNd26ujkZyRTp2yIJKEq1fCghrvFHM/edit#gid=254823806"",""Summary!B25"")*1000"),25485.3454126241)</f>
        <v/>
      </c>
      <c r="I70" s="9">
        <f>(H70-G70)/G70</f>
        <v/>
      </c>
      <c r="J70" s="9">
        <f>IFERROR(__xludf.DUMMYFUNCTION("importrange(""https://docs.google.com/spreadsheets/d/1wvZQWyHqlMg08UNd26ujkZyRTp2yIJKEq1fCghrvFHM/edit#gid=254823806"",""Summary!H2"")"),-0.0476849289798931)</f>
        <v/>
      </c>
      <c r="K70" s="9">
        <f>IFERROR(__xludf.DUMMYFUNCTION("importrange(""https://docs.google.com/spreadsheets/d/1wvZQWyHqlMg08UNd26ujkZyRTp2yIJKEq1fCghrvFHM/edit#gid=254823806"",""Summary!G18"")"),0.437869249394673)</f>
        <v/>
      </c>
      <c r="L70" s="12">
        <f>IFERROR(__xludf.DUMMYFUNCTION("IFERROR(googlefinance(D70,""pe""),"""")"),"")</f>
        <v/>
      </c>
      <c r="M70" s="12">
        <f>IFERROR(__xludf.DUMMYFUNCTION("IFERROR(googlefinance(D70,""beta""),"""")"),"")</f>
        <v/>
      </c>
      <c r="N70" s="25" t="n"/>
      <c r="O70" s="4" t="n"/>
      <c r="P70" s="4" t="n"/>
      <c r="Q70" s="4" t="n"/>
      <c r="R70" s="4" t="n"/>
      <c r="S70" s="4" t="n"/>
    </row>
    <row r="71" ht="30" customHeight="1" s="215">
      <c r="A71" s="19">
        <f>A70+1</f>
        <v/>
      </c>
      <c r="B71" s="7">
        <f>HYPERLINK("https://finance.yahoo.com/quote/"&amp;D71, C71)</f>
        <v/>
      </c>
      <c r="C71" s="7" t="inlineStr">
        <is>
          <t>Markel Corporation</t>
        </is>
      </c>
      <c r="D71" s="7" t="inlineStr">
        <is>
          <t>MKL</t>
        </is>
      </c>
      <c r="E71" s="8">
        <f>IFERROR(__xludf.DUMMYFUNCTION("iferror(googlefinance(D71,""price""),"""")"),2072.47)</f>
        <v/>
      </c>
      <c r="F71" s="9">
        <f>IFERROR(__xludf.DUMMYFUNCTION("IFERROR(GOOGLEFINANCE(D71,""price"") / index(GOOGLEFINANCE(D71,""price"", datevalue(today()-365) ) , 2,2) - 1,"""")"),0.080221624551747)</f>
        <v/>
      </c>
      <c r="G71" s="10">
        <f>IFERROR(__xludf.DUMMYFUNCTION("iferror(googlefinance(D71,""marketcap""),"""")/10^6"),26092.376206)</f>
        <v/>
      </c>
      <c r="H71" s="11">
        <f>IFERROR(__xludf.DUMMYFUNCTION("importrange(""https://docs.google.com/spreadsheets/d/1PbR9WKj3KQAFiIxPRhAZBzf_n1_MWKzDvgKboQnr7bU/edit#gid=254823806"",""Summary!B25"")*1000"),8029.07295558409)</f>
        <v/>
      </c>
      <c r="I71" s="9">
        <f>(H71-G71)/G71</f>
        <v/>
      </c>
      <c r="J71" s="9">
        <f>IFERROR(__xludf.DUMMYFUNCTION("importrange(""https://docs.google.com/spreadsheets/d/1PbR9WKj3KQAFiIxPRhAZBzf_n1_MWKzDvgKboQnr7bU/edit#gid=254823806"",""Summary!H2"")"),-0.0205562345398528)</f>
        <v/>
      </c>
      <c r="K71" s="9">
        <f>IFERROR(__xludf.DUMMYFUNCTION("importrange(""https://docs.google.com/spreadsheets/d/1PbR9WKj3KQAFiIxPRhAZBzf_n1_MWKzDvgKboQnr7bU/edit#gid=254823806"",""Summary!G18"")"),0.184729417200254)</f>
        <v/>
      </c>
      <c r="L71" s="12">
        <f>IFERROR(__xludf.DUMMYFUNCTION("IFERROR(googlefinance(D71,""pe""),"""")"),"")</f>
        <v/>
      </c>
      <c r="M71" s="12">
        <f>IFERROR(__xludf.DUMMYFUNCTION("IFERROR(googlefinance(D71,""beta""),"""")"),"")</f>
        <v/>
      </c>
      <c r="N71" s="25" t="n"/>
      <c r="O71" s="4" t="n"/>
      <c r="P71" s="4" t="n"/>
      <c r="Q71" s="4" t="n"/>
      <c r="R71" s="4" t="n"/>
      <c r="S71" s="4" t="n"/>
    </row>
    <row r="72" ht="30" customHeight="1" s="215">
      <c r="A72" s="19">
        <f>A71+1</f>
        <v/>
      </c>
      <c r="B72" s="7">
        <f>HYPERLINK("https://finance.yahoo.com/quote/"&amp;D72, C72)</f>
        <v/>
      </c>
      <c r="C72" s="7" t="inlineStr">
        <is>
          <t>McKesson Corporation</t>
        </is>
      </c>
      <c r="D72" s="7" t="inlineStr">
        <is>
          <t>MCK</t>
        </is>
      </c>
      <c r="E72" s="8">
        <f>IFERROR(__xludf.DUMMYFUNCTION("iferror(googlefinance(D72,""price""),"""")"),987.37)</f>
        <v/>
      </c>
      <c r="F72" s="9">
        <f>IFERROR(__xludf.DUMMYFUNCTION("IFERROR(GOOGLEFINANCE(D72,""price"") / index(GOOGLEFINANCE(D72,""price"", datevalue(today()-365) ) , 2,2) - 1,"""")"),0.5319224861527)</f>
        <v/>
      </c>
      <c r="G72" s="10">
        <f>IFERROR(__xludf.DUMMYFUNCTION("iferror(googlefinance(D72,""marketcap""),"""")/10^6"),120940.383539)</f>
        <v/>
      </c>
      <c r="H72" s="11">
        <f>IFERROR(__xludf.DUMMYFUNCTION("importrange(""https://docs.google.com/spreadsheets/d/1zt6-MZSWh25h7jG4V610KioqWf37FAqPrfKMpjCURpw/edit#gid=254823806"",""Summary!B25"")*1000"),38484.7001090052)</f>
        <v/>
      </c>
      <c r="I72" s="9">
        <f>(H72-G72)/G72</f>
        <v/>
      </c>
      <c r="J72" s="9">
        <f>IFERROR(__xludf.DUMMYFUNCTION("importrange(""https://docs.google.com/spreadsheets/d/1zt6-MZSWh25h7jG4V610KioqWf37FAqPrfKMpjCURpw/edit#gid=254823806"",""Summary!G2"")"),0.108039357254394)</f>
        <v/>
      </c>
      <c r="K72" s="9">
        <f>IFERROR(__xludf.DUMMYFUNCTION("importrange(""https://docs.google.com/spreadsheets/d/1zt6-MZSWh25h7jG4V610KioqWf37FAqPrfKMpjCURpw/edit#gid=254823806"",""Summary!F18"")"),0.00730397096595773)</f>
        <v/>
      </c>
      <c r="L72" s="12">
        <f>IFERROR(__xludf.DUMMYFUNCTION("IFERROR(googlefinance(D72,""pe""),"""")"),"")</f>
        <v/>
      </c>
      <c r="M72" s="12">
        <f>IFERROR(__xludf.DUMMYFUNCTION("IFERROR(googlefinance(D72,""beta""),"""")"),"")</f>
        <v/>
      </c>
      <c r="N72" s="25" t="n"/>
      <c r="O72" s="4" t="n"/>
      <c r="P72" s="4" t="n"/>
      <c r="Q72" s="4" t="n"/>
      <c r="R72" s="4" t="n"/>
      <c r="S72" s="4" t="n"/>
    </row>
    <row r="73" ht="18" customHeight="1" s="215">
      <c r="A73" s="14">
        <f>A72+1</f>
        <v/>
      </c>
      <c r="B73" s="7">
        <f>HYPERLINK("https://finance.yahoo.com/quote/"&amp;D73, C73)</f>
        <v/>
      </c>
      <c r="C73" s="7" t="inlineStr">
        <is>
          <t>NVDIA</t>
        </is>
      </c>
      <c r="D73" s="7" t="inlineStr">
        <is>
          <t>NVDA</t>
        </is>
      </c>
      <c r="E73" s="8">
        <f>IFERROR(__xludf.DUMMYFUNCTION("iferror(googlefinance(D73,""price""),"""")"),177.19)</f>
        <v/>
      </c>
      <c r="F73" s="9">
        <f>IFERROR(__xludf.DUMMYFUNCTION("IFERROR(GOOGLEFINANCE(D73,""price"") / index(GOOGLEFINANCE(D73,""price"", datevalue(today()-365) ) , 2,2) - 1,"""")"),0.553480624232859)</f>
        <v/>
      </c>
      <c r="G73" s="10">
        <f>IFERROR(__xludf.DUMMYFUNCTION("iferror(googlefinance(D73,""marketcap""),"""")/10^6"),4305717)</f>
        <v/>
      </c>
      <c r="H73" s="11">
        <f>IFERROR(__xludf.DUMMYFUNCTION("importrange(""https://docs.google.com/spreadsheets/d/1xz4QVVw6eAJJPxzKhqgOCGtx5P_w0ajl78rdYcFlRZM/edit?usp=sharing"",""Summary!C28"")"),3169036.9422701)</f>
        <v/>
      </c>
      <c r="I73" s="9">
        <f>(H73-G73)/G73</f>
        <v/>
      </c>
      <c r="J73" s="9">
        <f>IFERROR(__xludf.DUMMYFUNCTION("importrange(""https://docs.google.com/spreadsheets/d/1xz4QVVw6eAJJPxzKhqgOCGtx5P_w0ajl78rdYcFlRZM/edit?usp=sharing"",""Summary!J7"")"),1.14203407635993)</f>
        <v/>
      </c>
      <c r="K73" s="11" t="n"/>
      <c r="L73" s="12">
        <f>IFERROR(__xludf.DUMMYFUNCTION("IFERROR(googlefinance(D73,""pe""),"""")"),"")</f>
        <v/>
      </c>
      <c r="M73" s="12">
        <f>IFERROR(__xludf.DUMMYFUNCTION("IFERROR(googlefinance(D73,""beta""),"""")"),"")</f>
        <v/>
      </c>
      <c r="N73" s="25" t="n"/>
      <c r="O73" s="4" t="n"/>
      <c r="P73" s="4" t="n"/>
      <c r="Q73" s="4" t="n"/>
      <c r="R73" s="4" t="n"/>
      <c r="S73" s="4" t="n"/>
    </row>
    <row r="74" ht="18" customHeight="1" s="215">
      <c r="A74" s="14">
        <f>A73+1</f>
        <v/>
      </c>
      <c r="B74" s="7">
        <f>HYPERLINK("https://finance.yahoo.com/quote/"&amp;D74, C74)</f>
        <v/>
      </c>
      <c r="C74" s="7" t="inlineStr">
        <is>
          <t>STZ</t>
        </is>
      </c>
      <c r="D74" s="7" t="inlineStr">
        <is>
          <t>STZ</t>
        </is>
      </c>
      <c r="E74" s="8">
        <f>IFERROR(__xludf.DUMMYFUNCTION("iferror(googlefinance(D74,""price""),"""")"),157.86)</f>
        <v/>
      </c>
      <c r="F74" s="9">
        <f>IFERROR(__xludf.DUMMYFUNCTION("IFERROR(GOOGLEFINANCE(D74,""price"") / index(GOOGLEFINANCE(D74,""price"", datevalue(today()-365) ) , 2,2) - 1,"""")"),-0.0993838429940665)</f>
        <v/>
      </c>
      <c r="G74" s="10">
        <f>IFERROR(__xludf.DUMMYFUNCTION("iferror(googlefinance(D74,""marketcap""),"""")/10^6"),27374.628993)</f>
        <v/>
      </c>
      <c r="H74" s="11">
        <f>IFERROR(__xludf.DUMMYFUNCTION("importrange(""https://docs.google.com/spreadsheets/d/1wXUxPs_ekZAd3ic7Nbhf8YE-qk6wcB7VPJvwAvLgbV8/edit?usp=sharing"",""Summary!C28"")*1000"),20454.9308688541)</f>
        <v/>
      </c>
      <c r="I74" s="9">
        <f>(H74-G74)/G74</f>
        <v/>
      </c>
      <c r="J74" s="9">
        <f>IFERROR(__xludf.DUMMYFUNCTION("importrange(""https://docs.google.com/spreadsheets/d/1wXUxPs_ekZAd3ic7Nbhf8YE-qk6wcB7VPJvwAvLgbV8/edit?usp=sharing"",""Summary!N6"")"),0.0248995983935742)</f>
        <v/>
      </c>
      <c r="K74" s="11" t="n"/>
      <c r="L74" s="12">
        <f>IFERROR(__xludf.DUMMYFUNCTION("IFERROR(googlefinance(D74,""pe""),"""")"),"")</f>
        <v/>
      </c>
      <c r="M74" s="12">
        <f>IFERROR(__xludf.DUMMYFUNCTION("IFERROR(googlefinance(D74,""beta""),"""")"),"")</f>
        <v/>
      </c>
      <c r="N74" s="25" t="n"/>
      <c r="O74" s="4" t="n"/>
      <c r="P74" s="4" t="n"/>
      <c r="Q74" s="4" t="n"/>
      <c r="R74" s="4" t="n"/>
      <c r="S74" s="4" t="n"/>
    </row>
    <row r="75" ht="18" customHeight="1" s="215">
      <c r="A75" s="14">
        <f>A74+1</f>
        <v/>
      </c>
      <c r="B75" s="7">
        <f>HYPERLINK("https://finance.yahoo.com/quote/"&amp;D75, C75)</f>
        <v/>
      </c>
      <c r="C75" s="7" t="inlineStr">
        <is>
          <t>POOL</t>
        </is>
      </c>
      <c r="D75" s="7" t="inlineStr">
        <is>
          <t>POOL</t>
        </is>
      </c>
      <c r="E75" s="8">
        <f>IFERROR(__xludf.DUMMYFUNCTION("iferror(googlefinance(D75,""price""),"""")"),227.18)</f>
        <v/>
      </c>
      <c r="F75" s="9">
        <f>IFERROR(__xludf.DUMMYFUNCTION("IFERROR(GOOGLEFINANCE(D75,""price"") / index(GOOGLEFINANCE(D75,""price"", datevalue(today()-365) ) , 2,2) - 1,"""")"),-0.339938404323319)</f>
        <v/>
      </c>
      <c r="G75" s="10">
        <f>IFERROR(__xludf.DUMMYFUNCTION("iferror(googlefinance(D75,""marketcap""),"""")/10^6"),8462.336593)</f>
        <v/>
      </c>
      <c r="H75" s="11">
        <f>IFERROR(__xludf.DUMMYFUNCTION("importrange(""https://docs.google.com/spreadsheets/d/1AjHA3YbkgHW1O9Dt-6Buiwed8NsU2S933D9cwB0cVIg/edit?usp=sharing"",""Summary!C28"")*1000"),5529.19347584864)</f>
        <v/>
      </c>
      <c r="I75" s="9">
        <f>(H75-G75)/G75</f>
        <v/>
      </c>
      <c r="J75" s="9">
        <f>IFERROR(__xludf.DUMMYFUNCTION("importrange(""https://docs.google.com/spreadsheets/d/1AjHA3YbkgHW1O9Dt-6Buiwed8NsU2S933D9cwB0cVIg/edit?usp=sharing"",""Summary!H6"")"),0.0167576727546602)</f>
        <v/>
      </c>
      <c r="K75" s="11" t="n"/>
      <c r="L75" s="12">
        <f>IFERROR(__xludf.DUMMYFUNCTION("IFERROR(googlefinance(D75,""pe""),"""")"),"")</f>
        <v/>
      </c>
      <c r="M75" s="12">
        <f>IFERROR(__xludf.DUMMYFUNCTION("IFERROR(googlefinance(D75,""beta""),"""")"),"")</f>
        <v/>
      </c>
      <c r="N75" s="25" t="n"/>
      <c r="O75" s="4" t="n"/>
      <c r="P75" s="4" t="n"/>
      <c r="Q75" s="4" t="n"/>
      <c r="R75" s="4" t="n"/>
      <c r="S75" s="4" t="n"/>
    </row>
    <row r="76" ht="15" customHeight="1" s="215">
      <c r="A76" s="14">
        <f>A75+1</f>
        <v/>
      </c>
      <c r="B76" s="7">
        <f>HYPERLINK("https://finance.yahoo.com/quote/"&amp;D76, C76)</f>
        <v/>
      </c>
      <c r="C76" s="7" t="inlineStr">
        <is>
          <t>CRCL</t>
        </is>
      </c>
      <c r="D76" s="7" t="inlineStr">
        <is>
          <t>CRCL</t>
        </is>
      </c>
      <c r="E76" s="8">
        <f>IFERROR(__xludf.DUMMYFUNCTION("iferror(googlefinance(D76,""price""),"""")"),83.44)</f>
        <v/>
      </c>
      <c r="F76" s="9">
        <f>IFERROR(__xludf.DUMMYFUNCTION("IFERROR(GOOGLEFINANCE(D76,""price"") / index(GOOGLEFINANCE(D76,""price"", datevalue(today()-90) ) , 2,2) - 1,"""")"),0.0774793388429753)</f>
        <v/>
      </c>
      <c r="G76" s="10">
        <f>IFERROR(__xludf.DUMMYFUNCTION("iferror(googlefinance(D76,""marketcap""),"""")/10^6"),19648.084638)</f>
        <v/>
      </c>
      <c r="H76" s="11" t="n"/>
      <c r="I76" s="9">
        <f>(H76-G76)/G76</f>
        <v/>
      </c>
      <c r="J76" s="9">
        <f>IFERROR(__xludf.DUMMYFUNCTION("importrange(""https://docs.google.com/spreadsheets/d/1PbR9WKj3KQAFiIxPRhAZBzf_n1_MWKzDvgKboQnr7bU/edit#gid=254823806"",""Summary!H2"")"),-0.0205562345398528)</f>
        <v/>
      </c>
      <c r="K76" s="9">
        <f>IFERROR(__xludf.DUMMYFUNCTION("importrange(""https://docs.google.com/spreadsheets/d/1PbR9WKj3KQAFiIxPRhAZBzf_n1_MWKzDvgKboQnr7bU/edit#gid=254823806"",""Summary!G18"")"),0.184729417200254)</f>
        <v/>
      </c>
      <c r="L76" s="12">
        <f>IFERROR(__xludf.DUMMYFUNCTION("IFERROR(googlefinance(D76,""pe""),"""")"),"")</f>
        <v/>
      </c>
      <c r="M76" s="12">
        <f>IFERROR(__xludf.DUMMYFUNCTION("IFERROR(googlefinance(D76,""beta""),"""")"),"")</f>
        <v/>
      </c>
      <c r="N76" s="25" t="n"/>
      <c r="O76" s="4" t="n"/>
      <c r="P76" s="4" t="n"/>
      <c r="Q76" s="4" t="n"/>
      <c r="R76" s="4" t="n"/>
      <c r="S76" s="4" t="n"/>
    </row>
    <row r="77" ht="15" customHeight="1" s="215">
      <c r="A77" s="14">
        <f>A76+1</f>
        <v/>
      </c>
      <c r="B77" s="7">
        <f>HYPERLINK("https://finance.yahoo.com/quote/"&amp;D77, C77)</f>
        <v/>
      </c>
      <c r="C77" s="7" t="inlineStr">
        <is>
          <t>LEN</t>
        </is>
      </c>
      <c r="D77" s="7" t="inlineStr">
        <is>
          <t>LEN</t>
        </is>
      </c>
      <c r="E77" s="8">
        <f>IFERROR(__xludf.DUMMYFUNCTION("iferror(googlefinance(D77,""price""),"""")"),114.36)</f>
        <v/>
      </c>
      <c r="F77" s="9">
        <f>IFERROR(__xludf.DUMMYFUNCTION("IFERROR(GOOGLEFINANCE(D77,""price"") / index(GOOGLEFINANCE(D77,""price"", datevalue(today()-365) ) , 2,2) - 1,"""")"),-0.0302721953701349)</f>
        <v/>
      </c>
      <c r="G77" s="10">
        <f>IFERROR(__xludf.DUMMYFUNCTION("iferror(googlefinance(D77,""marketcap""),"""")/10^6"),28032.152069)</f>
        <v/>
      </c>
      <c r="H77" s="11">
        <f>IFERROR(__xludf.DUMMYFUNCTION("importrange(""https://docs.google.com/spreadsheets/d/1PSz-z1Lv-gZ1WOwdTZ8qAxUigZaO9b52l0_4wx34KIs/edit?gid=2118916648#gid=2118916648&amp;range=B28"",""Summary!B28"")*1000"),35428.3539557584)</f>
        <v/>
      </c>
      <c r="I77" s="9">
        <f>(H77-G77)/G77</f>
        <v/>
      </c>
      <c r="J77" s="9">
        <f>IFERROR(__xludf.DUMMYFUNCTION("importrange(""https://docs.google.com/spreadsheets/d/1zt6-MZSWh25h7jG4V610KioqWf37FAqPrfKMpjCURpw/edit#gid=254823806"",""Summary!G2"")"),0.108039357254394)</f>
        <v/>
      </c>
      <c r="K77" s="9">
        <f>IFERROR(__xludf.DUMMYFUNCTION("importrange(""https://docs.google.com/spreadsheets/d/1zt6-MZSWh25h7jG4V610KioqWf37FAqPrfKMpjCURpw/edit#gid=254823806"",""Summary!F18"")"),0.00730397096595773)</f>
        <v/>
      </c>
      <c r="L77" s="12">
        <f>IFERROR(__xludf.DUMMYFUNCTION("IFERROR(googlefinance(D77,""pe""),"""")"),"")</f>
        <v/>
      </c>
      <c r="M77" s="12">
        <f>IFERROR(__xludf.DUMMYFUNCTION("IFERROR(googlefinance(D77,""beta""),"""")"),"")</f>
        <v/>
      </c>
      <c r="N77" s="25" t="n"/>
      <c r="O77" s="4" t="n"/>
      <c r="P77" s="4" t="n"/>
      <c r="Q77" s="4" t="n"/>
      <c r="R77" s="4" t="n"/>
      <c r="S77" s="4" t="n"/>
    </row>
    <row r="78" ht="16" customHeight="1" s="215">
      <c r="A78" s="19">
        <f>A77+1</f>
        <v/>
      </c>
      <c r="B78" s="7">
        <f>HYPERLINK("https://finance.yahoo.com/quote/"&amp;D78, C78)</f>
        <v/>
      </c>
      <c r="C78" s="26" t="inlineStr">
        <is>
          <t>DHI</t>
        </is>
      </c>
      <c r="D78" s="26" t="inlineStr">
        <is>
          <t>DHI</t>
        </is>
      </c>
      <c r="E78" s="8">
        <f>IFERROR(__xludf.DUMMYFUNCTION("iferror(googlefinance(D78,""price""),"""")"),160.39)</f>
        <v/>
      </c>
      <c r="F78" s="9">
        <f>IFERROR(__xludf.DUMMYFUNCTION("IFERROR(GOOGLEFINANCE(D78,""price"") / index(GOOGLEFINANCE(D78,""price"", datevalue(today()-365) ) , 2,2) - 1,"""")"),0.276177593889242)</f>
        <v/>
      </c>
      <c r="G78" s="10">
        <f>IFERROR(__xludf.DUMMYFUNCTION("iferror(googlefinance(D78,""marketcap""),"""")/10^6"),46465.528149)</f>
        <v/>
      </c>
      <c r="H78" s="11">
        <f>IFERROR(__xludf.DUMMYFUNCTION("importrange(""https://docs.google.com/spreadsheets/d/1PSz-z1Lv-gZ1WOwdTZ8qAxUigZaO9b52l0_4wx34KIs/edit?gid=2118916648#gid=2118916648&amp;range=B28"",""Summary!B28"")*1000"),35428.3539557584)</f>
        <v/>
      </c>
      <c r="I78" s="25" t="n"/>
      <c r="J78" s="25" t="n"/>
      <c r="K78" s="25" t="n"/>
      <c r="L78" s="12">
        <f>IFERROR(__xludf.DUMMYFUNCTION("IFERROR(googlefinance(D78,""pe""),"""")"),"")</f>
        <v/>
      </c>
      <c r="M78" s="12">
        <f>IFERROR(__xludf.DUMMYFUNCTION("IFERROR(googlefinance(D78,""beta""),"""")"),"")</f>
        <v/>
      </c>
      <c r="N78" s="25" t="n"/>
      <c r="O78" s="4" t="n"/>
      <c r="P78" s="4" t="n"/>
      <c r="Q78" s="4" t="n"/>
      <c r="R78" s="4" t="n"/>
      <c r="S78" s="4" t="n"/>
    </row>
    <row r="79" ht="16" customHeight="1" s="215">
      <c r="A79" s="19">
        <f>A78+1</f>
        <v/>
      </c>
      <c r="B79" s="7">
        <f>HYPERLINK("https://finance.yahoo.com/quote/"&amp;D79, C79)</f>
        <v/>
      </c>
      <c r="C79" s="26" t="inlineStr">
        <is>
          <t>NUE</t>
        </is>
      </c>
      <c r="D79" s="26" t="inlineStr">
        <is>
          <t>NUE</t>
        </is>
      </c>
      <c r="E79" s="8">
        <f>IFERROR(__xludf.DUMMYFUNCTION("iferror(googlefinance(D79,""price""),"""")"),176.88)</f>
        <v/>
      </c>
      <c r="F79" s="9">
        <f>IFERROR(__xludf.DUMMYFUNCTION("IFERROR(GOOGLEFINANCE(D79,""price"") / index(GOOGLEFINANCE(D79,""price"", datevalue(today()-365) ) , 2,2) - 1,"""")"),0.319310807786977)</f>
        <v/>
      </c>
      <c r="G79" s="10">
        <f>IFERROR(__xludf.DUMMYFUNCTION("iferror(googlefinance(D79,""marketcap""),"""")/10^6"),40288.77236)</f>
        <v/>
      </c>
      <c r="H79" s="11">
        <f>IFERROR(__xludf.DUMMYFUNCTION("importrange(""https://docs.google.com/spreadsheets/d/1PSz-z1Lv-gZ1WOwdTZ8qAxUigZaO9b52l0_4wx34KIs/edit?gid=2118916648#gid=2118916648&amp;range=B28"",""Summary!B28"")*1000"),35428.3539557584)</f>
        <v/>
      </c>
      <c r="I79" s="25" t="n"/>
      <c r="J79" s="25" t="n"/>
      <c r="K79" s="25" t="n"/>
      <c r="L79" s="12">
        <f>IFERROR(__xludf.DUMMYFUNCTION("IFERROR(googlefinance(D79,""pe""),"""")"),"")</f>
        <v/>
      </c>
      <c r="M79" s="12">
        <f>IFERROR(__xludf.DUMMYFUNCTION("IFERROR(googlefinance(D79,""beta""),"""")"),"")</f>
        <v/>
      </c>
      <c r="N79" s="25" t="n"/>
      <c r="O79" s="4" t="n"/>
      <c r="P79" s="4" t="n"/>
      <c r="Q79" s="4" t="n"/>
      <c r="R79" s="4" t="n"/>
      <c r="S79" s="4" t="n"/>
    </row>
    <row r="80" ht="16" customHeight="1" s="215">
      <c r="A80" s="19">
        <f>A79+1</f>
        <v/>
      </c>
      <c r="B80" s="7">
        <f>HYPERLINK("https://finance.yahoo.com/quote/"&amp;D80, C80)</f>
        <v/>
      </c>
      <c r="C80" s="26" t="inlineStr">
        <is>
          <t>UNH</t>
        </is>
      </c>
      <c r="D80" s="26" t="inlineStr">
        <is>
          <t>UNH</t>
        </is>
      </c>
      <c r="E80" s="8">
        <f>IFERROR(__xludf.DUMMYFUNCTION("iferror(googlefinance(D80,""price""),"""")"),293.27)</f>
        <v/>
      </c>
      <c r="F80" s="9">
        <f>IFERROR(__xludf.DUMMYFUNCTION("IFERROR(GOOGLEFINANCE(D80,""price"") / index(GOOGLEFINANCE(D80,""price"", datevalue(today()-365) ) , 2,2) - 1,"""")"),-0.372080077079541)</f>
        <v/>
      </c>
      <c r="G80" s="10">
        <f>IFERROR(__xludf.DUMMYFUNCTION("iferror(googlefinance(D80,""marketcap""),"""")/10^6"),265655.27627)</f>
        <v/>
      </c>
      <c r="H80" s="11">
        <f>IFERROR(__xludf.DUMMYFUNCTION("importrange(""https://docs.google.com/spreadsheets/d/1FjIVEcih8zxcZhJICjNCjhvohqB0dWGFE_KZsagtJAk/edit?gid=2118916648#gid=2118916648&amp;range=B28"",""Summary!B28"")*1000"),263282.372409604)</f>
        <v/>
      </c>
      <c r="I80" s="9">
        <f>(H80-G80)/G80</f>
        <v/>
      </c>
      <c r="J80" s="25" t="n"/>
      <c r="K80" s="25" t="n"/>
      <c r="L80" s="12">
        <f>IFERROR(__xludf.DUMMYFUNCTION("IFERROR(googlefinance(D80,""pe""),"""")"),"")</f>
        <v/>
      </c>
      <c r="M80" s="12">
        <f>IFERROR(__xludf.DUMMYFUNCTION("IFERROR(googlefinance(D80,""beta""),"""")"),"")</f>
        <v/>
      </c>
      <c r="N80" s="25" t="n"/>
      <c r="O80" s="4" t="n"/>
      <c r="P80" s="4" t="n"/>
      <c r="Q80" s="4" t="n"/>
      <c r="R80" s="4" t="n"/>
      <c r="S80" s="4" t="n"/>
    </row>
    <row r="81" ht="16" customHeight="1" s="215">
      <c r="A81" s="19">
        <f>A80+1</f>
        <v/>
      </c>
      <c r="B81" s="7">
        <f>HYPERLINK("https://finance.yahoo.com/quote/"&amp;D81, C81)</f>
        <v/>
      </c>
      <c r="C81" s="26" t="inlineStr">
        <is>
          <t>DPZ</t>
        </is>
      </c>
      <c r="D81" s="26" t="inlineStr">
        <is>
          <t>DPZ</t>
        </is>
      </c>
      <c r="E81" s="8">
        <f>IFERROR(__xludf.DUMMYFUNCTION("iferror(googlefinance(D81,""price""),"""")"),402.51)</f>
        <v/>
      </c>
      <c r="F81" s="9">
        <f>IFERROR(__xludf.DUMMYFUNCTION("IFERROR(GOOGLEFINANCE(D81,""price"") / index(GOOGLEFINANCE(D81,""price"", datevalue(today()-365) ) , 2,2) - 1,"""")"),-0.168058368814848)</f>
        <v/>
      </c>
      <c r="G81" s="10">
        <f>IFERROR(__xludf.DUMMYFUNCTION("iferror(googlefinance(D81,""marketcap""),"""")/10^6"),13535.964842)</f>
        <v/>
      </c>
      <c r="I81" s="25" t="n"/>
      <c r="J81" s="25" t="n"/>
      <c r="K81" s="25" t="n"/>
      <c r="L81" s="12">
        <f>IFERROR(__xludf.DUMMYFUNCTION("IFERROR(googlefinance(D81,""pe""),"""")"),"")</f>
        <v/>
      </c>
      <c r="M81" s="12">
        <f>IFERROR(__xludf.DUMMYFUNCTION("IFERROR(googlefinance(D81,""beta""),"""")"),"")</f>
        <v/>
      </c>
      <c r="N81" s="25" t="n"/>
      <c r="O81" s="4" t="n"/>
      <c r="P81" s="4" t="n"/>
      <c r="Q81" s="4" t="n"/>
      <c r="R81" s="4" t="n"/>
      <c r="S81" s="4" t="n"/>
    </row>
    <row r="82" ht="16" customHeight="1" s="215">
      <c r="A82" s="19">
        <f>A81+1</f>
        <v/>
      </c>
      <c r="B82" s="7">
        <f>HYPERLINK("https://finance.yahoo.com/quote/"&amp;D82, C82)</f>
        <v/>
      </c>
      <c r="C82" s="26" t="inlineStr">
        <is>
          <t>SIRI</t>
        </is>
      </c>
      <c r="D82" s="26" t="inlineStr">
        <is>
          <t>SIRI</t>
        </is>
      </c>
      <c r="E82" s="8">
        <f>IFERROR(__xludf.DUMMYFUNCTION("iferror(googlefinance(D82,""price""),"""")"),21.96)</f>
        <v/>
      </c>
      <c r="F82" s="9">
        <f>IFERROR(__xludf.DUMMYFUNCTION("IFERROR(GOOGLEFINANCE(D82,""price"") / index(GOOGLEFINANCE(D82,""price"", datevalue(today()-365) ) , 2,2) - 1,"""")"),-0.0865224625623959)</f>
        <v/>
      </c>
      <c r="G82" s="10">
        <f>IFERROR(__xludf.DUMMYFUNCTION("iferror(googlefinance(D82,""marketcap""),"""")/10^6"),7351.612577)</f>
        <v/>
      </c>
      <c r="H82" s="11">
        <f>IFERROR(__xludf.DUMMYFUNCTION("importrange(""https://docs.google.com/spreadsheets/d/1PSz-z1Lv-gZ1WOwdTZ8qAxUigZaO9b52l0_4wx34KIs/edit?gid=2118916648#gid=2118916648&amp;range=B28"",""Summary!B28"")*1000"),35428.3539557584)</f>
        <v/>
      </c>
      <c r="I82" s="25" t="n"/>
      <c r="J82" s="25" t="n"/>
      <c r="K82" s="25" t="n"/>
      <c r="L82" s="12">
        <f>IFERROR(__xludf.DUMMYFUNCTION("IFERROR(googlefinance(D82,""pe""),"""")"),"")</f>
        <v/>
      </c>
      <c r="M82" s="12">
        <f>IFERROR(__xludf.DUMMYFUNCTION("IFERROR(googlefinance(D82,""beta""),"""")"),"")</f>
        <v/>
      </c>
      <c r="N82" s="25" t="n"/>
      <c r="O82" s="4" t="n"/>
      <c r="P82" s="4" t="n"/>
      <c r="Q82" s="4" t="n"/>
      <c r="R82" s="4" t="n"/>
      <c r="S82" s="4" t="n"/>
    </row>
    <row r="83" ht="16" customHeight="1" s="215">
      <c r="A83" s="19">
        <f>A82+1</f>
        <v/>
      </c>
      <c r="B83" s="7">
        <f>HYPERLINK("https://finance.yahoo.com/quote/"&amp;D83, C83)</f>
        <v/>
      </c>
      <c r="C83" s="26" t="inlineStr">
        <is>
          <t>LAMR</t>
        </is>
      </c>
      <c r="D83" s="26" t="inlineStr">
        <is>
          <t>LAMR</t>
        </is>
      </c>
      <c r="E83" s="8">
        <f>IFERROR(__xludf.DUMMYFUNCTION("iferror(googlefinance(D83,""price""),"""")"),137.74)</f>
        <v/>
      </c>
      <c r="F83" s="9">
        <f>IFERROR(__xludf.DUMMYFUNCTION("IFERROR(GOOGLEFINANCE(D83,""price"") / index(GOOGLEFINANCE(D83,""price"", datevalue(today()-365) ) , 2,2) - 1,"""")"),0.107145727835383)</f>
        <v/>
      </c>
      <c r="G83" s="10">
        <f>IFERROR(__xludf.DUMMYFUNCTION("iferror(googlefinance(D83,""marketcap""),"""")/10^6"),13952.139698)</f>
        <v/>
      </c>
      <c r="H83" s="11">
        <f>IFERROR(__xludf.DUMMYFUNCTION("importrange(""https://docs.google.com/spreadsheets/d/1PSz-z1Lv-gZ1WOwdTZ8qAxUigZaO9b52l0_4wx34KIs/edit?gid=2118916648#gid=2118916648&amp;range=B28"",""Summary!B28"")*1000"),35428.3539557584)</f>
        <v/>
      </c>
      <c r="I83" s="25" t="n"/>
      <c r="J83" s="25" t="n"/>
      <c r="K83" s="25" t="n"/>
      <c r="L83" s="12">
        <f>IFERROR(__xludf.DUMMYFUNCTION("IFERROR(googlefinance(D83,""pe""),"""")"),"")</f>
        <v/>
      </c>
      <c r="M83" s="12">
        <f>IFERROR(__xludf.DUMMYFUNCTION("IFERROR(googlefinance(D83,""beta""),"""")"),"")</f>
        <v/>
      </c>
      <c r="N83" s="25" t="n"/>
      <c r="O83" s="4" t="n"/>
      <c r="P83" s="4" t="n"/>
      <c r="Q83" s="4" t="n"/>
      <c r="R83" s="4" t="n"/>
      <c r="S83" s="4" t="n"/>
    </row>
    <row r="84" ht="16" customHeight="1" s="215">
      <c r="A84" s="19">
        <f>A83+1</f>
        <v/>
      </c>
      <c r="B84" s="7">
        <f>HYPERLINK("https://finance.yahoo.com/quote/"&amp;D84, C84)</f>
        <v/>
      </c>
      <c r="C84" s="26" t="inlineStr">
        <is>
          <t>ALLE</t>
        </is>
      </c>
      <c r="D84" s="26" t="inlineStr">
        <is>
          <t>ALLE</t>
        </is>
      </c>
      <c r="E84" s="8">
        <f>IFERROR(__xludf.DUMMYFUNCTION("iferror(googlefinance(D84,""price""),"""")"),161.15)</f>
        <v/>
      </c>
      <c r="F84" s="9">
        <f>IFERROR(__xludf.DUMMYFUNCTION("IFERROR(GOOGLEFINANCE(D84,""price"") / index(GOOGLEFINANCE(D84,""price"", datevalue(today()-365) ) , 2,2) - 1,"""")"),0.27371166613974)</f>
        <v/>
      </c>
      <c r="G84" s="10">
        <f>IFERROR(__xludf.DUMMYFUNCTION("iferror(googlefinance(D84,""marketcap""),"""")/10^6"),13882.346799)</f>
        <v/>
      </c>
      <c r="H84" s="11">
        <f>IFERROR(__xludf.DUMMYFUNCTION("importrange(""https://docs.google.com/spreadsheets/d/1PSz-z1Lv-gZ1WOwdTZ8qAxUigZaO9b52l0_4wx34KIs/edit?gid=2118916648#gid=2118916648&amp;range=B28"",""Summary!B28"")*1000"),35428.3539557584)</f>
        <v/>
      </c>
      <c r="I84" s="25" t="n"/>
      <c r="J84" s="25" t="n"/>
      <c r="K84" s="25" t="n"/>
      <c r="L84" s="12">
        <f>IFERROR(__xludf.DUMMYFUNCTION("IFERROR(googlefinance(D84,""pe""),"""")"),"")</f>
        <v/>
      </c>
      <c r="M84" s="12">
        <f>IFERROR(__xludf.DUMMYFUNCTION("IFERROR(googlefinance(D84,""beta""),"""")"),"")</f>
        <v/>
      </c>
      <c r="N84" s="25" t="n"/>
      <c r="O84" s="4" t="n"/>
      <c r="P84" s="4" t="n"/>
      <c r="Q84" s="4" t="n"/>
      <c r="R84" s="4" t="n"/>
      <c r="S84" s="4" t="n"/>
    </row>
    <row r="85" ht="16" customHeight="1" s="215">
      <c r="A85" s="19">
        <f>A84+1</f>
        <v/>
      </c>
      <c r="B85" s="7">
        <f>HYPERLINK("https://finance.yahoo.com/quote/"&amp;D85, C85)</f>
        <v/>
      </c>
      <c r="C85" s="26" t="inlineStr">
        <is>
          <t>CB</t>
        </is>
      </c>
      <c r="D85" s="26" t="inlineStr">
        <is>
          <t>CB</t>
        </is>
      </c>
      <c r="E85" s="8">
        <f>IFERROR(__xludf.DUMMYFUNCTION("iferror(googlefinance(D85,""price""),"""")"),340.86)</f>
        <v/>
      </c>
      <c r="F85" s="9">
        <f>IFERROR(__xludf.DUMMYFUNCTION("IFERROR(GOOGLEFINANCE(D85,""price"") / index(GOOGLEFINANCE(D85,""price"", datevalue(today()-365) ) , 2,2) - 1,"""")"),0.176637094825503)</f>
        <v/>
      </c>
      <c r="G85" s="10">
        <f>IFERROR(__xludf.DUMMYFUNCTION("iferror(googlefinance(D85,""marketcap""),"""")/10^6"),133310.715216)</f>
        <v/>
      </c>
      <c r="H85" s="11">
        <f>IFERROR(__xludf.DUMMYFUNCTION("importrange(""https://docs.google.com/spreadsheets/d/1PSz-z1Lv-gZ1WOwdTZ8qAxUigZaO9b52l0_4wx34KIs/edit?gid=2118916648#gid=2118916648&amp;range=B28"",""Summary!B28"")*1000"),35428.3539557584)</f>
        <v/>
      </c>
      <c r="I85" s="25" t="n"/>
      <c r="J85" s="25" t="n"/>
      <c r="K85" s="25" t="n"/>
      <c r="L85" s="12">
        <f>IFERROR(__xludf.DUMMYFUNCTION("IFERROR(googlefinance(D85,""pe""),"""")"),"")</f>
        <v/>
      </c>
      <c r="M85" s="12">
        <f>IFERROR(__xludf.DUMMYFUNCTION("IFERROR(googlefinance(D85,""beta""),"""")"),"")</f>
        <v/>
      </c>
      <c r="N85" s="25" t="n"/>
      <c r="O85" s="4" t="n"/>
      <c r="P85" s="4" t="n"/>
      <c r="Q85" s="4" t="n"/>
      <c r="R85" s="4" t="n"/>
      <c r="S85" s="4" t="n"/>
    </row>
    <row r="86" ht="16" customHeight="1" s="215">
      <c r="A86" s="19">
        <f>A85+1</f>
        <v/>
      </c>
      <c r="B86" s="7" t="inlineStr">
        <is>
          <t>BYD</t>
        </is>
      </c>
      <c r="C86" s="26" t="inlineStr">
        <is>
          <t>BYD</t>
        </is>
      </c>
      <c r="D86" s="26" t="n">
        <v>1211</v>
      </c>
      <c r="E86" s="8" t="n">
        <v>97.11</v>
      </c>
      <c r="F86" s="9" t="n"/>
      <c r="G86" s="10">
        <f>IFERROR(__xludf.DUMMYFUNCTION("E86*importrange(""https://docs.google.com/spreadsheets/d/1sj5i_x98T-YjDlenwVw1sMU5c0j62zlaOGR3hVGvzVE/edit?gid=2118916648#gid=2118916648&amp;range=G13"",""Summary!G13"")*1000"),885643.199999999)</f>
        <v/>
      </c>
      <c r="H86" s="11">
        <f>IFERROR(__xludf.DUMMYFUNCTION("importrange(""https://docs.google.com/spreadsheets/d/1sj5i_x98T-YjDlenwVw1sMU5c0j62zlaOGR3hVGvzVE/edit?gid=2118916648#gid=2118916648&amp;range=B28"",""Summary!B28"")*1000"),722603.070173736)</f>
        <v/>
      </c>
      <c r="I86" s="9">
        <f>(H86-G86)/G86</f>
        <v/>
      </c>
      <c r="J86" s="27">
        <f>IFERROR(__xludf.DUMMYFUNCTION("importrange(""https://docs.google.com/spreadsheets/d/1Cq6JV7ifnjjUQxYb_qlclo8JPOj4y_cw0UWStLqeSrk/edit?gid=2118916648#gid=2118916648&amp;range=G68"",""Summary!G6"")"),0.228852459016393)</f>
        <v/>
      </c>
      <c r="K86" s="25" t="n"/>
      <c r="L86" s="12">
        <f>IFERROR(__xludf.DUMMYFUNCTION("IFERROR(googlefinance(D86,""pe""),"""")"),"")</f>
        <v/>
      </c>
      <c r="M86" s="12">
        <f>IFERROR(__xludf.DUMMYFUNCTION("IFERROR(googlefinance(D86,""beta""),"""")"),"")</f>
        <v/>
      </c>
      <c r="N86" s="25" t="n"/>
      <c r="O86" s="4" t="n"/>
      <c r="P86" s="4" t="n"/>
      <c r="Q86" s="4" t="n"/>
      <c r="R86" s="4" t="n"/>
      <c r="S86" s="4" t="n"/>
    </row>
    <row r="87" ht="16" customHeight="1" s="215">
      <c r="A87" s="19">
        <f>A86+1</f>
        <v/>
      </c>
      <c r="B87" s="7" t="inlineStr">
        <is>
          <t>XIAOMI</t>
        </is>
      </c>
      <c r="C87" s="26" t="inlineStr">
        <is>
          <t>XIAOMI</t>
        </is>
      </c>
      <c r="D87" s="26" t="n">
        <v>1810</v>
      </c>
      <c r="E87" s="8" t="n">
        <v>38.58</v>
      </c>
      <c r="F87" s="9">
        <f>IFERROR(__xludf.DUMMYFUNCTION("IFERROR(GOOGLEFINANCE(D87,""price"") / index(GOOGLEFINANCE(D87,""price"", datevalue(today()-365) ) , 2,2) - 1,"""")"),"")</f>
        <v/>
      </c>
      <c r="G87" s="10">
        <f>IFERROR(__xludf.DUMMYFUNCTION("E87*importrange(""https://docs.google.com/spreadsheets/d/1Cq6JV7ifnjjUQxYb_qlclo8JPOj4y_cw0UWStLqeSrk/edit?gid=2118916648#gid=2118916648&amp;range=G13"",""Summary!G13"")*1000"),1005009)</f>
        <v/>
      </c>
      <c r="H87" s="11">
        <f>IFERROR(__xludf.DUMMYFUNCTION("importrange(""https://docs.google.com/spreadsheets/d/1Cq6JV7ifnjjUQxYb_qlclo8JPOj4y_cw0UWStLqeSrk/edit?gid=2118916648#gid=2118916648&amp;range=B28"",""Summary!B28"")*1000"),1365415.80785986)</f>
        <v/>
      </c>
      <c r="I87" s="9">
        <f>(H87-G87)/G87</f>
        <v/>
      </c>
      <c r="J87" s="27">
        <f>IFERROR(__xludf.DUMMYFUNCTION("importrange(""https://docs.google.com/spreadsheets/d/1sj5i_x98T-YjDlenwVw1sMU5c0j62zlaOGR3hVGvzVE/edit?gid=2118916648#gid=2118916648&amp;range=G68"",""Summary!G6"")"),0.0810356941559796)</f>
        <v/>
      </c>
      <c r="K87" s="25" t="n"/>
      <c r="L87" s="12">
        <f>IFERROR(__xludf.DUMMYFUNCTION("IFERROR(googlefinance(D87,""pe""),"""")"),"")</f>
        <v/>
      </c>
      <c r="M87" s="12">
        <f>IFERROR(__xludf.DUMMYFUNCTION("IFERROR(googlefinance(D87,""beta""),"""")"),"")</f>
        <v/>
      </c>
      <c r="N87" s="25" t="n"/>
      <c r="O87" s="4" t="n"/>
      <c r="P87" s="4" t="n"/>
      <c r="Q87" s="4" t="n"/>
      <c r="R87" s="4" t="n"/>
      <c r="S87" s="4" t="n"/>
    </row>
    <row r="88" ht="15" customHeight="1" s="215">
      <c r="A88" s="26" t="n"/>
      <c r="B88" s="26" t="n"/>
      <c r="C88" s="26" t="n"/>
      <c r="D88" s="26" t="n"/>
      <c r="E88" s="26" t="n"/>
      <c r="F88" s="25" t="n"/>
      <c r="G88" s="25" t="n"/>
      <c r="H88" s="25" t="n"/>
      <c r="I88" s="25" t="n"/>
      <c r="J88" s="25" t="n"/>
      <c r="K88" s="25" t="n"/>
      <c r="L88" s="25" t="n"/>
      <c r="M88" s="25" t="n"/>
      <c r="N88" s="25" t="n"/>
      <c r="O88" s="4" t="n"/>
      <c r="P88" s="4" t="n"/>
      <c r="Q88" s="4" t="n"/>
      <c r="R88" s="4" t="n"/>
      <c r="S88" s="4" t="n"/>
    </row>
    <row r="89" ht="15" customHeight="1" s="215">
      <c r="A89" s="26" t="n"/>
      <c r="B89" s="26" t="n"/>
      <c r="C89" s="26" t="n"/>
      <c r="D89" s="26" t="n"/>
      <c r="E89" s="26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4" t="n"/>
      <c r="P89" s="4" t="n"/>
      <c r="Q89" s="4" t="n"/>
      <c r="R89" s="4" t="n"/>
      <c r="S89" s="4" t="n"/>
    </row>
    <row r="90" ht="15" customHeight="1" s="215">
      <c r="A90" s="26" t="n"/>
      <c r="B90" s="26" t="n"/>
      <c r="C90" s="26" t="n"/>
      <c r="D90" s="26" t="n"/>
      <c r="E90" s="26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4" t="n"/>
      <c r="P90" s="4" t="n"/>
      <c r="Q90" s="4" t="n"/>
      <c r="R90" s="4" t="n"/>
      <c r="S90" s="4" t="n"/>
    </row>
    <row r="91" ht="15" customHeight="1" s="215">
      <c r="A91" s="26" t="n"/>
      <c r="B91" s="26" t="n"/>
      <c r="C91" s="26" t="n"/>
      <c r="D91" s="26" t="n"/>
      <c r="E91" s="26" t="n"/>
      <c r="F91" s="25" t="n"/>
      <c r="G91" s="25" t="n"/>
      <c r="H91" s="25" t="n"/>
      <c r="I91" s="25" t="n"/>
      <c r="J91" s="25" t="n"/>
      <c r="K91" s="25" t="n"/>
      <c r="L91" s="25" t="n"/>
      <c r="M91" s="25" t="n"/>
      <c r="N91" s="25" t="n"/>
      <c r="O91" s="4" t="n"/>
      <c r="P91" s="4" t="n"/>
      <c r="Q91" s="4" t="n"/>
      <c r="R91" s="4" t="n"/>
      <c r="S91" s="4" t="n"/>
    </row>
    <row r="92" ht="15" customHeight="1" s="215">
      <c r="A92" s="26" t="n"/>
      <c r="B92" s="26" t="n"/>
      <c r="C92" s="26" t="n"/>
      <c r="D92" s="26" t="n"/>
      <c r="E92" s="26" t="n"/>
      <c r="F92" s="25" t="n"/>
      <c r="G92" s="25" t="n"/>
      <c r="H92" s="25" t="n"/>
      <c r="I92" s="25" t="n"/>
      <c r="J92" s="25" t="n"/>
      <c r="K92" s="25" t="n"/>
      <c r="L92" s="25" t="n"/>
      <c r="M92" s="25" t="n"/>
      <c r="N92" s="25" t="n"/>
      <c r="O92" s="4" t="n"/>
      <c r="P92" s="4" t="n"/>
      <c r="Q92" s="4" t="n"/>
      <c r="R92" s="4" t="n"/>
      <c r="S92" s="4" t="n"/>
    </row>
    <row r="93" ht="15" customHeight="1" s="215">
      <c r="A93" s="26" t="n"/>
      <c r="B93" s="26" t="n"/>
      <c r="C93" s="26" t="n"/>
      <c r="D93" s="26" t="n"/>
      <c r="E93" s="26" t="n"/>
      <c r="F93" s="25" t="n"/>
      <c r="G93" s="25" t="n"/>
      <c r="H93" s="25" t="n"/>
      <c r="I93" s="25" t="n"/>
      <c r="J93" s="25" t="n"/>
      <c r="K93" s="25" t="n"/>
      <c r="L93" s="25" t="n"/>
      <c r="M93" s="25" t="n"/>
      <c r="N93" s="25" t="n"/>
      <c r="O93" s="4" t="n"/>
      <c r="P93" s="4" t="n"/>
      <c r="Q93" s="4" t="n"/>
      <c r="R93" s="4" t="n"/>
      <c r="S93" s="4" t="n"/>
    </row>
    <row r="94" ht="15" customHeight="1" s="215">
      <c r="A94" s="26" t="n"/>
      <c r="B94" s="26" t="n"/>
      <c r="C94" s="26" t="n"/>
      <c r="D94" s="26" t="n"/>
      <c r="E94" s="26" t="n"/>
      <c r="F94" s="25" t="n"/>
      <c r="G94" s="25" t="n"/>
      <c r="H94" s="25" t="n"/>
      <c r="I94" s="25" t="n"/>
      <c r="J94" s="25" t="n"/>
      <c r="K94" s="25" t="n"/>
      <c r="L94" s="25" t="n"/>
      <c r="M94" s="25" t="n"/>
      <c r="N94" s="25" t="n"/>
      <c r="O94" s="4" t="n"/>
      <c r="P94" s="4" t="n"/>
      <c r="Q94" s="4" t="n"/>
      <c r="R94" s="4" t="n"/>
      <c r="S94" s="4" t="n"/>
    </row>
    <row r="95" ht="15" customHeight="1" s="215">
      <c r="A95" s="26" t="n"/>
      <c r="B95" s="26" t="n"/>
      <c r="C95" s="26" t="n"/>
      <c r="D95" s="26" t="n"/>
      <c r="E95" s="26" t="n"/>
      <c r="F95" s="25" t="n"/>
      <c r="G95" s="25" t="n"/>
      <c r="H95" s="25" t="n"/>
      <c r="I95" s="25" t="n"/>
      <c r="J95" s="25" t="n"/>
      <c r="K95" s="25" t="n"/>
      <c r="L95" s="25" t="n"/>
      <c r="M95" s="25" t="n"/>
      <c r="N95" s="25" t="n"/>
      <c r="O95" s="4" t="n"/>
      <c r="P95" s="4" t="n"/>
      <c r="Q95" s="4" t="n"/>
      <c r="R95" s="4" t="n"/>
      <c r="S95" s="4" t="n"/>
    </row>
    <row r="96" ht="15" customHeight="1" s="215">
      <c r="A96" s="26" t="n"/>
      <c r="B96" s="26" t="n"/>
      <c r="C96" s="26" t="n"/>
      <c r="D96" s="26" t="n"/>
      <c r="E96" s="26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4" t="n"/>
      <c r="P96" s="4" t="n"/>
      <c r="Q96" s="4" t="n"/>
      <c r="R96" s="4" t="n"/>
      <c r="S96" s="4" t="n"/>
    </row>
    <row r="97" ht="15" customHeight="1" s="215">
      <c r="A97" s="26" t="n"/>
      <c r="B97" s="26" t="n"/>
      <c r="C97" s="26" t="n"/>
      <c r="D97" s="26" t="n"/>
      <c r="E97" s="26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4" t="n"/>
      <c r="P97" s="4" t="n"/>
      <c r="Q97" s="4" t="n"/>
      <c r="R97" s="4" t="n"/>
      <c r="S97" s="4" t="n"/>
    </row>
    <row r="98" ht="15" customHeight="1" s="215">
      <c r="A98" s="26" t="n"/>
      <c r="B98" s="26" t="n"/>
      <c r="C98" s="26" t="n"/>
      <c r="D98" s="26" t="n"/>
      <c r="E98" s="26" t="n"/>
      <c r="F98" s="25" t="n"/>
      <c r="G98" s="25" t="n"/>
      <c r="H98" s="25" t="n"/>
      <c r="I98" s="25" t="n"/>
      <c r="J98" s="25" t="n"/>
      <c r="K98" s="25" t="n"/>
      <c r="L98" s="25" t="n"/>
      <c r="M98" s="25" t="n"/>
      <c r="N98" s="25" t="n"/>
      <c r="O98" s="4" t="n"/>
      <c r="P98" s="4" t="n"/>
      <c r="Q98" s="4" t="n"/>
      <c r="R98" s="4" t="n"/>
      <c r="S98" s="4" t="n"/>
    </row>
    <row r="99" ht="15" customHeight="1" s="215">
      <c r="A99" s="26" t="n"/>
      <c r="B99" s="26" t="n"/>
      <c r="C99" s="26" t="n"/>
      <c r="D99" s="26" t="n"/>
      <c r="E99" s="26" t="n"/>
      <c r="F99" s="25" t="n"/>
      <c r="G99" s="25" t="n"/>
      <c r="H99" s="25" t="n"/>
      <c r="I99" s="25" t="n"/>
      <c r="J99" s="25" t="n"/>
      <c r="K99" s="25" t="n"/>
      <c r="L99" s="25" t="n"/>
      <c r="M99" s="25" t="n"/>
      <c r="N99" s="25" t="n"/>
      <c r="O99" s="4" t="n"/>
      <c r="P99" s="4" t="n"/>
      <c r="Q99" s="4" t="n"/>
      <c r="R99" s="4" t="n"/>
      <c r="S99" s="4" t="n"/>
    </row>
    <row r="100" ht="15" customHeight="1" s="215">
      <c r="A100" s="26" t="n"/>
      <c r="B100" s="26" t="n"/>
      <c r="C100" s="26" t="n"/>
      <c r="D100" s="26" t="n"/>
      <c r="E100" s="26" t="n"/>
      <c r="F100" s="25" t="n"/>
      <c r="G100" s="25" t="n"/>
      <c r="H100" s="25" t="n"/>
      <c r="I100" s="25" t="n"/>
      <c r="J100" s="25" t="n"/>
      <c r="K100" s="25" t="n"/>
      <c r="L100" s="25" t="n"/>
      <c r="M100" s="25" t="n"/>
      <c r="N100" s="25" t="n"/>
      <c r="O100" s="4" t="n"/>
      <c r="P100" s="4" t="n"/>
      <c r="Q100" s="4" t="n"/>
      <c r="R100" s="4" t="n"/>
      <c r="S100" s="4" t="n"/>
    </row>
    <row r="101" ht="15" customHeight="1" s="215">
      <c r="A101" s="26" t="n"/>
      <c r="B101" s="26" t="n"/>
      <c r="C101" s="26" t="n"/>
      <c r="D101" s="26" t="n"/>
      <c r="E101" s="26" t="n"/>
      <c r="F101" s="25" t="n"/>
      <c r="G101" s="25" t="n"/>
      <c r="H101" s="25" t="n"/>
      <c r="I101" s="25" t="n"/>
      <c r="J101" s="25" t="n"/>
      <c r="K101" s="25" t="n"/>
      <c r="L101" s="25" t="n"/>
      <c r="M101" s="25" t="n"/>
      <c r="N101" s="25" t="n"/>
      <c r="O101" s="4" t="n"/>
      <c r="P101" s="4" t="n"/>
      <c r="Q101" s="4" t="n"/>
      <c r="R101" s="4" t="n"/>
      <c r="S101" s="4" t="n"/>
    </row>
    <row r="102" ht="15" customHeight="1" s="215">
      <c r="A102" s="26" t="n"/>
      <c r="B102" s="26" t="n"/>
      <c r="C102" s="26" t="n"/>
      <c r="D102" s="26" t="n"/>
      <c r="E102" s="26" t="n"/>
      <c r="F102" s="25" t="n"/>
      <c r="G102" s="25" t="n"/>
      <c r="H102" s="25" t="n"/>
      <c r="I102" s="25" t="n"/>
      <c r="J102" s="25" t="n"/>
      <c r="K102" s="25" t="n"/>
      <c r="L102" s="25" t="n"/>
      <c r="M102" s="25" t="n"/>
      <c r="N102" s="25" t="n"/>
      <c r="O102" s="4" t="n"/>
      <c r="P102" s="4" t="n"/>
      <c r="Q102" s="4" t="n"/>
      <c r="R102" s="4" t="n"/>
      <c r="S102" s="4" t="n"/>
    </row>
    <row r="103" ht="15" customHeight="1" s="215">
      <c r="A103" s="26" t="n"/>
      <c r="B103" s="26" t="n"/>
      <c r="C103" s="26" t="n"/>
      <c r="D103" s="26" t="n"/>
      <c r="E103" s="26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4" t="n"/>
      <c r="P103" s="4" t="n"/>
      <c r="Q103" s="4" t="n"/>
      <c r="R103" s="4" t="n"/>
      <c r="S103" s="4" t="n"/>
    </row>
    <row r="104" ht="15" customHeight="1" s="215">
      <c r="A104" s="26" t="n"/>
      <c r="B104" s="26" t="n"/>
      <c r="C104" s="26" t="n"/>
      <c r="D104" s="26" t="n"/>
      <c r="E104" s="26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4" t="n"/>
      <c r="P104" s="4" t="n"/>
      <c r="Q104" s="4" t="n"/>
      <c r="R104" s="4" t="n"/>
      <c r="S104" s="4" t="n"/>
    </row>
    <row r="105" ht="15" customHeight="1" s="215">
      <c r="A105" s="26" t="n"/>
      <c r="B105" s="26" t="n"/>
      <c r="C105" s="26" t="n"/>
      <c r="D105" s="26" t="n"/>
      <c r="E105" s="26" t="n"/>
      <c r="F105" s="25" t="n"/>
      <c r="G105" s="25" t="n"/>
      <c r="H105" s="25" t="n"/>
      <c r="I105" s="25" t="n"/>
      <c r="J105" s="25" t="n"/>
      <c r="K105" s="25" t="n"/>
      <c r="L105" s="25" t="n"/>
      <c r="M105" s="25" t="n"/>
      <c r="N105" s="25" t="n"/>
      <c r="O105" s="4" t="n"/>
      <c r="P105" s="4" t="n"/>
      <c r="Q105" s="4" t="n"/>
      <c r="R105" s="4" t="n"/>
      <c r="S105" s="4" t="n"/>
    </row>
    <row r="106" ht="15" customHeight="1" s="215">
      <c r="A106" s="26" t="n"/>
      <c r="B106" s="26" t="n"/>
      <c r="C106" s="26" t="n"/>
      <c r="D106" s="26" t="n"/>
      <c r="E106" s="26" t="n"/>
      <c r="F106" s="25" t="n"/>
      <c r="G106" s="25" t="n"/>
      <c r="H106" s="25" t="n"/>
      <c r="I106" s="25" t="n"/>
      <c r="J106" s="25" t="n"/>
      <c r="K106" s="25" t="n"/>
      <c r="L106" s="25" t="n"/>
      <c r="M106" s="25" t="n"/>
      <c r="N106" s="25" t="n"/>
      <c r="O106" s="4" t="n"/>
      <c r="P106" s="4" t="n"/>
      <c r="Q106" s="4" t="n"/>
      <c r="R106" s="4" t="n"/>
      <c r="S106" s="4" t="n"/>
    </row>
    <row r="107" ht="15" customHeight="1" s="215">
      <c r="A107" s="26" t="n"/>
      <c r="B107" s="26" t="n"/>
      <c r="C107" s="26" t="n"/>
      <c r="D107" s="26" t="n"/>
      <c r="E107" s="26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4" t="n"/>
      <c r="P107" s="4" t="n"/>
      <c r="Q107" s="4" t="n"/>
      <c r="R107" s="4" t="n"/>
      <c r="S107" s="4" t="n"/>
    </row>
    <row r="108" ht="15" customHeight="1" s="215">
      <c r="A108" s="26" t="n"/>
      <c r="B108" s="26" t="n"/>
      <c r="C108" s="26" t="n"/>
      <c r="D108" s="26" t="n"/>
      <c r="E108" s="26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4" t="n"/>
      <c r="P108" s="4" t="n"/>
      <c r="Q108" s="4" t="n"/>
      <c r="R108" s="4" t="n"/>
      <c r="S108" s="4" t="n"/>
    </row>
    <row r="109" ht="15" customHeight="1" s="215">
      <c r="A109" s="26" t="n"/>
      <c r="B109" s="26" t="n"/>
      <c r="C109" s="26" t="n"/>
      <c r="D109" s="26" t="n"/>
      <c r="E109" s="26" t="n"/>
      <c r="F109" s="25" t="n"/>
      <c r="G109" s="25" t="n"/>
      <c r="H109" s="25" t="n"/>
      <c r="I109" s="25" t="n"/>
      <c r="J109" s="25" t="n"/>
      <c r="K109" s="25" t="n"/>
      <c r="L109" s="25" t="n"/>
      <c r="M109" s="25" t="n"/>
      <c r="N109" s="25" t="n"/>
      <c r="O109" s="4" t="n"/>
      <c r="P109" s="4" t="n"/>
      <c r="Q109" s="4" t="n"/>
      <c r="R109" s="4" t="n"/>
      <c r="S109" s="4" t="n"/>
    </row>
    <row r="110" ht="15" customHeight="1" s="215">
      <c r="A110" s="26" t="n"/>
      <c r="B110" s="26" t="n"/>
      <c r="C110" s="26" t="n"/>
      <c r="D110" s="26" t="n"/>
      <c r="E110" s="26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4" t="n"/>
      <c r="P110" s="4" t="n"/>
      <c r="Q110" s="4" t="n"/>
      <c r="R110" s="4" t="n"/>
      <c r="S110" s="4" t="n"/>
    </row>
    <row r="111" ht="15" customHeight="1" s="215">
      <c r="A111" s="26" t="n"/>
      <c r="B111" s="26" t="n"/>
      <c r="C111" s="26" t="n"/>
      <c r="D111" s="26" t="n"/>
      <c r="E111" s="26" t="n"/>
      <c r="F111" s="25" t="n"/>
      <c r="G111" s="25" t="n"/>
      <c r="H111" s="25" t="n"/>
      <c r="I111" s="25" t="n"/>
      <c r="J111" s="25" t="n"/>
      <c r="K111" s="25" t="n"/>
      <c r="L111" s="25" t="n"/>
      <c r="M111" s="25" t="n"/>
      <c r="N111" s="25" t="n"/>
      <c r="O111" s="4" t="n"/>
      <c r="P111" s="4" t="n"/>
      <c r="Q111" s="4" t="n"/>
      <c r="R111" s="4" t="n"/>
      <c r="S111" s="4" t="n"/>
    </row>
    <row r="112" ht="15" customHeight="1" s="215">
      <c r="A112" s="26" t="n"/>
      <c r="B112" s="26" t="n"/>
      <c r="C112" s="26" t="n"/>
      <c r="D112" s="26" t="n"/>
      <c r="E112" s="26" t="n"/>
      <c r="F112" s="25" t="n"/>
      <c r="G112" s="25" t="n"/>
      <c r="H112" s="25" t="n"/>
      <c r="I112" s="25" t="n"/>
      <c r="J112" s="25" t="n"/>
      <c r="K112" s="25" t="n"/>
      <c r="L112" s="25" t="n"/>
      <c r="M112" s="25" t="n"/>
      <c r="N112" s="25" t="n"/>
      <c r="O112" s="4" t="n"/>
      <c r="P112" s="4" t="n"/>
      <c r="Q112" s="4" t="n"/>
      <c r="R112" s="4" t="n"/>
      <c r="S112" s="4" t="n"/>
    </row>
    <row r="113" ht="15" customHeight="1" s="215">
      <c r="A113" s="26" t="n"/>
      <c r="B113" s="26" t="n"/>
      <c r="C113" s="26" t="n"/>
      <c r="D113" s="26" t="n"/>
      <c r="E113" s="26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4" t="n"/>
      <c r="P113" s="4" t="n"/>
      <c r="Q113" s="4" t="n"/>
      <c r="R113" s="4" t="n"/>
      <c r="S113" s="4" t="n"/>
    </row>
    <row r="114" ht="15" customHeight="1" s="215">
      <c r="A114" s="26" t="n"/>
      <c r="B114" s="26" t="n"/>
      <c r="C114" s="26" t="n"/>
      <c r="D114" s="26" t="n"/>
      <c r="E114" s="26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4" t="n"/>
      <c r="P114" s="4" t="n"/>
      <c r="Q114" s="4" t="n"/>
      <c r="R114" s="4" t="n"/>
      <c r="S114" s="4" t="n"/>
    </row>
    <row r="115" ht="15" customHeight="1" s="215">
      <c r="A115" s="26" t="n"/>
      <c r="B115" s="26" t="n"/>
      <c r="C115" s="26" t="n"/>
      <c r="D115" s="26" t="n"/>
      <c r="E115" s="26" t="n"/>
      <c r="F115" s="25" t="n"/>
      <c r="G115" s="25" t="n"/>
      <c r="H115" s="25" t="n"/>
      <c r="I115" s="25" t="n"/>
      <c r="J115" s="25" t="n"/>
      <c r="K115" s="25" t="n"/>
      <c r="L115" s="25" t="n"/>
      <c r="M115" s="25" t="n"/>
      <c r="N115" s="25" t="n"/>
      <c r="O115" s="4" t="n"/>
      <c r="P115" s="4" t="n"/>
      <c r="Q115" s="4" t="n"/>
      <c r="R115" s="4" t="n"/>
      <c r="S115" s="4" t="n"/>
    </row>
    <row r="116" ht="15" customHeight="1" s="215">
      <c r="A116" s="26" t="n"/>
      <c r="B116" s="26" t="n"/>
      <c r="C116" s="26" t="n"/>
      <c r="D116" s="26" t="n"/>
      <c r="E116" s="26" t="n"/>
      <c r="F116" s="25" t="n"/>
      <c r="G116" s="25" t="n"/>
      <c r="H116" s="25" t="n"/>
      <c r="I116" s="25" t="n"/>
      <c r="J116" s="25" t="n"/>
      <c r="K116" s="25" t="n"/>
      <c r="L116" s="25" t="n"/>
      <c r="M116" s="25" t="n"/>
      <c r="N116" s="25" t="n"/>
      <c r="O116" s="4" t="n"/>
      <c r="P116" s="4" t="n"/>
      <c r="Q116" s="4" t="n"/>
      <c r="R116" s="4" t="n"/>
      <c r="S116" s="4" t="n"/>
    </row>
    <row r="117" ht="15" customHeight="1" s="215">
      <c r="A117" s="26" t="n"/>
      <c r="B117" s="26" t="n"/>
      <c r="C117" s="26" t="n"/>
      <c r="D117" s="26" t="n"/>
      <c r="E117" s="26" t="n"/>
      <c r="F117" s="25" t="n"/>
      <c r="G117" s="25" t="n"/>
      <c r="H117" s="25" t="n"/>
      <c r="I117" s="25" t="n"/>
      <c r="J117" s="25" t="n"/>
      <c r="K117" s="25" t="n"/>
      <c r="L117" s="25" t="n"/>
      <c r="M117" s="25" t="n"/>
      <c r="N117" s="25" t="n"/>
      <c r="O117" s="4" t="n"/>
      <c r="P117" s="4" t="n"/>
      <c r="Q117" s="4" t="n"/>
      <c r="R117" s="4" t="n"/>
      <c r="S117" s="4" t="n"/>
    </row>
    <row r="118" ht="15" customHeight="1" s="215">
      <c r="A118" s="26" t="n"/>
      <c r="B118" s="26" t="n"/>
      <c r="C118" s="26" t="n"/>
      <c r="D118" s="26" t="n"/>
      <c r="E118" s="26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4" t="n"/>
      <c r="P118" s="4" t="n"/>
      <c r="Q118" s="4" t="n"/>
      <c r="R118" s="4" t="n"/>
      <c r="S118" s="4" t="n"/>
    </row>
    <row r="119" ht="15" customHeight="1" s="215">
      <c r="A119" s="26" t="n"/>
      <c r="B119" s="26" t="n"/>
      <c r="C119" s="26" t="n"/>
      <c r="D119" s="26" t="n"/>
      <c r="E119" s="26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4" t="n"/>
      <c r="P119" s="4" t="n"/>
      <c r="Q119" s="4" t="n"/>
      <c r="R119" s="4" t="n"/>
      <c r="S119" s="4" t="n"/>
    </row>
    <row r="120" ht="15" customHeight="1" s="215">
      <c r="A120" s="26" t="n"/>
      <c r="B120" s="26" t="n"/>
      <c r="C120" s="26" t="n"/>
      <c r="D120" s="26" t="n"/>
      <c r="E120" s="26" t="n"/>
      <c r="F120" s="25" t="n"/>
      <c r="G120" s="25" t="n"/>
      <c r="H120" s="25" t="n"/>
      <c r="I120" s="25" t="n"/>
      <c r="J120" s="25" t="n"/>
      <c r="K120" s="25" t="n"/>
      <c r="L120" s="25" t="n"/>
      <c r="M120" s="25" t="n"/>
      <c r="N120" s="25" t="n"/>
      <c r="O120" s="4" t="n"/>
      <c r="P120" s="4" t="n"/>
      <c r="Q120" s="4" t="n"/>
      <c r="R120" s="4" t="n"/>
      <c r="S120" s="4" t="n"/>
    </row>
    <row r="121" ht="15" customHeight="1" s="215">
      <c r="A121" s="26" t="n"/>
      <c r="B121" s="26" t="n"/>
      <c r="C121" s="26" t="n"/>
      <c r="D121" s="26" t="n"/>
      <c r="E121" s="26" t="n"/>
      <c r="F121" s="25" t="n"/>
      <c r="G121" s="25" t="n"/>
      <c r="H121" s="25" t="n"/>
      <c r="I121" s="25" t="n"/>
      <c r="J121" s="25" t="n"/>
      <c r="K121" s="25" t="n"/>
      <c r="L121" s="25" t="n"/>
      <c r="M121" s="25" t="n"/>
      <c r="N121" s="25" t="n"/>
      <c r="O121" s="4" t="n"/>
      <c r="P121" s="4" t="n"/>
      <c r="Q121" s="4" t="n"/>
      <c r="R121" s="4" t="n"/>
      <c r="S121" s="4" t="n"/>
    </row>
    <row r="122" ht="15" customHeight="1" s="215">
      <c r="A122" s="26" t="n"/>
      <c r="B122" s="26" t="n"/>
      <c r="C122" s="26" t="n"/>
      <c r="D122" s="26" t="n"/>
      <c r="E122" s="26" t="n"/>
      <c r="F122" s="25" t="n"/>
      <c r="G122" s="25" t="n"/>
      <c r="H122" s="25" t="n"/>
      <c r="I122" s="25" t="n"/>
      <c r="J122" s="25" t="n"/>
      <c r="K122" s="25" t="n"/>
      <c r="L122" s="25" t="n"/>
      <c r="M122" s="25" t="n"/>
      <c r="N122" s="25" t="n"/>
      <c r="O122" s="4" t="n"/>
      <c r="P122" s="4" t="n"/>
      <c r="Q122" s="4" t="n"/>
      <c r="R122" s="4" t="n"/>
      <c r="S122" s="4" t="n"/>
    </row>
    <row r="123" ht="15" customHeight="1" s="215">
      <c r="A123" s="26" t="n"/>
      <c r="B123" s="26" t="n"/>
      <c r="C123" s="26" t="n"/>
      <c r="D123" s="26" t="n"/>
      <c r="E123" s="26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4" t="n"/>
      <c r="P123" s="4" t="n"/>
      <c r="Q123" s="4" t="n"/>
      <c r="R123" s="4" t="n"/>
      <c r="S123" s="4" t="n"/>
    </row>
    <row r="124" ht="15" customHeight="1" s="215">
      <c r="A124" s="26" t="n"/>
      <c r="B124" s="26" t="n"/>
      <c r="C124" s="26" t="n"/>
      <c r="D124" s="26" t="n"/>
      <c r="E124" s="26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4" t="n"/>
      <c r="P124" s="4" t="n"/>
      <c r="Q124" s="4" t="n"/>
      <c r="R124" s="4" t="n"/>
      <c r="S124" s="4" t="n"/>
    </row>
    <row r="125" ht="15" customHeight="1" s="215">
      <c r="A125" s="26" t="n"/>
      <c r="B125" s="26" t="n"/>
      <c r="C125" s="26" t="n"/>
      <c r="D125" s="26" t="n"/>
      <c r="E125" s="26" t="n"/>
      <c r="F125" s="25" t="n"/>
      <c r="G125" s="25" t="n"/>
      <c r="H125" s="25" t="n"/>
      <c r="I125" s="25" t="n"/>
      <c r="J125" s="25" t="n"/>
      <c r="K125" s="25" t="n"/>
      <c r="L125" s="25" t="n"/>
      <c r="M125" s="25" t="n"/>
      <c r="N125" s="25" t="n"/>
      <c r="O125" s="4" t="n"/>
      <c r="P125" s="4" t="n"/>
      <c r="Q125" s="4" t="n"/>
      <c r="R125" s="4" t="n"/>
      <c r="S125" s="4" t="n"/>
    </row>
    <row r="126" ht="15" customHeight="1" s="215">
      <c r="A126" s="26" t="n"/>
      <c r="B126" s="26" t="n"/>
      <c r="C126" s="26" t="n"/>
      <c r="D126" s="26" t="n"/>
      <c r="E126" s="26" t="n"/>
      <c r="F126" s="25" t="n"/>
      <c r="G126" s="25" t="n"/>
      <c r="H126" s="25" t="n"/>
      <c r="I126" s="25" t="n"/>
      <c r="J126" s="25" t="n"/>
      <c r="K126" s="25" t="n"/>
      <c r="L126" s="25" t="n"/>
      <c r="M126" s="25" t="n"/>
      <c r="N126" s="25" t="n"/>
      <c r="O126" s="4" t="n"/>
      <c r="P126" s="4" t="n"/>
      <c r="Q126" s="4" t="n"/>
      <c r="R126" s="4" t="n"/>
      <c r="S126" s="4" t="n"/>
    </row>
    <row r="127" ht="15" customHeight="1" s="215">
      <c r="A127" s="26" t="n"/>
      <c r="B127" s="26" t="n"/>
      <c r="C127" s="26" t="n"/>
      <c r="D127" s="26" t="n"/>
      <c r="E127" s="26" t="n"/>
      <c r="F127" s="25" t="n"/>
      <c r="G127" s="25" t="n"/>
      <c r="H127" s="25" t="n"/>
      <c r="I127" s="25" t="n"/>
      <c r="J127" s="25" t="n"/>
      <c r="K127" s="25" t="n"/>
      <c r="L127" s="25" t="n"/>
      <c r="M127" s="25" t="n"/>
      <c r="N127" s="25" t="n"/>
      <c r="O127" s="4" t="n"/>
      <c r="P127" s="4" t="n"/>
      <c r="Q127" s="4" t="n"/>
      <c r="R127" s="4" t="n"/>
      <c r="S127" s="4" t="n"/>
    </row>
    <row r="128" ht="15" customHeight="1" s="215">
      <c r="A128" s="26" t="n"/>
      <c r="B128" s="26" t="n"/>
      <c r="C128" s="26" t="n"/>
      <c r="D128" s="26" t="n"/>
      <c r="E128" s="26" t="n"/>
      <c r="F128" s="25" t="n"/>
      <c r="G128" s="25" t="n"/>
      <c r="H128" s="25" t="n"/>
      <c r="I128" s="25" t="n"/>
      <c r="J128" s="25" t="n"/>
      <c r="K128" s="25" t="n"/>
      <c r="L128" s="25" t="n"/>
      <c r="M128" s="25" t="n"/>
      <c r="N128" s="25" t="n"/>
      <c r="O128" s="4" t="n"/>
      <c r="P128" s="4" t="n"/>
      <c r="Q128" s="4" t="n"/>
      <c r="R128" s="4" t="n"/>
      <c r="S128" s="4" t="n"/>
    </row>
    <row r="129" ht="15" customHeight="1" s="215">
      <c r="A129" s="26" t="n"/>
      <c r="B129" s="26" t="n"/>
      <c r="C129" s="26" t="n"/>
      <c r="D129" s="26" t="n"/>
      <c r="E129" s="26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4" t="n"/>
      <c r="P129" s="4" t="n"/>
      <c r="Q129" s="4" t="n"/>
      <c r="R129" s="4" t="n"/>
      <c r="S129" s="4" t="n"/>
    </row>
    <row r="130" ht="15" customHeight="1" s="215">
      <c r="A130" s="26" t="n"/>
      <c r="B130" s="26" t="n"/>
      <c r="C130" s="26" t="n"/>
      <c r="D130" s="26" t="n"/>
      <c r="E130" s="26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4" t="n"/>
      <c r="P130" s="4" t="n"/>
      <c r="Q130" s="4" t="n"/>
      <c r="R130" s="4" t="n"/>
      <c r="S130" s="4" t="n"/>
    </row>
    <row r="131" ht="15" customHeight="1" s="215">
      <c r="A131" s="26" t="n"/>
      <c r="B131" s="26" t="n"/>
      <c r="C131" s="26" t="n"/>
      <c r="D131" s="26" t="n"/>
      <c r="E131" s="26" t="n"/>
      <c r="F131" s="25" t="n"/>
      <c r="G131" s="25" t="n"/>
      <c r="H131" s="25" t="n"/>
      <c r="I131" s="25" t="n"/>
      <c r="J131" s="25" t="n"/>
      <c r="K131" s="25" t="n"/>
      <c r="L131" s="25" t="n"/>
      <c r="M131" s="25" t="n"/>
      <c r="N131" s="25" t="n"/>
      <c r="O131" s="4" t="n"/>
      <c r="P131" s="4" t="n"/>
      <c r="Q131" s="4" t="n"/>
      <c r="R131" s="4" t="n"/>
      <c r="S131" s="4" t="n"/>
    </row>
    <row r="132" ht="15" customHeight="1" s="215">
      <c r="A132" s="26" t="n"/>
      <c r="B132" s="26" t="n"/>
      <c r="C132" s="26" t="n"/>
      <c r="D132" s="26" t="n"/>
      <c r="E132" s="26" t="n"/>
      <c r="F132" s="25" t="n"/>
      <c r="G132" s="25" t="n"/>
      <c r="H132" s="25" t="n"/>
      <c r="I132" s="25" t="n"/>
      <c r="J132" s="25" t="n"/>
      <c r="K132" s="25" t="n"/>
      <c r="L132" s="25" t="n"/>
      <c r="M132" s="25" t="n"/>
      <c r="N132" s="25" t="n"/>
      <c r="O132" s="4" t="n"/>
      <c r="P132" s="4" t="n"/>
      <c r="Q132" s="4" t="n"/>
      <c r="R132" s="4" t="n"/>
      <c r="S132" s="4" t="n"/>
    </row>
    <row r="133" ht="15" customHeight="1" s="215">
      <c r="A133" s="26" t="n"/>
      <c r="B133" s="26" t="n"/>
      <c r="C133" s="26" t="n"/>
      <c r="D133" s="26" t="n"/>
      <c r="E133" s="26" t="n"/>
      <c r="F133" s="25" t="n"/>
      <c r="G133" s="25" t="n"/>
      <c r="H133" s="25" t="n"/>
      <c r="I133" s="25" t="n"/>
      <c r="J133" s="25" t="n"/>
      <c r="K133" s="25" t="n"/>
      <c r="L133" s="25" t="n"/>
      <c r="M133" s="25" t="n"/>
      <c r="N133" s="25" t="n"/>
      <c r="O133" s="4" t="n"/>
      <c r="P133" s="4" t="n"/>
      <c r="Q133" s="4" t="n"/>
      <c r="R133" s="4" t="n"/>
      <c r="S133" s="4" t="n"/>
    </row>
    <row r="134" ht="15" customHeight="1" s="215">
      <c r="A134" s="26" t="n"/>
      <c r="B134" s="26" t="n"/>
      <c r="C134" s="26" t="n"/>
      <c r="D134" s="26" t="n"/>
      <c r="E134" s="26" t="n"/>
      <c r="F134" s="25" t="n"/>
      <c r="G134" s="25" t="n"/>
      <c r="H134" s="25" t="n"/>
      <c r="I134" s="25" t="n"/>
      <c r="J134" s="25" t="n"/>
      <c r="K134" s="25" t="n"/>
      <c r="L134" s="25" t="n"/>
      <c r="M134" s="25" t="n"/>
      <c r="N134" s="25" t="n"/>
      <c r="O134" s="4" t="n"/>
      <c r="P134" s="4" t="n"/>
      <c r="Q134" s="4" t="n"/>
      <c r="R134" s="4" t="n"/>
      <c r="S134" s="4" t="n"/>
    </row>
    <row r="135" ht="15" customHeight="1" s="215">
      <c r="A135" s="26" t="n"/>
      <c r="B135" s="26" t="n"/>
      <c r="C135" s="26" t="n"/>
      <c r="D135" s="26" t="n"/>
      <c r="E135" s="26" t="n"/>
      <c r="F135" s="25" t="n"/>
      <c r="G135" s="25" t="n"/>
      <c r="H135" s="25" t="n"/>
      <c r="I135" s="25" t="n"/>
      <c r="J135" s="25" t="n"/>
      <c r="K135" s="25" t="n"/>
      <c r="L135" s="25" t="n"/>
      <c r="M135" s="25" t="n"/>
      <c r="N135" s="25" t="n"/>
      <c r="O135" s="4" t="n"/>
      <c r="P135" s="4" t="n"/>
      <c r="Q135" s="4" t="n"/>
      <c r="R135" s="4" t="n"/>
      <c r="S135" s="4" t="n"/>
    </row>
    <row r="136" ht="15" customHeight="1" s="215">
      <c r="A136" s="26" t="n"/>
      <c r="B136" s="26" t="n"/>
      <c r="C136" s="26" t="n"/>
      <c r="D136" s="26" t="n"/>
      <c r="E136" s="26" t="n"/>
      <c r="F136" s="25" t="n"/>
      <c r="G136" s="25" t="n"/>
      <c r="H136" s="25" t="n"/>
      <c r="I136" s="25" t="n"/>
      <c r="J136" s="25" t="n"/>
      <c r="K136" s="25" t="n"/>
      <c r="L136" s="25" t="n"/>
      <c r="M136" s="25" t="n"/>
      <c r="N136" s="25" t="n"/>
      <c r="O136" s="4" t="n"/>
      <c r="P136" s="4" t="n"/>
      <c r="Q136" s="4" t="n"/>
      <c r="R136" s="4" t="n"/>
      <c r="S136" s="4" t="n"/>
    </row>
    <row r="137" ht="15" customHeight="1" s="215">
      <c r="A137" s="26" t="n"/>
      <c r="B137" s="26" t="n"/>
      <c r="C137" s="26" t="n"/>
      <c r="D137" s="26" t="n"/>
      <c r="E137" s="26" t="n"/>
      <c r="F137" s="25" t="n"/>
      <c r="G137" s="25" t="n"/>
      <c r="H137" s="25" t="n"/>
      <c r="I137" s="25" t="n"/>
      <c r="J137" s="25" t="n"/>
      <c r="K137" s="25" t="n"/>
      <c r="L137" s="25" t="n"/>
      <c r="M137" s="25" t="n"/>
      <c r="N137" s="25" t="n"/>
      <c r="O137" s="4" t="n"/>
      <c r="P137" s="4" t="n"/>
      <c r="Q137" s="4" t="n"/>
      <c r="R137" s="4" t="n"/>
      <c r="S137" s="4" t="n"/>
    </row>
    <row r="138" ht="15" customHeight="1" s="215">
      <c r="A138" s="26" t="n"/>
      <c r="B138" s="26" t="n"/>
      <c r="C138" s="26" t="n"/>
      <c r="D138" s="26" t="n"/>
      <c r="E138" s="26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4" t="n"/>
      <c r="P138" s="4" t="n"/>
      <c r="Q138" s="4" t="n"/>
      <c r="R138" s="4" t="n"/>
      <c r="S138" s="4" t="n"/>
    </row>
    <row r="139" ht="15" customHeight="1" s="215">
      <c r="A139" s="26" t="n"/>
      <c r="B139" s="26" t="n"/>
      <c r="C139" s="26" t="n"/>
      <c r="D139" s="26" t="n"/>
      <c r="E139" s="26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4" t="n"/>
      <c r="P139" s="4" t="n"/>
      <c r="Q139" s="4" t="n"/>
      <c r="R139" s="4" t="n"/>
      <c r="S139" s="4" t="n"/>
    </row>
    <row r="140" ht="15" customHeight="1" s="215">
      <c r="A140" s="26" t="n"/>
      <c r="B140" s="26" t="n"/>
      <c r="C140" s="26" t="n"/>
      <c r="D140" s="26" t="n"/>
      <c r="E140" s="26" t="n"/>
      <c r="F140" s="25" t="n"/>
      <c r="G140" s="25" t="n"/>
      <c r="H140" s="25" t="n"/>
      <c r="I140" s="25" t="n"/>
      <c r="J140" s="25" t="n"/>
      <c r="K140" s="25" t="n"/>
      <c r="L140" s="25" t="n"/>
      <c r="M140" s="25" t="n"/>
      <c r="N140" s="25" t="n"/>
      <c r="O140" s="4" t="n"/>
      <c r="P140" s="4" t="n"/>
      <c r="Q140" s="4" t="n"/>
      <c r="R140" s="4" t="n"/>
      <c r="S140" s="4" t="n"/>
    </row>
    <row r="141" ht="15" customHeight="1" s="215">
      <c r="A141" s="26" t="n"/>
      <c r="B141" s="26" t="n"/>
      <c r="C141" s="26" t="n"/>
      <c r="D141" s="26" t="n"/>
      <c r="E141" s="26" t="n"/>
      <c r="F141" s="25" t="n"/>
      <c r="G141" s="25" t="n"/>
      <c r="H141" s="25" t="n"/>
      <c r="I141" s="25" t="n"/>
      <c r="J141" s="25" t="n"/>
      <c r="K141" s="25" t="n"/>
      <c r="L141" s="25" t="n"/>
      <c r="M141" s="25" t="n"/>
      <c r="N141" s="25" t="n"/>
      <c r="O141" s="4" t="n"/>
      <c r="P141" s="4" t="n"/>
      <c r="Q141" s="4" t="n"/>
      <c r="R141" s="4" t="n"/>
      <c r="S141" s="4" t="n"/>
    </row>
    <row r="142" ht="15" customHeight="1" s="215">
      <c r="A142" s="26" t="n"/>
      <c r="B142" s="26" t="n"/>
      <c r="C142" s="26" t="n"/>
      <c r="D142" s="26" t="n"/>
      <c r="E142" s="26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4" t="n"/>
      <c r="P142" s="4" t="n"/>
      <c r="Q142" s="4" t="n"/>
      <c r="R142" s="4" t="n"/>
      <c r="S142" s="4" t="n"/>
    </row>
    <row r="143" ht="15" customHeight="1" s="215">
      <c r="A143" s="26" t="n"/>
      <c r="B143" s="26" t="n"/>
      <c r="C143" s="26" t="n"/>
      <c r="D143" s="26" t="n"/>
      <c r="E143" s="26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4" t="n"/>
      <c r="P143" s="4" t="n"/>
      <c r="Q143" s="4" t="n"/>
      <c r="R143" s="4" t="n"/>
      <c r="S143" s="4" t="n"/>
    </row>
    <row r="144" ht="15" customHeight="1" s="215">
      <c r="A144" s="26" t="n"/>
      <c r="B144" s="26" t="n"/>
      <c r="C144" s="26" t="n"/>
      <c r="D144" s="26" t="n"/>
      <c r="E144" s="26" t="n"/>
      <c r="F144" s="25" t="n"/>
      <c r="G144" s="25" t="n"/>
      <c r="H144" s="25" t="n"/>
      <c r="I144" s="25" t="n"/>
      <c r="J144" s="25" t="n"/>
      <c r="K144" s="25" t="n"/>
      <c r="L144" s="25" t="n"/>
      <c r="M144" s="25" t="n"/>
      <c r="N144" s="25" t="n"/>
      <c r="O144" s="4" t="n"/>
      <c r="P144" s="4" t="n"/>
      <c r="Q144" s="4" t="n"/>
      <c r="R144" s="4" t="n"/>
      <c r="S144" s="4" t="n"/>
    </row>
    <row r="145" ht="15" customHeight="1" s="215">
      <c r="A145" s="26" t="n"/>
      <c r="B145" s="26" t="n"/>
      <c r="C145" s="26" t="n"/>
      <c r="D145" s="26" t="n"/>
      <c r="E145" s="26" t="n"/>
      <c r="F145" s="25" t="n"/>
      <c r="G145" s="25" t="n"/>
      <c r="H145" s="25" t="n"/>
      <c r="I145" s="25" t="n"/>
      <c r="J145" s="25" t="n"/>
      <c r="K145" s="25" t="n"/>
      <c r="L145" s="25" t="n"/>
      <c r="M145" s="25" t="n"/>
      <c r="N145" s="25" t="n"/>
      <c r="O145" s="4" t="n"/>
      <c r="P145" s="4" t="n"/>
      <c r="Q145" s="4" t="n"/>
      <c r="R145" s="4" t="n"/>
      <c r="S145" s="4" t="n"/>
    </row>
    <row r="146" ht="15" customHeight="1" s="215">
      <c r="A146" s="26" t="n"/>
      <c r="B146" s="26" t="n"/>
      <c r="C146" s="26" t="n"/>
      <c r="D146" s="26" t="n"/>
      <c r="E146" s="26" t="n"/>
      <c r="F146" s="25" t="n"/>
      <c r="G146" s="25" t="n"/>
      <c r="H146" s="25" t="n"/>
      <c r="I146" s="25" t="n"/>
      <c r="J146" s="25" t="n"/>
      <c r="K146" s="25" t="n"/>
      <c r="L146" s="25" t="n"/>
      <c r="M146" s="25" t="n"/>
      <c r="N146" s="25" t="n"/>
      <c r="O146" s="4" t="n"/>
      <c r="P146" s="4" t="n"/>
      <c r="Q146" s="4" t="n"/>
      <c r="R146" s="4" t="n"/>
      <c r="S146" s="4" t="n"/>
    </row>
    <row r="147" ht="15" customHeight="1" s="215">
      <c r="A147" s="26" t="n"/>
      <c r="B147" s="26" t="n"/>
      <c r="C147" s="26" t="n"/>
      <c r="D147" s="26" t="n"/>
      <c r="E147" s="26" t="n"/>
      <c r="F147" s="25" t="n"/>
      <c r="G147" s="25" t="n"/>
      <c r="H147" s="25" t="n"/>
      <c r="I147" s="25" t="n"/>
      <c r="J147" s="25" t="n"/>
      <c r="K147" s="25" t="n"/>
      <c r="L147" s="25" t="n"/>
      <c r="M147" s="25" t="n"/>
      <c r="N147" s="25" t="n"/>
      <c r="O147" s="4" t="n"/>
      <c r="P147" s="4" t="n"/>
      <c r="Q147" s="4" t="n"/>
      <c r="R147" s="4" t="n"/>
      <c r="S147" s="4" t="n"/>
    </row>
    <row r="148" ht="15" customHeight="1" s="215">
      <c r="A148" s="26" t="n"/>
      <c r="B148" s="26" t="n"/>
      <c r="C148" s="26" t="n"/>
      <c r="D148" s="26" t="n"/>
      <c r="E148" s="26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4" t="n"/>
      <c r="P148" s="4" t="n"/>
      <c r="Q148" s="4" t="n"/>
      <c r="R148" s="4" t="n"/>
      <c r="S148" s="4" t="n"/>
    </row>
    <row r="149" ht="15" customHeight="1" s="215">
      <c r="A149" s="26" t="n"/>
      <c r="B149" s="26" t="n"/>
      <c r="C149" s="26" t="n"/>
      <c r="D149" s="26" t="n"/>
      <c r="E149" s="26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4" t="n"/>
      <c r="P149" s="4" t="n"/>
      <c r="Q149" s="4" t="n"/>
      <c r="R149" s="4" t="n"/>
      <c r="S149" s="4" t="n"/>
    </row>
    <row r="150" ht="15" customHeight="1" s="215">
      <c r="A150" s="26" t="n"/>
      <c r="B150" s="26" t="n"/>
      <c r="C150" s="26" t="n"/>
      <c r="D150" s="26" t="n"/>
      <c r="E150" s="26" t="n"/>
      <c r="F150" s="25" t="n"/>
      <c r="G150" s="25" t="n"/>
      <c r="H150" s="25" t="n"/>
      <c r="I150" s="25" t="n"/>
      <c r="J150" s="25" t="n"/>
      <c r="K150" s="25" t="n"/>
      <c r="L150" s="25" t="n"/>
      <c r="M150" s="25" t="n"/>
      <c r="N150" s="25" t="n"/>
      <c r="O150" s="4" t="n"/>
      <c r="P150" s="4" t="n"/>
      <c r="Q150" s="4" t="n"/>
      <c r="R150" s="4" t="n"/>
      <c r="S150" s="4" t="n"/>
    </row>
    <row r="151" ht="15" customHeight="1" s="215">
      <c r="A151" s="26" t="n"/>
      <c r="B151" s="26" t="n"/>
      <c r="C151" s="26" t="n"/>
      <c r="D151" s="26" t="n"/>
      <c r="E151" s="26" t="n"/>
      <c r="F151" s="25" t="n"/>
      <c r="G151" s="25" t="n"/>
      <c r="H151" s="25" t="n"/>
      <c r="I151" s="25" t="n"/>
      <c r="J151" s="25" t="n"/>
      <c r="K151" s="25" t="n"/>
      <c r="L151" s="25" t="n"/>
      <c r="M151" s="25" t="n"/>
      <c r="N151" s="25" t="n"/>
      <c r="O151" s="4" t="n"/>
      <c r="P151" s="4" t="n"/>
      <c r="Q151" s="4" t="n"/>
      <c r="R151" s="4" t="n"/>
      <c r="S151" s="4" t="n"/>
    </row>
    <row r="152" ht="15" customHeight="1" s="215">
      <c r="A152" s="26" t="n"/>
      <c r="B152" s="26" t="n"/>
      <c r="C152" s="26" t="n"/>
      <c r="D152" s="26" t="n"/>
      <c r="E152" s="26" t="n"/>
      <c r="F152" s="25" t="n"/>
      <c r="G152" s="25" t="n"/>
      <c r="H152" s="25" t="n"/>
      <c r="I152" s="25" t="n"/>
      <c r="J152" s="25" t="n"/>
      <c r="K152" s="25" t="n"/>
      <c r="L152" s="25" t="n"/>
      <c r="M152" s="25" t="n"/>
      <c r="N152" s="25" t="n"/>
      <c r="O152" s="4" t="n"/>
      <c r="P152" s="4" t="n"/>
      <c r="Q152" s="4" t="n"/>
      <c r="R152" s="4" t="n"/>
      <c r="S152" s="4" t="n"/>
    </row>
    <row r="153" ht="15" customHeight="1" s="215">
      <c r="A153" s="26" t="n"/>
      <c r="B153" s="26" t="n"/>
      <c r="C153" s="26" t="n"/>
      <c r="D153" s="26" t="n"/>
      <c r="E153" s="26" t="n"/>
      <c r="F153" s="25" t="n"/>
      <c r="G153" s="25" t="n"/>
      <c r="H153" s="25" t="n"/>
      <c r="I153" s="25" t="n"/>
      <c r="J153" s="25" t="n"/>
      <c r="K153" s="25" t="n"/>
      <c r="L153" s="25" t="n"/>
      <c r="M153" s="25" t="n"/>
      <c r="N153" s="25" t="n"/>
      <c r="O153" s="4" t="n"/>
      <c r="P153" s="4" t="n"/>
      <c r="Q153" s="4" t="n"/>
      <c r="R153" s="4" t="n"/>
      <c r="S153" s="4" t="n"/>
    </row>
    <row r="154" ht="15" customHeight="1" s="215">
      <c r="A154" s="26" t="n"/>
      <c r="B154" s="26" t="n"/>
      <c r="C154" s="26" t="n"/>
      <c r="D154" s="26" t="n"/>
      <c r="E154" s="26" t="n"/>
      <c r="F154" s="25" t="n"/>
      <c r="G154" s="25" t="n"/>
      <c r="H154" s="25" t="n"/>
      <c r="I154" s="25" t="n"/>
      <c r="J154" s="25" t="n"/>
      <c r="K154" s="25" t="n"/>
      <c r="L154" s="25" t="n"/>
      <c r="M154" s="25" t="n"/>
      <c r="N154" s="25" t="n"/>
      <c r="O154" s="4" t="n"/>
      <c r="P154" s="4" t="n"/>
      <c r="Q154" s="4" t="n"/>
      <c r="R154" s="4" t="n"/>
      <c r="S154" s="4" t="n"/>
    </row>
    <row r="155" ht="15" customHeight="1" s="215">
      <c r="A155" s="26" t="n"/>
      <c r="B155" s="26" t="n"/>
      <c r="C155" s="26" t="n"/>
      <c r="D155" s="26" t="n"/>
      <c r="E155" s="26" t="n"/>
      <c r="F155" s="25" t="n"/>
      <c r="G155" s="25" t="n"/>
      <c r="H155" s="25" t="n"/>
      <c r="I155" s="25" t="n"/>
      <c r="J155" s="25" t="n"/>
      <c r="K155" s="25" t="n"/>
      <c r="L155" s="25" t="n"/>
      <c r="M155" s="25" t="n"/>
      <c r="N155" s="25" t="n"/>
      <c r="O155" s="4" t="n"/>
      <c r="P155" s="4" t="n"/>
      <c r="Q155" s="4" t="n"/>
      <c r="R155" s="4" t="n"/>
      <c r="S155" s="4" t="n"/>
    </row>
    <row r="156" ht="15" customHeight="1" s="215">
      <c r="A156" s="26" t="n"/>
      <c r="B156" s="26" t="n"/>
      <c r="C156" s="26" t="n"/>
      <c r="D156" s="26" t="n"/>
      <c r="E156" s="26" t="n"/>
      <c r="F156" s="25" t="n"/>
      <c r="G156" s="25" t="n"/>
      <c r="H156" s="25" t="n"/>
      <c r="I156" s="25" t="n"/>
      <c r="J156" s="25" t="n"/>
      <c r="K156" s="25" t="n"/>
      <c r="L156" s="25" t="n"/>
      <c r="M156" s="25" t="n"/>
      <c r="N156" s="25" t="n"/>
      <c r="O156" s="4" t="n"/>
      <c r="P156" s="4" t="n"/>
      <c r="Q156" s="4" t="n"/>
      <c r="R156" s="4" t="n"/>
      <c r="S156" s="4" t="n"/>
    </row>
    <row r="157" ht="15" customHeight="1" s="215">
      <c r="A157" s="26" t="n"/>
      <c r="B157" s="26" t="n"/>
      <c r="C157" s="26" t="n"/>
      <c r="D157" s="26" t="n"/>
      <c r="E157" s="26" t="n"/>
      <c r="F157" s="25" t="n"/>
      <c r="G157" s="25" t="n"/>
      <c r="H157" s="25" t="n"/>
      <c r="I157" s="25" t="n"/>
      <c r="J157" s="25" t="n"/>
      <c r="K157" s="25" t="n"/>
      <c r="L157" s="25" t="n"/>
      <c r="M157" s="25" t="n"/>
      <c r="N157" s="25" t="n"/>
      <c r="O157" s="4" t="n"/>
      <c r="P157" s="4" t="n"/>
      <c r="Q157" s="4" t="n"/>
      <c r="R157" s="4" t="n"/>
      <c r="S157" s="4" t="n"/>
    </row>
    <row r="158" ht="15" customHeight="1" s="215">
      <c r="A158" s="26" t="n"/>
      <c r="B158" s="26" t="n"/>
      <c r="C158" s="26" t="n"/>
      <c r="D158" s="26" t="n"/>
      <c r="E158" s="26" t="n"/>
      <c r="F158" s="25" t="n"/>
      <c r="G158" s="25" t="n"/>
      <c r="H158" s="25" t="n"/>
      <c r="I158" s="25" t="n"/>
      <c r="J158" s="25" t="n"/>
      <c r="K158" s="25" t="n"/>
      <c r="L158" s="25" t="n"/>
      <c r="M158" s="25" t="n"/>
      <c r="N158" s="25" t="n"/>
      <c r="O158" s="4" t="n"/>
      <c r="P158" s="4" t="n"/>
      <c r="Q158" s="4" t="n"/>
      <c r="R158" s="4" t="n"/>
      <c r="S158" s="4" t="n"/>
    </row>
    <row r="159" ht="15" customHeight="1" s="215">
      <c r="A159" s="26" t="n"/>
      <c r="B159" s="26" t="n"/>
      <c r="C159" s="26" t="n"/>
      <c r="D159" s="26" t="n"/>
      <c r="E159" s="26" t="n"/>
      <c r="F159" s="25" t="n"/>
      <c r="G159" s="25" t="n"/>
      <c r="H159" s="25" t="n"/>
      <c r="I159" s="25" t="n"/>
      <c r="J159" s="25" t="n"/>
      <c r="K159" s="25" t="n"/>
      <c r="L159" s="25" t="n"/>
      <c r="M159" s="25" t="n"/>
      <c r="N159" s="25" t="n"/>
      <c r="O159" s="4" t="n"/>
      <c r="P159" s="4" t="n"/>
      <c r="Q159" s="4" t="n"/>
      <c r="R159" s="4" t="n"/>
      <c r="S159" s="4" t="n"/>
    </row>
    <row r="160" ht="15" customHeight="1" s="215">
      <c r="A160" s="26" t="n"/>
      <c r="B160" s="26" t="n"/>
      <c r="C160" s="26" t="n"/>
      <c r="D160" s="26" t="n"/>
      <c r="E160" s="26" t="n"/>
      <c r="F160" s="25" t="n"/>
      <c r="G160" s="25" t="n"/>
      <c r="H160" s="25" t="n"/>
      <c r="I160" s="25" t="n"/>
      <c r="J160" s="25" t="n"/>
      <c r="K160" s="25" t="n"/>
      <c r="L160" s="25" t="n"/>
      <c r="M160" s="25" t="n"/>
      <c r="N160" s="25" t="n"/>
      <c r="O160" s="4" t="n"/>
      <c r="P160" s="4" t="n"/>
      <c r="Q160" s="4" t="n"/>
      <c r="R160" s="4" t="n"/>
      <c r="S160" s="4" t="n"/>
    </row>
    <row r="161" ht="15" customHeight="1" s="215">
      <c r="A161" s="26" t="n"/>
      <c r="B161" s="26" t="n"/>
      <c r="C161" s="26" t="n"/>
      <c r="D161" s="26" t="n"/>
      <c r="E161" s="26" t="n"/>
      <c r="F161" s="25" t="n"/>
      <c r="G161" s="25" t="n"/>
      <c r="H161" s="25" t="n"/>
      <c r="I161" s="25" t="n"/>
      <c r="J161" s="25" t="n"/>
      <c r="K161" s="25" t="n"/>
      <c r="L161" s="25" t="n"/>
      <c r="M161" s="25" t="n"/>
      <c r="N161" s="25" t="n"/>
      <c r="O161" s="4" t="n"/>
      <c r="P161" s="4" t="n"/>
      <c r="Q161" s="4" t="n"/>
      <c r="R161" s="4" t="n"/>
      <c r="S161" s="4" t="n"/>
    </row>
    <row r="162" ht="15" customHeight="1" s="215">
      <c r="A162" s="26" t="n"/>
      <c r="B162" s="26" t="n"/>
      <c r="C162" s="26" t="n"/>
      <c r="D162" s="26" t="n"/>
      <c r="E162" s="26" t="n"/>
      <c r="F162" s="25" t="n"/>
      <c r="G162" s="25" t="n"/>
      <c r="H162" s="25" t="n"/>
      <c r="I162" s="25" t="n"/>
      <c r="J162" s="25" t="n"/>
      <c r="K162" s="25" t="n"/>
      <c r="L162" s="25" t="n"/>
      <c r="M162" s="25" t="n"/>
      <c r="N162" s="25" t="n"/>
      <c r="O162" s="4" t="n"/>
      <c r="P162" s="4" t="n"/>
      <c r="Q162" s="4" t="n"/>
      <c r="R162" s="4" t="n"/>
      <c r="S162" s="4" t="n"/>
    </row>
    <row r="163" ht="15" customHeight="1" s="215">
      <c r="A163" s="26" t="n"/>
      <c r="B163" s="26" t="n"/>
      <c r="C163" s="26" t="n"/>
      <c r="D163" s="26" t="n"/>
      <c r="E163" s="26" t="n"/>
      <c r="F163" s="25" t="n"/>
      <c r="G163" s="25" t="n"/>
      <c r="H163" s="25" t="n"/>
      <c r="I163" s="25" t="n"/>
      <c r="J163" s="25" t="n"/>
      <c r="K163" s="25" t="n"/>
      <c r="L163" s="25" t="n"/>
      <c r="M163" s="25" t="n"/>
      <c r="N163" s="25" t="n"/>
      <c r="O163" s="4" t="n"/>
      <c r="P163" s="4" t="n"/>
      <c r="Q163" s="4" t="n"/>
      <c r="R163" s="4" t="n"/>
      <c r="S163" s="4" t="n"/>
    </row>
    <row r="164" ht="15" customHeight="1" s="215">
      <c r="A164" s="26" t="n"/>
      <c r="B164" s="26" t="n"/>
      <c r="C164" s="26" t="n"/>
      <c r="D164" s="26" t="n"/>
      <c r="E164" s="26" t="n"/>
      <c r="F164" s="25" t="n"/>
      <c r="G164" s="25" t="n"/>
      <c r="H164" s="25" t="n"/>
      <c r="I164" s="25" t="n"/>
      <c r="J164" s="25" t="n"/>
      <c r="K164" s="25" t="n"/>
      <c r="L164" s="25" t="n"/>
      <c r="M164" s="25" t="n"/>
      <c r="N164" s="25" t="n"/>
      <c r="O164" s="4" t="n"/>
      <c r="P164" s="4" t="n"/>
      <c r="Q164" s="4" t="n"/>
      <c r="R164" s="4" t="n"/>
      <c r="S164" s="4" t="n"/>
    </row>
    <row r="165" ht="15" customHeight="1" s="215">
      <c r="A165" s="26" t="n"/>
      <c r="B165" s="26" t="n"/>
      <c r="C165" s="26" t="n"/>
      <c r="D165" s="26" t="n"/>
      <c r="E165" s="26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4" t="n"/>
      <c r="P165" s="4" t="n"/>
      <c r="Q165" s="4" t="n"/>
      <c r="R165" s="4" t="n"/>
      <c r="S165" s="4" t="n"/>
    </row>
    <row r="166" ht="15" customHeight="1" s="215">
      <c r="A166" s="26" t="n"/>
      <c r="B166" s="26" t="n"/>
      <c r="C166" s="26" t="n"/>
      <c r="D166" s="26" t="n"/>
      <c r="E166" s="26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4" t="n"/>
      <c r="P166" s="4" t="n"/>
      <c r="Q166" s="4" t="n"/>
      <c r="R166" s="4" t="n"/>
      <c r="S166" s="4" t="n"/>
    </row>
    <row r="167" ht="15" customHeight="1" s="215">
      <c r="A167" s="26" t="n"/>
      <c r="B167" s="26" t="n"/>
      <c r="C167" s="26" t="n"/>
      <c r="D167" s="26" t="n"/>
      <c r="E167" s="26" t="n"/>
      <c r="F167" s="25" t="n"/>
      <c r="G167" s="25" t="n"/>
      <c r="H167" s="25" t="n"/>
      <c r="I167" s="25" t="n"/>
      <c r="J167" s="25" t="n"/>
      <c r="K167" s="25" t="n"/>
      <c r="L167" s="25" t="n"/>
      <c r="M167" s="25" t="n"/>
      <c r="N167" s="25" t="n"/>
      <c r="O167" s="4" t="n"/>
      <c r="P167" s="4" t="n"/>
      <c r="Q167" s="4" t="n"/>
      <c r="R167" s="4" t="n"/>
      <c r="S167" s="4" t="n"/>
    </row>
    <row r="168" ht="15" customHeight="1" s="215">
      <c r="A168" s="26" t="n"/>
      <c r="B168" s="26" t="n"/>
      <c r="C168" s="26" t="n"/>
      <c r="D168" s="26" t="n"/>
      <c r="E168" s="26" t="n"/>
      <c r="F168" s="25" t="n"/>
      <c r="G168" s="25" t="n"/>
      <c r="H168" s="25" t="n"/>
      <c r="I168" s="25" t="n"/>
      <c r="J168" s="25" t="n"/>
      <c r="K168" s="25" t="n"/>
      <c r="L168" s="25" t="n"/>
      <c r="M168" s="25" t="n"/>
      <c r="N168" s="25" t="n"/>
      <c r="O168" s="4" t="n"/>
      <c r="P168" s="4" t="n"/>
      <c r="Q168" s="4" t="n"/>
      <c r="R168" s="4" t="n"/>
      <c r="S168" s="4" t="n"/>
    </row>
    <row r="169" ht="15" customHeight="1" s="215">
      <c r="A169" s="26" t="n"/>
      <c r="B169" s="26" t="n"/>
      <c r="C169" s="26" t="n"/>
      <c r="D169" s="26" t="n"/>
      <c r="E169" s="26" t="n"/>
      <c r="F169" s="25" t="n"/>
      <c r="G169" s="25" t="n"/>
      <c r="H169" s="25" t="n"/>
      <c r="I169" s="25" t="n"/>
      <c r="J169" s="25" t="n"/>
      <c r="K169" s="25" t="n"/>
      <c r="L169" s="25" t="n"/>
      <c r="M169" s="25" t="n"/>
      <c r="N169" s="25" t="n"/>
      <c r="O169" s="4" t="n"/>
      <c r="P169" s="4" t="n"/>
      <c r="Q169" s="4" t="n"/>
      <c r="R169" s="4" t="n"/>
      <c r="S169" s="4" t="n"/>
    </row>
    <row r="170" ht="15" customHeight="1" s="215">
      <c r="A170" s="26" t="n"/>
      <c r="B170" s="26" t="n"/>
      <c r="C170" s="26" t="n"/>
      <c r="D170" s="26" t="n"/>
      <c r="E170" s="26" t="n"/>
      <c r="F170" s="25" t="n"/>
      <c r="G170" s="25" t="n"/>
      <c r="H170" s="25" t="n"/>
      <c r="I170" s="25" t="n"/>
      <c r="J170" s="25" t="n"/>
      <c r="K170" s="25" t="n"/>
      <c r="L170" s="25" t="n"/>
      <c r="M170" s="25" t="n"/>
      <c r="N170" s="25" t="n"/>
      <c r="O170" s="4" t="n"/>
      <c r="P170" s="4" t="n"/>
      <c r="Q170" s="4" t="n"/>
      <c r="R170" s="4" t="n"/>
      <c r="S170" s="4" t="n"/>
    </row>
    <row r="171" ht="15" customHeight="1" s="215">
      <c r="A171" s="26" t="n"/>
      <c r="B171" s="26" t="n"/>
      <c r="C171" s="26" t="n"/>
      <c r="D171" s="26" t="n"/>
      <c r="E171" s="26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4" t="n"/>
      <c r="P171" s="4" t="n"/>
      <c r="Q171" s="4" t="n"/>
      <c r="R171" s="4" t="n"/>
      <c r="S171" s="4" t="n"/>
    </row>
    <row r="172" ht="15" customHeight="1" s="215">
      <c r="A172" s="26" t="n"/>
      <c r="B172" s="26" t="n"/>
      <c r="C172" s="26" t="n"/>
      <c r="D172" s="26" t="n"/>
      <c r="E172" s="26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4" t="n"/>
      <c r="P172" s="4" t="n"/>
      <c r="Q172" s="4" t="n"/>
      <c r="R172" s="4" t="n"/>
      <c r="S172" s="4" t="n"/>
    </row>
    <row r="173" ht="15" customHeight="1" s="215">
      <c r="A173" s="26" t="n"/>
      <c r="B173" s="26" t="n"/>
      <c r="C173" s="26" t="n"/>
      <c r="D173" s="26" t="n"/>
      <c r="E173" s="26" t="n"/>
      <c r="F173" s="25" t="n"/>
      <c r="G173" s="25" t="n"/>
      <c r="H173" s="25" t="n"/>
      <c r="I173" s="25" t="n"/>
      <c r="J173" s="25" t="n"/>
      <c r="K173" s="25" t="n"/>
      <c r="L173" s="25" t="n"/>
      <c r="M173" s="25" t="n"/>
      <c r="N173" s="25" t="n"/>
      <c r="O173" s="4" t="n"/>
      <c r="P173" s="4" t="n"/>
      <c r="Q173" s="4" t="n"/>
      <c r="R173" s="4" t="n"/>
      <c r="S173" s="4" t="n"/>
    </row>
    <row r="174" ht="15" customHeight="1" s="215">
      <c r="A174" s="26" t="n"/>
      <c r="B174" s="26" t="n"/>
      <c r="C174" s="26" t="n"/>
      <c r="D174" s="26" t="n"/>
      <c r="E174" s="26" t="n"/>
      <c r="F174" s="25" t="n"/>
      <c r="G174" s="25" t="n"/>
      <c r="H174" s="25" t="n"/>
      <c r="I174" s="25" t="n"/>
      <c r="J174" s="25" t="n"/>
      <c r="K174" s="25" t="n"/>
      <c r="L174" s="25" t="n"/>
      <c r="M174" s="25" t="n"/>
      <c r="N174" s="25" t="n"/>
      <c r="O174" s="4" t="n"/>
      <c r="P174" s="4" t="n"/>
      <c r="Q174" s="4" t="n"/>
      <c r="R174" s="4" t="n"/>
      <c r="S174" s="4" t="n"/>
    </row>
    <row r="175" ht="15" customHeight="1" s="215">
      <c r="A175" s="26" t="n"/>
      <c r="B175" s="26" t="n"/>
      <c r="C175" s="26" t="n"/>
      <c r="D175" s="26" t="n"/>
      <c r="E175" s="26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4" t="n"/>
      <c r="P175" s="4" t="n"/>
      <c r="Q175" s="4" t="n"/>
      <c r="R175" s="4" t="n"/>
      <c r="S175" s="4" t="n"/>
    </row>
    <row r="176" ht="15" customHeight="1" s="215">
      <c r="A176" s="26" t="n"/>
      <c r="B176" s="26" t="n"/>
      <c r="C176" s="26" t="n"/>
      <c r="D176" s="26" t="n"/>
      <c r="E176" s="26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4" t="n"/>
      <c r="P176" s="4" t="n"/>
      <c r="Q176" s="4" t="n"/>
      <c r="R176" s="4" t="n"/>
      <c r="S176" s="4" t="n"/>
    </row>
    <row r="177" ht="15" customHeight="1" s="215">
      <c r="A177" s="26" t="n"/>
      <c r="B177" s="26" t="n"/>
      <c r="C177" s="26" t="n"/>
      <c r="D177" s="26" t="n"/>
      <c r="E177" s="26" t="n"/>
      <c r="F177" s="25" t="n"/>
      <c r="G177" s="25" t="n"/>
      <c r="H177" s="25" t="n"/>
      <c r="I177" s="25" t="n"/>
      <c r="J177" s="25" t="n"/>
      <c r="K177" s="25" t="n"/>
      <c r="L177" s="25" t="n"/>
      <c r="M177" s="25" t="n"/>
      <c r="N177" s="25" t="n"/>
      <c r="O177" s="4" t="n"/>
      <c r="P177" s="4" t="n"/>
      <c r="Q177" s="4" t="n"/>
      <c r="R177" s="4" t="n"/>
      <c r="S177" s="4" t="n"/>
    </row>
    <row r="178" ht="15" customHeight="1" s="215">
      <c r="A178" s="26" t="n"/>
      <c r="B178" s="26" t="n"/>
      <c r="C178" s="26" t="n"/>
      <c r="D178" s="26" t="n"/>
      <c r="E178" s="26" t="n"/>
      <c r="F178" s="25" t="n"/>
      <c r="G178" s="25" t="n"/>
      <c r="H178" s="25" t="n"/>
      <c r="I178" s="25" t="n"/>
      <c r="J178" s="25" t="n"/>
      <c r="K178" s="25" t="n"/>
      <c r="L178" s="25" t="n"/>
      <c r="M178" s="25" t="n"/>
      <c r="N178" s="25" t="n"/>
      <c r="O178" s="4" t="n"/>
      <c r="P178" s="4" t="n"/>
      <c r="Q178" s="4" t="n"/>
      <c r="R178" s="4" t="n"/>
      <c r="S178" s="4" t="n"/>
    </row>
    <row r="179" ht="15" customHeight="1" s="215">
      <c r="A179" s="26" t="n"/>
      <c r="B179" s="26" t="n"/>
      <c r="C179" s="26" t="n"/>
      <c r="D179" s="26" t="n"/>
      <c r="E179" s="26" t="n"/>
      <c r="F179" s="25" t="n"/>
      <c r="G179" s="25" t="n"/>
      <c r="H179" s="25" t="n"/>
      <c r="I179" s="25" t="n"/>
      <c r="J179" s="25" t="n"/>
      <c r="K179" s="25" t="n"/>
      <c r="L179" s="25" t="n"/>
      <c r="M179" s="25" t="n"/>
      <c r="N179" s="25" t="n"/>
      <c r="O179" s="4" t="n"/>
      <c r="P179" s="4" t="n"/>
      <c r="Q179" s="4" t="n"/>
      <c r="R179" s="4" t="n"/>
      <c r="S179" s="4" t="n"/>
    </row>
    <row r="180" ht="15" customHeight="1" s="215">
      <c r="A180" s="26" t="n"/>
      <c r="B180" s="26" t="n"/>
      <c r="C180" s="26" t="n"/>
      <c r="D180" s="26" t="n"/>
      <c r="E180" s="26" t="n"/>
      <c r="F180" s="25" t="n"/>
      <c r="G180" s="25" t="n"/>
      <c r="H180" s="25" t="n"/>
      <c r="I180" s="25" t="n"/>
      <c r="J180" s="25" t="n"/>
      <c r="K180" s="25" t="n"/>
      <c r="L180" s="25" t="n"/>
      <c r="M180" s="25" t="n"/>
      <c r="N180" s="25" t="n"/>
      <c r="O180" s="4" t="n"/>
      <c r="P180" s="4" t="n"/>
      <c r="Q180" s="4" t="n"/>
      <c r="R180" s="4" t="n"/>
      <c r="S180" s="4" t="n"/>
    </row>
    <row r="181" ht="15" customHeight="1" s="215">
      <c r="A181" s="26" t="n"/>
      <c r="B181" s="26" t="n"/>
      <c r="C181" s="26" t="n"/>
      <c r="D181" s="26" t="n"/>
      <c r="E181" s="26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4" t="n"/>
      <c r="P181" s="4" t="n"/>
      <c r="Q181" s="4" t="n"/>
      <c r="R181" s="4" t="n"/>
      <c r="S181" s="4" t="n"/>
    </row>
    <row r="182" ht="15" customHeight="1" s="215">
      <c r="A182" s="26" t="n"/>
      <c r="B182" s="26" t="n"/>
      <c r="C182" s="26" t="n"/>
      <c r="D182" s="26" t="n"/>
      <c r="E182" s="26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4" t="n"/>
      <c r="P182" s="4" t="n"/>
      <c r="Q182" s="4" t="n"/>
      <c r="R182" s="4" t="n"/>
      <c r="S182" s="4" t="n"/>
    </row>
    <row r="183" ht="15" customHeight="1" s="215">
      <c r="A183" s="26" t="n"/>
      <c r="B183" s="26" t="n"/>
      <c r="C183" s="26" t="n"/>
      <c r="D183" s="26" t="n"/>
      <c r="E183" s="26" t="n"/>
      <c r="F183" s="25" t="n"/>
      <c r="G183" s="25" t="n"/>
      <c r="H183" s="25" t="n"/>
      <c r="I183" s="25" t="n"/>
      <c r="J183" s="25" t="n"/>
      <c r="K183" s="25" t="n"/>
      <c r="L183" s="25" t="n"/>
      <c r="M183" s="25" t="n"/>
      <c r="N183" s="25" t="n"/>
      <c r="O183" s="4" t="n"/>
      <c r="P183" s="4" t="n"/>
      <c r="Q183" s="4" t="n"/>
      <c r="R183" s="4" t="n"/>
      <c r="S183" s="4" t="n"/>
    </row>
    <row r="184" ht="15" customHeight="1" s="215">
      <c r="A184" s="26" t="n"/>
      <c r="B184" s="26" t="n"/>
      <c r="C184" s="26" t="n"/>
      <c r="D184" s="26" t="n"/>
      <c r="E184" s="26" t="n"/>
      <c r="F184" s="25" t="n"/>
      <c r="G184" s="25" t="n"/>
      <c r="H184" s="25" t="n"/>
      <c r="I184" s="25" t="n"/>
      <c r="J184" s="25" t="n"/>
      <c r="K184" s="25" t="n"/>
      <c r="L184" s="25" t="n"/>
      <c r="M184" s="25" t="n"/>
      <c r="N184" s="25" t="n"/>
      <c r="O184" s="4" t="n"/>
      <c r="P184" s="4" t="n"/>
      <c r="Q184" s="4" t="n"/>
      <c r="R184" s="4" t="n"/>
      <c r="S184" s="4" t="n"/>
    </row>
    <row r="185" ht="15" customHeight="1" s="215">
      <c r="A185" s="26" t="n"/>
      <c r="B185" s="26" t="n"/>
      <c r="C185" s="26" t="n"/>
      <c r="D185" s="26" t="n"/>
      <c r="E185" s="26" t="n"/>
      <c r="F185" s="25" t="n"/>
      <c r="G185" s="25" t="n"/>
      <c r="H185" s="25" t="n"/>
      <c r="I185" s="25" t="n"/>
      <c r="J185" s="25" t="n"/>
      <c r="K185" s="25" t="n"/>
      <c r="L185" s="25" t="n"/>
      <c r="M185" s="25" t="n"/>
      <c r="N185" s="25" t="n"/>
      <c r="O185" s="4" t="n"/>
      <c r="P185" s="4" t="n"/>
      <c r="Q185" s="4" t="n"/>
      <c r="R185" s="4" t="n"/>
      <c r="S185" s="4" t="n"/>
    </row>
    <row r="186" ht="15" customHeight="1" s="215">
      <c r="A186" s="26" t="n"/>
      <c r="B186" s="26" t="n"/>
      <c r="C186" s="26" t="n"/>
      <c r="D186" s="26" t="n"/>
      <c r="E186" s="26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4" t="n"/>
      <c r="P186" s="4" t="n"/>
      <c r="Q186" s="4" t="n"/>
      <c r="R186" s="4" t="n"/>
      <c r="S186" s="4" t="n"/>
    </row>
    <row r="187" ht="15" customHeight="1" s="215">
      <c r="A187" s="26" t="n"/>
      <c r="B187" s="26" t="n"/>
      <c r="C187" s="26" t="n"/>
      <c r="D187" s="26" t="n"/>
      <c r="E187" s="26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4" t="n"/>
      <c r="P187" s="4" t="n"/>
      <c r="Q187" s="4" t="n"/>
      <c r="R187" s="4" t="n"/>
      <c r="S187" s="4" t="n"/>
    </row>
    <row r="188" ht="15" customHeight="1" s="215">
      <c r="A188" s="26" t="n"/>
      <c r="B188" s="26" t="n"/>
      <c r="C188" s="26" t="n"/>
      <c r="D188" s="26" t="n"/>
      <c r="E188" s="26" t="n"/>
      <c r="F188" s="25" t="n"/>
      <c r="G188" s="25" t="n"/>
      <c r="H188" s="25" t="n"/>
      <c r="I188" s="25" t="n"/>
      <c r="J188" s="25" t="n"/>
      <c r="K188" s="25" t="n"/>
      <c r="L188" s="25" t="n"/>
      <c r="M188" s="25" t="n"/>
      <c r="N188" s="25" t="n"/>
      <c r="O188" s="4" t="n"/>
      <c r="P188" s="4" t="n"/>
      <c r="Q188" s="4" t="n"/>
      <c r="R188" s="4" t="n"/>
      <c r="S188" s="4" t="n"/>
    </row>
    <row r="189" ht="15" customHeight="1" s="215">
      <c r="A189" s="26" t="n"/>
      <c r="B189" s="26" t="n"/>
      <c r="C189" s="26" t="n"/>
      <c r="D189" s="26" t="n"/>
      <c r="E189" s="26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4" t="n"/>
      <c r="P189" s="4" t="n"/>
      <c r="Q189" s="4" t="n"/>
      <c r="R189" s="4" t="n"/>
      <c r="S189" s="4" t="n"/>
    </row>
    <row r="190" ht="15" customHeight="1" s="215">
      <c r="A190" s="26" t="n"/>
      <c r="B190" s="26" t="n"/>
      <c r="C190" s="26" t="n"/>
      <c r="D190" s="26" t="n"/>
      <c r="E190" s="26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4" t="n"/>
      <c r="P190" s="4" t="n"/>
      <c r="Q190" s="4" t="n"/>
      <c r="R190" s="4" t="n"/>
      <c r="S190" s="4" t="n"/>
    </row>
    <row r="191" ht="15" customHeight="1" s="215">
      <c r="A191" s="26" t="n"/>
      <c r="B191" s="26" t="n"/>
      <c r="C191" s="26" t="n"/>
      <c r="D191" s="26" t="n"/>
      <c r="E191" s="26" t="n"/>
      <c r="F191" s="25" t="n"/>
      <c r="G191" s="25" t="n"/>
      <c r="H191" s="25" t="n"/>
      <c r="I191" s="25" t="n"/>
      <c r="J191" s="25" t="n"/>
      <c r="K191" s="25" t="n"/>
      <c r="L191" s="25" t="n"/>
      <c r="M191" s="25" t="n"/>
      <c r="N191" s="25" t="n"/>
      <c r="O191" s="4" t="n"/>
      <c r="P191" s="4" t="n"/>
      <c r="Q191" s="4" t="n"/>
      <c r="R191" s="4" t="n"/>
      <c r="S191" s="4" t="n"/>
    </row>
    <row r="192" ht="15" customHeight="1" s="215">
      <c r="A192" s="26" t="n"/>
      <c r="B192" s="26" t="n"/>
      <c r="C192" s="26" t="n"/>
      <c r="D192" s="26" t="n"/>
      <c r="E192" s="26" t="n"/>
      <c r="F192" s="25" t="n"/>
      <c r="G192" s="25" t="n"/>
      <c r="H192" s="25" t="n"/>
      <c r="I192" s="25" t="n"/>
      <c r="J192" s="25" t="n"/>
      <c r="K192" s="25" t="n"/>
      <c r="L192" s="25" t="n"/>
      <c r="M192" s="25" t="n"/>
      <c r="N192" s="25" t="n"/>
      <c r="O192" s="4" t="n"/>
      <c r="P192" s="4" t="n"/>
      <c r="Q192" s="4" t="n"/>
      <c r="R192" s="4" t="n"/>
      <c r="S192" s="4" t="n"/>
    </row>
    <row r="193" ht="15" customHeight="1" s="215">
      <c r="A193" s="26" t="n"/>
      <c r="B193" s="26" t="n"/>
      <c r="C193" s="26" t="n"/>
      <c r="D193" s="26" t="n"/>
      <c r="E193" s="26" t="n"/>
      <c r="F193" s="25" t="n"/>
      <c r="G193" s="25" t="n"/>
      <c r="H193" s="25" t="n"/>
      <c r="I193" s="25" t="n"/>
      <c r="J193" s="25" t="n"/>
      <c r="K193" s="25" t="n"/>
      <c r="L193" s="25" t="n"/>
      <c r="M193" s="25" t="n"/>
      <c r="N193" s="25" t="n"/>
      <c r="O193" s="4" t="n"/>
      <c r="P193" s="4" t="n"/>
      <c r="Q193" s="4" t="n"/>
      <c r="R193" s="4" t="n"/>
      <c r="S193" s="4" t="n"/>
    </row>
    <row r="194" ht="15" customHeight="1" s="215">
      <c r="A194" s="26" t="n"/>
      <c r="B194" s="26" t="n"/>
      <c r="C194" s="26" t="n"/>
      <c r="D194" s="26" t="n"/>
      <c r="E194" s="26" t="n"/>
      <c r="F194" s="25" t="n"/>
      <c r="G194" s="25" t="n"/>
      <c r="H194" s="25" t="n"/>
      <c r="I194" s="25" t="n"/>
      <c r="J194" s="25" t="n"/>
      <c r="K194" s="25" t="n"/>
      <c r="L194" s="25" t="n"/>
      <c r="M194" s="25" t="n"/>
      <c r="N194" s="25" t="n"/>
      <c r="O194" s="4" t="n"/>
      <c r="P194" s="4" t="n"/>
      <c r="Q194" s="4" t="n"/>
      <c r="R194" s="4" t="n"/>
      <c r="S194" s="4" t="n"/>
    </row>
    <row r="195" ht="15" customHeight="1" s="215">
      <c r="A195" s="26" t="n"/>
      <c r="B195" s="26" t="n"/>
      <c r="C195" s="26" t="n"/>
      <c r="D195" s="26" t="n"/>
      <c r="E195" s="26" t="n"/>
      <c r="F195" s="25" t="n"/>
      <c r="G195" s="25" t="n"/>
      <c r="H195" s="25" t="n"/>
      <c r="I195" s="25" t="n"/>
      <c r="J195" s="25" t="n"/>
      <c r="K195" s="25" t="n"/>
      <c r="L195" s="25" t="n"/>
      <c r="M195" s="25" t="n"/>
      <c r="N195" s="25" t="n"/>
      <c r="O195" s="4" t="n"/>
      <c r="P195" s="4" t="n"/>
      <c r="Q195" s="4" t="n"/>
      <c r="R195" s="4" t="n"/>
      <c r="S195" s="4" t="n"/>
    </row>
    <row r="196" ht="15" customHeight="1" s="215">
      <c r="A196" s="26" t="n"/>
      <c r="B196" s="26" t="n"/>
      <c r="C196" s="26" t="n"/>
      <c r="D196" s="26" t="n"/>
      <c r="E196" s="26" t="n"/>
      <c r="F196" s="25" t="n"/>
      <c r="G196" s="25" t="n"/>
      <c r="H196" s="25" t="n"/>
      <c r="I196" s="25" t="n"/>
      <c r="J196" s="25" t="n"/>
      <c r="K196" s="25" t="n"/>
      <c r="L196" s="25" t="n"/>
      <c r="M196" s="25" t="n"/>
      <c r="N196" s="25" t="n"/>
      <c r="O196" s="4" t="n"/>
      <c r="P196" s="4" t="n"/>
      <c r="Q196" s="4" t="n"/>
      <c r="R196" s="4" t="n"/>
      <c r="S196" s="4" t="n"/>
    </row>
    <row r="197" ht="15" customHeight="1" s="215">
      <c r="A197" s="26" t="n"/>
      <c r="B197" s="26" t="n"/>
      <c r="C197" s="26" t="n"/>
      <c r="D197" s="26" t="n"/>
      <c r="E197" s="26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4" t="n"/>
      <c r="P197" s="4" t="n"/>
      <c r="Q197" s="4" t="n"/>
      <c r="R197" s="4" t="n"/>
      <c r="S197" s="4" t="n"/>
    </row>
    <row r="198" ht="15" customHeight="1" s="215">
      <c r="A198" s="26" t="n"/>
      <c r="B198" s="26" t="n"/>
      <c r="C198" s="26" t="n"/>
      <c r="D198" s="26" t="n"/>
      <c r="E198" s="26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4" t="n"/>
      <c r="P198" s="4" t="n"/>
      <c r="Q198" s="4" t="n"/>
      <c r="R198" s="4" t="n"/>
      <c r="S198" s="4" t="n"/>
    </row>
    <row r="199" ht="15" customHeight="1" s="215">
      <c r="A199" s="26" t="n"/>
      <c r="B199" s="26" t="n"/>
      <c r="C199" s="26" t="n"/>
      <c r="D199" s="26" t="n"/>
      <c r="E199" s="26" t="n"/>
      <c r="F199" s="25" t="n"/>
      <c r="G199" s="25" t="n"/>
      <c r="H199" s="25" t="n"/>
      <c r="I199" s="25" t="n"/>
      <c r="J199" s="25" t="n"/>
      <c r="K199" s="25" t="n"/>
      <c r="L199" s="25" t="n"/>
      <c r="M199" s="25" t="n"/>
      <c r="N199" s="25" t="n"/>
      <c r="O199" s="4" t="n"/>
      <c r="P199" s="4" t="n"/>
      <c r="Q199" s="4" t="n"/>
      <c r="R199" s="4" t="n"/>
      <c r="S199" s="4" t="n"/>
    </row>
    <row r="200" ht="15" customHeight="1" s="215">
      <c r="A200" s="26" t="n"/>
      <c r="B200" s="26" t="n"/>
      <c r="C200" s="26" t="n"/>
      <c r="D200" s="26" t="n"/>
      <c r="E200" s="26" t="n"/>
      <c r="F200" s="25" t="n"/>
      <c r="G200" s="25" t="n"/>
      <c r="H200" s="25" t="n"/>
      <c r="I200" s="25" t="n"/>
      <c r="J200" s="25" t="n"/>
      <c r="K200" s="25" t="n"/>
      <c r="L200" s="25" t="n"/>
      <c r="M200" s="25" t="n"/>
      <c r="N200" s="25" t="n"/>
      <c r="O200" s="4" t="n"/>
      <c r="P200" s="4" t="n"/>
      <c r="Q200" s="4" t="n"/>
      <c r="R200" s="4" t="n"/>
      <c r="S200" s="4" t="n"/>
    </row>
    <row r="201" ht="15" customHeight="1" s="215">
      <c r="A201" s="26" t="n"/>
      <c r="B201" s="26" t="n"/>
      <c r="C201" s="26" t="n"/>
      <c r="D201" s="26" t="n"/>
      <c r="E201" s="26" t="n"/>
      <c r="F201" s="25" t="n"/>
      <c r="G201" s="25" t="n"/>
      <c r="H201" s="25" t="n"/>
      <c r="I201" s="25" t="n"/>
      <c r="J201" s="25" t="n"/>
      <c r="K201" s="25" t="n"/>
      <c r="L201" s="25" t="n"/>
      <c r="M201" s="25" t="n"/>
      <c r="N201" s="25" t="n"/>
      <c r="O201" s="4" t="n"/>
      <c r="P201" s="4" t="n"/>
      <c r="Q201" s="4" t="n"/>
      <c r="R201" s="4" t="n"/>
      <c r="S201" s="4" t="n"/>
    </row>
    <row r="202" ht="15" customHeight="1" s="215">
      <c r="A202" s="26" t="n"/>
      <c r="B202" s="26" t="n"/>
      <c r="C202" s="26" t="n"/>
      <c r="D202" s="26" t="n"/>
      <c r="E202" s="26" t="n"/>
      <c r="F202" s="25" t="n"/>
      <c r="G202" s="25" t="n"/>
      <c r="H202" s="25" t="n"/>
      <c r="I202" s="25" t="n"/>
      <c r="J202" s="25" t="n"/>
      <c r="K202" s="25" t="n"/>
      <c r="L202" s="25" t="n"/>
      <c r="M202" s="25" t="n"/>
      <c r="N202" s="25" t="n"/>
      <c r="O202" s="4" t="n"/>
      <c r="P202" s="4" t="n"/>
      <c r="Q202" s="4" t="n"/>
      <c r="R202" s="4" t="n"/>
      <c r="S202" s="4" t="n"/>
    </row>
    <row r="203" ht="15" customHeight="1" s="215">
      <c r="A203" s="26" t="n"/>
      <c r="B203" s="26" t="n"/>
      <c r="C203" s="26" t="n"/>
      <c r="D203" s="26" t="n"/>
      <c r="E203" s="26" t="n"/>
      <c r="F203" s="25" t="n"/>
      <c r="G203" s="25" t="n"/>
      <c r="H203" s="25" t="n"/>
      <c r="I203" s="25" t="n"/>
      <c r="J203" s="25" t="n"/>
      <c r="K203" s="25" t="n"/>
      <c r="L203" s="25" t="n"/>
      <c r="M203" s="25" t="n"/>
      <c r="N203" s="25" t="n"/>
      <c r="O203" s="4" t="n"/>
      <c r="P203" s="4" t="n"/>
      <c r="Q203" s="4" t="n"/>
      <c r="R203" s="4" t="n"/>
      <c r="S203" s="4" t="n"/>
    </row>
    <row r="204" ht="15" customHeight="1" s="215">
      <c r="A204" s="26" t="n"/>
      <c r="B204" s="26" t="n"/>
      <c r="C204" s="26" t="n"/>
      <c r="D204" s="26" t="n"/>
      <c r="E204" s="26" t="n"/>
      <c r="F204" s="25" t="n"/>
      <c r="G204" s="25" t="n"/>
      <c r="H204" s="25" t="n"/>
      <c r="I204" s="25" t="n"/>
      <c r="J204" s="25" t="n"/>
      <c r="K204" s="25" t="n"/>
      <c r="L204" s="25" t="n"/>
      <c r="M204" s="25" t="n"/>
      <c r="N204" s="25" t="n"/>
      <c r="O204" s="4" t="n"/>
      <c r="P204" s="4" t="n"/>
      <c r="Q204" s="4" t="n"/>
      <c r="R204" s="4" t="n"/>
      <c r="S204" s="4" t="n"/>
    </row>
    <row r="205" ht="15" customHeight="1" s="215">
      <c r="A205" s="26" t="n"/>
      <c r="B205" s="26" t="n"/>
      <c r="C205" s="26" t="n"/>
      <c r="D205" s="26" t="n"/>
      <c r="E205" s="26" t="n"/>
      <c r="F205" s="25" t="n"/>
      <c r="G205" s="25" t="n"/>
      <c r="H205" s="25" t="n"/>
      <c r="I205" s="25" t="n"/>
      <c r="J205" s="25" t="n"/>
      <c r="K205" s="25" t="n"/>
      <c r="L205" s="25" t="n"/>
      <c r="M205" s="25" t="n"/>
      <c r="N205" s="25" t="n"/>
      <c r="O205" s="4" t="n"/>
      <c r="P205" s="4" t="n"/>
      <c r="Q205" s="4" t="n"/>
      <c r="R205" s="4" t="n"/>
      <c r="S205" s="4" t="n"/>
    </row>
    <row r="206" ht="15" customHeight="1" s="215">
      <c r="A206" s="26" t="n"/>
      <c r="B206" s="26" t="n"/>
      <c r="C206" s="26" t="n"/>
      <c r="D206" s="26" t="n"/>
      <c r="E206" s="26" t="n"/>
      <c r="F206" s="25" t="n"/>
      <c r="G206" s="25" t="n"/>
      <c r="H206" s="25" t="n"/>
      <c r="I206" s="25" t="n"/>
      <c r="J206" s="25" t="n"/>
      <c r="K206" s="25" t="n"/>
      <c r="L206" s="25" t="n"/>
      <c r="M206" s="25" t="n"/>
      <c r="N206" s="25" t="n"/>
      <c r="O206" s="4" t="n"/>
      <c r="P206" s="4" t="n"/>
      <c r="Q206" s="4" t="n"/>
      <c r="R206" s="4" t="n"/>
      <c r="S206" s="4" t="n"/>
    </row>
    <row r="207" ht="15" customHeight="1" s="215">
      <c r="A207" s="26" t="n"/>
      <c r="B207" s="26" t="n"/>
      <c r="C207" s="26" t="n"/>
      <c r="D207" s="26" t="n"/>
      <c r="E207" s="26" t="n"/>
      <c r="F207" s="25" t="n"/>
      <c r="G207" s="25" t="n"/>
      <c r="H207" s="25" t="n"/>
      <c r="I207" s="25" t="n"/>
      <c r="J207" s="25" t="n"/>
      <c r="K207" s="25" t="n"/>
      <c r="L207" s="25" t="n"/>
      <c r="M207" s="25" t="n"/>
      <c r="N207" s="25" t="n"/>
      <c r="O207" s="4" t="n"/>
      <c r="P207" s="4" t="n"/>
      <c r="Q207" s="4" t="n"/>
      <c r="R207" s="4" t="n"/>
      <c r="S207" s="4" t="n"/>
    </row>
    <row r="208" ht="15" customHeight="1" s="215">
      <c r="A208" s="26" t="n"/>
      <c r="B208" s="26" t="n"/>
      <c r="C208" s="26" t="n"/>
      <c r="D208" s="26" t="n"/>
      <c r="E208" s="26" t="n"/>
      <c r="F208" s="25" t="n"/>
      <c r="G208" s="25" t="n"/>
      <c r="H208" s="25" t="n"/>
      <c r="I208" s="25" t="n"/>
      <c r="J208" s="25" t="n"/>
      <c r="K208" s="25" t="n"/>
      <c r="L208" s="25" t="n"/>
      <c r="M208" s="25" t="n"/>
      <c r="N208" s="25" t="n"/>
      <c r="O208" s="4" t="n"/>
      <c r="P208" s="4" t="n"/>
      <c r="Q208" s="4" t="n"/>
      <c r="R208" s="4" t="n"/>
      <c r="S208" s="4" t="n"/>
    </row>
    <row r="209" ht="15" customHeight="1" s="215">
      <c r="A209" s="26" t="n"/>
      <c r="B209" s="26" t="n"/>
      <c r="C209" s="26" t="n"/>
      <c r="D209" s="26" t="n"/>
      <c r="E209" s="26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4" t="n"/>
      <c r="P209" s="4" t="n"/>
      <c r="Q209" s="4" t="n"/>
      <c r="R209" s="4" t="n"/>
      <c r="S209" s="4" t="n"/>
    </row>
    <row r="210" ht="15" customHeight="1" s="215">
      <c r="A210" s="26" t="n"/>
      <c r="B210" s="26" t="n"/>
      <c r="C210" s="26" t="n"/>
      <c r="D210" s="26" t="n"/>
      <c r="E210" s="26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4" t="n"/>
      <c r="P210" s="4" t="n"/>
      <c r="Q210" s="4" t="n"/>
      <c r="R210" s="4" t="n"/>
      <c r="S210" s="4" t="n"/>
    </row>
    <row r="211" ht="15" customHeight="1" s="215">
      <c r="A211" s="26" t="n"/>
      <c r="B211" s="26" t="n"/>
      <c r="C211" s="26" t="n"/>
      <c r="D211" s="26" t="n"/>
      <c r="E211" s="26" t="n"/>
      <c r="F211" s="25" t="n"/>
      <c r="G211" s="25" t="n"/>
      <c r="H211" s="25" t="n"/>
      <c r="I211" s="25" t="n"/>
      <c r="J211" s="25" t="n"/>
      <c r="K211" s="25" t="n"/>
      <c r="L211" s="25" t="n"/>
      <c r="M211" s="25" t="n"/>
      <c r="N211" s="25" t="n"/>
      <c r="O211" s="4" t="n"/>
      <c r="P211" s="4" t="n"/>
      <c r="Q211" s="4" t="n"/>
      <c r="R211" s="4" t="n"/>
      <c r="S211" s="4" t="n"/>
    </row>
    <row r="212" ht="15" customHeight="1" s="215">
      <c r="A212" s="26" t="n"/>
      <c r="B212" s="26" t="n"/>
      <c r="C212" s="26" t="n"/>
      <c r="D212" s="26" t="n"/>
      <c r="E212" s="26" t="n"/>
      <c r="F212" s="25" t="n"/>
      <c r="G212" s="25" t="n"/>
      <c r="H212" s="25" t="n"/>
      <c r="I212" s="25" t="n"/>
      <c r="J212" s="25" t="n"/>
      <c r="K212" s="25" t="n"/>
      <c r="L212" s="25" t="n"/>
      <c r="M212" s="25" t="n"/>
      <c r="N212" s="25" t="n"/>
      <c r="O212" s="4" t="n"/>
      <c r="P212" s="4" t="n"/>
      <c r="Q212" s="4" t="n"/>
      <c r="R212" s="4" t="n"/>
      <c r="S212" s="4" t="n"/>
    </row>
    <row r="213" ht="15" customHeight="1" s="215">
      <c r="A213" s="26" t="n"/>
      <c r="B213" s="26" t="n"/>
      <c r="C213" s="26" t="n"/>
      <c r="D213" s="26" t="n"/>
      <c r="E213" s="26" t="n"/>
      <c r="F213" s="25" t="n"/>
      <c r="G213" s="25" t="n"/>
      <c r="H213" s="25" t="n"/>
      <c r="I213" s="25" t="n"/>
      <c r="J213" s="25" t="n"/>
      <c r="K213" s="25" t="n"/>
      <c r="L213" s="25" t="n"/>
      <c r="M213" s="25" t="n"/>
      <c r="N213" s="25" t="n"/>
      <c r="O213" s="4" t="n"/>
      <c r="P213" s="4" t="n"/>
      <c r="Q213" s="4" t="n"/>
      <c r="R213" s="4" t="n"/>
      <c r="S213" s="4" t="n"/>
    </row>
    <row r="214" ht="15" customHeight="1" s="215">
      <c r="A214" s="26" t="n"/>
      <c r="B214" s="26" t="n"/>
      <c r="C214" s="26" t="n"/>
      <c r="D214" s="26" t="n"/>
      <c r="E214" s="26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4" t="n"/>
      <c r="P214" s="4" t="n"/>
      <c r="Q214" s="4" t="n"/>
      <c r="R214" s="4" t="n"/>
      <c r="S214" s="4" t="n"/>
    </row>
    <row r="215" ht="15" customHeight="1" s="215">
      <c r="A215" s="26" t="n"/>
      <c r="B215" s="26" t="n"/>
      <c r="C215" s="26" t="n"/>
      <c r="D215" s="26" t="n"/>
      <c r="E215" s="26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4" t="n"/>
      <c r="P215" s="4" t="n"/>
      <c r="Q215" s="4" t="n"/>
      <c r="R215" s="4" t="n"/>
      <c r="S215" s="4" t="n"/>
    </row>
    <row r="216" ht="15" customHeight="1" s="215">
      <c r="A216" s="26" t="n"/>
      <c r="B216" s="26" t="n"/>
      <c r="C216" s="26" t="n"/>
      <c r="D216" s="26" t="n"/>
      <c r="E216" s="26" t="n"/>
      <c r="F216" s="25" t="n"/>
      <c r="G216" s="25" t="n"/>
      <c r="H216" s="25" t="n"/>
      <c r="I216" s="25" t="n"/>
      <c r="J216" s="25" t="n"/>
      <c r="K216" s="25" t="n"/>
      <c r="L216" s="25" t="n"/>
      <c r="M216" s="25" t="n"/>
      <c r="N216" s="25" t="n"/>
      <c r="O216" s="4" t="n"/>
      <c r="P216" s="4" t="n"/>
      <c r="Q216" s="4" t="n"/>
      <c r="R216" s="4" t="n"/>
      <c r="S216" s="4" t="n"/>
    </row>
    <row r="217" ht="15" customHeight="1" s="215">
      <c r="A217" s="26" t="n"/>
      <c r="B217" s="26" t="n"/>
      <c r="C217" s="26" t="n"/>
      <c r="D217" s="26" t="n"/>
      <c r="E217" s="26" t="n"/>
      <c r="F217" s="25" t="n"/>
      <c r="G217" s="25" t="n"/>
      <c r="H217" s="25" t="n"/>
      <c r="I217" s="25" t="n"/>
      <c r="J217" s="25" t="n"/>
      <c r="K217" s="25" t="n"/>
      <c r="L217" s="25" t="n"/>
      <c r="M217" s="25" t="n"/>
      <c r="N217" s="25" t="n"/>
      <c r="O217" s="4" t="n"/>
      <c r="P217" s="4" t="n"/>
      <c r="Q217" s="4" t="n"/>
      <c r="R217" s="4" t="n"/>
      <c r="S217" s="4" t="n"/>
    </row>
    <row r="218" ht="15" customHeight="1" s="215">
      <c r="A218" s="26" t="n"/>
      <c r="B218" s="26" t="n"/>
      <c r="C218" s="26" t="n"/>
      <c r="D218" s="26" t="n"/>
      <c r="E218" s="26" t="n"/>
      <c r="F218" s="25" t="n"/>
      <c r="G218" s="25" t="n"/>
      <c r="H218" s="25" t="n"/>
      <c r="I218" s="25" t="n"/>
      <c r="J218" s="25" t="n"/>
      <c r="K218" s="25" t="n"/>
      <c r="L218" s="25" t="n"/>
      <c r="M218" s="25" t="n"/>
      <c r="N218" s="25" t="n"/>
      <c r="O218" s="4" t="n"/>
      <c r="P218" s="4" t="n"/>
      <c r="Q218" s="4" t="n"/>
      <c r="R218" s="4" t="n"/>
      <c r="S218" s="4" t="n"/>
    </row>
    <row r="219" ht="15" customHeight="1" s="215">
      <c r="A219" s="26" t="n"/>
      <c r="B219" s="26" t="n"/>
      <c r="C219" s="26" t="n"/>
      <c r="D219" s="26" t="n"/>
      <c r="E219" s="26" t="n"/>
      <c r="F219" s="25" t="n"/>
      <c r="G219" s="25" t="n"/>
      <c r="H219" s="25" t="n"/>
      <c r="I219" s="25" t="n"/>
      <c r="J219" s="25" t="n"/>
      <c r="K219" s="25" t="n"/>
      <c r="L219" s="25" t="n"/>
      <c r="M219" s="25" t="n"/>
      <c r="N219" s="25" t="n"/>
      <c r="O219" s="4" t="n"/>
      <c r="P219" s="4" t="n"/>
      <c r="Q219" s="4" t="n"/>
      <c r="R219" s="4" t="n"/>
      <c r="S219" s="4" t="n"/>
    </row>
    <row r="220" ht="15" customHeight="1" s="215">
      <c r="A220" s="26" t="n"/>
      <c r="B220" s="26" t="n"/>
      <c r="C220" s="26" t="n"/>
      <c r="D220" s="26" t="n"/>
      <c r="E220" s="26" t="n"/>
      <c r="F220" s="25" t="n"/>
      <c r="G220" s="25" t="n"/>
      <c r="H220" s="25" t="n"/>
      <c r="I220" s="25" t="n"/>
      <c r="J220" s="25" t="n"/>
      <c r="K220" s="25" t="n"/>
      <c r="L220" s="25" t="n"/>
      <c r="M220" s="25" t="n"/>
      <c r="N220" s="25" t="n"/>
      <c r="O220" s="4" t="n"/>
      <c r="P220" s="4" t="n"/>
      <c r="Q220" s="4" t="n"/>
      <c r="R220" s="4" t="n"/>
      <c r="S220" s="4" t="n"/>
    </row>
    <row r="221" ht="15" customHeight="1" s="215">
      <c r="A221" s="26" t="n"/>
      <c r="B221" s="26" t="n"/>
      <c r="C221" s="26" t="n"/>
      <c r="D221" s="26" t="n"/>
      <c r="E221" s="26" t="n"/>
      <c r="F221" s="25" t="n"/>
      <c r="G221" s="25" t="n"/>
      <c r="H221" s="25" t="n"/>
      <c r="I221" s="25" t="n"/>
      <c r="J221" s="25" t="n"/>
      <c r="K221" s="25" t="n"/>
      <c r="L221" s="25" t="n"/>
      <c r="M221" s="25" t="n"/>
      <c r="N221" s="25" t="n"/>
      <c r="O221" s="4" t="n"/>
      <c r="P221" s="4" t="n"/>
      <c r="Q221" s="4" t="n"/>
      <c r="R221" s="4" t="n"/>
      <c r="S221" s="4" t="n"/>
    </row>
    <row r="222" ht="15" customHeight="1" s="215">
      <c r="A222" s="26" t="n"/>
      <c r="B222" s="26" t="n"/>
      <c r="C222" s="26" t="n"/>
      <c r="D222" s="26" t="n"/>
      <c r="E222" s="26" t="n"/>
      <c r="F222" s="25" t="n"/>
      <c r="G222" s="25" t="n"/>
      <c r="H222" s="25" t="n"/>
      <c r="I222" s="25" t="n"/>
      <c r="J222" s="25" t="n"/>
      <c r="K222" s="25" t="n"/>
      <c r="L222" s="25" t="n"/>
      <c r="M222" s="25" t="n"/>
      <c r="N222" s="25" t="n"/>
      <c r="O222" s="4" t="n"/>
      <c r="P222" s="4" t="n"/>
      <c r="Q222" s="4" t="n"/>
      <c r="R222" s="4" t="n"/>
      <c r="S222" s="4" t="n"/>
    </row>
    <row r="223" ht="15" customHeight="1" s="215">
      <c r="A223" s="26" t="n"/>
      <c r="B223" s="26" t="n"/>
      <c r="C223" s="26" t="n"/>
      <c r="D223" s="26" t="n"/>
      <c r="E223" s="26" t="n"/>
      <c r="F223" s="25" t="n"/>
      <c r="G223" s="25" t="n"/>
      <c r="H223" s="25" t="n"/>
      <c r="I223" s="25" t="n"/>
      <c r="J223" s="25" t="n"/>
      <c r="K223" s="25" t="n"/>
      <c r="L223" s="25" t="n"/>
      <c r="M223" s="25" t="n"/>
      <c r="N223" s="25" t="n"/>
      <c r="O223" s="4" t="n"/>
      <c r="P223" s="4" t="n"/>
      <c r="Q223" s="4" t="n"/>
      <c r="R223" s="4" t="n"/>
      <c r="S223" s="4" t="n"/>
    </row>
    <row r="224" ht="15" customHeight="1" s="215">
      <c r="A224" s="26" t="n"/>
      <c r="B224" s="26" t="n"/>
      <c r="C224" s="26" t="n"/>
      <c r="D224" s="26" t="n"/>
      <c r="E224" s="26" t="n"/>
      <c r="F224" s="25" t="n"/>
      <c r="G224" s="25" t="n"/>
      <c r="H224" s="25" t="n"/>
      <c r="I224" s="25" t="n"/>
      <c r="J224" s="25" t="n"/>
      <c r="K224" s="25" t="n"/>
      <c r="L224" s="25" t="n"/>
      <c r="M224" s="25" t="n"/>
      <c r="N224" s="25" t="n"/>
      <c r="O224" s="4" t="n"/>
      <c r="P224" s="4" t="n"/>
      <c r="Q224" s="4" t="n"/>
      <c r="R224" s="4" t="n"/>
      <c r="S224" s="4" t="n"/>
    </row>
    <row r="225" ht="15" customHeight="1" s="215">
      <c r="A225" s="26" t="n"/>
      <c r="B225" s="26" t="n"/>
      <c r="C225" s="26" t="n"/>
      <c r="D225" s="26" t="n"/>
      <c r="E225" s="26" t="n"/>
      <c r="F225" s="25" t="n"/>
      <c r="G225" s="25" t="n"/>
      <c r="H225" s="25" t="n"/>
      <c r="I225" s="25" t="n"/>
      <c r="J225" s="25" t="n"/>
      <c r="K225" s="25" t="n"/>
      <c r="L225" s="25" t="n"/>
      <c r="M225" s="25" t="n"/>
      <c r="N225" s="25" t="n"/>
      <c r="O225" s="4" t="n"/>
      <c r="P225" s="4" t="n"/>
      <c r="Q225" s="4" t="n"/>
      <c r="R225" s="4" t="n"/>
      <c r="S225" s="4" t="n"/>
    </row>
    <row r="226" ht="15" customHeight="1" s="215">
      <c r="A226" s="26" t="n"/>
      <c r="B226" s="26" t="n"/>
      <c r="C226" s="26" t="n"/>
      <c r="D226" s="26" t="n"/>
      <c r="E226" s="26" t="n"/>
      <c r="F226" s="25" t="n"/>
      <c r="G226" s="25" t="n"/>
      <c r="H226" s="25" t="n"/>
      <c r="I226" s="25" t="n"/>
      <c r="J226" s="25" t="n"/>
      <c r="K226" s="25" t="n"/>
      <c r="L226" s="25" t="n"/>
      <c r="M226" s="25" t="n"/>
      <c r="N226" s="25" t="n"/>
      <c r="O226" s="4" t="n"/>
      <c r="P226" s="4" t="n"/>
      <c r="Q226" s="4" t="n"/>
      <c r="R226" s="4" t="n"/>
      <c r="S226" s="4" t="n"/>
    </row>
    <row r="227" ht="15" customHeight="1" s="215">
      <c r="A227" s="26" t="n"/>
      <c r="B227" s="26" t="n"/>
      <c r="C227" s="26" t="n"/>
      <c r="D227" s="26" t="n"/>
      <c r="E227" s="26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4" t="n"/>
      <c r="P227" s="4" t="n"/>
      <c r="Q227" s="4" t="n"/>
      <c r="R227" s="4" t="n"/>
      <c r="S227" s="4" t="n"/>
    </row>
    <row r="228" ht="15" customHeight="1" s="215">
      <c r="A228" s="26" t="n"/>
      <c r="B228" s="26" t="n"/>
      <c r="C228" s="26" t="n"/>
      <c r="D228" s="26" t="n"/>
      <c r="E228" s="26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4" t="n"/>
      <c r="P228" s="4" t="n"/>
      <c r="Q228" s="4" t="n"/>
      <c r="R228" s="4" t="n"/>
      <c r="S228" s="4" t="n"/>
    </row>
    <row r="229" ht="15" customHeight="1" s="215">
      <c r="A229" s="26" t="n"/>
      <c r="B229" s="26" t="n"/>
      <c r="C229" s="26" t="n"/>
      <c r="D229" s="26" t="n"/>
      <c r="E229" s="26" t="n"/>
      <c r="F229" s="25" t="n"/>
      <c r="G229" s="25" t="n"/>
      <c r="H229" s="25" t="n"/>
      <c r="I229" s="25" t="n"/>
      <c r="J229" s="25" t="n"/>
      <c r="K229" s="25" t="n"/>
      <c r="L229" s="25" t="n"/>
      <c r="M229" s="25" t="n"/>
      <c r="N229" s="25" t="n"/>
      <c r="O229" s="4" t="n"/>
      <c r="P229" s="4" t="n"/>
      <c r="Q229" s="4" t="n"/>
      <c r="R229" s="4" t="n"/>
      <c r="S229" s="4" t="n"/>
    </row>
    <row r="230" ht="15" customHeight="1" s="215">
      <c r="A230" s="26" t="n"/>
      <c r="B230" s="26" t="n"/>
      <c r="C230" s="26" t="n"/>
      <c r="D230" s="26" t="n"/>
      <c r="E230" s="26" t="n"/>
      <c r="F230" s="25" t="n"/>
      <c r="G230" s="25" t="n"/>
      <c r="H230" s="25" t="n"/>
      <c r="I230" s="25" t="n"/>
      <c r="J230" s="25" t="n"/>
      <c r="K230" s="25" t="n"/>
      <c r="L230" s="25" t="n"/>
      <c r="M230" s="25" t="n"/>
      <c r="N230" s="25" t="n"/>
      <c r="O230" s="4" t="n"/>
      <c r="P230" s="4" t="n"/>
      <c r="Q230" s="4" t="n"/>
      <c r="R230" s="4" t="n"/>
      <c r="S230" s="4" t="n"/>
    </row>
    <row r="231" ht="15" customHeight="1" s="215">
      <c r="A231" s="26" t="n"/>
      <c r="B231" s="26" t="n"/>
      <c r="C231" s="26" t="n"/>
      <c r="D231" s="26" t="n"/>
      <c r="E231" s="26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4" t="n"/>
      <c r="P231" s="4" t="n"/>
      <c r="Q231" s="4" t="n"/>
      <c r="R231" s="4" t="n"/>
      <c r="S231" s="4" t="n"/>
    </row>
    <row r="232" ht="15" customHeight="1" s="215">
      <c r="A232" s="26" t="n"/>
      <c r="B232" s="26" t="n"/>
      <c r="C232" s="26" t="n"/>
      <c r="D232" s="26" t="n"/>
      <c r="E232" s="26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4" t="n"/>
      <c r="P232" s="4" t="n"/>
      <c r="Q232" s="4" t="n"/>
      <c r="R232" s="4" t="n"/>
      <c r="S232" s="4" t="n"/>
    </row>
    <row r="233" ht="15" customHeight="1" s="215">
      <c r="A233" s="26" t="n"/>
      <c r="B233" s="26" t="n"/>
      <c r="C233" s="26" t="n"/>
      <c r="D233" s="26" t="n"/>
      <c r="E233" s="26" t="n"/>
      <c r="F233" s="25" t="n"/>
      <c r="G233" s="25" t="n"/>
      <c r="H233" s="25" t="n"/>
      <c r="I233" s="25" t="n"/>
      <c r="J233" s="25" t="n"/>
      <c r="K233" s="25" t="n"/>
      <c r="L233" s="25" t="n"/>
      <c r="M233" s="25" t="n"/>
      <c r="N233" s="25" t="n"/>
      <c r="O233" s="4" t="n"/>
      <c r="P233" s="4" t="n"/>
      <c r="Q233" s="4" t="n"/>
      <c r="R233" s="4" t="n"/>
      <c r="S233" s="4" t="n"/>
    </row>
    <row r="234" ht="15" customHeight="1" s="215">
      <c r="A234" s="26" t="n"/>
      <c r="B234" s="26" t="n"/>
      <c r="C234" s="26" t="n"/>
      <c r="D234" s="26" t="n"/>
      <c r="E234" s="26" t="n"/>
      <c r="F234" s="25" t="n"/>
      <c r="G234" s="25" t="n"/>
      <c r="H234" s="25" t="n"/>
      <c r="I234" s="25" t="n"/>
      <c r="J234" s="25" t="n"/>
      <c r="K234" s="25" t="n"/>
      <c r="L234" s="25" t="n"/>
      <c r="M234" s="25" t="n"/>
      <c r="N234" s="25" t="n"/>
      <c r="O234" s="4" t="n"/>
      <c r="P234" s="4" t="n"/>
      <c r="Q234" s="4" t="n"/>
      <c r="R234" s="4" t="n"/>
      <c r="S234" s="4" t="n"/>
    </row>
    <row r="235" ht="15" customHeight="1" s="215">
      <c r="A235" s="26" t="n"/>
      <c r="B235" s="26" t="n"/>
      <c r="C235" s="26" t="n"/>
      <c r="D235" s="26" t="n"/>
      <c r="E235" s="26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4" t="n"/>
      <c r="P235" s="4" t="n"/>
      <c r="Q235" s="4" t="n"/>
      <c r="R235" s="4" t="n"/>
      <c r="S235" s="4" t="n"/>
    </row>
    <row r="236" ht="15" customHeight="1" s="215">
      <c r="A236" s="26" t="n"/>
      <c r="B236" s="26" t="n"/>
      <c r="C236" s="26" t="n"/>
      <c r="D236" s="26" t="n"/>
      <c r="E236" s="26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4" t="n"/>
      <c r="P236" s="4" t="n"/>
      <c r="Q236" s="4" t="n"/>
      <c r="R236" s="4" t="n"/>
      <c r="S236" s="4" t="n"/>
    </row>
    <row r="237" ht="15" customHeight="1" s="215">
      <c r="A237" s="26" t="n"/>
      <c r="B237" s="26" t="n"/>
      <c r="C237" s="26" t="n"/>
      <c r="D237" s="26" t="n"/>
      <c r="E237" s="26" t="n"/>
      <c r="F237" s="25" t="n"/>
      <c r="G237" s="25" t="n"/>
      <c r="H237" s="25" t="n"/>
      <c r="I237" s="25" t="n"/>
      <c r="J237" s="25" t="n"/>
      <c r="K237" s="25" t="n"/>
      <c r="L237" s="25" t="n"/>
      <c r="M237" s="25" t="n"/>
      <c r="N237" s="25" t="n"/>
      <c r="O237" s="4" t="n"/>
      <c r="P237" s="4" t="n"/>
      <c r="Q237" s="4" t="n"/>
      <c r="R237" s="4" t="n"/>
      <c r="S237" s="4" t="n"/>
    </row>
    <row r="238" ht="15" customHeight="1" s="215">
      <c r="A238" s="26" t="n"/>
      <c r="B238" s="26" t="n"/>
      <c r="C238" s="26" t="n"/>
      <c r="D238" s="26" t="n"/>
      <c r="E238" s="26" t="n"/>
      <c r="F238" s="25" t="n"/>
      <c r="G238" s="25" t="n"/>
      <c r="H238" s="25" t="n"/>
      <c r="I238" s="25" t="n"/>
      <c r="J238" s="25" t="n"/>
      <c r="K238" s="25" t="n"/>
      <c r="L238" s="25" t="n"/>
      <c r="M238" s="25" t="n"/>
      <c r="N238" s="25" t="n"/>
      <c r="O238" s="4" t="n"/>
      <c r="P238" s="4" t="n"/>
      <c r="Q238" s="4" t="n"/>
      <c r="R238" s="4" t="n"/>
      <c r="S238" s="4" t="n"/>
    </row>
    <row r="239" ht="15" customHeight="1" s="215">
      <c r="A239" s="26" t="n"/>
      <c r="B239" s="26" t="n"/>
      <c r="C239" s="26" t="n"/>
      <c r="D239" s="26" t="n"/>
      <c r="E239" s="26" t="n"/>
      <c r="F239" s="25" t="n"/>
      <c r="G239" s="25" t="n"/>
      <c r="H239" s="25" t="n"/>
      <c r="I239" s="25" t="n"/>
      <c r="J239" s="25" t="n"/>
      <c r="K239" s="25" t="n"/>
      <c r="L239" s="25" t="n"/>
      <c r="M239" s="25" t="n"/>
      <c r="N239" s="25" t="n"/>
      <c r="O239" s="4" t="n"/>
      <c r="P239" s="4" t="n"/>
      <c r="Q239" s="4" t="n"/>
      <c r="R239" s="4" t="n"/>
      <c r="S239" s="4" t="n"/>
    </row>
    <row r="240" ht="15" customHeight="1" s="215">
      <c r="A240" s="26" t="n"/>
      <c r="B240" s="26" t="n"/>
      <c r="C240" s="26" t="n"/>
      <c r="D240" s="26" t="n"/>
      <c r="E240" s="26" t="n"/>
      <c r="F240" s="25" t="n"/>
      <c r="G240" s="25" t="n"/>
      <c r="H240" s="25" t="n"/>
      <c r="I240" s="25" t="n"/>
      <c r="J240" s="25" t="n"/>
      <c r="K240" s="25" t="n"/>
      <c r="L240" s="25" t="n"/>
      <c r="M240" s="25" t="n"/>
      <c r="N240" s="25" t="n"/>
      <c r="O240" s="4" t="n"/>
      <c r="P240" s="4" t="n"/>
      <c r="Q240" s="4" t="n"/>
      <c r="R240" s="4" t="n"/>
      <c r="S240" s="4" t="n"/>
    </row>
    <row r="241" ht="15" customHeight="1" s="215">
      <c r="A241" s="26" t="n"/>
      <c r="B241" s="26" t="n"/>
      <c r="C241" s="26" t="n"/>
      <c r="D241" s="26" t="n"/>
      <c r="E241" s="26" t="n"/>
      <c r="F241" s="25" t="n"/>
      <c r="G241" s="25" t="n"/>
      <c r="H241" s="25" t="n"/>
      <c r="I241" s="25" t="n"/>
      <c r="J241" s="25" t="n"/>
      <c r="K241" s="25" t="n"/>
      <c r="L241" s="25" t="n"/>
      <c r="M241" s="25" t="n"/>
      <c r="N241" s="25" t="n"/>
      <c r="O241" s="4" t="n"/>
      <c r="P241" s="4" t="n"/>
      <c r="Q241" s="4" t="n"/>
      <c r="R241" s="4" t="n"/>
      <c r="S241" s="4" t="n"/>
    </row>
    <row r="242" ht="15" customHeight="1" s="215">
      <c r="A242" s="26" t="n"/>
      <c r="B242" s="26" t="n"/>
      <c r="C242" s="26" t="n"/>
      <c r="D242" s="26" t="n"/>
      <c r="E242" s="26" t="n"/>
      <c r="F242" s="25" t="n"/>
      <c r="G242" s="25" t="n"/>
      <c r="H242" s="25" t="n"/>
      <c r="I242" s="25" t="n"/>
      <c r="J242" s="25" t="n"/>
      <c r="K242" s="25" t="n"/>
      <c r="L242" s="25" t="n"/>
      <c r="M242" s="25" t="n"/>
      <c r="N242" s="25" t="n"/>
      <c r="O242" s="4" t="n"/>
      <c r="P242" s="4" t="n"/>
      <c r="Q242" s="4" t="n"/>
      <c r="R242" s="4" t="n"/>
      <c r="S242" s="4" t="n"/>
    </row>
    <row r="243" ht="15" customHeight="1" s="215">
      <c r="A243" s="26" t="n"/>
      <c r="B243" s="26" t="n"/>
      <c r="C243" s="26" t="n"/>
      <c r="D243" s="26" t="n"/>
      <c r="E243" s="26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4" t="n"/>
      <c r="P243" s="4" t="n"/>
      <c r="Q243" s="4" t="n"/>
      <c r="R243" s="4" t="n"/>
      <c r="S243" s="4" t="n"/>
    </row>
    <row r="244" ht="15" customHeight="1" s="215">
      <c r="A244" s="26" t="n"/>
      <c r="B244" s="26" t="n"/>
      <c r="C244" s="26" t="n"/>
      <c r="D244" s="26" t="n"/>
      <c r="E244" s="26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4" t="n"/>
      <c r="P244" s="4" t="n"/>
      <c r="Q244" s="4" t="n"/>
      <c r="R244" s="4" t="n"/>
      <c r="S244" s="4" t="n"/>
    </row>
    <row r="245" ht="15" customHeight="1" s="215">
      <c r="A245" s="26" t="n"/>
      <c r="B245" s="26" t="n"/>
      <c r="C245" s="26" t="n"/>
      <c r="D245" s="26" t="n"/>
      <c r="E245" s="26" t="n"/>
      <c r="F245" s="25" t="n"/>
      <c r="G245" s="25" t="n"/>
      <c r="H245" s="25" t="n"/>
      <c r="I245" s="25" t="n"/>
      <c r="J245" s="25" t="n"/>
      <c r="K245" s="25" t="n"/>
      <c r="L245" s="25" t="n"/>
      <c r="M245" s="25" t="n"/>
      <c r="N245" s="25" t="n"/>
      <c r="O245" s="4" t="n"/>
      <c r="P245" s="4" t="n"/>
      <c r="Q245" s="4" t="n"/>
      <c r="R245" s="4" t="n"/>
      <c r="S245" s="4" t="n"/>
    </row>
    <row r="246" ht="15" customHeight="1" s="215">
      <c r="A246" s="26" t="n"/>
      <c r="B246" s="26" t="n"/>
      <c r="C246" s="26" t="n"/>
      <c r="D246" s="26" t="n"/>
      <c r="E246" s="26" t="n"/>
      <c r="F246" s="25" t="n"/>
      <c r="G246" s="25" t="n"/>
      <c r="H246" s="25" t="n"/>
      <c r="I246" s="25" t="n"/>
      <c r="J246" s="25" t="n"/>
      <c r="K246" s="25" t="n"/>
      <c r="L246" s="25" t="n"/>
      <c r="M246" s="25" t="n"/>
      <c r="N246" s="25" t="n"/>
      <c r="O246" s="4" t="n"/>
      <c r="P246" s="4" t="n"/>
      <c r="Q246" s="4" t="n"/>
      <c r="R246" s="4" t="n"/>
      <c r="S246" s="4" t="n"/>
    </row>
    <row r="247" ht="15" customHeight="1" s="215">
      <c r="A247" s="26" t="n"/>
      <c r="B247" s="26" t="n"/>
      <c r="C247" s="26" t="n"/>
      <c r="D247" s="26" t="n"/>
      <c r="E247" s="26" t="n"/>
      <c r="F247" s="25" t="n"/>
      <c r="G247" s="25" t="n"/>
      <c r="H247" s="25" t="n"/>
      <c r="I247" s="25" t="n"/>
      <c r="J247" s="25" t="n"/>
      <c r="K247" s="25" t="n"/>
      <c r="L247" s="25" t="n"/>
      <c r="M247" s="25" t="n"/>
      <c r="N247" s="25" t="n"/>
      <c r="O247" s="4" t="n"/>
      <c r="P247" s="4" t="n"/>
      <c r="Q247" s="4" t="n"/>
      <c r="R247" s="4" t="n"/>
      <c r="S247" s="4" t="n"/>
    </row>
    <row r="248" ht="15" customHeight="1" s="215">
      <c r="A248" s="26" t="n"/>
      <c r="B248" s="26" t="n"/>
      <c r="C248" s="26" t="n"/>
      <c r="D248" s="26" t="n"/>
      <c r="E248" s="26" t="n"/>
      <c r="F248" s="25" t="n"/>
      <c r="G248" s="25" t="n"/>
      <c r="H248" s="25" t="n"/>
      <c r="I248" s="25" t="n"/>
      <c r="J248" s="25" t="n"/>
      <c r="K248" s="25" t="n"/>
      <c r="L248" s="25" t="n"/>
      <c r="M248" s="25" t="n"/>
      <c r="N248" s="25" t="n"/>
      <c r="O248" s="4" t="n"/>
      <c r="P248" s="4" t="n"/>
      <c r="Q248" s="4" t="n"/>
      <c r="R248" s="4" t="n"/>
      <c r="S248" s="4" t="n"/>
    </row>
    <row r="249" ht="15" customHeight="1" s="215">
      <c r="A249" s="26" t="n"/>
      <c r="B249" s="26" t="n"/>
      <c r="C249" s="26" t="n"/>
      <c r="D249" s="26" t="n"/>
      <c r="E249" s="26" t="n"/>
      <c r="F249" s="25" t="n"/>
      <c r="G249" s="25" t="n"/>
      <c r="H249" s="25" t="n"/>
      <c r="I249" s="25" t="n"/>
      <c r="J249" s="25" t="n"/>
      <c r="K249" s="25" t="n"/>
      <c r="L249" s="25" t="n"/>
      <c r="M249" s="25" t="n"/>
      <c r="N249" s="25" t="n"/>
      <c r="O249" s="4" t="n"/>
      <c r="P249" s="4" t="n"/>
      <c r="Q249" s="4" t="n"/>
      <c r="R249" s="4" t="n"/>
      <c r="S249" s="4" t="n"/>
    </row>
    <row r="250" ht="15" customHeight="1" s="215">
      <c r="A250" s="26" t="n"/>
      <c r="B250" s="26" t="n"/>
      <c r="C250" s="26" t="n"/>
      <c r="D250" s="26" t="n"/>
      <c r="E250" s="26" t="n"/>
      <c r="F250" s="25" t="n"/>
      <c r="G250" s="25" t="n"/>
      <c r="H250" s="25" t="n"/>
      <c r="I250" s="25" t="n"/>
      <c r="J250" s="25" t="n"/>
      <c r="K250" s="25" t="n"/>
      <c r="L250" s="25" t="n"/>
      <c r="M250" s="25" t="n"/>
      <c r="N250" s="25" t="n"/>
      <c r="O250" s="4" t="n"/>
      <c r="P250" s="4" t="n"/>
      <c r="Q250" s="4" t="n"/>
      <c r="R250" s="4" t="n"/>
      <c r="S250" s="4" t="n"/>
    </row>
    <row r="251" ht="15" customHeight="1" s="215">
      <c r="A251" s="26" t="n"/>
      <c r="B251" s="26" t="n"/>
      <c r="C251" s="26" t="n"/>
      <c r="D251" s="26" t="n"/>
      <c r="E251" s="26" t="n"/>
      <c r="F251" s="25" t="n"/>
      <c r="G251" s="25" t="n"/>
      <c r="H251" s="25" t="n"/>
      <c r="I251" s="25" t="n"/>
      <c r="J251" s="25" t="n"/>
      <c r="K251" s="25" t="n"/>
      <c r="L251" s="25" t="n"/>
      <c r="M251" s="25" t="n"/>
      <c r="N251" s="25" t="n"/>
      <c r="O251" s="4" t="n"/>
      <c r="P251" s="4" t="n"/>
      <c r="Q251" s="4" t="n"/>
      <c r="R251" s="4" t="n"/>
      <c r="S251" s="4" t="n"/>
    </row>
    <row r="252" ht="15" customHeight="1" s="215">
      <c r="A252" s="26" t="n"/>
      <c r="B252" s="26" t="n"/>
      <c r="C252" s="26" t="n"/>
      <c r="D252" s="26" t="n"/>
      <c r="E252" s="26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4" t="n"/>
      <c r="P252" s="4" t="n"/>
      <c r="Q252" s="4" t="n"/>
      <c r="R252" s="4" t="n"/>
      <c r="S252" s="4" t="n"/>
    </row>
    <row r="253" ht="15" customHeight="1" s="215">
      <c r="A253" s="26" t="n"/>
      <c r="B253" s="26" t="n"/>
      <c r="C253" s="26" t="n"/>
      <c r="D253" s="26" t="n"/>
      <c r="E253" s="26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4" t="n"/>
      <c r="P253" s="4" t="n"/>
      <c r="Q253" s="4" t="n"/>
      <c r="R253" s="4" t="n"/>
      <c r="S253" s="4" t="n"/>
    </row>
    <row r="254" ht="15" customHeight="1" s="215">
      <c r="A254" s="26" t="n"/>
      <c r="B254" s="26" t="n"/>
      <c r="C254" s="26" t="n"/>
      <c r="D254" s="26" t="n"/>
      <c r="E254" s="26" t="n"/>
      <c r="F254" s="25" t="n"/>
      <c r="G254" s="25" t="n"/>
      <c r="H254" s="25" t="n"/>
      <c r="I254" s="25" t="n"/>
      <c r="J254" s="25" t="n"/>
      <c r="K254" s="25" t="n"/>
      <c r="L254" s="25" t="n"/>
      <c r="M254" s="25" t="n"/>
      <c r="N254" s="25" t="n"/>
      <c r="O254" s="4" t="n"/>
      <c r="P254" s="4" t="n"/>
      <c r="Q254" s="4" t="n"/>
      <c r="R254" s="4" t="n"/>
      <c r="S254" s="4" t="n"/>
    </row>
    <row r="255" ht="15" customHeight="1" s="215">
      <c r="A255" s="26" t="n"/>
      <c r="B255" s="26" t="n"/>
      <c r="C255" s="26" t="n"/>
      <c r="D255" s="26" t="n"/>
      <c r="E255" s="26" t="n"/>
      <c r="F255" s="25" t="n"/>
      <c r="G255" s="25" t="n"/>
      <c r="H255" s="25" t="n"/>
      <c r="I255" s="25" t="n"/>
      <c r="J255" s="25" t="n"/>
      <c r="K255" s="25" t="n"/>
      <c r="L255" s="25" t="n"/>
      <c r="M255" s="25" t="n"/>
      <c r="N255" s="25" t="n"/>
      <c r="O255" s="4" t="n"/>
      <c r="P255" s="4" t="n"/>
      <c r="Q255" s="4" t="n"/>
      <c r="R255" s="4" t="n"/>
      <c r="S255" s="4" t="n"/>
    </row>
    <row r="256" ht="15" customHeight="1" s="215">
      <c r="A256" s="26" t="n"/>
      <c r="B256" s="26" t="n"/>
      <c r="C256" s="26" t="n"/>
      <c r="D256" s="26" t="n"/>
      <c r="E256" s="26" t="n"/>
      <c r="F256" s="25" t="n"/>
      <c r="G256" s="25" t="n"/>
      <c r="H256" s="25" t="n"/>
      <c r="I256" s="25" t="n"/>
      <c r="J256" s="25" t="n"/>
      <c r="K256" s="25" t="n"/>
      <c r="L256" s="25" t="n"/>
      <c r="M256" s="25" t="n"/>
      <c r="N256" s="25" t="n"/>
      <c r="O256" s="4" t="n"/>
      <c r="P256" s="4" t="n"/>
      <c r="Q256" s="4" t="n"/>
      <c r="R256" s="4" t="n"/>
      <c r="S256" s="4" t="n"/>
    </row>
    <row r="257" ht="15" customHeight="1" s="215">
      <c r="A257" s="26" t="n"/>
      <c r="B257" s="26" t="n"/>
      <c r="C257" s="26" t="n"/>
      <c r="D257" s="26" t="n"/>
      <c r="E257" s="26" t="n"/>
      <c r="F257" s="25" t="n"/>
      <c r="G257" s="25" t="n"/>
      <c r="H257" s="25" t="n"/>
      <c r="I257" s="25" t="n"/>
      <c r="J257" s="25" t="n"/>
      <c r="K257" s="25" t="n"/>
      <c r="L257" s="25" t="n"/>
      <c r="M257" s="25" t="n"/>
      <c r="N257" s="25" t="n"/>
      <c r="O257" s="4" t="n"/>
      <c r="P257" s="4" t="n"/>
      <c r="Q257" s="4" t="n"/>
      <c r="R257" s="4" t="n"/>
      <c r="S257" s="4" t="n"/>
    </row>
    <row r="258" ht="15" customHeight="1" s="215">
      <c r="A258" s="26" t="n"/>
      <c r="B258" s="26" t="n"/>
      <c r="C258" s="26" t="n"/>
      <c r="D258" s="26" t="n"/>
      <c r="E258" s="26" t="n"/>
      <c r="F258" s="25" t="n"/>
      <c r="G258" s="25" t="n"/>
      <c r="H258" s="25" t="n"/>
      <c r="I258" s="25" t="n"/>
      <c r="J258" s="25" t="n"/>
      <c r="K258" s="25" t="n"/>
      <c r="L258" s="25" t="n"/>
      <c r="M258" s="25" t="n"/>
      <c r="N258" s="25" t="n"/>
      <c r="O258" s="4" t="n"/>
      <c r="P258" s="4" t="n"/>
      <c r="Q258" s="4" t="n"/>
      <c r="R258" s="4" t="n"/>
      <c r="S258" s="4" t="n"/>
    </row>
    <row r="259" ht="15" customHeight="1" s="215">
      <c r="A259" s="26" t="n"/>
      <c r="B259" s="26" t="n"/>
      <c r="C259" s="26" t="n"/>
      <c r="D259" s="26" t="n"/>
      <c r="E259" s="26" t="n"/>
      <c r="F259" s="25" t="n"/>
      <c r="G259" s="25" t="n"/>
      <c r="H259" s="25" t="n"/>
      <c r="I259" s="25" t="n"/>
      <c r="J259" s="25" t="n"/>
      <c r="K259" s="25" t="n"/>
      <c r="L259" s="25" t="n"/>
      <c r="M259" s="25" t="n"/>
      <c r="N259" s="25" t="n"/>
      <c r="O259" s="4" t="n"/>
      <c r="P259" s="4" t="n"/>
      <c r="Q259" s="4" t="n"/>
      <c r="R259" s="4" t="n"/>
      <c r="S259" s="4" t="n"/>
    </row>
    <row r="260" ht="15" customHeight="1" s="215">
      <c r="A260" s="26" t="n"/>
      <c r="B260" s="26" t="n"/>
      <c r="C260" s="26" t="n"/>
      <c r="D260" s="26" t="n"/>
      <c r="E260" s="26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4" t="n"/>
      <c r="P260" s="4" t="n"/>
      <c r="Q260" s="4" t="n"/>
      <c r="R260" s="4" t="n"/>
      <c r="S260" s="4" t="n"/>
    </row>
    <row r="261" ht="15" customHeight="1" s="215">
      <c r="A261" s="26" t="n"/>
      <c r="B261" s="26" t="n"/>
      <c r="C261" s="26" t="n"/>
      <c r="D261" s="26" t="n"/>
      <c r="E261" s="26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4" t="n"/>
      <c r="P261" s="4" t="n"/>
      <c r="Q261" s="4" t="n"/>
      <c r="R261" s="4" t="n"/>
      <c r="S261" s="4" t="n"/>
    </row>
    <row r="262" ht="15" customHeight="1" s="215">
      <c r="A262" s="26" t="n"/>
      <c r="B262" s="26" t="n"/>
      <c r="C262" s="26" t="n"/>
      <c r="D262" s="26" t="n"/>
      <c r="E262" s="26" t="n"/>
      <c r="F262" s="25" t="n"/>
      <c r="G262" s="25" t="n"/>
      <c r="H262" s="25" t="n"/>
      <c r="I262" s="25" t="n"/>
      <c r="J262" s="25" t="n"/>
      <c r="K262" s="25" t="n"/>
      <c r="L262" s="25" t="n"/>
      <c r="M262" s="25" t="n"/>
      <c r="N262" s="25" t="n"/>
      <c r="O262" s="4" t="n"/>
      <c r="P262" s="4" t="n"/>
      <c r="Q262" s="4" t="n"/>
      <c r="R262" s="4" t="n"/>
      <c r="S262" s="4" t="n"/>
    </row>
    <row r="263" ht="15" customHeight="1" s="215">
      <c r="A263" s="26" t="n"/>
      <c r="B263" s="26" t="n"/>
      <c r="C263" s="26" t="n"/>
      <c r="D263" s="26" t="n"/>
      <c r="E263" s="26" t="n"/>
      <c r="F263" s="25" t="n"/>
      <c r="G263" s="25" t="n"/>
      <c r="H263" s="25" t="n"/>
      <c r="I263" s="25" t="n"/>
      <c r="J263" s="25" t="n"/>
      <c r="K263" s="25" t="n"/>
      <c r="L263" s="25" t="n"/>
      <c r="M263" s="25" t="n"/>
      <c r="N263" s="25" t="n"/>
      <c r="O263" s="4" t="n"/>
      <c r="P263" s="4" t="n"/>
      <c r="Q263" s="4" t="n"/>
      <c r="R263" s="4" t="n"/>
      <c r="S263" s="4" t="n"/>
    </row>
    <row r="264" ht="15" customHeight="1" s="215">
      <c r="A264" s="26" t="n"/>
      <c r="B264" s="26" t="n"/>
      <c r="C264" s="26" t="n"/>
      <c r="D264" s="26" t="n"/>
      <c r="E264" s="26" t="n"/>
      <c r="F264" s="25" t="n"/>
      <c r="G264" s="25" t="n"/>
      <c r="H264" s="25" t="n"/>
      <c r="I264" s="25" t="n"/>
      <c r="J264" s="25" t="n"/>
      <c r="K264" s="25" t="n"/>
      <c r="L264" s="25" t="n"/>
      <c r="M264" s="25" t="n"/>
      <c r="N264" s="25" t="n"/>
      <c r="O264" s="4" t="n"/>
      <c r="P264" s="4" t="n"/>
      <c r="Q264" s="4" t="n"/>
      <c r="R264" s="4" t="n"/>
      <c r="S264" s="4" t="n"/>
    </row>
    <row r="265" ht="15" customHeight="1" s="215">
      <c r="A265" s="26" t="n"/>
      <c r="B265" s="26" t="n"/>
      <c r="C265" s="26" t="n"/>
      <c r="D265" s="26" t="n"/>
      <c r="E265" s="26" t="n"/>
      <c r="F265" s="25" t="n"/>
      <c r="G265" s="25" t="n"/>
      <c r="H265" s="25" t="n"/>
      <c r="I265" s="25" t="n"/>
      <c r="J265" s="25" t="n"/>
      <c r="K265" s="25" t="n"/>
      <c r="L265" s="25" t="n"/>
      <c r="M265" s="25" t="n"/>
      <c r="N265" s="25" t="n"/>
      <c r="O265" s="4" t="n"/>
      <c r="P265" s="4" t="n"/>
      <c r="Q265" s="4" t="n"/>
      <c r="R265" s="4" t="n"/>
      <c r="S265" s="4" t="n"/>
    </row>
    <row r="266" ht="15" customHeight="1" s="215">
      <c r="A266" s="26" t="n"/>
      <c r="B266" s="26" t="n"/>
      <c r="C266" s="26" t="n"/>
      <c r="D266" s="26" t="n"/>
      <c r="E266" s="26" t="n"/>
      <c r="F266" s="25" t="n"/>
      <c r="G266" s="25" t="n"/>
      <c r="H266" s="25" t="n"/>
      <c r="I266" s="25" t="n"/>
      <c r="J266" s="25" t="n"/>
      <c r="K266" s="25" t="n"/>
      <c r="L266" s="25" t="n"/>
      <c r="M266" s="25" t="n"/>
      <c r="N266" s="25" t="n"/>
      <c r="O266" s="4" t="n"/>
      <c r="P266" s="4" t="n"/>
      <c r="Q266" s="4" t="n"/>
      <c r="R266" s="4" t="n"/>
      <c r="S266" s="4" t="n"/>
    </row>
    <row r="267" ht="15" customHeight="1" s="215">
      <c r="A267" s="26" t="n"/>
      <c r="B267" s="26" t="n"/>
      <c r="C267" s="26" t="n"/>
      <c r="D267" s="26" t="n"/>
      <c r="E267" s="26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4" t="n"/>
      <c r="P267" s="4" t="n"/>
      <c r="Q267" s="4" t="n"/>
      <c r="R267" s="4" t="n"/>
      <c r="S267" s="4" t="n"/>
    </row>
    <row r="268" ht="15" customHeight="1" s="215">
      <c r="A268" s="26" t="n"/>
      <c r="B268" s="26" t="n"/>
      <c r="C268" s="26" t="n"/>
      <c r="D268" s="26" t="n"/>
      <c r="E268" s="26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4" t="n"/>
      <c r="P268" s="4" t="n"/>
      <c r="Q268" s="4" t="n"/>
      <c r="R268" s="4" t="n"/>
      <c r="S268" s="4" t="n"/>
    </row>
    <row r="269" ht="15" customHeight="1" s="215">
      <c r="A269" s="26" t="n"/>
      <c r="B269" s="26" t="n"/>
      <c r="C269" s="26" t="n"/>
      <c r="D269" s="26" t="n"/>
      <c r="E269" s="26" t="n"/>
      <c r="F269" s="25" t="n"/>
      <c r="G269" s="25" t="n"/>
      <c r="H269" s="25" t="n"/>
      <c r="I269" s="25" t="n"/>
      <c r="J269" s="25" t="n"/>
      <c r="K269" s="25" t="n"/>
      <c r="L269" s="25" t="n"/>
      <c r="M269" s="25" t="n"/>
      <c r="N269" s="25" t="n"/>
      <c r="O269" s="4" t="n"/>
      <c r="P269" s="4" t="n"/>
      <c r="Q269" s="4" t="n"/>
      <c r="R269" s="4" t="n"/>
      <c r="S269" s="4" t="n"/>
    </row>
    <row r="270" ht="15" customHeight="1" s="215">
      <c r="A270" s="26" t="n"/>
      <c r="B270" s="26" t="n"/>
      <c r="C270" s="26" t="n"/>
      <c r="D270" s="26" t="n"/>
      <c r="E270" s="26" t="n"/>
      <c r="F270" s="25" t="n"/>
      <c r="G270" s="25" t="n"/>
      <c r="H270" s="25" t="n"/>
      <c r="I270" s="25" t="n"/>
      <c r="J270" s="25" t="n"/>
      <c r="K270" s="25" t="n"/>
      <c r="L270" s="25" t="n"/>
      <c r="M270" s="25" t="n"/>
      <c r="N270" s="25" t="n"/>
      <c r="O270" s="4" t="n"/>
      <c r="P270" s="4" t="n"/>
      <c r="Q270" s="4" t="n"/>
      <c r="R270" s="4" t="n"/>
      <c r="S270" s="4" t="n"/>
    </row>
    <row r="271" ht="15" customHeight="1" s="215">
      <c r="A271" s="26" t="n"/>
      <c r="B271" s="26" t="n"/>
      <c r="C271" s="26" t="n"/>
      <c r="D271" s="26" t="n"/>
      <c r="E271" s="26" t="n"/>
      <c r="F271" s="25" t="n"/>
      <c r="G271" s="25" t="n"/>
      <c r="H271" s="25" t="n"/>
      <c r="I271" s="25" t="n"/>
      <c r="J271" s="25" t="n"/>
      <c r="K271" s="25" t="n"/>
      <c r="L271" s="25" t="n"/>
      <c r="M271" s="25" t="n"/>
      <c r="N271" s="25" t="n"/>
      <c r="O271" s="4" t="n"/>
      <c r="P271" s="4" t="n"/>
      <c r="Q271" s="4" t="n"/>
      <c r="R271" s="4" t="n"/>
      <c r="S271" s="4" t="n"/>
    </row>
    <row r="272" ht="15" customHeight="1" s="215">
      <c r="A272" s="26" t="n"/>
      <c r="B272" s="26" t="n"/>
      <c r="C272" s="26" t="n"/>
      <c r="D272" s="26" t="n"/>
      <c r="E272" s="26" t="n"/>
      <c r="F272" s="25" t="n"/>
      <c r="G272" s="25" t="n"/>
      <c r="H272" s="25" t="n"/>
      <c r="I272" s="25" t="n"/>
      <c r="J272" s="25" t="n"/>
      <c r="K272" s="25" t="n"/>
      <c r="L272" s="25" t="n"/>
      <c r="M272" s="25" t="n"/>
      <c r="N272" s="25" t="n"/>
      <c r="O272" s="4" t="n"/>
      <c r="P272" s="4" t="n"/>
      <c r="Q272" s="4" t="n"/>
      <c r="R272" s="4" t="n"/>
      <c r="S272" s="4" t="n"/>
    </row>
    <row r="273" ht="15" customHeight="1" s="215">
      <c r="A273" s="26" t="n"/>
      <c r="B273" s="26" t="n"/>
      <c r="C273" s="26" t="n"/>
      <c r="D273" s="26" t="n"/>
      <c r="E273" s="26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4" t="n"/>
      <c r="P273" s="4" t="n"/>
      <c r="Q273" s="4" t="n"/>
      <c r="R273" s="4" t="n"/>
      <c r="S273" s="4" t="n"/>
    </row>
    <row r="274" ht="15" customHeight="1" s="215">
      <c r="A274" s="26" t="n"/>
      <c r="B274" s="26" t="n"/>
      <c r="C274" s="26" t="n"/>
      <c r="D274" s="26" t="n"/>
      <c r="E274" s="26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4" t="n"/>
      <c r="P274" s="4" t="n"/>
      <c r="Q274" s="4" t="n"/>
      <c r="R274" s="4" t="n"/>
      <c r="S274" s="4" t="n"/>
    </row>
    <row r="275" ht="15" customHeight="1" s="215">
      <c r="A275" s="26" t="n"/>
      <c r="B275" s="26" t="n"/>
      <c r="C275" s="26" t="n"/>
      <c r="D275" s="26" t="n"/>
      <c r="E275" s="26" t="n"/>
      <c r="F275" s="25" t="n"/>
      <c r="G275" s="25" t="n"/>
      <c r="H275" s="25" t="n"/>
      <c r="I275" s="25" t="n"/>
      <c r="J275" s="25" t="n"/>
      <c r="K275" s="25" t="n"/>
      <c r="L275" s="25" t="n"/>
      <c r="M275" s="25" t="n"/>
      <c r="N275" s="25" t="n"/>
      <c r="O275" s="4" t="n"/>
      <c r="P275" s="4" t="n"/>
      <c r="Q275" s="4" t="n"/>
      <c r="R275" s="4" t="n"/>
      <c r="S275" s="4" t="n"/>
    </row>
    <row r="276" ht="15" customHeight="1" s="215">
      <c r="A276" s="26" t="n"/>
      <c r="B276" s="26" t="n"/>
      <c r="C276" s="26" t="n"/>
      <c r="D276" s="26" t="n"/>
      <c r="E276" s="26" t="n"/>
      <c r="F276" s="25" t="n"/>
      <c r="G276" s="25" t="n"/>
      <c r="H276" s="25" t="n"/>
      <c r="I276" s="25" t="n"/>
      <c r="J276" s="25" t="n"/>
      <c r="K276" s="25" t="n"/>
      <c r="L276" s="25" t="n"/>
      <c r="M276" s="25" t="n"/>
      <c r="N276" s="25" t="n"/>
      <c r="O276" s="4" t="n"/>
      <c r="P276" s="4" t="n"/>
      <c r="Q276" s="4" t="n"/>
      <c r="R276" s="4" t="n"/>
      <c r="S276" s="4" t="n"/>
    </row>
    <row r="277" ht="15" customHeight="1" s="215">
      <c r="A277" s="26" t="n"/>
      <c r="B277" s="26" t="n"/>
      <c r="C277" s="26" t="n"/>
      <c r="D277" s="26" t="n"/>
      <c r="E277" s="26" t="n"/>
      <c r="F277" s="25" t="n"/>
      <c r="G277" s="25" t="n"/>
      <c r="H277" s="25" t="n"/>
      <c r="I277" s="25" t="n"/>
      <c r="J277" s="25" t="n"/>
      <c r="K277" s="25" t="n"/>
      <c r="L277" s="25" t="n"/>
      <c r="M277" s="25" t="n"/>
      <c r="N277" s="25" t="n"/>
      <c r="O277" s="4" t="n"/>
      <c r="P277" s="4" t="n"/>
      <c r="Q277" s="4" t="n"/>
      <c r="R277" s="4" t="n"/>
      <c r="S277" s="4" t="n"/>
    </row>
    <row r="278" ht="15" customHeight="1" s="215">
      <c r="A278" s="26" t="n"/>
      <c r="B278" s="26" t="n"/>
      <c r="C278" s="26" t="n"/>
      <c r="D278" s="26" t="n"/>
      <c r="E278" s="26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4" t="n"/>
      <c r="P278" s="4" t="n"/>
      <c r="Q278" s="4" t="n"/>
      <c r="R278" s="4" t="n"/>
      <c r="S278" s="4" t="n"/>
    </row>
    <row r="279" ht="15" customHeight="1" s="215">
      <c r="A279" s="26" t="n"/>
      <c r="B279" s="26" t="n"/>
      <c r="C279" s="26" t="n"/>
      <c r="D279" s="26" t="n"/>
      <c r="E279" s="26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4" t="n"/>
      <c r="P279" s="4" t="n"/>
      <c r="Q279" s="4" t="n"/>
      <c r="R279" s="4" t="n"/>
      <c r="S279" s="4" t="n"/>
    </row>
    <row r="280" ht="15" customHeight="1" s="215">
      <c r="A280" s="26" t="n"/>
      <c r="B280" s="26" t="n"/>
      <c r="C280" s="26" t="n"/>
      <c r="D280" s="26" t="n"/>
      <c r="E280" s="26" t="n"/>
      <c r="F280" s="25" t="n"/>
      <c r="G280" s="25" t="n"/>
      <c r="H280" s="25" t="n"/>
      <c r="I280" s="25" t="n"/>
      <c r="J280" s="25" t="n"/>
      <c r="K280" s="25" t="n"/>
      <c r="L280" s="25" t="n"/>
      <c r="M280" s="25" t="n"/>
      <c r="N280" s="25" t="n"/>
      <c r="O280" s="4" t="n"/>
      <c r="P280" s="4" t="n"/>
      <c r="Q280" s="4" t="n"/>
      <c r="R280" s="4" t="n"/>
      <c r="S280" s="4" t="n"/>
    </row>
    <row r="281" ht="15" customHeight="1" s="215">
      <c r="A281" s="26" t="n"/>
      <c r="B281" s="26" t="n"/>
      <c r="C281" s="26" t="n"/>
      <c r="D281" s="26" t="n"/>
      <c r="E281" s="26" t="n"/>
      <c r="F281" s="25" t="n"/>
      <c r="G281" s="25" t="n"/>
      <c r="H281" s="25" t="n"/>
      <c r="I281" s="25" t="n"/>
      <c r="J281" s="25" t="n"/>
      <c r="K281" s="25" t="n"/>
      <c r="L281" s="25" t="n"/>
      <c r="M281" s="25" t="n"/>
      <c r="N281" s="25" t="n"/>
      <c r="O281" s="4" t="n"/>
      <c r="P281" s="4" t="n"/>
      <c r="Q281" s="4" t="n"/>
      <c r="R281" s="4" t="n"/>
      <c r="S281" s="4" t="n"/>
    </row>
    <row r="282" ht="15" customHeight="1" s="215">
      <c r="A282" s="26" t="n"/>
      <c r="B282" s="26" t="n"/>
      <c r="C282" s="26" t="n"/>
      <c r="D282" s="26" t="n"/>
      <c r="E282" s="26" t="n"/>
      <c r="F282" s="25" t="n"/>
      <c r="G282" s="25" t="n"/>
      <c r="H282" s="25" t="n"/>
      <c r="I282" s="25" t="n"/>
      <c r="J282" s="25" t="n"/>
      <c r="K282" s="25" t="n"/>
      <c r="L282" s="25" t="n"/>
      <c r="M282" s="25" t="n"/>
      <c r="N282" s="25" t="n"/>
      <c r="O282" s="4" t="n"/>
      <c r="P282" s="4" t="n"/>
      <c r="Q282" s="4" t="n"/>
      <c r="R282" s="4" t="n"/>
      <c r="S282" s="4" t="n"/>
    </row>
    <row r="283" ht="15" customHeight="1" s="215">
      <c r="A283" s="26" t="n"/>
      <c r="B283" s="26" t="n"/>
      <c r="C283" s="26" t="n"/>
      <c r="D283" s="26" t="n"/>
      <c r="E283" s="26" t="n"/>
      <c r="F283" s="25" t="n"/>
      <c r="G283" s="25" t="n"/>
      <c r="H283" s="25" t="n"/>
      <c r="I283" s="25" t="n"/>
      <c r="J283" s="25" t="n"/>
      <c r="K283" s="25" t="n"/>
      <c r="L283" s="25" t="n"/>
      <c r="M283" s="25" t="n"/>
      <c r="N283" s="25" t="n"/>
      <c r="O283" s="4" t="n"/>
      <c r="P283" s="4" t="n"/>
      <c r="Q283" s="4" t="n"/>
      <c r="R283" s="4" t="n"/>
      <c r="S283" s="4" t="n"/>
    </row>
    <row r="284" ht="15" customHeight="1" s="215">
      <c r="A284" s="26" t="n"/>
      <c r="B284" s="26" t="n"/>
      <c r="C284" s="26" t="n"/>
      <c r="D284" s="26" t="n"/>
      <c r="E284" s="26" t="n"/>
      <c r="F284" s="25" t="n"/>
      <c r="G284" s="25" t="n"/>
      <c r="H284" s="25" t="n"/>
      <c r="I284" s="25" t="n"/>
      <c r="J284" s="25" t="n"/>
      <c r="K284" s="25" t="n"/>
      <c r="L284" s="25" t="n"/>
      <c r="M284" s="25" t="n"/>
      <c r="N284" s="25" t="n"/>
      <c r="O284" s="4" t="n"/>
      <c r="P284" s="4" t="n"/>
      <c r="Q284" s="4" t="n"/>
      <c r="R284" s="4" t="n"/>
      <c r="S284" s="4" t="n"/>
    </row>
    <row r="285" ht="15" customHeight="1" s="215">
      <c r="A285" s="26" t="n"/>
      <c r="B285" s="26" t="n"/>
      <c r="C285" s="26" t="n"/>
      <c r="D285" s="26" t="n"/>
      <c r="E285" s="26" t="n"/>
      <c r="F285" s="25" t="n"/>
      <c r="G285" s="25" t="n"/>
      <c r="H285" s="25" t="n"/>
      <c r="I285" s="25" t="n"/>
      <c r="J285" s="25" t="n"/>
      <c r="K285" s="25" t="n"/>
      <c r="L285" s="25" t="n"/>
      <c r="M285" s="25" t="n"/>
      <c r="N285" s="25" t="n"/>
      <c r="O285" s="4" t="n"/>
      <c r="P285" s="4" t="n"/>
      <c r="Q285" s="4" t="n"/>
      <c r="R285" s="4" t="n"/>
      <c r="S285" s="4" t="n"/>
    </row>
    <row r="286" ht="15" customHeight="1" s="215">
      <c r="A286" s="26" t="n"/>
      <c r="B286" s="26" t="n"/>
      <c r="C286" s="26" t="n"/>
      <c r="D286" s="26" t="n"/>
      <c r="E286" s="26" t="n"/>
      <c r="F286" s="25" t="n"/>
      <c r="G286" s="25" t="n"/>
      <c r="H286" s="25" t="n"/>
      <c r="I286" s="25" t="n"/>
      <c r="J286" s="25" t="n"/>
      <c r="K286" s="25" t="n"/>
      <c r="L286" s="25" t="n"/>
      <c r="M286" s="25" t="n"/>
      <c r="N286" s="25" t="n"/>
      <c r="O286" s="4" t="n"/>
      <c r="P286" s="4" t="n"/>
      <c r="Q286" s="4" t="n"/>
      <c r="R286" s="4" t="n"/>
      <c r="S286" s="4" t="n"/>
    </row>
    <row r="287" ht="15" customHeight="1" s="215">
      <c r="A287" s="26" t="n"/>
      <c r="B287" s="26" t="n"/>
      <c r="C287" s="26" t="n"/>
      <c r="D287" s="26" t="n"/>
      <c r="E287" s="26" t="n"/>
      <c r="F287" s="25" t="n"/>
      <c r="G287" s="25" t="n"/>
      <c r="H287" s="25" t="n"/>
      <c r="I287" s="25" t="n"/>
      <c r="J287" s="25" t="n"/>
      <c r="K287" s="25" t="n"/>
      <c r="L287" s="25" t="n"/>
      <c r="M287" s="25" t="n"/>
      <c r="N287" s="25" t="n"/>
      <c r="O287" s="4" t="n"/>
      <c r="P287" s="4" t="n"/>
      <c r="Q287" s="4" t="n"/>
      <c r="R287" s="4" t="n"/>
      <c r="S287" s="4" t="n"/>
    </row>
    <row r="288" ht="15" customHeight="1" s="215">
      <c r="A288" s="26" t="n"/>
      <c r="B288" s="26" t="n"/>
      <c r="C288" s="26" t="n"/>
      <c r="D288" s="26" t="n"/>
      <c r="E288" s="26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4" t="n"/>
      <c r="P288" s="4" t="n"/>
      <c r="Q288" s="4" t="n"/>
      <c r="R288" s="4" t="n"/>
      <c r="S288" s="4" t="n"/>
    </row>
    <row r="289" ht="15" customHeight="1" s="215">
      <c r="A289" s="26" t="n"/>
      <c r="B289" s="26" t="n"/>
      <c r="C289" s="26" t="n"/>
      <c r="D289" s="26" t="n"/>
      <c r="E289" s="26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4" t="n"/>
      <c r="P289" s="4" t="n"/>
      <c r="Q289" s="4" t="n"/>
      <c r="R289" s="4" t="n"/>
      <c r="S289" s="4" t="n"/>
    </row>
    <row r="290" ht="15" customHeight="1" s="215">
      <c r="A290" s="26" t="n"/>
      <c r="B290" s="26" t="n"/>
      <c r="C290" s="26" t="n"/>
      <c r="D290" s="26" t="n"/>
      <c r="E290" s="26" t="n"/>
      <c r="F290" s="25" t="n"/>
      <c r="G290" s="25" t="n"/>
      <c r="H290" s="25" t="n"/>
      <c r="I290" s="25" t="n"/>
      <c r="J290" s="25" t="n"/>
      <c r="K290" s="25" t="n"/>
      <c r="L290" s="25" t="n"/>
      <c r="M290" s="25" t="n"/>
      <c r="N290" s="25" t="n"/>
      <c r="O290" s="4" t="n"/>
      <c r="P290" s="4" t="n"/>
      <c r="Q290" s="4" t="n"/>
      <c r="R290" s="4" t="n"/>
      <c r="S290" s="4" t="n"/>
    </row>
    <row r="291" ht="15" customHeight="1" s="215">
      <c r="A291" s="26" t="n"/>
      <c r="B291" s="26" t="n"/>
      <c r="C291" s="26" t="n"/>
      <c r="D291" s="26" t="n"/>
      <c r="E291" s="26" t="n"/>
      <c r="F291" s="25" t="n"/>
      <c r="G291" s="25" t="n"/>
      <c r="H291" s="25" t="n"/>
      <c r="I291" s="25" t="n"/>
      <c r="J291" s="25" t="n"/>
      <c r="K291" s="25" t="n"/>
      <c r="L291" s="25" t="n"/>
      <c r="M291" s="25" t="n"/>
      <c r="N291" s="25" t="n"/>
      <c r="O291" s="4" t="n"/>
      <c r="P291" s="4" t="n"/>
      <c r="Q291" s="4" t="n"/>
      <c r="R291" s="4" t="n"/>
      <c r="S291" s="4" t="n"/>
    </row>
    <row r="292" ht="15" customHeight="1" s="215">
      <c r="A292" s="26" t="n"/>
      <c r="B292" s="26" t="n"/>
      <c r="C292" s="26" t="n"/>
      <c r="D292" s="26" t="n"/>
      <c r="E292" s="26" t="n"/>
      <c r="F292" s="25" t="n"/>
      <c r="G292" s="25" t="n"/>
      <c r="H292" s="25" t="n"/>
      <c r="I292" s="25" t="n"/>
      <c r="J292" s="25" t="n"/>
      <c r="K292" s="25" t="n"/>
      <c r="L292" s="25" t="n"/>
      <c r="M292" s="25" t="n"/>
      <c r="N292" s="25" t="n"/>
      <c r="O292" s="4" t="n"/>
      <c r="P292" s="4" t="n"/>
      <c r="Q292" s="4" t="n"/>
      <c r="R292" s="4" t="n"/>
      <c r="S292" s="4" t="n"/>
    </row>
    <row r="293" ht="15" customHeight="1" s="215">
      <c r="A293" s="26" t="n"/>
      <c r="B293" s="26" t="n"/>
      <c r="C293" s="26" t="n"/>
      <c r="D293" s="26" t="n"/>
      <c r="E293" s="26" t="n"/>
      <c r="F293" s="25" t="n"/>
      <c r="G293" s="25" t="n"/>
      <c r="H293" s="25" t="n"/>
      <c r="I293" s="25" t="n"/>
      <c r="J293" s="25" t="n"/>
      <c r="K293" s="25" t="n"/>
      <c r="L293" s="25" t="n"/>
      <c r="M293" s="25" t="n"/>
      <c r="N293" s="25" t="n"/>
      <c r="O293" s="4" t="n"/>
      <c r="P293" s="4" t="n"/>
      <c r="Q293" s="4" t="n"/>
      <c r="R293" s="4" t="n"/>
      <c r="S293" s="4" t="n"/>
    </row>
    <row r="294" ht="15" customHeight="1" s="215">
      <c r="A294" s="26" t="n"/>
      <c r="B294" s="26" t="n"/>
      <c r="C294" s="26" t="n"/>
      <c r="D294" s="26" t="n"/>
      <c r="E294" s="26" t="n"/>
      <c r="F294" s="25" t="n"/>
      <c r="G294" s="25" t="n"/>
      <c r="H294" s="25" t="n"/>
      <c r="I294" s="25" t="n"/>
      <c r="J294" s="25" t="n"/>
      <c r="K294" s="25" t="n"/>
      <c r="L294" s="25" t="n"/>
      <c r="M294" s="25" t="n"/>
      <c r="N294" s="25" t="n"/>
      <c r="O294" s="4" t="n"/>
      <c r="P294" s="4" t="n"/>
      <c r="Q294" s="4" t="n"/>
      <c r="R294" s="4" t="n"/>
      <c r="S294" s="4" t="n"/>
    </row>
    <row r="295" ht="15" customHeight="1" s="215">
      <c r="A295" s="26" t="n"/>
      <c r="B295" s="26" t="n"/>
      <c r="C295" s="26" t="n"/>
      <c r="D295" s="26" t="n"/>
      <c r="E295" s="26" t="n"/>
      <c r="F295" s="25" t="n"/>
      <c r="G295" s="25" t="n"/>
      <c r="H295" s="25" t="n"/>
      <c r="I295" s="25" t="n"/>
      <c r="J295" s="25" t="n"/>
      <c r="K295" s="25" t="n"/>
      <c r="L295" s="25" t="n"/>
      <c r="M295" s="25" t="n"/>
      <c r="N295" s="25" t="n"/>
      <c r="O295" s="4" t="n"/>
      <c r="P295" s="4" t="n"/>
      <c r="Q295" s="4" t="n"/>
      <c r="R295" s="4" t="n"/>
      <c r="S295" s="4" t="n"/>
    </row>
    <row r="296" ht="15" customHeight="1" s="215">
      <c r="A296" s="26" t="n"/>
      <c r="B296" s="26" t="n"/>
      <c r="C296" s="26" t="n"/>
      <c r="D296" s="26" t="n"/>
      <c r="E296" s="26" t="n"/>
      <c r="F296" s="25" t="n"/>
      <c r="G296" s="25" t="n"/>
      <c r="H296" s="25" t="n"/>
      <c r="I296" s="25" t="n"/>
      <c r="J296" s="25" t="n"/>
      <c r="K296" s="25" t="n"/>
      <c r="L296" s="25" t="n"/>
      <c r="M296" s="25" t="n"/>
      <c r="N296" s="25" t="n"/>
      <c r="O296" s="4" t="n"/>
      <c r="P296" s="4" t="n"/>
      <c r="Q296" s="4" t="n"/>
      <c r="R296" s="4" t="n"/>
      <c r="S296" s="4" t="n"/>
    </row>
    <row r="297" ht="15" customHeight="1" s="215">
      <c r="A297" s="26" t="n"/>
      <c r="B297" s="26" t="n"/>
      <c r="C297" s="26" t="n"/>
      <c r="D297" s="26" t="n"/>
      <c r="E297" s="26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4" t="n"/>
      <c r="P297" s="4" t="n"/>
      <c r="Q297" s="4" t="n"/>
      <c r="R297" s="4" t="n"/>
      <c r="S297" s="4" t="n"/>
    </row>
    <row r="298" ht="15" customHeight="1" s="215">
      <c r="A298" s="26" t="n"/>
      <c r="B298" s="26" t="n"/>
      <c r="C298" s="26" t="n"/>
      <c r="D298" s="26" t="n"/>
      <c r="E298" s="26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4" t="n"/>
      <c r="P298" s="4" t="n"/>
      <c r="Q298" s="4" t="n"/>
      <c r="R298" s="4" t="n"/>
      <c r="S298" s="4" t="n"/>
    </row>
    <row r="299" ht="15" customHeight="1" s="215">
      <c r="A299" s="26" t="n"/>
      <c r="B299" s="26" t="n"/>
      <c r="C299" s="26" t="n"/>
      <c r="D299" s="26" t="n"/>
      <c r="E299" s="26" t="n"/>
      <c r="F299" s="25" t="n"/>
      <c r="G299" s="25" t="n"/>
      <c r="H299" s="25" t="n"/>
      <c r="I299" s="25" t="n"/>
      <c r="J299" s="25" t="n"/>
      <c r="K299" s="25" t="n"/>
      <c r="L299" s="25" t="n"/>
      <c r="M299" s="25" t="n"/>
      <c r="N299" s="25" t="n"/>
      <c r="O299" s="4" t="n"/>
      <c r="P299" s="4" t="n"/>
      <c r="Q299" s="4" t="n"/>
      <c r="R299" s="4" t="n"/>
      <c r="S299" s="4" t="n"/>
    </row>
    <row r="300" ht="15" customHeight="1" s="215">
      <c r="A300" s="26" t="n"/>
      <c r="B300" s="26" t="n"/>
      <c r="C300" s="26" t="n"/>
      <c r="D300" s="26" t="n"/>
      <c r="E300" s="26" t="n"/>
      <c r="F300" s="25" t="n"/>
      <c r="G300" s="25" t="n"/>
      <c r="H300" s="25" t="n"/>
      <c r="I300" s="25" t="n"/>
      <c r="J300" s="25" t="n"/>
      <c r="K300" s="25" t="n"/>
      <c r="L300" s="25" t="n"/>
      <c r="M300" s="25" t="n"/>
      <c r="N300" s="25" t="n"/>
      <c r="O300" s="4" t="n"/>
      <c r="P300" s="4" t="n"/>
      <c r="Q300" s="4" t="n"/>
      <c r="R300" s="4" t="n"/>
      <c r="S300" s="4" t="n"/>
    </row>
    <row r="301" ht="15" customHeight="1" s="215">
      <c r="A301" s="26" t="n"/>
      <c r="B301" s="26" t="n"/>
      <c r="C301" s="26" t="n"/>
      <c r="D301" s="26" t="n"/>
      <c r="E301" s="26" t="n"/>
      <c r="F301" s="25" t="n"/>
      <c r="G301" s="25" t="n"/>
      <c r="H301" s="25" t="n"/>
      <c r="I301" s="25" t="n"/>
      <c r="J301" s="25" t="n"/>
      <c r="K301" s="25" t="n"/>
      <c r="L301" s="25" t="n"/>
      <c r="M301" s="25" t="n"/>
      <c r="N301" s="25" t="n"/>
      <c r="O301" s="4" t="n"/>
      <c r="P301" s="4" t="n"/>
      <c r="Q301" s="4" t="n"/>
      <c r="R301" s="4" t="n"/>
      <c r="S301" s="4" t="n"/>
    </row>
    <row r="302" ht="15" customHeight="1" s="215">
      <c r="A302" s="26" t="n"/>
      <c r="B302" s="26" t="n"/>
      <c r="C302" s="26" t="n"/>
      <c r="D302" s="26" t="n"/>
      <c r="E302" s="26" t="n"/>
      <c r="F302" s="25" t="n"/>
      <c r="G302" s="25" t="n"/>
      <c r="H302" s="25" t="n"/>
      <c r="I302" s="25" t="n"/>
      <c r="J302" s="25" t="n"/>
      <c r="K302" s="25" t="n"/>
      <c r="L302" s="25" t="n"/>
      <c r="M302" s="25" t="n"/>
      <c r="N302" s="25" t="n"/>
      <c r="O302" s="4" t="n"/>
      <c r="P302" s="4" t="n"/>
      <c r="Q302" s="4" t="n"/>
      <c r="R302" s="4" t="n"/>
      <c r="S302" s="4" t="n"/>
    </row>
    <row r="303" ht="15" customHeight="1" s="215">
      <c r="A303" s="26" t="n"/>
      <c r="B303" s="26" t="n"/>
      <c r="C303" s="26" t="n"/>
      <c r="D303" s="26" t="n"/>
      <c r="E303" s="26" t="n"/>
      <c r="F303" s="25" t="n"/>
      <c r="G303" s="25" t="n"/>
      <c r="H303" s="25" t="n"/>
      <c r="I303" s="25" t="n"/>
      <c r="J303" s="25" t="n"/>
      <c r="K303" s="25" t="n"/>
      <c r="L303" s="25" t="n"/>
      <c r="M303" s="25" t="n"/>
      <c r="N303" s="25" t="n"/>
      <c r="O303" s="4" t="n"/>
      <c r="P303" s="4" t="n"/>
      <c r="Q303" s="4" t="n"/>
      <c r="R303" s="4" t="n"/>
      <c r="S303" s="4" t="n"/>
    </row>
    <row r="304" ht="15" customHeight="1" s="215">
      <c r="A304" s="26" t="n"/>
      <c r="B304" s="26" t="n"/>
      <c r="C304" s="26" t="n"/>
      <c r="D304" s="26" t="n"/>
      <c r="E304" s="26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4" t="n"/>
      <c r="P304" s="4" t="n"/>
      <c r="Q304" s="4" t="n"/>
      <c r="R304" s="4" t="n"/>
      <c r="S304" s="4" t="n"/>
    </row>
    <row r="305" ht="15" customHeight="1" s="215">
      <c r="A305" s="26" t="n"/>
      <c r="B305" s="26" t="n"/>
      <c r="C305" s="26" t="n"/>
      <c r="D305" s="26" t="n"/>
      <c r="E305" s="26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4" t="n"/>
      <c r="P305" s="4" t="n"/>
      <c r="Q305" s="4" t="n"/>
      <c r="R305" s="4" t="n"/>
      <c r="S305" s="4" t="n"/>
    </row>
    <row r="306" ht="15" customHeight="1" s="215">
      <c r="A306" s="26" t="n"/>
      <c r="B306" s="26" t="n"/>
      <c r="C306" s="26" t="n"/>
      <c r="D306" s="26" t="n"/>
      <c r="E306" s="26" t="n"/>
      <c r="F306" s="25" t="n"/>
      <c r="G306" s="25" t="n"/>
      <c r="H306" s="25" t="n"/>
      <c r="I306" s="25" t="n"/>
      <c r="J306" s="25" t="n"/>
      <c r="K306" s="25" t="n"/>
      <c r="L306" s="25" t="n"/>
      <c r="M306" s="25" t="n"/>
      <c r="N306" s="25" t="n"/>
      <c r="O306" s="4" t="n"/>
      <c r="P306" s="4" t="n"/>
      <c r="Q306" s="4" t="n"/>
      <c r="R306" s="4" t="n"/>
      <c r="S306" s="4" t="n"/>
    </row>
    <row r="307" ht="15" customHeight="1" s="215">
      <c r="A307" s="26" t="n"/>
      <c r="B307" s="26" t="n"/>
      <c r="C307" s="26" t="n"/>
      <c r="D307" s="26" t="n"/>
      <c r="E307" s="26" t="n"/>
      <c r="F307" s="25" t="n"/>
      <c r="G307" s="25" t="n"/>
      <c r="H307" s="25" t="n"/>
      <c r="I307" s="25" t="n"/>
      <c r="J307" s="25" t="n"/>
      <c r="K307" s="25" t="n"/>
      <c r="L307" s="25" t="n"/>
      <c r="M307" s="25" t="n"/>
      <c r="N307" s="25" t="n"/>
      <c r="O307" s="4" t="n"/>
      <c r="P307" s="4" t="n"/>
      <c r="Q307" s="4" t="n"/>
      <c r="R307" s="4" t="n"/>
      <c r="S307" s="4" t="n"/>
    </row>
    <row r="308" ht="15" customHeight="1" s="215">
      <c r="A308" s="26" t="n"/>
      <c r="B308" s="26" t="n"/>
      <c r="C308" s="26" t="n"/>
      <c r="D308" s="26" t="n"/>
      <c r="E308" s="26" t="n"/>
      <c r="F308" s="25" t="n"/>
      <c r="G308" s="25" t="n"/>
      <c r="H308" s="25" t="n"/>
      <c r="I308" s="25" t="n"/>
      <c r="J308" s="25" t="n"/>
      <c r="K308" s="25" t="n"/>
      <c r="L308" s="25" t="n"/>
      <c r="M308" s="25" t="n"/>
      <c r="N308" s="25" t="n"/>
      <c r="O308" s="4" t="n"/>
      <c r="P308" s="4" t="n"/>
      <c r="Q308" s="4" t="n"/>
      <c r="R308" s="4" t="n"/>
      <c r="S308" s="4" t="n"/>
    </row>
    <row r="309" ht="15" customHeight="1" s="215">
      <c r="A309" s="26" t="n"/>
      <c r="B309" s="26" t="n"/>
      <c r="C309" s="26" t="n"/>
      <c r="D309" s="26" t="n"/>
      <c r="E309" s="26" t="n"/>
      <c r="F309" s="25" t="n"/>
      <c r="G309" s="25" t="n"/>
      <c r="H309" s="25" t="n"/>
      <c r="I309" s="25" t="n"/>
      <c r="J309" s="25" t="n"/>
      <c r="K309" s="25" t="n"/>
      <c r="L309" s="25" t="n"/>
      <c r="M309" s="25" t="n"/>
      <c r="N309" s="25" t="n"/>
      <c r="O309" s="4" t="n"/>
      <c r="P309" s="4" t="n"/>
      <c r="Q309" s="4" t="n"/>
      <c r="R309" s="4" t="n"/>
      <c r="S309" s="4" t="n"/>
    </row>
    <row r="310" ht="15" customHeight="1" s="215">
      <c r="A310" s="26" t="n"/>
      <c r="B310" s="26" t="n"/>
      <c r="C310" s="26" t="n"/>
      <c r="D310" s="26" t="n"/>
      <c r="E310" s="26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4" t="n"/>
      <c r="P310" s="4" t="n"/>
      <c r="Q310" s="4" t="n"/>
      <c r="R310" s="4" t="n"/>
      <c r="S310" s="4" t="n"/>
    </row>
    <row r="311" ht="15" customHeight="1" s="215">
      <c r="A311" s="26" t="n"/>
      <c r="B311" s="26" t="n"/>
      <c r="C311" s="26" t="n"/>
      <c r="D311" s="26" t="n"/>
      <c r="E311" s="26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4" t="n"/>
      <c r="P311" s="4" t="n"/>
      <c r="Q311" s="4" t="n"/>
      <c r="R311" s="4" t="n"/>
      <c r="S311" s="4" t="n"/>
    </row>
    <row r="312" ht="15" customHeight="1" s="215">
      <c r="A312" s="26" t="n"/>
      <c r="B312" s="26" t="n"/>
      <c r="C312" s="26" t="n"/>
      <c r="D312" s="26" t="n"/>
      <c r="E312" s="26" t="n"/>
      <c r="F312" s="25" t="n"/>
      <c r="G312" s="25" t="n"/>
      <c r="H312" s="25" t="n"/>
      <c r="I312" s="25" t="n"/>
      <c r="J312" s="25" t="n"/>
      <c r="K312" s="25" t="n"/>
      <c r="L312" s="25" t="n"/>
      <c r="M312" s="25" t="n"/>
      <c r="N312" s="25" t="n"/>
      <c r="O312" s="4" t="n"/>
      <c r="P312" s="4" t="n"/>
      <c r="Q312" s="4" t="n"/>
      <c r="R312" s="4" t="n"/>
      <c r="S312" s="4" t="n"/>
    </row>
    <row r="313" ht="15" customHeight="1" s="215">
      <c r="A313" s="26" t="n"/>
      <c r="B313" s="26" t="n"/>
      <c r="C313" s="26" t="n"/>
      <c r="D313" s="26" t="n"/>
      <c r="E313" s="26" t="n"/>
      <c r="F313" s="25" t="n"/>
      <c r="G313" s="25" t="n"/>
      <c r="H313" s="25" t="n"/>
      <c r="I313" s="25" t="n"/>
      <c r="J313" s="25" t="n"/>
      <c r="K313" s="25" t="n"/>
      <c r="L313" s="25" t="n"/>
      <c r="M313" s="25" t="n"/>
      <c r="N313" s="25" t="n"/>
      <c r="O313" s="4" t="n"/>
      <c r="P313" s="4" t="n"/>
      <c r="Q313" s="4" t="n"/>
      <c r="R313" s="4" t="n"/>
      <c r="S313" s="4" t="n"/>
    </row>
    <row r="314" ht="15" customHeight="1" s="215">
      <c r="A314" s="26" t="n"/>
      <c r="B314" s="26" t="n"/>
      <c r="C314" s="26" t="n"/>
      <c r="D314" s="26" t="n"/>
      <c r="E314" s="26" t="n"/>
      <c r="F314" s="25" t="n"/>
      <c r="G314" s="25" t="n"/>
      <c r="H314" s="25" t="n"/>
      <c r="I314" s="25" t="n"/>
      <c r="J314" s="25" t="n"/>
      <c r="K314" s="25" t="n"/>
      <c r="L314" s="25" t="n"/>
      <c r="M314" s="25" t="n"/>
      <c r="N314" s="25" t="n"/>
      <c r="O314" s="4" t="n"/>
      <c r="P314" s="4" t="n"/>
      <c r="Q314" s="4" t="n"/>
      <c r="R314" s="4" t="n"/>
      <c r="S314" s="4" t="n"/>
    </row>
    <row r="315" ht="15" customHeight="1" s="215">
      <c r="A315" s="26" t="n"/>
      <c r="B315" s="26" t="n"/>
      <c r="C315" s="26" t="n"/>
      <c r="D315" s="26" t="n"/>
      <c r="E315" s="26" t="n"/>
      <c r="F315" s="25" t="n"/>
      <c r="G315" s="25" t="n"/>
      <c r="H315" s="25" t="n"/>
      <c r="I315" s="25" t="n"/>
      <c r="J315" s="25" t="n"/>
      <c r="K315" s="25" t="n"/>
      <c r="L315" s="25" t="n"/>
      <c r="M315" s="25" t="n"/>
      <c r="N315" s="25" t="n"/>
      <c r="O315" s="4" t="n"/>
      <c r="P315" s="4" t="n"/>
      <c r="Q315" s="4" t="n"/>
      <c r="R315" s="4" t="n"/>
      <c r="S315" s="4" t="n"/>
    </row>
    <row r="316" ht="15" customHeight="1" s="215">
      <c r="A316" s="26" t="n"/>
      <c r="B316" s="26" t="n"/>
      <c r="C316" s="26" t="n"/>
      <c r="D316" s="26" t="n"/>
      <c r="E316" s="26" t="n"/>
      <c r="F316" s="25" t="n"/>
      <c r="G316" s="25" t="n"/>
      <c r="H316" s="25" t="n"/>
      <c r="I316" s="25" t="n"/>
      <c r="J316" s="25" t="n"/>
      <c r="K316" s="25" t="n"/>
      <c r="L316" s="25" t="n"/>
      <c r="M316" s="25" t="n"/>
      <c r="N316" s="25" t="n"/>
      <c r="O316" s="4" t="n"/>
      <c r="P316" s="4" t="n"/>
      <c r="Q316" s="4" t="n"/>
      <c r="R316" s="4" t="n"/>
      <c r="S316" s="4" t="n"/>
    </row>
    <row r="317" ht="15" customHeight="1" s="215">
      <c r="A317" s="26" t="n"/>
      <c r="B317" s="26" t="n"/>
      <c r="C317" s="26" t="n"/>
      <c r="D317" s="26" t="n"/>
      <c r="E317" s="26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4" t="n"/>
      <c r="P317" s="4" t="n"/>
      <c r="Q317" s="4" t="n"/>
      <c r="R317" s="4" t="n"/>
      <c r="S317" s="4" t="n"/>
    </row>
    <row r="318" ht="15" customHeight="1" s="215">
      <c r="A318" s="26" t="n"/>
      <c r="B318" s="26" t="n"/>
      <c r="C318" s="26" t="n"/>
      <c r="D318" s="26" t="n"/>
      <c r="E318" s="26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4" t="n"/>
      <c r="P318" s="4" t="n"/>
      <c r="Q318" s="4" t="n"/>
      <c r="R318" s="4" t="n"/>
      <c r="S318" s="4" t="n"/>
    </row>
    <row r="319" ht="15" customHeight="1" s="215">
      <c r="A319" s="26" t="n"/>
      <c r="B319" s="26" t="n"/>
      <c r="C319" s="26" t="n"/>
      <c r="D319" s="26" t="n"/>
      <c r="E319" s="26" t="n"/>
      <c r="F319" s="25" t="n"/>
      <c r="G319" s="25" t="n"/>
      <c r="H319" s="25" t="n"/>
      <c r="I319" s="25" t="n"/>
      <c r="J319" s="25" t="n"/>
      <c r="K319" s="25" t="n"/>
      <c r="L319" s="25" t="n"/>
      <c r="M319" s="25" t="n"/>
      <c r="N319" s="25" t="n"/>
      <c r="O319" s="4" t="n"/>
      <c r="P319" s="4" t="n"/>
      <c r="Q319" s="4" t="n"/>
      <c r="R319" s="4" t="n"/>
      <c r="S319" s="4" t="n"/>
    </row>
    <row r="320" ht="15" customHeight="1" s="215">
      <c r="A320" s="26" t="n"/>
      <c r="B320" s="26" t="n"/>
      <c r="C320" s="26" t="n"/>
      <c r="D320" s="26" t="n"/>
      <c r="E320" s="26" t="n"/>
      <c r="F320" s="25" t="n"/>
      <c r="G320" s="25" t="n"/>
      <c r="H320" s="25" t="n"/>
      <c r="I320" s="25" t="n"/>
      <c r="J320" s="25" t="n"/>
      <c r="K320" s="25" t="n"/>
      <c r="L320" s="25" t="n"/>
      <c r="M320" s="25" t="n"/>
      <c r="N320" s="25" t="n"/>
      <c r="O320" s="4" t="n"/>
      <c r="P320" s="4" t="n"/>
      <c r="Q320" s="4" t="n"/>
      <c r="R320" s="4" t="n"/>
      <c r="S320" s="4" t="n"/>
    </row>
    <row r="321" ht="15" customHeight="1" s="215">
      <c r="A321" s="26" t="n"/>
      <c r="B321" s="26" t="n"/>
      <c r="C321" s="26" t="n"/>
      <c r="D321" s="26" t="n"/>
      <c r="E321" s="26" t="n"/>
      <c r="F321" s="25" t="n"/>
      <c r="G321" s="25" t="n"/>
      <c r="H321" s="25" t="n"/>
      <c r="I321" s="25" t="n"/>
      <c r="J321" s="25" t="n"/>
      <c r="K321" s="25" t="n"/>
      <c r="L321" s="25" t="n"/>
      <c r="M321" s="25" t="n"/>
      <c r="N321" s="25" t="n"/>
      <c r="O321" s="4" t="n"/>
      <c r="P321" s="4" t="n"/>
      <c r="Q321" s="4" t="n"/>
      <c r="R321" s="4" t="n"/>
      <c r="S321" s="4" t="n"/>
    </row>
    <row r="322" ht="15" customHeight="1" s="215">
      <c r="A322" s="26" t="n"/>
      <c r="B322" s="26" t="n"/>
      <c r="C322" s="26" t="n"/>
      <c r="D322" s="26" t="n"/>
      <c r="E322" s="26" t="n"/>
      <c r="F322" s="25" t="n"/>
      <c r="G322" s="25" t="n"/>
      <c r="H322" s="25" t="n"/>
      <c r="I322" s="25" t="n"/>
      <c r="J322" s="25" t="n"/>
      <c r="K322" s="25" t="n"/>
      <c r="L322" s="25" t="n"/>
      <c r="M322" s="25" t="n"/>
      <c r="N322" s="25" t="n"/>
      <c r="O322" s="4" t="n"/>
      <c r="P322" s="4" t="n"/>
      <c r="Q322" s="4" t="n"/>
      <c r="R322" s="4" t="n"/>
      <c r="S322" s="4" t="n"/>
    </row>
    <row r="323" ht="15" customHeight="1" s="215">
      <c r="A323" s="26" t="n"/>
      <c r="B323" s="26" t="n"/>
      <c r="C323" s="26" t="n"/>
      <c r="D323" s="26" t="n"/>
      <c r="E323" s="26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4" t="n"/>
      <c r="P323" s="4" t="n"/>
      <c r="Q323" s="4" t="n"/>
      <c r="R323" s="4" t="n"/>
      <c r="S323" s="4" t="n"/>
    </row>
    <row r="324" ht="15" customHeight="1" s="215">
      <c r="A324" s="26" t="n"/>
      <c r="B324" s="26" t="n"/>
      <c r="C324" s="26" t="n"/>
      <c r="D324" s="26" t="n"/>
      <c r="E324" s="26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4" t="n"/>
      <c r="P324" s="4" t="n"/>
      <c r="Q324" s="4" t="n"/>
      <c r="R324" s="4" t="n"/>
      <c r="S324" s="4" t="n"/>
    </row>
    <row r="325" ht="15" customHeight="1" s="215">
      <c r="A325" s="26" t="n"/>
      <c r="B325" s="26" t="n"/>
      <c r="C325" s="26" t="n"/>
      <c r="D325" s="26" t="n"/>
      <c r="E325" s="26" t="n"/>
      <c r="F325" s="25" t="n"/>
      <c r="G325" s="25" t="n"/>
      <c r="H325" s="25" t="n"/>
      <c r="I325" s="25" t="n"/>
      <c r="J325" s="25" t="n"/>
      <c r="K325" s="25" t="n"/>
      <c r="L325" s="25" t="n"/>
      <c r="M325" s="25" t="n"/>
      <c r="N325" s="25" t="n"/>
      <c r="O325" s="4" t="n"/>
      <c r="P325" s="4" t="n"/>
      <c r="Q325" s="4" t="n"/>
      <c r="R325" s="4" t="n"/>
      <c r="S325" s="4" t="n"/>
    </row>
    <row r="326" ht="15" customHeight="1" s="215">
      <c r="A326" s="26" t="n"/>
      <c r="B326" s="26" t="n"/>
      <c r="C326" s="26" t="n"/>
      <c r="D326" s="26" t="n"/>
      <c r="E326" s="26" t="n"/>
      <c r="F326" s="25" t="n"/>
      <c r="G326" s="25" t="n"/>
      <c r="H326" s="25" t="n"/>
      <c r="I326" s="25" t="n"/>
      <c r="J326" s="25" t="n"/>
      <c r="K326" s="25" t="n"/>
      <c r="L326" s="25" t="n"/>
      <c r="M326" s="25" t="n"/>
      <c r="N326" s="25" t="n"/>
      <c r="O326" s="4" t="n"/>
      <c r="P326" s="4" t="n"/>
      <c r="Q326" s="4" t="n"/>
      <c r="R326" s="4" t="n"/>
      <c r="S326" s="4" t="n"/>
    </row>
    <row r="327" ht="15" customHeight="1" s="215">
      <c r="A327" s="26" t="n"/>
      <c r="B327" s="26" t="n"/>
      <c r="C327" s="26" t="n"/>
      <c r="D327" s="26" t="n"/>
      <c r="E327" s="26" t="n"/>
      <c r="F327" s="25" t="n"/>
      <c r="G327" s="25" t="n"/>
      <c r="H327" s="25" t="n"/>
      <c r="I327" s="25" t="n"/>
      <c r="J327" s="25" t="n"/>
      <c r="K327" s="25" t="n"/>
      <c r="L327" s="25" t="n"/>
      <c r="M327" s="25" t="n"/>
      <c r="N327" s="25" t="n"/>
      <c r="O327" s="4" t="n"/>
      <c r="P327" s="4" t="n"/>
      <c r="Q327" s="4" t="n"/>
      <c r="R327" s="4" t="n"/>
      <c r="S327" s="4" t="n"/>
    </row>
    <row r="328" ht="15" customHeight="1" s="215">
      <c r="A328" s="26" t="n"/>
      <c r="B328" s="26" t="n"/>
      <c r="C328" s="26" t="n"/>
      <c r="D328" s="26" t="n"/>
      <c r="E328" s="26" t="n"/>
      <c r="F328" s="25" t="n"/>
      <c r="G328" s="25" t="n"/>
      <c r="H328" s="25" t="n"/>
      <c r="I328" s="25" t="n"/>
      <c r="J328" s="25" t="n"/>
      <c r="K328" s="25" t="n"/>
      <c r="L328" s="25" t="n"/>
      <c r="M328" s="25" t="n"/>
      <c r="N328" s="25" t="n"/>
      <c r="O328" s="4" t="n"/>
      <c r="P328" s="4" t="n"/>
      <c r="Q328" s="4" t="n"/>
      <c r="R328" s="4" t="n"/>
      <c r="S328" s="4" t="n"/>
    </row>
    <row r="329" ht="15" customHeight="1" s="215">
      <c r="A329" s="26" t="n"/>
      <c r="B329" s="26" t="n"/>
      <c r="C329" s="26" t="n"/>
      <c r="D329" s="26" t="n"/>
      <c r="E329" s="26" t="n"/>
      <c r="F329" s="25" t="n"/>
      <c r="G329" s="25" t="n"/>
      <c r="H329" s="25" t="n"/>
      <c r="I329" s="25" t="n"/>
      <c r="J329" s="25" t="n"/>
      <c r="K329" s="25" t="n"/>
      <c r="L329" s="25" t="n"/>
      <c r="M329" s="25" t="n"/>
      <c r="N329" s="25" t="n"/>
      <c r="O329" s="4" t="n"/>
      <c r="P329" s="4" t="n"/>
      <c r="Q329" s="4" t="n"/>
      <c r="R329" s="4" t="n"/>
      <c r="S329" s="4" t="n"/>
    </row>
    <row r="330" ht="15" customHeight="1" s="215">
      <c r="A330" s="26" t="n"/>
      <c r="B330" s="26" t="n"/>
      <c r="C330" s="26" t="n"/>
      <c r="D330" s="26" t="n"/>
      <c r="E330" s="26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4" t="n"/>
      <c r="P330" s="4" t="n"/>
      <c r="Q330" s="4" t="n"/>
      <c r="R330" s="4" t="n"/>
      <c r="S330" s="4" t="n"/>
    </row>
    <row r="331" ht="15" customHeight="1" s="215">
      <c r="A331" s="26" t="n"/>
      <c r="B331" s="26" t="n"/>
      <c r="C331" s="26" t="n"/>
      <c r="D331" s="26" t="n"/>
      <c r="E331" s="26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4" t="n"/>
      <c r="P331" s="4" t="n"/>
      <c r="Q331" s="4" t="n"/>
      <c r="R331" s="4" t="n"/>
      <c r="S331" s="4" t="n"/>
    </row>
    <row r="332" ht="15" customHeight="1" s="215">
      <c r="A332" s="26" t="n"/>
      <c r="B332" s="26" t="n"/>
      <c r="C332" s="26" t="n"/>
      <c r="D332" s="26" t="n"/>
      <c r="E332" s="26" t="n"/>
      <c r="F332" s="25" t="n"/>
      <c r="G332" s="25" t="n"/>
      <c r="H332" s="25" t="n"/>
      <c r="I332" s="25" t="n"/>
      <c r="J332" s="25" t="n"/>
      <c r="K332" s="25" t="n"/>
      <c r="L332" s="25" t="n"/>
      <c r="M332" s="25" t="n"/>
      <c r="N332" s="25" t="n"/>
      <c r="O332" s="4" t="n"/>
      <c r="P332" s="4" t="n"/>
      <c r="Q332" s="4" t="n"/>
      <c r="R332" s="4" t="n"/>
      <c r="S332" s="4" t="n"/>
    </row>
    <row r="333" ht="15" customHeight="1" s="215">
      <c r="A333" s="26" t="n"/>
      <c r="B333" s="26" t="n"/>
      <c r="C333" s="26" t="n"/>
      <c r="D333" s="26" t="n"/>
      <c r="E333" s="26" t="n"/>
      <c r="F333" s="25" t="n"/>
      <c r="G333" s="25" t="n"/>
      <c r="H333" s="25" t="n"/>
      <c r="I333" s="25" t="n"/>
      <c r="J333" s="25" t="n"/>
      <c r="K333" s="25" t="n"/>
      <c r="L333" s="25" t="n"/>
      <c r="M333" s="25" t="n"/>
      <c r="N333" s="25" t="n"/>
      <c r="O333" s="4" t="n"/>
      <c r="P333" s="4" t="n"/>
      <c r="Q333" s="4" t="n"/>
      <c r="R333" s="4" t="n"/>
      <c r="S333" s="4" t="n"/>
    </row>
    <row r="334" ht="15" customHeight="1" s="215">
      <c r="A334" s="26" t="n"/>
      <c r="B334" s="26" t="n"/>
      <c r="C334" s="26" t="n"/>
      <c r="D334" s="26" t="n"/>
      <c r="E334" s="26" t="n"/>
      <c r="F334" s="25" t="n"/>
      <c r="G334" s="25" t="n"/>
      <c r="H334" s="25" t="n"/>
      <c r="I334" s="25" t="n"/>
      <c r="J334" s="25" t="n"/>
      <c r="K334" s="25" t="n"/>
      <c r="L334" s="25" t="n"/>
      <c r="M334" s="25" t="n"/>
      <c r="N334" s="25" t="n"/>
      <c r="O334" s="4" t="n"/>
      <c r="P334" s="4" t="n"/>
      <c r="Q334" s="4" t="n"/>
      <c r="R334" s="4" t="n"/>
      <c r="S334" s="4" t="n"/>
    </row>
    <row r="335" ht="15" customHeight="1" s="215">
      <c r="A335" s="26" t="n"/>
      <c r="B335" s="26" t="n"/>
      <c r="C335" s="26" t="n"/>
      <c r="D335" s="26" t="n"/>
      <c r="E335" s="26" t="n"/>
      <c r="F335" s="25" t="n"/>
      <c r="G335" s="25" t="n"/>
      <c r="H335" s="25" t="n"/>
      <c r="I335" s="25" t="n"/>
      <c r="J335" s="25" t="n"/>
      <c r="K335" s="25" t="n"/>
      <c r="L335" s="25" t="n"/>
      <c r="M335" s="25" t="n"/>
      <c r="N335" s="25" t="n"/>
      <c r="O335" s="4" t="n"/>
      <c r="P335" s="4" t="n"/>
      <c r="Q335" s="4" t="n"/>
      <c r="R335" s="4" t="n"/>
      <c r="S335" s="4" t="n"/>
    </row>
    <row r="336" ht="15" customHeight="1" s="215">
      <c r="A336" s="26" t="n"/>
      <c r="B336" s="26" t="n"/>
      <c r="C336" s="26" t="n"/>
      <c r="D336" s="26" t="n"/>
      <c r="E336" s="26" t="n"/>
      <c r="F336" s="25" t="n"/>
      <c r="G336" s="25" t="n"/>
      <c r="H336" s="25" t="n"/>
      <c r="I336" s="25" t="n"/>
      <c r="J336" s="25" t="n"/>
      <c r="K336" s="25" t="n"/>
      <c r="L336" s="25" t="n"/>
      <c r="M336" s="25" t="n"/>
      <c r="N336" s="25" t="n"/>
      <c r="O336" s="4" t="n"/>
      <c r="P336" s="4" t="n"/>
      <c r="Q336" s="4" t="n"/>
      <c r="R336" s="4" t="n"/>
      <c r="S336" s="4" t="n"/>
    </row>
    <row r="337" ht="15" customHeight="1" s="215">
      <c r="A337" s="26" t="n"/>
      <c r="B337" s="26" t="n"/>
      <c r="C337" s="26" t="n"/>
      <c r="D337" s="26" t="n"/>
      <c r="E337" s="26" t="n"/>
      <c r="F337" s="25" t="n"/>
      <c r="G337" s="25" t="n"/>
      <c r="H337" s="25" t="n"/>
      <c r="I337" s="25" t="n"/>
      <c r="J337" s="25" t="n"/>
      <c r="K337" s="25" t="n"/>
      <c r="L337" s="25" t="n"/>
      <c r="M337" s="25" t="n"/>
      <c r="N337" s="25" t="n"/>
      <c r="O337" s="4" t="n"/>
      <c r="P337" s="4" t="n"/>
      <c r="Q337" s="4" t="n"/>
      <c r="R337" s="4" t="n"/>
      <c r="S337" s="4" t="n"/>
    </row>
    <row r="338" ht="15" customHeight="1" s="215">
      <c r="A338" s="26" t="n"/>
      <c r="B338" s="26" t="n"/>
      <c r="C338" s="26" t="n"/>
      <c r="D338" s="26" t="n"/>
      <c r="E338" s="26" t="n"/>
      <c r="F338" s="25" t="n"/>
      <c r="G338" s="25" t="n"/>
      <c r="H338" s="25" t="n"/>
      <c r="I338" s="25" t="n"/>
      <c r="J338" s="25" t="n"/>
      <c r="K338" s="25" t="n"/>
      <c r="L338" s="25" t="n"/>
      <c r="M338" s="25" t="n"/>
      <c r="N338" s="25" t="n"/>
      <c r="O338" s="4" t="n"/>
      <c r="P338" s="4" t="n"/>
      <c r="Q338" s="4" t="n"/>
      <c r="R338" s="4" t="n"/>
      <c r="S338" s="4" t="n"/>
    </row>
    <row r="339" ht="15" customHeight="1" s="215">
      <c r="A339" s="26" t="n"/>
      <c r="B339" s="26" t="n"/>
      <c r="C339" s="26" t="n"/>
      <c r="D339" s="26" t="n"/>
      <c r="E339" s="26" t="n"/>
      <c r="F339" s="25" t="n"/>
      <c r="G339" s="25" t="n"/>
      <c r="H339" s="25" t="n"/>
      <c r="I339" s="25" t="n"/>
      <c r="J339" s="25" t="n"/>
      <c r="K339" s="25" t="n"/>
      <c r="L339" s="25" t="n"/>
      <c r="M339" s="25" t="n"/>
      <c r="N339" s="25" t="n"/>
      <c r="O339" s="4" t="n"/>
      <c r="P339" s="4" t="n"/>
      <c r="Q339" s="4" t="n"/>
      <c r="R339" s="4" t="n"/>
      <c r="S339" s="4" t="n"/>
    </row>
    <row r="340" ht="15" customHeight="1" s="215">
      <c r="A340" s="26" t="n"/>
      <c r="B340" s="26" t="n"/>
      <c r="C340" s="26" t="n"/>
      <c r="D340" s="26" t="n"/>
      <c r="E340" s="26" t="n"/>
      <c r="F340" s="25" t="n"/>
      <c r="G340" s="25" t="n"/>
      <c r="H340" s="25" t="n"/>
      <c r="I340" s="25" t="n"/>
      <c r="J340" s="25" t="n"/>
      <c r="K340" s="25" t="n"/>
      <c r="L340" s="25" t="n"/>
      <c r="M340" s="25" t="n"/>
      <c r="N340" s="25" t="n"/>
      <c r="O340" s="4" t="n"/>
      <c r="P340" s="4" t="n"/>
      <c r="Q340" s="4" t="n"/>
      <c r="R340" s="4" t="n"/>
      <c r="S340" s="4" t="n"/>
    </row>
    <row r="341" ht="15" customHeight="1" s="215">
      <c r="A341" s="26" t="n"/>
      <c r="B341" s="26" t="n"/>
      <c r="C341" s="26" t="n"/>
      <c r="D341" s="26" t="n"/>
      <c r="E341" s="26" t="n"/>
      <c r="F341" s="25" t="n"/>
      <c r="G341" s="25" t="n"/>
      <c r="H341" s="25" t="n"/>
      <c r="I341" s="25" t="n"/>
      <c r="J341" s="25" t="n"/>
      <c r="K341" s="25" t="n"/>
      <c r="L341" s="25" t="n"/>
      <c r="M341" s="25" t="n"/>
      <c r="N341" s="25" t="n"/>
      <c r="O341" s="4" t="n"/>
      <c r="P341" s="4" t="n"/>
      <c r="Q341" s="4" t="n"/>
      <c r="R341" s="4" t="n"/>
      <c r="S341" s="4" t="n"/>
    </row>
    <row r="342" ht="15" customHeight="1" s="215">
      <c r="A342" s="26" t="n"/>
      <c r="B342" s="26" t="n"/>
      <c r="C342" s="26" t="n"/>
      <c r="D342" s="26" t="n"/>
      <c r="E342" s="26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4" t="n"/>
      <c r="P342" s="4" t="n"/>
      <c r="Q342" s="4" t="n"/>
      <c r="R342" s="4" t="n"/>
      <c r="S342" s="4" t="n"/>
    </row>
    <row r="343" ht="15" customHeight="1" s="215">
      <c r="A343" s="26" t="n"/>
      <c r="B343" s="26" t="n"/>
      <c r="C343" s="26" t="n"/>
      <c r="D343" s="26" t="n"/>
      <c r="E343" s="26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4" t="n"/>
      <c r="P343" s="4" t="n"/>
      <c r="Q343" s="4" t="n"/>
      <c r="R343" s="4" t="n"/>
      <c r="S343" s="4" t="n"/>
    </row>
    <row r="344" ht="15" customHeight="1" s="215">
      <c r="A344" s="26" t="n"/>
      <c r="B344" s="26" t="n"/>
      <c r="C344" s="26" t="n"/>
      <c r="D344" s="26" t="n"/>
      <c r="E344" s="26" t="n"/>
      <c r="F344" s="25" t="n"/>
      <c r="G344" s="25" t="n"/>
      <c r="H344" s="25" t="n"/>
      <c r="I344" s="25" t="n"/>
      <c r="J344" s="25" t="n"/>
      <c r="K344" s="25" t="n"/>
      <c r="L344" s="25" t="n"/>
      <c r="M344" s="25" t="n"/>
      <c r="N344" s="25" t="n"/>
      <c r="O344" s="4" t="n"/>
      <c r="P344" s="4" t="n"/>
      <c r="Q344" s="4" t="n"/>
      <c r="R344" s="4" t="n"/>
      <c r="S344" s="4" t="n"/>
    </row>
    <row r="345" ht="15" customHeight="1" s="215">
      <c r="A345" s="26" t="n"/>
      <c r="B345" s="26" t="n"/>
      <c r="C345" s="26" t="n"/>
      <c r="D345" s="26" t="n"/>
      <c r="E345" s="26" t="n"/>
      <c r="F345" s="25" t="n"/>
      <c r="G345" s="25" t="n"/>
      <c r="H345" s="25" t="n"/>
      <c r="I345" s="25" t="n"/>
      <c r="J345" s="25" t="n"/>
      <c r="K345" s="25" t="n"/>
      <c r="L345" s="25" t="n"/>
      <c r="M345" s="25" t="n"/>
      <c r="N345" s="25" t="n"/>
      <c r="O345" s="4" t="n"/>
      <c r="P345" s="4" t="n"/>
      <c r="Q345" s="4" t="n"/>
      <c r="R345" s="4" t="n"/>
      <c r="S345" s="4" t="n"/>
    </row>
    <row r="346" ht="15" customHeight="1" s="215">
      <c r="A346" s="26" t="n"/>
      <c r="B346" s="26" t="n"/>
      <c r="C346" s="26" t="n"/>
      <c r="D346" s="26" t="n"/>
      <c r="E346" s="26" t="n"/>
      <c r="F346" s="25" t="n"/>
      <c r="G346" s="25" t="n"/>
      <c r="H346" s="25" t="n"/>
      <c r="I346" s="25" t="n"/>
      <c r="J346" s="25" t="n"/>
      <c r="K346" s="25" t="n"/>
      <c r="L346" s="25" t="n"/>
      <c r="M346" s="25" t="n"/>
      <c r="N346" s="25" t="n"/>
      <c r="O346" s="4" t="n"/>
      <c r="P346" s="4" t="n"/>
      <c r="Q346" s="4" t="n"/>
      <c r="R346" s="4" t="n"/>
      <c r="S346" s="4" t="n"/>
    </row>
    <row r="347" ht="15" customHeight="1" s="215">
      <c r="A347" s="26" t="n"/>
      <c r="B347" s="26" t="n"/>
      <c r="C347" s="26" t="n"/>
      <c r="D347" s="26" t="n"/>
      <c r="E347" s="26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4" t="n"/>
      <c r="P347" s="4" t="n"/>
      <c r="Q347" s="4" t="n"/>
      <c r="R347" s="4" t="n"/>
      <c r="S347" s="4" t="n"/>
    </row>
    <row r="348" ht="15" customHeight="1" s="215">
      <c r="A348" s="26" t="n"/>
      <c r="B348" s="26" t="n"/>
      <c r="C348" s="26" t="n"/>
      <c r="D348" s="26" t="n"/>
      <c r="E348" s="26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4" t="n"/>
      <c r="P348" s="4" t="n"/>
      <c r="Q348" s="4" t="n"/>
      <c r="R348" s="4" t="n"/>
      <c r="S348" s="4" t="n"/>
    </row>
    <row r="349" ht="15" customHeight="1" s="215">
      <c r="A349" s="26" t="n"/>
      <c r="B349" s="26" t="n"/>
      <c r="C349" s="26" t="n"/>
      <c r="D349" s="26" t="n"/>
      <c r="E349" s="26" t="n"/>
      <c r="F349" s="25" t="n"/>
      <c r="G349" s="25" t="n"/>
      <c r="H349" s="25" t="n"/>
      <c r="I349" s="25" t="n"/>
      <c r="J349" s="25" t="n"/>
      <c r="K349" s="25" t="n"/>
      <c r="L349" s="25" t="n"/>
      <c r="M349" s="25" t="n"/>
      <c r="N349" s="25" t="n"/>
      <c r="O349" s="4" t="n"/>
      <c r="P349" s="4" t="n"/>
      <c r="Q349" s="4" t="n"/>
      <c r="R349" s="4" t="n"/>
      <c r="S349" s="4" t="n"/>
    </row>
    <row r="350" ht="15" customHeight="1" s="215">
      <c r="A350" s="26" t="n"/>
      <c r="B350" s="26" t="n"/>
      <c r="C350" s="26" t="n"/>
      <c r="D350" s="26" t="n"/>
      <c r="E350" s="26" t="n"/>
      <c r="F350" s="25" t="n"/>
      <c r="G350" s="25" t="n"/>
      <c r="H350" s="25" t="n"/>
      <c r="I350" s="25" t="n"/>
      <c r="J350" s="25" t="n"/>
      <c r="K350" s="25" t="n"/>
      <c r="L350" s="25" t="n"/>
      <c r="M350" s="25" t="n"/>
      <c r="N350" s="25" t="n"/>
      <c r="O350" s="4" t="n"/>
      <c r="P350" s="4" t="n"/>
      <c r="Q350" s="4" t="n"/>
      <c r="R350" s="4" t="n"/>
      <c r="S350" s="4" t="n"/>
    </row>
    <row r="351" ht="15" customHeight="1" s="215">
      <c r="A351" s="26" t="n"/>
      <c r="B351" s="26" t="n"/>
      <c r="C351" s="26" t="n"/>
      <c r="D351" s="26" t="n"/>
      <c r="E351" s="26" t="n"/>
      <c r="F351" s="25" t="n"/>
      <c r="G351" s="25" t="n"/>
      <c r="H351" s="25" t="n"/>
      <c r="I351" s="25" t="n"/>
      <c r="J351" s="25" t="n"/>
      <c r="K351" s="25" t="n"/>
      <c r="L351" s="25" t="n"/>
      <c r="M351" s="25" t="n"/>
      <c r="N351" s="25" t="n"/>
      <c r="O351" s="4" t="n"/>
      <c r="P351" s="4" t="n"/>
      <c r="Q351" s="4" t="n"/>
      <c r="R351" s="4" t="n"/>
      <c r="S351" s="4" t="n"/>
    </row>
    <row r="352" ht="15" customHeight="1" s="215">
      <c r="A352" s="26" t="n"/>
      <c r="B352" s="26" t="n"/>
      <c r="C352" s="26" t="n"/>
      <c r="D352" s="26" t="n"/>
      <c r="E352" s="26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4" t="n"/>
      <c r="P352" s="4" t="n"/>
      <c r="Q352" s="4" t="n"/>
      <c r="R352" s="4" t="n"/>
      <c r="S352" s="4" t="n"/>
    </row>
    <row r="353" ht="15" customHeight="1" s="215">
      <c r="A353" s="26" t="n"/>
      <c r="B353" s="26" t="n"/>
      <c r="C353" s="26" t="n"/>
      <c r="D353" s="26" t="n"/>
      <c r="E353" s="26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4" t="n"/>
      <c r="P353" s="4" t="n"/>
      <c r="Q353" s="4" t="n"/>
      <c r="R353" s="4" t="n"/>
      <c r="S353" s="4" t="n"/>
    </row>
    <row r="354" ht="15" customHeight="1" s="215">
      <c r="A354" s="26" t="n"/>
      <c r="B354" s="26" t="n"/>
      <c r="C354" s="26" t="n"/>
      <c r="D354" s="26" t="n"/>
      <c r="E354" s="26" t="n"/>
      <c r="F354" s="25" t="n"/>
      <c r="G354" s="25" t="n"/>
      <c r="H354" s="25" t="n"/>
      <c r="I354" s="25" t="n"/>
      <c r="J354" s="25" t="n"/>
      <c r="K354" s="25" t="n"/>
      <c r="L354" s="25" t="n"/>
      <c r="M354" s="25" t="n"/>
      <c r="N354" s="25" t="n"/>
      <c r="O354" s="4" t="n"/>
      <c r="P354" s="4" t="n"/>
      <c r="Q354" s="4" t="n"/>
      <c r="R354" s="4" t="n"/>
      <c r="S354" s="4" t="n"/>
    </row>
    <row r="355" ht="15" customHeight="1" s="215">
      <c r="A355" s="26" t="n"/>
      <c r="B355" s="26" t="n"/>
      <c r="C355" s="26" t="n"/>
      <c r="D355" s="26" t="n"/>
      <c r="E355" s="26" t="n"/>
      <c r="F355" s="25" t="n"/>
      <c r="G355" s="25" t="n"/>
      <c r="H355" s="25" t="n"/>
      <c r="I355" s="25" t="n"/>
      <c r="J355" s="25" t="n"/>
      <c r="K355" s="25" t="n"/>
      <c r="L355" s="25" t="n"/>
      <c r="M355" s="25" t="n"/>
      <c r="N355" s="25" t="n"/>
      <c r="O355" s="4" t="n"/>
      <c r="P355" s="4" t="n"/>
      <c r="Q355" s="4" t="n"/>
      <c r="R355" s="4" t="n"/>
      <c r="S355" s="4" t="n"/>
    </row>
    <row r="356" ht="15" customHeight="1" s="215">
      <c r="A356" s="26" t="n"/>
      <c r="B356" s="26" t="n"/>
      <c r="C356" s="26" t="n"/>
      <c r="D356" s="26" t="n"/>
      <c r="E356" s="26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4" t="n"/>
      <c r="P356" s="4" t="n"/>
      <c r="Q356" s="4" t="n"/>
      <c r="R356" s="4" t="n"/>
      <c r="S356" s="4" t="n"/>
    </row>
    <row r="357" ht="15" customHeight="1" s="215">
      <c r="A357" s="26" t="n"/>
      <c r="B357" s="26" t="n"/>
      <c r="C357" s="26" t="n"/>
      <c r="D357" s="26" t="n"/>
      <c r="E357" s="26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4" t="n"/>
      <c r="P357" s="4" t="n"/>
      <c r="Q357" s="4" t="n"/>
      <c r="R357" s="4" t="n"/>
      <c r="S357" s="4" t="n"/>
    </row>
    <row r="358" ht="15" customHeight="1" s="215">
      <c r="A358" s="26" t="n"/>
      <c r="B358" s="26" t="n"/>
      <c r="C358" s="26" t="n"/>
      <c r="D358" s="26" t="n"/>
      <c r="E358" s="26" t="n"/>
      <c r="F358" s="25" t="n"/>
      <c r="G358" s="25" t="n"/>
      <c r="H358" s="25" t="n"/>
      <c r="I358" s="25" t="n"/>
      <c r="J358" s="25" t="n"/>
      <c r="K358" s="25" t="n"/>
      <c r="L358" s="25" t="n"/>
      <c r="M358" s="25" t="n"/>
      <c r="N358" s="25" t="n"/>
      <c r="O358" s="4" t="n"/>
      <c r="P358" s="4" t="n"/>
      <c r="Q358" s="4" t="n"/>
      <c r="R358" s="4" t="n"/>
      <c r="S358" s="4" t="n"/>
    </row>
    <row r="359" ht="15" customHeight="1" s="215">
      <c r="A359" s="26" t="n"/>
      <c r="B359" s="26" t="n"/>
      <c r="C359" s="26" t="n"/>
      <c r="D359" s="26" t="n"/>
      <c r="E359" s="26" t="n"/>
      <c r="F359" s="25" t="n"/>
      <c r="G359" s="25" t="n"/>
      <c r="H359" s="25" t="n"/>
      <c r="I359" s="25" t="n"/>
      <c r="J359" s="25" t="n"/>
      <c r="K359" s="25" t="n"/>
      <c r="L359" s="25" t="n"/>
      <c r="M359" s="25" t="n"/>
      <c r="N359" s="25" t="n"/>
      <c r="O359" s="4" t="n"/>
      <c r="P359" s="4" t="n"/>
      <c r="Q359" s="4" t="n"/>
      <c r="R359" s="4" t="n"/>
      <c r="S359" s="4" t="n"/>
    </row>
    <row r="360" ht="15" customHeight="1" s="215">
      <c r="A360" s="26" t="n"/>
      <c r="B360" s="26" t="n"/>
      <c r="C360" s="26" t="n"/>
      <c r="D360" s="26" t="n"/>
      <c r="E360" s="26" t="n"/>
      <c r="F360" s="25" t="n"/>
      <c r="G360" s="25" t="n"/>
      <c r="H360" s="25" t="n"/>
      <c r="I360" s="25" t="n"/>
      <c r="J360" s="25" t="n"/>
      <c r="K360" s="25" t="n"/>
      <c r="L360" s="25" t="n"/>
      <c r="M360" s="25" t="n"/>
      <c r="N360" s="25" t="n"/>
      <c r="O360" s="4" t="n"/>
      <c r="P360" s="4" t="n"/>
      <c r="Q360" s="4" t="n"/>
      <c r="R360" s="4" t="n"/>
      <c r="S360" s="4" t="n"/>
    </row>
    <row r="361" ht="15" customHeight="1" s="215">
      <c r="A361" s="26" t="n"/>
      <c r="B361" s="26" t="n"/>
      <c r="C361" s="26" t="n"/>
      <c r="D361" s="26" t="n"/>
      <c r="E361" s="26" t="n"/>
      <c r="F361" s="25" t="n"/>
      <c r="G361" s="25" t="n"/>
      <c r="H361" s="25" t="n"/>
      <c r="I361" s="25" t="n"/>
      <c r="J361" s="25" t="n"/>
      <c r="K361" s="25" t="n"/>
      <c r="L361" s="25" t="n"/>
      <c r="M361" s="25" t="n"/>
      <c r="N361" s="25" t="n"/>
      <c r="O361" s="4" t="n"/>
      <c r="P361" s="4" t="n"/>
      <c r="Q361" s="4" t="n"/>
      <c r="R361" s="4" t="n"/>
      <c r="S361" s="4" t="n"/>
    </row>
    <row r="362" ht="15" customHeight="1" s="215">
      <c r="A362" s="26" t="n"/>
      <c r="B362" s="26" t="n"/>
      <c r="C362" s="26" t="n"/>
      <c r="D362" s="26" t="n"/>
      <c r="E362" s="26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4" t="n"/>
      <c r="P362" s="4" t="n"/>
      <c r="Q362" s="4" t="n"/>
      <c r="R362" s="4" t="n"/>
      <c r="S362" s="4" t="n"/>
    </row>
    <row r="363" ht="15" customHeight="1" s="215">
      <c r="A363" s="26" t="n"/>
      <c r="B363" s="26" t="n"/>
      <c r="C363" s="26" t="n"/>
      <c r="D363" s="26" t="n"/>
      <c r="E363" s="26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4" t="n"/>
      <c r="P363" s="4" t="n"/>
      <c r="Q363" s="4" t="n"/>
      <c r="R363" s="4" t="n"/>
      <c r="S363" s="4" t="n"/>
    </row>
    <row r="364" ht="15" customHeight="1" s="215">
      <c r="A364" s="26" t="n"/>
      <c r="B364" s="26" t="n"/>
      <c r="C364" s="26" t="n"/>
      <c r="D364" s="26" t="n"/>
      <c r="E364" s="26" t="n"/>
      <c r="F364" s="25" t="n"/>
      <c r="G364" s="25" t="n"/>
      <c r="H364" s="25" t="n"/>
      <c r="I364" s="25" t="n"/>
      <c r="J364" s="25" t="n"/>
      <c r="K364" s="25" t="n"/>
      <c r="L364" s="25" t="n"/>
      <c r="M364" s="25" t="n"/>
      <c r="N364" s="25" t="n"/>
      <c r="O364" s="4" t="n"/>
      <c r="P364" s="4" t="n"/>
      <c r="Q364" s="4" t="n"/>
      <c r="R364" s="4" t="n"/>
      <c r="S364" s="4" t="n"/>
    </row>
    <row r="365" ht="15" customHeight="1" s="215">
      <c r="A365" s="26" t="n"/>
      <c r="B365" s="26" t="n"/>
      <c r="C365" s="26" t="n"/>
      <c r="D365" s="26" t="n"/>
      <c r="E365" s="26" t="n"/>
      <c r="F365" s="25" t="n"/>
      <c r="G365" s="25" t="n"/>
      <c r="H365" s="25" t="n"/>
      <c r="I365" s="25" t="n"/>
      <c r="J365" s="25" t="n"/>
      <c r="K365" s="25" t="n"/>
      <c r="L365" s="25" t="n"/>
      <c r="M365" s="25" t="n"/>
      <c r="N365" s="25" t="n"/>
      <c r="O365" s="4" t="n"/>
      <c r="P365" s="4" t="n"/>
      <c r="Q365" s="4" t="n"/>
      <c r="R365" s="4" t="n"/>
      <c r="S365" s="4" t="n"/>
    </row>
    <row r="366" ht="15" customHeight="1" s="215">
      <c r="A366" s="26" t="n"/>
      <c r="B366" s="26" t="n"/>
      <c r="C366" s="26" t="n"/>
      <c r="D366" s="26" t="n"/>
      <c r="E366" s="26" t="n"/>
      <c r="F366" s="25" t="n"/>
      <c r="G366" s="25" t="n"/>
      <c r="H366" s="25" t="n"/>
      <c r="I366" s="25" t="n"/>
      <c r="J366" s="25" t="n"/>
      <c r="K366" s="25" t="n"/>
      <c r="L366" s="25" t="n"/>
      <c r="M366" s="25" t="n"/>
      <c r="N366" s="25" t="n"/>
      <c r="O366" s="4" t="n"/>
      <c r="P366" s="4" t="n"/>
      <c r="Q366" s="4" t="n"/>
      <c r="R366" s="4" t="n"/>
      <c r="S366" s="4" t="n"/>
    </row>
    <row r="367" ht="15" customHeight="1" s="215">
      <c r="A367" s="26" t="n"/>
      <c r="B367" s="26" t="n"/>
      <c r="C367" s="26" t="n"/>
      <c r="D367" s="26" t="n"/>
      <c r="E367" s="26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4" t="n"/>
      <c r="P367" s="4" t="n"/>
      <c r="Q367" s="4" t="n"/>
      <c r="R367" s="4" t="n"/>
      <c r="S367" s="4" t="n"/>
    </row>
    <row r="368" ht="15" customHeight="1" s="215">
      <c r="A368" s="26" t="n"/>
      <c r="B368" s="26" t="n"/>
      <c r="C368" s="26" t="n"/>
      <c r="D368" s="26" t="n"/>
      <c r="E368" s="26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4" t="n"/>
      <c r="P368" s="4" t="n"/>
      <c r="Q368" s="4" t="n"/>
      <c r="R368" s="4" t="n"/>
      <c r="S368" s="4" t="n"/>
    </row>
    <row r="369" ht="15" customHeight="1" s="215">
      <c r="A369" s="26" t="n"/>
      <c r="B369" s="26" t="n"/>
      <c r="C369" s="26" t="n"/>
      <c r="D369" s="26" t="n"/>
      <c r="E369" s="26" t="n"/>
      <c r="F369" s="25" t="n"/>
      <c r="G369" s="25" t="n"/>
      <c r="H369" s="25" t="n"/>
      <c r="I369" s="25" t="n"/>
      <c r="J369" s="25" t="n"/>
      <c r="K369" s="25" t="n"/>
      <c r="L369" s="25" t="n"/>
      <c r="M369" s="25" t="n"/>
      <c r="N369" s="25" t="n"/>
      <c r="O369" s="4" t="n"/>
      <c r="P369" s="4" t="n"/>
      <c r="Q369" s="4" t="n"/>
      <c r="R369" s="4" t="n"/>
      <c r="S369" s="4" t="n"/>
    </row>
    <row r="370" ht="15" customHeight="1" s="215">
      <c r="A370" s="26" t="n"/>
      <c r="B370" s="26" t="n"/>
      <c r="C370" s="26" t="n"/>
      <c r="D370" s="26" t="n"/>
      <c r="E370" s="26" t="n"/>
      <c r="F370" s="25" t="n"/>
      <c r="G370" s="25" t="n"/>
      <c r="H370" s="25" t="n"/>
      <c r="I370" s="25" t="n"/>
      <c r="J370" s="25" t="n"/>
      <c r="K370" s="25" t="n"/>
      <c r="L370" s="25" t="n"/>
      <c r="M370" s="25" t="n"/>
      <c r="N370" s="25" t="n"/>
      <c r="O370" s="4" t="n"/>
      <c r="P370" s="4" t="n"/>
      <c r="Q370" s="4" t="n"/>
      <c r="R370" s="4" t="n"/>
      <c r="S370" s="4" t="n"/>
    </row>
    <row r="371" ht="15" customHeight="1" s="215">
      <c r="A371" s="26" t="n"/>
      <c r="B371" s="26" t="n"/>
      <c r="C371" s="26" t="n"/>
      <c r="D371" s="26" t="n"/>
      <c r="E371" s="26" t="n"/>
      <c r="F371" s="25" t="n"/>
      <c r="G371" s="25" t="n"/>
      <c r="H371" s="25" t="n"/>
      <c r="I371" s="25" t="n"/>
      <c r="J371" s="25" t="n"/>
      <c r="K371" s="25" t="n"/>
      <c r="L371" s="25" t="n"/>
      <c r="M371" s="25" t="n"/>
      <c r="N371" s="25" t="n"/>
      <c r="O371" s="4" t="n"/>
      <c r="P371" s="4" t="n"/>
      <c r="Q371" s="4" t="n"/>
      <c r="R371" s="4" t="n"/>
      <c r="S371" s="4" t="n"/>
    </row>
    <row r="372" ht="15" customHeight="1" s="215">
      <c r="A372" s="26" t="n"/>
      <c r="B372" s="26" t="n"/>
      <c r="C372" s="26" t="n"/>
      <c r="D372" s="26" t="n"/>
      <c r="E372" s="26" t="n"/>
      <c r="F372" s="25" t="n"/>
      <c r="G372" s="25" t="n"/>
      <c r="H372" s="25" t="n"/>
      <c r="I372" s="25" t="n"/>
      <c r="J372" s="25" t="n"/>
      <c r="K372" s="25" t="n"/>
      <c r="L372" s="25" t="n"/>
      <c r="M372" s="25" t="n"/>
      <c r="N372" s="25" t="n"/>
      <c r="O372" s="4" t="n"/>
      <c r="P372" s="4" t="n"/>
      <c r="Q372" s="4" t="n"/>
      <c r="R372" s="4" t="n"/>
      <c r="S372" s="4" t="n"/>
    </row>
    <row r="373" ht="15" customHeight="1" s="215">
      <c r="A373" s="26" t="n"/>
      <c r="B373" s="26" t="n"/>
      <c r="C373" s="26" t="n"/>
      <c r="D373" s="26" t="n"/>
      <c r="E373" s="26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4" t="n"/>
      <c r="P373" s="4" t="n"/>
      <c r="Q373" s="4" t="n"/>
      <c r="R373" s="4" t="n"/>
      <c r="S373" s="4" t="n"/>
    </row>
    <row r="374" ht="15" customHeight="1" s="215">
      <c r="A374" s="26" t="n"/>
      <c r="B374" s="26" t="n"/>
      <c r="C374" s="26" t="n"/>
      <c r="D374" s="26" t="n"/>
      <c r="E374" s="26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4" t="n"/>
      <c r="P374" s="4" t="n"/>
      <c r="Q374" s="4" t="n"/>
      <c r="R374" s="4" t="n"/>
      <c r="S374" s="4" t="n"/>
    </row>
    <row r="375" ht="15" customHeight="1" s="215">
      <c r="A375" s="26" t="n"/>
      <c r="B375" s="26" t="n"/>
      <c r="C375" s="26" t="n"/>
      <c r="D375" s="26" t="n"/>
      <c r="E375" s="26" t="n"/>
      <c r="F375" s="25" t="n"/>
      <c r="G375" s="25" t="n"/>
      <c r="H375" s="25" t="n"/>
      <c r="I375" s="25" t="n"/>
      <c r="J375" s="25" t="n"/>
      <c r="K375" s="25" t="n"/>
      <c r="L375" s="25" t="n"/>
      <c r="M375" s="25" t="n"/>
      <c r="N375" s="25" t="n"/>
      <c r="O375" s="4" t="n"/>
      <c r="P375" s="4" t="n"/>
      <c r="Q375" s="4" t="n"/>
      <c r="R375" s="4" t="n"/>
      <c r="S375" s="4" t="n"/>
    </row>
    <row r="376" ht="15" customHeight="1" s="215">
      <c r="A376" s="26" t="n"/>
      <c r="B376" s="26" t="n"/>
      <c r="C376" s="26" t="n"/>
      <c r="D376" s="26" t="n"/>
      <c r="E376" s="26" t="n"/>
      <c r="F376" s="25" t="n"/>
      <c r="G376" s="25" t="n"/>
      <c r="H376" s="25" t="n"/>
      <c r="I376" s="25" t="n"/>
      <c r="J376" s="25" t="n"/>
      <c r="K376" s="25" t="n"/>
      <c r="L376" s="25" t="n"/>
      <c r="M376" s="25" t="n"/>
      <c r="N376" s="25" t="n"/>
      <c r="O376" s="4" t="n"/>
      <c r="P376" s="4" t="n"/>
      <c r="Q376" s="4" t="n"/>
      <c r="R376" s="4" t="n"/>
      <c r="S376" s="4" t="n"/>
    </row>
    <row r="377" ht="15" customHeight="1" s="215">
      <c r="A377" s="26" t="n"/>
      <c r="B377" s="26" t="n"/>
      <c r="C377" s="26" t="n"/>
      <c r="D377" s="26" t="n"/>
      <c r="E377" s="26" t="n"/>
      <c r="F377" s="25" t="n"/>
      <c r="G377" s="25" t="n"/>
      <c r="H377" s="25" t="n"/>
      <c r="I377" s="25" t="n"/>
      <c r="J377" s="25" t="n"/>
      <c r="K377" s="25" t="n"/>
      <c r="L377" s="25" t="n"/>
      <c r="M377" s="25" t="n"/>
      <c r="N377" s="25" t="n"/>
      <c r="O377" s="4" t="n"/>
      <c r="P377" s="4" t="n"/>
      <c r="Q377" s="4" t="n"/>
      <c r="R377" s="4" t="n"/>
      <c r="S377" s="4" t="n"/>
    </row>
    <row r="378" ht="15" customHeight="1" s="215">
      <c r="A378" s="26" t="n"/>
      <c r="B378" s="26" t="n"/>
      <c r="C378" s="26" t="n"/>
      <c r="D378" s="26" t="n"/>
      <c r="E378" s="26" t="n"/>
      <c r="F378" s="25" t="n"/>
      <c r="G378" s="25" t="n"/>
      <c r="H378" s="25" t="n"/>
      <c r="I378" s="25" t="n"/>
      <c r="J378" s="25" t="n"/>
      <c r="K378" s="25" t="n"/>
      <c r="L378" s="25" t="n"/>
      <c r="M378" s="25" t="n"/>
      <c r="N378" s="25" t="n"/>
      <c r="O378" s="4" t="n"/>
      <c r="P378" s="4" t="n"/>
      <c r="Q378" s="4" t="n"/>
      <c r="R378" s="4" t="n"/>
      <c r="S378" s="4" t="n"/>
    </row>
    <row r="379" ht="15" customHeight="1" s="215">
      <c r="A379" s="26" t="n"/>
      <c r="B379" s="26" t="n"/>
      <c r="C379" s="26" t="n"/>
      <c r="D379" s="26" t="n"/>
      <c r="E379" s="26" t="n"/>
      <c r="F379" s="25" t="n"/>
      <c r="G379" s="25" t="n"/>
      <c r="H379" s="25" t="n"/>
      <c r="I379" s="25" t="n"/>
      <c r="J379" s="25" t="n"/>
      <c r="K379" s="25" t="n"/>
      <c r="L379" s="25" t="n"/>
      <c r="M379" s="25" t="n"/>
      <c r="N379" s="25" t="n"/>
      <c r="O379" s="4" t="n"/>
      <c r="P379" s="4" t="n"/>
      <c r="Q379" s="4" t="n"/>
      <c r="R379" s="4" t="n"/>
      <c r="S379" s="4" t="n"/>
    </row>
    <row r="380" ht="15" customHeight="1" s="215">
      <c r="A380" s="26" t="n"/>
      <c r="B380" s="26" t="n"/>
      <c r="C380" s="26" t="n"/>
      <c r="D380" s="26" t="n"/>
      <c r="E380" s="26" t="n"/>
      <c r="F380" s="25" t="n"/>
      <c r="G380" s="25" t="n"/>
      <c r="H380" s="25" t="n"/>
      <c r="I380" s="25" t="n"/>
      <c r="J380" s="25" t="n"/>
      <c r="K380" s="25" t="n"/>
      <c r="L380" s="25" t="n"/>
      <c r="M380" s="25" t="n"/>
      <c r="N380" s="25" t="n"/>
      <c r="O380" s="4" t="n"/>
      <c r="P380" s="4" t="n"/>
      <c r="Q380" s="4" t="n"/>
      <c r="R380" s="4" t="n"/>
      <c r="S380" s="4" t="n"/>
    </row>
    <row r="381" ht="15" customHeight="1" s="215">
      <c r="A381" s="26" t="n"/>
      <c r="B381" s="26" t="n"/>
      <c r="C381" s="26" t="n"/>
      <c r="D381" s="26" t="n"/>
      <c r="E381" s="26" t="n"/>
      <c r="F381" s="25" t="n"/>
      <c r="G381" s="25" t="n"/>
      <c r="H381" s="25" t="n"/>
      <c r="I381" s="25" t="n"/>
      <c r="J381" s="25" t="n"/>
      <c r="K381" s="25" t="n"/>
      <c r="L381" s="25" t="n"/>
      <c r="M381" s="25" t="n"/>
      <c r="N381" s="25" t="n"/>
      <c r="O381" s="4" t="n"/>
      <c r="P381" s="4" t="n"/>
      <c r="Q381" s="4" t="n"/>
      <c r="R381" s="4" t="n"/>
      <c r="S381" s="4" t="n"/>
    </row>
    <row r="382" ht="15" customHeight="1" s="215">
      <c r="A382" s="26" t="n"/>
      <c r="B382" s="26" t="n"/>
      <c r="C382" s="26" t="n"/>
      <c r="D382" s="26" t="n"/>
      <c r="E382" s="26" t="n"/>
      <c r="F382" s="25" t="n"/>
      <c r="G382" s="25" t="n"/>
      <c r="H382" s="25" t="n"/>
      <c r="I382" s="25" t="n"/>
      <c r="J382" s="25" t="n"/>
      <c r="K382" s="25" t="n"/>
      <c r="L382" s="25" t="n"/>
      <c r="M382" s="25" t="n"/>
      <c r="N382" s="25" t="n"/>
      <c r="O382" s="4" t="n"/>
      <c r="P382" s="4" t="n"/>
      <c r="Q382" s="4" t="n"/>
      <c r="R382" s="4" t="n"/>
      <c r="S382" s="4" t="n"/>
    </row>
    <row r="383" ht="15" customHeight="1" s="215">
      <c r="A383" s="26" t="n"/>
      <c r="B383" s="26" t="n"/>
      <c r="C383" s="26" t="n"/>
      <c r="D383" s="26" t="n"/>
      <c r="E383" s="26" t="n"/>
      <c r="F383" s="25" t="n"/>
      <c r="G383" s="25" t="n"/>
      <c r="H383" s="25" t="n"/>
      <c r="I383" s="25" t="n"/>
      <c r="J383" s="25" t="n"/>
      <c r="K383" s="25" t="n"/>
      <c r="L383" s="25" t="n"/>
      <c r="M383" s="25" t="n"/>
      <c r="N383" s="25" t="n"/>
      <c r="O383" s="4" t="n"/>
      <c r="P383" s="4" t="n"/>
      <c r="Q383" s="4" t="n"/>
      <c r="R383" s="4" t="n"/>
      <c r="S383" s="4" t="n"/>
    </row>
    <row r="384" ht="15" customHeight="1" s="215">
      <c r="A384" s="26" t="n"/>
      <c r="B384" s="26" t="n"/>
      <c r="C384" s="26" t="n"/>
      <c r="D384" s="26" t="n"/>
      <c r="E384" s="26" t="n"/>
      <c r="F384" s="25" t="n"/>
      <c r="G384" s="25" t="n"/>
      <c r="H384" s="25" t="n"/>
      <c r="I384" s="25" t="n"/>
      <c r="J384" s="25" t="n"/>
      <c r="K384" s="25" t="n"/>
      <c r="L384" s="25" t="n"/>
      <c r="M384" s="25" t="n"/>
      <c r="N384" s="25" t="n"/>
      <c r="O384" s="4" t="n"/>
      <c r="P384" s="4" t="n"/>
      <c r="Q384" s="4" t="n"/>
      <c r="R384" s="4" t="n"/>
      <c r="S384" s="4" t="n"/>
    </row>
    <row r="385" ht="15" customHeight="1" s="215">
      <c r="A385" s="26" t="n"/>
      <c r="B385" s="26" t="n"/>
      <c r="C385" s="26" t="n"/>
      <c r="D385" s="26" t="n"/>
      <c r="E385" s="26" t="n"/>
      <c r="F385" s="25" t="n"/>
      <c r="G385" s="25" t="n"/>
      <c r="H385" s="25" t="n"/>
      <c r="I385" s="25" t="n"/>
      <c r="J385" s="25" t="n"/>
      <c r="K385" s="25" t="n"/>
      <c r="L385" s="25" t="n"/>
      <c r="M385" s="25" t="n"/>
      <c r="N385" s="25" t="n"/>
      <c r="O385" s="4" t="n"/>
      <c r="P385" s="4" t="n"/>
      <c r="Q385" s="4" t="n"/>
      <c r="R385" s="4" t="n"/>
      <c r="S385" s="4" t="n"/>
    </row>
    <row r="386" ht="15" customHeight="1" s="215">
      <c r="A386" s="26" t="n"/>
      <c r="B386" s="26" t="n"/>
      <c r="C386" s="26" t="n"/>
      <c r="D386" s="26" t="n"/>
      <c r="E386" s="26" t="n"/>
      <c r="F386" s="25" t="n"/>
      <c r="G386" s="25" t="n"/>
      <c r="H386" s="25" t="n"/>
      <c r="I386" s="25" t="n"/>
      <c r="J386" s="25" t="n"/>
      <c r="K386" s="25" t="n"/>
      <c r="L386" s="25" t="n"/>
      <c r="M386" s="25" t="n"/>
      <c r="N386" s="25" t="n"/>
      <c r="O386" s="4" t="n"/>
      <c r="P386" s="4" t="n"/>
      <c r="Q386" s="4" t="n"/>
      <c r="R386" s="4" t="n"/>
      <c r="S386" s="4" t="n"/>
    </row>
    <row r="387" ht="15" customHeight="1" s="215">
      <c r="A387" s="26" t="n"/>
      <c r="B387" s="26" t="n"/>
      <c r="C387" s="26" t="n"/>
      <c r="D387" s="26" t="n"/>
      <c r="E387" s="26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4" t="n"/>
      <c r="P387" s="4" t="n"/>
      <c r="Q387" s="4" t="n"/>
      <c r="R387" s="4" t="n"/>
      <c r="S387" s="4" t="n"/>
    </row>
    <row r="388" ht="15" customHeight="1" s="215">
      <c r="A388" s="26" t="n"/>
      <c r="B388" s="26" t="n"/>
      <c r="C388" s="26" t="n"/>
      <c r="D388" s="26" t="n"/>
      <c r="E388" s="26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4" t="n"/>
      <c r="P388" s="4" t="n"/>
      <c r="Q388" s="4" t="n"/>
      <c r="R388" s="4" t="n"/>
      <c r="S388" s="4" t="n"/>
    </row>
    <row r="389" ht="15" customHeight="1" s="215">
      <c r="A389" s="26" t="n"/>
      <c r="B389" s="26" t="n"/>
      <c r="C389" s="26" t="n"/>
      <c r="D389" s="26" t="n"/>
      <c r="E389" s="26" t="n"/>
      <c r="F389" s="25" t="n"/>
      <c r="G389" s="25" t="n"/>
      <c r="H389" s="25" t="n"/>
      <c r="I389" s="25" t="n"/>
      <c r="J389" s="25" t="n"/>
      <c r="K389" s="25" t="n"/>
      <c r="L389" s="25" t="n"/>
      <c r="M389" s="25" t="n"/>
      <c r="N389" s="25" t="n"/>
      <c r="O389" s="4" t="n"/>
      <c r="P389" s="4" t="n"/>
      <c r="Q389" s="4" t="n"/>
      <c r="R389" s="4" t="n"/>
      <c r="S389" s="4" t="n"/>
    </row>
    <row r="390" ht="15" customHeight="1" s="215">
      <c r="A390" s="26" t="n"/>
      <c r="B390" s="26" t="n"/>
      <c r="C390" s="26" t="n"/>
      <c r="D390" s="26" t="n"/>
      <c r="E390" s="26" t="n"/>
      <c r="F390" s="25" t="n"/>
      <c r="G390" s="25" t="n"/>
      <c r="H390" s="25" t="n"/>
      <c r="I390" s="25" t="n"/>
      <c r="J390" s="25" t="n"/>
      <c r="K390" s="25" t="n"/>
      <c r="L390" s="25" t="n"/>
      <c r="M390" s="25" t="n"/>
      <c r="N390" s="25" t="n"/>
      <c r="O390" s="4" t="n"/>
      <c r="P390" s="4" t="n"/>
      <c r="Q390" s="4" t="n"/>
      <c r="R390" s="4" t="n"/>
      <c r="S390" s="4" t="n"/>
    </row>
    <row r="391" ht="15" customHeight="1" s="215">
      <c r="A391" s="26" t="n"/>
      <c r="B391" s="26" t="n"/>
      <c r="C391" s="26" t="n"/>
      <c r="D391" s="26" t="n"/>
      <c r="E391" s="26" t="n"/>
      <c r="F391" s="25" t="n"/>
      <c r="G391" s="25" t="n"/>
      <c r="H391" s="25" t="n"/>
      <c r="I391" s="25" t="n"/>
      <c r="J391" s="25" t="n"/>
      <c r="K391" s="25" t="n"/>
      <c r="L391" s="25" t="n"/>
      <c r="M391" s="25" t="n"/>
      <c r="N391" s="25" t="n"/>
      <c r="O391" s="4" t="n"/>
      <c r="P391" s="4" t="n"/>
      <c r="Q391" s="4" t="n"/>
      <c r="R391" s="4" t="n"/>
      <c r="S391" s="4" t="n"/>
    </row>
    <row r="392" ht="15" customHeight="1" s="215">
      <c r="A392" s="26" t="n"/>
      <c r="B392" s="26" t="n"/>
      <c r="C392" s="26" t="n"/>
      <c r="D392" s="26" t="n"/>
      <c r="E392" s="26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4" t="n"/>
      <c r="P392" s="4" t="n"/>
      <c r="Q392" s="4" t="n"/>
      <c r="R392" s="4" t="n"/>
      <c r="S392" s="4" t="n"/>
    </row>
    <row r="393" ht="15" customHeight="1" s="215">
      <c r="A393" s="26" t="n"/>
      <c r="B393" s="26" t="n"/>
      <c r="C393" s="26" t="n"/>
      <c r="D393" s="26" t="n"/>
      <c r="E393" s="26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4" t="n"/>
      <c r="P393" s="4" t="n"/>
      <c r="Q393" s="4" t="n"/>
      <c r="R393" s="4" t="n"/>
      <c r="S393" s="4" t="n"/>
    </row>
    <row r="394" ht="15" customHeight="1" s="215">
      <c r="A394" s="26" t="n"/>
      <c r="B394" s="26" t="n"/>
      <c r="C394" s="26" t="n"/>
      <c r="D394" s="26" t="n"/>
      <c r="E394" s="26" t="n"/>
      <c r="F394" s="25" t="n"/>
      <c r="G394" s="25" t="n"/>
      <c r="H394" s="25" t="n"/>
      <c r="I394" s="25" t="n"/>
      <c r="J394" s="25" t="n"/>
      <c r="K394" s="25" t="n"/>
      <c r="L394" s="25" t="n"/>
      <c r="M394" s="25" t="n"/>
      <c r="N394" s="25" t="n"/>
      <c r="O394" s="4" t="n"/>
      <c r="P394" s="4" t="n"/>
      <c r="Q394" s="4" t="n"/>
      <c r="R394" s="4" t="n"/>
      <c r="S394" s="4" t="n"/>
    </row>
    <row r="395" ht="15" customHeight="1" s="215">
      <c r="A395" s="26" t="n"/>
      <c r="B395" s="26" t="n"/>
      <c r="C395" s="26" t="n"/>
      <c r="D395" s="26" t="n"/>
      <c r="E395" s="26" t="n"/>
      <c r="F395" s="25" t="n"/>
      <c r="G395" s="25" t="n"/>
      <c r="H395" s="25" t="n"/>
      <c r="I395" s="25" t="n"/>
      <c r="J395" s="25" t="n"/>
      <c r="K395" s="25" t="n"/>
      <c r="L395" s="25" t="n"/>
      <c r="M395" s="25" t="n"/>
      <c r="N395" s="25" t="n"/>
      <c r="O395" s="4" t="n"/>
      <c r="P395" s="4" t="n"/>
      <c r="Q395" s="4" t="n"/>
      <c r="R395" s="4" t="n"/>
      <c r="S395" s="4" t="n"/>
    </row>
    <row r="396" ht="15" customHeight="1" s="215">
      <c r="A396" s="26" t="n"/>
      <c r="B396" s="26" t="n"/>
      <c r="C396" s="26" t="n"/>
      <c r="D396" s="26" t="n"/>
      <c r="E396" s="26" t="n"/>
      <c r="F396" s="25" t="n"/>
      <c r="G396" s="25" t="n"/>
      <c r="H396" s="25" t="n"/>
      <c r="I396" s="25" t="n"/>
      <c r="J396" s="25" t="n"/>
      <c r="K396" s="25" t="n"/>
      <c r="L396" s="25" t="n"/>
      <c r="M396" s="25" t="n"/>
      <c r="N396" s="25" t="n"/>
      <c r="O396" s="4" t="n"/>
      <c r="P396" s="4" t="n"/>
      <c r="Q396" s="4" t="n"/>
      <c r="R396" s="4" t="n"/>
      <c r="S396" s="4" t="n"/>
    </row>
    <row r="397" ht="15" customHeight="1" s="215">
      <c r="A397" s="26" t="n"/>
      <c r="B397" s="26" t="n"/>
      <c r="C397" s="26" t="n"/>
      <c r="D397" s="26" t="n"/>
      <c r="E397" s="26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4" t="n"/>
      <c r="P397" s="4" t="n"/>
      <c r="Q397" s="4" t="n"/>
      <c r="R397" s="4" t="n"/>
      <c r="S397" s="4" t="n"/>
    </row>
    <row r="398" ht="15" customHeight="1" s="215">
      <c r="A398" s="26" t="n"/>
      <c r="B398" s="26" t="n"/>
      <c r="C398" s="26" t="n"/>
      <c r="D398" s="26" t="n"/>
      <c r="E398" s="26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4" t="n"/>
      <c r="P398" s="4" t="n"/>
      <c r="Q398" s="4" t="n"/>
      <c r="R398" s="4" t="n"/>
      <c r="S398" s="4" t="n"/>
    </row>
    <row r="399" ht="15" customHeight="1" s="215">
      <c r="A399" s="26" t="n"/>
      <c r="B399" s="26" t="n"/>
      <c r="C399" s="26" t="n"/>
      <c r="D399" s="26" t="n"/>
      <c r="E399" s="26" t="n"/>
      <c r="F399" s="25" t="n"/>
      <c r="G399" s="25" t="n"/>
      <c r="H399" s="25" t="n"/>
      <c r="I399" s="25" t="n"/>
      <c r="J399" s="25" t="n"/>
      <c r="K399" s="25" t="n"/>
      <c r="L399" s="25" t="n"/>
      <c r="M399" s="25" t="n"/>
      <c r="N399" s="25" t="n"/>
      <c r="O399" s="4" t="n"/>
      <c r="P399" s="4" t="n"/>
      <c r="Q399" s="4" t="n"/>
      <c r="R399" s="4" t="n"/>
      <c r="S399" s="4" t="n"/>
    </row>
    <row r="400" ht="15" customHeight="1" s="215">
      <c r="A400" s="26" t="n"/>
      <c r="B400" s="26" t="n"/>
      <c r="C400" s="26" t="n"/>
      <c r="D400" s="26" t="n"/>
      <c r="E400" s="26" t="n"/>
      <c r="F400" s="25" t="n"/>
      <c r="G400" s="25" t="n"/>
      <c r="H400" s="25" t="n"/>
      <c r="I400" s="25" t="n"/>
      <c r="J400" s="25" t="n"/>
      <c r="K400" s="25" t="n"/>
      <c r="L400" s="25" t="n"/>
      <c r="M400" s="25" t="n"/>
      <c r="N400" s="25" t="n"/>
      <c r="O400" s="4" t="n"/>
      <c r="P400" s="4" t="n"/>
      <c r="Q400" s="4" t="n"/>
      <c r="R400" s="4" t="n"/>
      <c r="S400" s="4" t="n"/>
    </row>
    <row r="401" ht="15" customHeight="1" s="215">
      <c r="A401" s="26" t="n"/>
      <c r="B401" s="26" t="n"/>
      <c r="C401" s="26" t="n"/>
      <c r="D401" s="26" t="n"/>
      <c r="E401" s="26" t="n"/>
      <c r="F401" s="25" t="n"/>
      <c r="G401" s="25" t="n"/>
      <c r="H401" s="25" t="n"/>
      <c r="I401" s="25" t="n"/>
      <c r="J401" s="25" t="n"/>
      <c r="K401" s="25" t="n"/>
      <c r="L401" s="25" t="n"/>
      <c r="M401" s="25" t="n"/>
      <c r="N401" s="25" t="n"/>
      <c r="O401" s="4" t="n"/>
      <c r="P401" s="4" t="n"/>
      <c r="Q401" s="4" t="n"/>
      <c r="R401" s="4" t="n"/>
      <c r="S401" s="4" t="n"/>
    </row>
    <row r="402" ht="15" customHeight="1" s="215">
      <c r="A402" s="26" t="n"/>
      <c r="B402" s="26" t="n"/>
      <c r="C402" s="26" t="n"/>
      <c r="D402" s="26" t="n"/>
      <c r="E402" s="26" t="n"/>
      <c r="F402" s="25" t="n"/>
      <c r="G402" s="25" t="n"/>
      <c r="H402" s="25" t="n"/>
      <c r="I402" s="25" t="n"/>
      <c r="J402" s="25" t="n"/>
      <c r="K402" s="25" t="n"/>
      <c r="L402" s="25" t="n"/>
      <c r="M402" s="25" t="n"/>
      <c r="N402" s="25" t="n"/>
      <c r="O402" s="4" t="n"/>
      <c r="P402" s="4" t="n"/>
      <c r="Q402" s="4" t="n"/>
      <c r="R402" s="4" t="n"/>
      <c r="S402" s="4" t="n"/>
    </row>
    <row r="403" ht="15" customHeight="1" s="215">
      <c r="A403" s="26" t="n"/>
      <c r="B403" s="26" t="n"/>
      <c r="C403" s="26" t="n"/>
      <c r="D403" s="26" t="n"/>
      <c r="E403" s="26" t="n"/>
      <c r="F403" s="25" t="n"/>
      <c r="G403" s="25" t="n"/>
      <c r="H403" s="25" t="n"/>
      <c r="I403" s="25" t="n"/>
      <c r="J403" s="25" t="n"/>
      <c r="K403" s="25" t="n"/>
      <c r="L403" s="25" t="n"/>
      <c r="M403" s="25" t="n"/>
      <c r="N403" s="25" t="n"/>
      <c r="O403" s="4" t="n"/>
      <c r="P403" s="4" t="n"/>
      <c r="Q403" s="4" t="n"/>
      <c r="R403" s="4" t="n"/>
      <c r="S403" s="4" t="n"/>
    </row>
    <row r="404" ht="15" customHeight="1" s="215">
      <c r="A404" s="26" t="n"/>
      <c r="B404" s="26" t="n"/>
      <c r="C404" s="26" t="n"/>
      <c r="D404" s="26" t="n"/>
      <c r="E404" s="26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4" t="n"/>
      <c r="P404" s="4" t="n"/>
      <c r="Q404" s="4" t="n"/>
      <c r="R404" s="4" t="n"/>
      <c r="S404" s="4" t="n"/>
    </row>
    <row r="405" ht="15" customHeight="1" s="215">
      <c r="A405" s="26" t="n"/>
      <c r="B405" s="26" t="n"/>
      <c r="C405" s="26" t="n"/>
      <c r="D405" s="26" t="n"/>
      <c r="E405" s="26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4" t="n"/>
      <c r="P405" s="4" t="n"/>
      <c r="Q405" s="4" t="n"/>
      <c r="R405" s="4" t="n"/>
      <c r="S405" s="4" t="n"/>
    </row>
    <row r="406" ht="15" customHeight="1" s="215">
      <c r="A406" s="26" t="n"/>
      <c r="B406" s="26" t="n"/>
      <c r="C406" s="26" t="n"/>
      <c r="D406" s="26" t="n"/>
      <c r="E406" s="26" t="n"/>
      <c r="F406" s="25" t="n"/>
      <c r="G406" s="25" t="n"/>
      <c r="H406" s="25" t="n"/>
      <c r="I406" s="25" t="n"/>
      <c r="J406" s="25" t="n"/>
      <c r="K406" s="25" t="n"/>
      <c r="L406" s="25" t="n"/>
      <c r="M406" s="25" t="n"/>
      <c r="N406" s="25" t="n"/>
      <c r="O406" s="4" t="n"/>
      <c r="P406" s="4" t="n"/>
      <c r="Q406" s="4" t="n"/>
      <c r="R406" s="4" t="n"/>
      <c r="S406" s="4" t="n"/>
    </row>
    <row r="407" ht="15" customHeight="1" s="215">
      <c r="A407" s="26" t="n"/>
      <c r="B407" s="26" t="n"/>
      <c r="C407" s="26" t="n"/>
      <c r="D407" s="26" t="n"/>
      <c r="E407" s="26" t="n"/>
      <c r="F407" s="25" t="n"/>
      <c r="G407" s="25" t="n"/>
      <c r="H407" s="25" t="n"/>
      <c r="I407" s="25" t="n"/>
      <c r="J407" s="25" t="n"/>
      <c r="K407" s="25" t="n"/>
      <c r="L407" s="25" t="n"/>
      <c r="M407" s="25" t="n"/>
      <c r="N407" s="25" t="n"/>
      <c r="O407" s="4" t="n"/>
      <c r="P407" s="4" t="n"/>
      <c r="Q407" s="4" t="n"/>
      <c r="R407" s="4" t="n"/>
      <c r="S407" s="4" t="n"/>
    </row>
    <row r="408" ht="15" customHeight="1" s="215">
      <c r="A408" s="26" t="n"/>
      <c r="B408" s="26" t="n"/>
      <c r="C408" s="26" t="n"/>
      <c r="D408" s="26" t="n"/>
      <c r="E408" s="26" t="n"/>
      <c r="F408" s="25" t="n"/>
      <c r="G408" s="25" t="n"/>
      <c r="H408" s="25" t="n"/>
      <c r="I408" s="25" t="n"/>
      <c r="J408" s="25" t="n"/>
      <c r="K408" s="25" t="n"/>
      <c r="L408" s="25" t="n"/>
      <c r="M408" s="25" t="n"/>
      <c r="N408" s="25" t="n"/>
      <c r="O408" s="4" t="n"/>
      <c r="P408" s="4" t="n"/>
      <c r="Q408" s="4" t="n"/>
      <c r="R408" s="4" t="n"/>
      <c r="S408" s="4" t="n"/>
    </row>
    <row r="409" ht="15" customHeight="1" s="215">
      <c r="A409" s="26" t="n"/>
      <c r="B409" s="26" t="n"/>
      <c r="C409" s="26" t="n"/>
      <c r="D409" s="26" t="n"/>
      <c r="E409" s="26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4" t="n"/>
      <c r="P409" s="4" t="n"/>
      <c r="Q409" s="4" t="n"/>
      <c r="R409" s="4" t="n"/>
      <c r="S409" s="4" t="n"/>
    </row>
    <row r="410" ht="15" customHeight="1" s="215">
      <c r="A410" s="26" t="n"/>
      <c r="B410" s="26" t="n"/>
      <c r="C410" s="26" t="n"/>
      <c r="D410" s="26" t="n"/>
      <c r="E410" s="26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4" t="n"/>
      <c r="P410" s="4" t="n"/>
      <c r="Q410" s="4" t="n"/>
      <c r="R410" s="4" t="n"/>
      <c r="S410" s="4" t="n"/>
    </row>
    <row r="411" ht="15" customHeight="1" s="215">
      <c r="A411" s="26" t="n"/>
      <c r="B411" s="26" t="n"/>
      <c r="C411" s="26" t="n"/>
      <c r="D411" s="26" t="n"/>
      <c r="E411" s="26" t="n"/>
      <c r="F411" s="25" t="n"/>
      <c r="G411" s="25" t="n"/>
      <c r="H411" s="25" t="n"/>
      <c r="I411" s="25" t="n"/>
      <c r="J411" s="25" t="n"/>
      <c r="K411" s="25" t="n"/>
      <c r="L411" s="25" t="n"/>
      <c r="M411" s="25" t="n"/>
      <c r="N411" s="25" t="n"/>
      <c r="O411" s="4" t="n"/>
      <c r="P411" s="4" t="n"/>
      <c r="Q411" s="4" t="n"/>
      <c r="R411" s="4" t="n"/>
      <c r="S411" s="4" t="n"/>
    </row>
    <row r="412" ht="15" customHeight="1" s="215">
      <c r="A412" s="26" t="n"/>
      <c r="B412" s="26" t="n"/>
      <c r="C412" s="26" t="n"/>
      <c r="D412" s="26" t="n"/>
      <c r="E412" s="26" t="n"/>
      <c r="F412" s="25" t="n"/>
      <c r="G412" s="25" t="n"/>
      <c r="H412" s="25" t="n"/>
      <c r="I412" s="25" t="n"/>
      <c r="J412" s="25" t="n"/>
      <c r="K412" s="25" t="n"/>
      <c r="L412" s="25" t="n"/>
      <c r="M412" s="25" t="n"/>
      <c r="N412" s="25" t="n"/>
      <c r="O412" s="4" t="n"/>
      <c r="P412" s="4" t="n"/>
      <c r="Q412" s="4" t="n"/>
      <c r="R412" s="4" t="n"/>
      <c r="S412" s="4" t="n"/>
    </row>
    <row r="413" ht="15" customHeight="1" s="215">
      <c r="A413" s="26" t="n"/>
      <c r="B413" s="26" t="n"/>
      <c r="C413" s="26" t="n"/>
      <c r="D413" s="26" t="n"/>
      <c r="E413" s="26" t="n"/>
      <c r="F413" s="25" t="n"/>
      <c r="G413" s="25" t="n"/>
      <c r="H413" s="25" t="n"/>
      <c r="I413" s="25" t="n"/>
      <c r="J413" s="25" t="n"/>
      <c r="K413" s="25" t="n"/>
      <c r="L413" s="25" t="n"/>
      <c r="M413" s="25" t="n"/>
      <c r="N413" s="25" t="n"/>
      <c r="O413" s="4" t="n"/>
      <c r="P413" s="4" t="n"/>
      <c r="Q413" s="4" t="n"/>
      <c r="R413" s="4" t="n"/>
      <c r="S413" s="4" t="n"/>
    </row>
    <row r="414" ht="15" customHeight="1" s="215">
      <c r="A414" s="26" t="n"/>
      <c r="B414" s="26" t="n"/>
      <c r="C414" s="26" t="n"/>
      <c r="D414" s="26" t="n"/>
      <c r="E414" s="26" t="n"/>
      <c r="F414" s="25" t="n"/>
      <c r="G414" s="25" t="n"/>
      <c r="H414" s="25" t="n"/>
      <c r="I414" s="25" t="n"/>
      <c r="J414" s="25" t="n"/>
      <c r="K414" s="25" t="n"/>
      <c r="L414" s="25" t="n"/>
      <c r="M414" s="25" t="n"/>
      <c r="N414" s="25" t="n"/>
      <c r="O414" s="4" t="n"/>
      <c r="P414" s="4" t="n"/>
      <c r="Q414" s="4" t="n"/>
      <c r="R414" s="4" t="n"/>
      <c r="S414" s="4" t="n"/>
    </row>
    <row r="415" ht="15" customHeight="1" s="215">
      <c r="A415" s="26" t="n"/>
      <c r="B415" s="26" t="n"/>
      <c r="C415" s="26" t="n"/>
      <c r="D415" s="26" t="n"/>
      <c r="E415" s="26" t="n"/>
      <c r="F415" s="25" t="n"/>
      <c r="G415" s="25" t="n"/>
      <c r="H415" s="25" t="n"/>
      <c r="I415" s="25" t="n"/>
      <c r="J415" s="25" t="n"/>
      <c r="K415" s="25" t="n"/>
      <c r="L415" s="25" t="n"/>
      <c r="M415" s="25" t="n"/>
      <c r="N415" s="25" t="n"/>
      <c r="O415" s="4" t="n"/>
      <c r="P415" s="4" t="n"/>
      <c r="Q415" s="4" t="n"/>
      <c r="R415" s="4" t="n"/>
      <c r="S415" s="4" t="n"/>
    </row>
    <row r="416" ht="15" customHeight="1" s="215">
      <c r="A416" s="26" t="n"/>
      <c r="B416" s="26" t="n"/>
      <c r="C416" s="26" t="n"/>
      <c r="D416" s="26" t="n"/>
      <c r="E416" s="26" t="n"/>
      <c r="F416" s="25" t="n"/>
      <c r="G416" s="25" t="n"/>
      <c r="H416" s="25" t="n"/>
      <c r="I416" s="25" t="n"/>
      <c r="J416" s="25" t="n"/>
      <c r="K416" s="25" t="n"/>
      <c r="L416" s="25" t="n"/>
      <c r="M416" s="25" t="n"/>
      <c r="N416" s="25" t="n"/>
      <c r="O416" s="4" t="n"/>
      <c r="P416" s="4" t="n"/>
      <c r="Q416" s="4" t="n"/>
      <c r="R416" s="4" t="n"/>
      <c r="S416" s="4" t="n"/>
    </row>
    <row r="417" ht="15" customHeight="1" s="215">
      <c r="A417" s="26" t="n"/>
      <c r="B417" s="26" t="n"/>
      <c r="C417" s="26" t="n"/>
      <c r="D417" s="26" t="n"/>
      <c r="E417" s="26" t="n"/>
      <c r="F417" s="25" t="n"/>
      <c r="G417" s="25" t="n"/>
      <c r="H417" s="25" t="n"/>
      <c r="I417" s="25" t="n"/>
      <c r="J417" s="25" t="n"/>
      <c r="K417" s="25" t="n"/>
      <c r="L417" s="25" t="n"/>
      <c r="M417" s="25" t="n"/>
      <c r="N417" s="25" t="n"/>
      <c r="O417" s="4" t="n"/>
      <c r="P417" s="4" t="n"/>
      <c r="Q417" s="4" t="n"/>
      <c r="R417" s="4" t="n"/>
      <c r="S417" s="4" t="n"/>
    </row>
    <row r="418" ht="15" customHeight="1" s="215">
      <c r="A418" s="26" t="n"/>
      <c r="B418" s="26" t="n"/>
      <c r="C418" s="26" t="n"/>
      <c r="D418" s="26" t="n"/>
      <c r="E418" s="26" t="n"/>
      <c r="F418" s="25" t="n"/>
      <c r="G418" s="25" t="n"/>
      <c r="H418" s="25" t="n"/>
      <c r="I418" s="25" t="n"/>
      <c r="J418" s="25" t="n"/>
      <c r="K418" s="25" t="n"/>
      <c r="L418" s="25" t="n"/>
      <c r="M418" s="25" t="n"/>
      <c r="N418" s="25" t="n"/>
      <c r="O418" s="4" t="n"/>
      <c r="P418" s="4" t="n"/>
      <c r="Q418" s="4" t="n"/>
      <c r="R418" s="4" t="n"/>
      <c r="S418" s="4" t="n"/>
    </row>
    <row r="419" ht="15" customHeight="1" s="215">
      <c r="A419" s="26" t="n"/>
      <c r="B419" s="26" t="n"/>
      <c r="C419" s="26" t="n"/>
      <c r="D419" s="26" t="n"/>
      <c r="E419" s="26" t="n"/>
      <c r="F419" s="25" t="n"/>
      <c r="G419" s="25" t="n"/>
      <c r="H419" s="25" t="n"/>
      <c r="I419" s="25" t="n"/>
      <c r="J419" s="25" t="n"/>
      <c r="K419" s="25" t="n"/>
      <c r="L419" s="25" t="n"/>
      <c r="M419" s="25" t="n"/>
      <c r="N419" s="25" t="n"/>
      <c r="O419" s="4" t="n"/>
      <c r="P419" s="4" t="n"/>
      <c r="Q419" s="4" t="n"/>
      <c r="R419" s="4" t="n"/>
      <c r="S419" s="4" t="n"/>
    </row>
    <row r="420" ht="15" customHeight="1" s="215">
      <c r="A420" s="26" t="n"/>
      <c r="B420" s="26" t="n"/>
      <c r="C420" s="26" t="n"/>
      <c r="D420" s="26" t="n"/>
      <c r="E420" s="26" t="n"/>
      <c r="F420" s="25" t="n"/>
      <c r="G420" s="25" t="n"/>
      <c r="H420" s="25" t="n"/>
      <c r="I420" s="25" t="n"/>
      <c r="J420" s="25" t="n"/>
      <c r="K420" s="25" t="n"/>
      <c r="L420" s="25" t="n"/>
      <c r="M420" s="25" t="n"/>
      <c r="N420" s="25" t="n"/>
      <c r="O420" s="4" t="n"/>
      <c r="P420" s="4" t="n"/>
      <c r="Q420" s="4" t="n"/>
      <c r="R420" s="4" t="n"/>
      <c r="S420" s="4" t="n"/>
    </row>
    <row r="421" ht="15" customHeight="1" s="215">
      <c r="A421" s="26" t="n"/>
      <c r="B421" s="26" t="n"/>
      <c r="C421" s="26" t="n"/>
      <c r="D421" s="26" t="n"/>
      <c r="E421" s="26" t="n"/>
      <c r="F421" s="25" t="n"/>
      <c r="G421" s="25" t="n"/>
      <c r="H421" s="25" t="n"/>
      <c r="I421" s="25" t="n"/>
      <c r="J421" s="25" t="n"/>
      <c r="K421" s="25" t="n"/>
      <c r="L421" s="25" t="n"/>
      <c r="M421" s="25" t="n"/>
      <c r="N421" s="25" t="n"/>
      <c r="O421" s="4" t="n"/>
      <c r="P421" s="4" t="n"/>
      <c r="Q421" s="4" t="n"/>
      <c r="R421" s="4" t="n"/>
      <c r="S421" s="4" t="n"/>
    </row>
    <row r="422" ht="15" customHeight="1" s="215">
      <c r="A422" s="26" t="n"/>
      <c r="B422" s="26" t="n"/>
      <c r="C422" s="26" t="n"/>
      <c r="D422" s="26" t="n"/>
      <c r="E422" s="26" t="n"/>
      <c r="F422" s="25" t="n"/>
      <c r="G422" s="25" t="n"/>
      <c r="H422" s="25" t="n"/>
      <c r="I422" s="25" t="n"/>
      <c r="J422" s="25" t="n"/>
      <c r="K422" s="25" t="n"/>
      <c r="L422" s="25" t="n"/>
      <c r="M422" s="25" t="n"/>
      <c r="N422" s="25" t="n"/>
      <c r="O422" s="4" t="n"/>
      <c r="P422" s="4" t="n"/>
      <c r="Q422" s="4" t="n"/>
      <c r="R422" s="4" t="n"/>
      <c r="S422" s="4" t="n"/>
    </row>
    <row r="423" ht="15" customHeight="1" s="215">
      <c r="A423" s="26" t="n"/>
      <c r="B423" s="26" t="n"/>
      <c r="C423" s="26" t="n"/>
      <c r="D423" s="26" t="n"/>
      <c r="E423" s="26" t="n"/>
      <c r="F423" s="25" t="n"/>
      <c r="G423" s="25" t="n"/>
      <c r="H423" s="25" t="n"/>
      <c r="I423" s="25" t="n"/>
      <c r="J423" s="25" t="n"/>
      <c r="K423" s="25" t="n"/>
      <c r="L423" s="25" t="n"/>
      <c r="M423" s="25" t="n"/>
      <c r="N423" s="25" t="n"/>
      <c r="O423" s="4" t="n"/>
      <c r="P423" s="4" t="n"/>
      <c r="Q423" s="4" t="n"/>
      <c r="R423" s="4" t="n"/>
      <c r="S423" s="4" t="n"/>
    </row>
    <row r="424" ht="15" customHeight="1" s="215">
      <c r="A424" s="26" t="n"/>
      <c r="B424" s="26" t="n"/>
      <c r="C424" s="26" t="n"/>
      <c r="D424" s="26" t="n"/>
      <c r="E424" s="26" t="n"/>
      <c r="F424" s="25" t="n"/>
      <c r="G424" s="25" t="n"/>
      <c r="H424" s="25" t="n"/>
      <c r="I424" s="25" t="n"/>
      <c r="J424" s="25" t="n"/>
      <c r="K424" s="25" t="n"/>
      <c r="L424" s="25" t="n"/>
      <c r="M424" s="25" t="n"/>
      <c r="N424" s="25" t="n"/>
      <c r="O424" s="4" t="n"/>
      <c r="P424" s="4" t="n"/>
      <c r="Q424" s="4" t="n"/>
      <c r="R424" s="4" t="n"/>
      <c r="S424" s="4" t="n"/>
    </row>
    <row r="425" ht="15" customHeight="1" s="215">
      <c r="A425" s="26" t="n"/>
      <c r="B425" s="26" t="n"/>
      <c r="C425" s="26" t="n"/>
      <c r="D425" s="26" t="n"/>
      <c r="E425" s="26" t="n"/>
      <c r="F425" s="25" t="n"/>
      <c r="G425" s="25" t="n"/>
      <c r="H425" s="25" t="n"/>
      <c r="I425" s="25" t="n"/>
      <c r="J425" s="25" t="n"/>
      <c r="K425" s="25" t="n"/>
      <c r="L425" s="25" t="n"/>
      <c r="M425" s="25" t="n"/>
      <c r="N425" s="25" t="n"/>
      <c r="O425" s="4" t="n"/>
      <c r="P425" s="4" t="n"/>
      <c r="Q425" s="4" t="n"/>
      <c r="R425" s="4" t="n"/>
      <c r="S425" s="4" t="n"/>
    </row>
    <row r="426" ht="15" customHeight="1" s="215">
      <c r="A426" s="26" t="n"/>
      <c r="B426" s="26" t="n"/>
      <c r="C426" s="26" t="n"/>
      <c r="D426" s="26" t="n"/>
      <c r="E426" s="26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4" t="n"/>
      <c r="P426" s="4" t="n"/>
      <c r="Q426" s="4" t="n"/>
      <c r="R426" s="4" t="n"/>
      <c r="S426" s="4" t="n"/>
    </row>
    <row r="427" ht="15" customHeight="1" s="215">
      <c r="A427" s="26" t="n"/>
      <c r="B427" s="26" t="n"/>
      <c r="C427" s="26" t="n"/>
      <c r="D427" s="26" t="n"/>
      <c r="E427" s="26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4" t="n"/>
      <c r="P427" s="4" t="n"/>
      <c r="Q427" s="4" t="n"/>
      <c r="R427" s="4" t="n"/>
      <c r="S427" s="4" t="n"/>
    </row>
    <row r="428" ht="15" customHeight="1" s="215">
      <c r="A428" s="26" t="n"/>
      <c r="B428" s="26" t="n"/>
      <c r="C428" s="26" t="n"/>
      <c r="D428" s="26" t="n"/>
      <c r="E428" s="26" t="n"/>
      <c r="F428" s="25" t="n"/>
      <c r="G428" s="25" t="n"/>
      <c r="H428" s="25" t="n"/>
      <c r="I428" s="25" t="n"/>
      <c r="J428" s="25" t="n"/>
      <c r="K428" s="25" t="n"/>
      <c r="L428" s="25" t="n"/>
      <c r="M428" s="25" t="n"/>
      <c r="N428" s="25" t="n"/>
      <c r="O428" s="4" t="n"/>
      <c r="P428" s="4" t="n"/>
      <c r="Q428" s="4" t="n"/>
      <c r="R428" s="4" t="n"/>
      <c r="S428" s="4" t="n"/>
    </row>
    <row r="429" ht="15" customHeight="1" s="215">
      <c r="A429" s="26" t="n"/>
      <c r="B429" s="26" t="n"/>
      <c r="C429" s="26" t="n"/>
      <c r="D429" s="26" t="n"/>
      <c r="E429" s="26" t="n"/>
      <c r="F429" s="25" t="n"/>
      <c r="G429" s="25" t="n"/>
      <c r="H429" s="25" t="n"/>
      <c r="I429" s="25" t="n"/>
      <c r="J429" s="25" t="n"/>
      <c r="K429" s="25" t="n"/>
      <c r="L429" s="25" t="n"/>
      <c r="M429" s="25" t="n"/>
      <c r="N429" s="25" t="n"/>
      <c r="O429" s="4" t="n"/>
      <c r="P429" s="4" t="n"/>
      <c r="Q429" s="4" t="n"/>
      <c r="R429" s="4" t="n"/>
      <c r="S429" s="4" t="n"/>
    </row>
    <row r="430" ht="15" customHeight="1" s="215">
      <c r="A430" s="26" t="n"/>
      <c r="B430" s="26" t="n"/>
      <c r="C430" s="26" t="n"/>
      <c r="D430" s="26" t="n"/>
      <c r="E430" s="26" t="n"/>
      <c r="F430" s="25" t="n"/>
      <c r="G430" s="25" t="n"/>
      <c r="H430" s="25" t="n"/>
      <c r="I430" s="25" t="n"/>
      <c r="J430" s="25" t="n"/>
      <c r="K430" s="25" t="n"/>
      <c r="L430" s="25" t="n"/>
      <c r="M430" s="25" t="n"/>
      <c r="N430" s="25" t="n"/>
      <c r="O430" s="4" t="n"/>
      <c r="P430" s="4" t="n"/>
      <c r="Q430" s="4" t="n"/>
      <c r="R430" s="4" t="n"/>
      <c r="S430" s="4" t="n"/>
    </row>
    <row r="431" ht="15" customHeight="1" s="215">
      <c r="A431" s="26" t="n"/>
      <c r="B431" s="26" t="n"/>
      <c r="C431" s="26" t="n"/>
      <c r="D431" s="26" t="n"/>
      <c r="E431" s="26" t="n"/>
      <c r="F431" s="25" t="n"/>
      <c r="G431" s="25" t="n"/>
      <c r="H431" s="25" t="n"/>
      <c r="I431" s="25" t="n"/>
      <c r="J431" s="25" t="n"/>
      <c r="K431" s="25" t="n"/>
      <c r="L431" s="25" t="n"/>
      <c r="M431" s="25" t="n"/>
      <c r="N431" s="25" t="n"/>
      <c r="O431" s="4" t="n"/>
      <c r="P431" s="4" t="n"/>
      <c r="Q431" s="4" t="n"/>
      <c r="R431" s="4" t="n"/>
      <c r="S431" s="4" t="n"/>
    </row>
    <row r="432" ht="15" customHeight="1" s="215">
      <c r="A432" s="26" t="n"/>
      <c r="B432" s="26" t="n"/>
      <c r="C432" s="26" t="n"/>
      <c r="D432" s="26" t="n"/>
      <c r="E432" s="26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4" t="n"/>
      <c r="P432" s="4" t="n"/>
      <c r="Q432" s="4" t="n"/>
      <c r="R432" s="4" t="n"/>
      <c r="S432" s="4" t="n"/>
    </row>
    <row r="433" ht="15" customHeight="1" s="215">
      <c r="A433" s="26" t="n"/>
      <c r="B433" s="26" t="n"/>
      <c r="C433" s="26" t="n"/>
      <c r="D433" s="26" t="n"/>
      <c r="E433" s="26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4" t="n"/>
      <c r="P433" s="4" t="n"/>
      <c r="Q433" s="4" t="n"/>
      <c r="R433" s="4" t="n"/>
      <c r="S433" s="4" t="n"/>
    </row>
    <row r="434" ht="15" customHeight="1" s="215">
      <c r="A434" s="26" t="n"/>
      <c r="B434" s="26" t="n"/>
      <c r="C434" s="26" t="n"/>
      <c r="D434" s="26" t="n"/>
      <c r="E434" s="26" t="n"/>
      <c r="F434" s="25" t="n"/>
      <c r="G434" s="25" t="n"/>
      <c r="H434" s="25" t="n"/>
      <c r="I434" s="25" t="n"/>
      <c r="J434" s="25" t="n"/>
      <c r="K434" s="25" t="n"/>
      <c r="L434" s="25" t="n"/>
      <c r="M434" s="25" t="n"/>
      <c r="N434" s="25" t="n"/>
      <c r="O434" s="4" t="n"/>
      <c r="P434" s="4" t="n"/>
      <c r="Q434" s="4" t="n"/>
      <c r="R434" s="4" t="n"/>
      <c r="S434" s="4" t="n"/>
    </row>
    <row r="435" ht="15" customHeight="1" s="215">
      <c r="A435" s="26" t="n"/>
      <c r="B435" s="26" t="n"/>
      <c r="C435" s="26" t="n"/>
      <c r="D435" s="26" t="n"/>
      <c r="E435" s="26" t="n"/>
      <c r="F435" s="25" t="n"/>
      <c r="G435" s="25" t="n"/>
      <c r="H435" s="25" t="n"/>
      <c r="I435" s="25" t="n"/>
      <c r="J435" s="25" t="n"/>
      <c r="K435" s="25" t="n"/>
      <c r="L435" s="25" t="n"/>
      <c r="M435" s="25" t="n"/>
      <c r="N435" s="25" t="n"/>
      <c r="O435" s="4" t="n"/>
      <c r="P435" s="4" t="n"/>
      <c r="Q435" s="4" t="n"/>
      <c r="R435" s="4" t="n"/>
      <c r="S435" s="4" t="n"/>
    </row>
    <row r="436" ht="15" customHeight="1" s="215">
      <c r="A436" s="26" t="n"/>
      <c r="B436" s="26" t="n"/>
      <c r="C436" s="26" t="n"/>
      <c r="D436" s="26" t="n"/>
      <c r="E436" s="26" t="n"/>
      <c r="F436" s="25" t="n"/>
      <c r="G436" s="25" t="n"/>
      <c r="H436" s="25" t="n"/>
      <c r="I436" s="25" t="n"/>
      <c r="J436" s="25" t="n"/>
      <c r="K436" s="25" t="n"/>
      <c r="L436" s="25" t="n"/>
      <c r="M436" s="25" t="n"/>
      <c r="N436" s="25" t="n"/>
      <c r="O436" s="4" t="n"/>
      <c r="P436" s="4" t="n"/>
      <c r="Q436" s="4" t="n"/>
      <c r="R436" s="4" t="n"/>
      <c r="S436" s="4" t="n"/>
    </row>
    <row r="437" ht="15" customHeight="1" s="215">
      <c r="A437" s="26" t="n"/>
      <c r="B437" s="26" t="n"/>
      <c r="C437" s="26" t="n"/>
      <c r="D437" s="26" t="n"/>
      <c r="E437" s="26" t="n"/>
      <c r="F437" s="25" t="n"/>
      <c r="G437" s="25" t="n"/>
      <c r="H437" s="25" t="n"/>
      <c r="I437" s="25" t="n"/>
      <c r="J437" s="25" t="n"/>
      <c r="K437" s="25" t="n"/>
      <c r="L437" s="25" t="n"/>
      <c r="M437" s="25" t="n"/>
      <c r="N437" s="25" t="n"/>
      <c r="O437" s="4" t="n"/>
      <c r="P437" s="4" t="n"/>
      <c r="Q437" s="4" t="n"/>
      <c r="R437" s="4" t="n"/>
      <c r="S437" s="4" t="n"/>
    </row>
    <row r="438" ht="15" customHeight="1" s="215">
      <c r="A438" s="26" t="n"/>
      <c r="B438" s="26" t="n"/>
      <c r="C438" s="26" t="n"/>
      <c r="D438" s="26" t="n"/>
      <c r="E438" s="26" t="n"/>
      <c r="F438" s="25" t="n"/>
      <c r="G438" s="25" t="n"/>
      <c r="H438" s="25" t="n"/>
      <c r="I438" s="25" t="n"/>
      <c r="J438" s="25" t="n"/>
      <c r="K438" s="25" t="n"/>
      <c r="L438" s="25" t="n"/>
      <c r="M438" s="25" t="n"/>
      <c r="N438" s="25" t="n"/>
      <c r="O438" s="4" t="n"/>
      <c r="P438" s="4" t="n"/>
      <c r="Q438" s="4" t="n"/>
      <c r="R438" s="4" t="n"/>
      <c r="S438" s="4" t="n"/>
    </row>
    <row r="439" ht="15" customHeight="1" s="215">
      <c r="A439" s="26" t="n"/>
      <c r="B439" s="26" t="n"/>
      <c r="C439" s="26" t="n"/>
      <c r="D439" s="26" t="n"/>
      <c r="E439" s="26" t="n"/>
      <c r="F439" s="25" t="n"/>
      <c r="G439" s="25" t="n"/>
      <c r="H439" s="25" t="n"/>
      <c r="I439" s="25" t="n"/>
      <c r="J439" s="25" t="n"/>
      <c r="K439" s="25" t="n"/>
      <c r="L439" s="25" t="n"/>
      <c r="M439" s="25" t="n"/>
      <c r="N439" s="25" t="n"/>
      <c r="O439" s="4" t="n"/>
      <c r="P439" s="4" t="n"/>
      <c r="Q439" s="4" t="n"/>
      <c r="R439" s="4" t="n"/>
      <c r="S439" s="4" t="n"/>
    </row>
    <row r="440" ht="15" customHeight="1" s="215">
      <c r="A440" s="26" t="n"/>
      <c r="B440" s="26" t="n"/>
      <c r="C440" s="26" t="n"/>
      <c r="D440" s="26" t="n"/>
      <c r="E440" s="26" t="n"/>
      <c r="F440" s="25" t="n"/>
      <c r="G440" s="25" t="n"/>
      <c r="H440" s="25" t="n"/>
      <c r="I440" s="25" t="n"/>
      <c r="J440" s="25" t="n"/>
      <c r="K440" s="25" t="n"/>
      <c r="L440" s="25" t="n"/>
      <c r="M440" s="25" t="n"/>
      <c r="N440" s="25" t="n"/>
      <c r="O440" s="4" t="n"/>
      <c r="P440" s="4" t="n"/>
      <c r="Q440" s="4" t="n"/>
      <c r="R440" s="4" t="n"/>
      <c r="S440" s="4" t="n"/>
    </row>
    <row r="441" ht="15" customHeight="1" s="215">
      <c r="A441" s="26" t="n"/>
      <c r="B441" s="26" t="n"/>
      <c r="C441" s="26" t="n"/>
      <c r="D441" s="26" t="n"/>
      <c r="E441" s="26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4" t="n"/>
      <c r="P441" s="4" t="n"/>
      <c r="Q441" s="4" t="n"/>
      <c r="R441" s="4" t="n"/>
      <c r="S441" s="4" t="n"/>
    </row>
    <row r="442" ht="15" customHeight="1" s="215">
      <c r="A442" s="26" t="n"/>
      <c r="B442" s="26" t="n"/>
      <c r="C442" s="26" t="n"/>
      <c r="D442" s="26" t="n"/>
      <c r="E442" s="26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4" t="n"/>
      <c r="P442" s="4" t="n"/>
      <c r="Q442" s="4" t="n"/>
      <c r="R442" s="4" t="n"/>
      <c r="S442" s="4" t="n"/>
    </row>
    <row r="443" ht="15" customHeight="1" s="215">
      <c r="A443" s="26" t="n"/>
      <c r="B443" s="26" t="n"/>
      <c r="C443" s="26" t="n"/>
      <c r="D443" s="26" t="n"/>
      <c r="E443" s="26" t="n"/>
      <c r="F443" s="25" t="n"/>
      <c r="G443" s="25" t="n"/>
      <c r="H443" s="25" t="n"/>
      <c r="I443" s="25" t="n"/>
      <c r="J443" s="25" t="n"/>
      <c r="K443" s="25" t="n"/>
      <c r="L443" s="25" t="n"/>
      <c r="M443" s="25" t="n"/>
      <c r="N443" s="25" t="n"/>
      <c r="O443" s="4" t="n"/>
      <c r="P443" s="4" t="n"/>
      <c r="Q443" s="4" t="n"/>
      <c r="R443" s="4" t="n"/>
      <c r="S443" s="4" t="n"/>
    </row>
    <row r="444" ht="15" customHeight="1" s="215">
      <c r="A444" s="26" t="n"/>
      <c r="B444" s="26" t="n"/>
      <c r="C444" s="26" t="n"/>
      <c r="D444" s="26" t="n"/>
      <c r="E444" s="26" t="n"/>
      <c r="F444" s="25" t="n"/>
      <c r="G444" s="25" t="n"/>
      <c r="H444" s="25" t="n"/>
      <c r="I444" s="25" t="n"/>
      <c r="J444" s="25" t="n"/>
      <c r="K444" s="25" t="n"/>
      <c r="L444" s="25" t="n"/>
      <c r="M444" s="25" t="n"/>
      <c r="N444" s="25" t="n"/>
      <c r="O444" s="4" t="n"/>
      <c r="P444" s="4" t="n"/>
      <c r="Q444" s="4" t="n"/>
      <c r="R444" s="4" t="n"/>
      <c r="S444" s="4" t="n"/>
    </row>
    <row r="445" ht="15" customHeight="1" s="215">
      <c r="A445" s="26" t="n"/>
      <c r="B445" s="26" t="n"/>
      <c r="C445" s="26" t="n"/>
      <c r="D445" s="26" t="n"/>
      <c r="E445" s="26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4" t="n"/>
      <c r="P445" s="4" t="n"/>
      <c r="Q445" s="4" t="n"/>
      <c r="R445" s="4" t="n"/>
      <c r="S445" s="4" t="n"/>
    </row>
    <row r="446" ht="15" customHeight="1" s="215">
      <c r="A446" s="26" t="n"/>
      <c r="B446" s="26" t="n"/>
      <c r="C446" s="26" t="n"/>
      <c r="D446" s="26" t="n"/>
      <c r="E446" s="26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4" t="n"/>
      <c r="P446" s="4" t="n"/>
      <c r="Q446" s="4" t="n"/>
      <c r="R446" s="4" t="n"/>
      <c r="S446" s="4" t="n"/>
    </row>
    <row r="447" ht="15" customHeight="1" s="215">
      <c r="A447" s="26" t="n"/>
      <c r="B447" s="26" t="n"/>
      <c r="C447" s="26" t="n"/>
      <c r="D447" s="26" t="n"/>
      <c r="E447" s="26" t="n"/>
      <c r="F447" s="25" t="n"/>
      <c r="G447" s="25" t="n"/>
      <c r="H447" s="25" t="n"/>
      <c r="I447" s="25" t="n"/>
      <c r="J447" s="25" t="n"/>
      <c r="K447" s="25" t="n"/>
      <c r="L447" s="25" t="n"/>
      <c r="M447" s="25" t="n"/>
      <c r="N447" s="25" t="n"/>
      <c r="O447" s="4" t="n"/>
      <c r="P447" s="4" t="n"/>
      <c r="Q447" s="4" t="n"/>
      <c r="R447" s="4" t="n"/>
      <c r="S447" s="4" t="n"/>
    </row>
    <row r="448" ht="15" customHeight="1" s="215">
      <c r="A448" s="26" t="n"/>
      <c r="B448" s="26" t="n"/>
      <c r="C448" s="26" t="n"/>
      <c r="D448" s="26" t="n"/>
      <c r="E448" s="26" t="n"/>
      <c r="F448" s="25" t="n"/>
      <c r="G448" s="25" t="n"/>
      <c r="H448" s="25" t="n"/>
      <c r="I448" s="25" t="n"/>
      <c r="J448" s="25" t="n"/>
      <c r="K448" s="25" t="n"/>
      <c r="L448" s="25" t="n"/>
      <c r="M448" s="25" t="n"/>
      <c r="N448" s="25" t="n"/>
      <c r="O448" s="4" t="n"/>
      <c r="P448" s="4" t="n"/>
      <c r="Q448" s="4" t="n"/>
      <c r="R448" s="4" t="n"/>
      <c r="S448" s="4" t="n"/>
    </row>
    <row r="449" ht="15" customHeight="1" s="215">
      <c r="A449" s="26" t="n"/>
      <c r="B449" s="26" t="n"/>
      <c r="C449" s="26" t="n"/>
      <c r="D449" s="26" t="n"/>
      <c r="E449" s="26" t="n"/>
      <c r="F449" s="25" t="n"/>
      <c r="G449" s="25" t="n"/>
      <c r="H449" s="25" t="n"/>
      <c r="I449" s="25" t="n"/>
      <c r="J449" s="25" t="n"/>
      <c r="K449" s="25" t="n"/>
      <c r="L449" s="25" t="n"/>
      <c r="M449" s="25" t="n"/>
      <c r="N449" s="25" t="n"/>
      <c r="O449" s="4" t="n"/>
      <c r="P449" s="4" t="n"/>
      <c r="Q449" s="4" t="n"/>
      <c r="R449" s="4" t="n"/>
      <c r="S449" s="4" t="n"/>
    </row>
    <row r="450" ht="15" customHeight="1" s="215">
      <c r="A450" s="26" t="n"/>
      <c r="B450" s="26" t="n"/>
      <c r="C450" s="26" t="n"/>
      <c r="D450" s="26" t="n"/>
      <c r="E450" s="26" t="n"/>
      <c r="F450" s="25" t="n"/>
      <c r="G450" s="25" t="n"/>
      <c r="H450" s="25" t="n"/>
      <c r="I450" s="25" t="n"/>
      <c r="J450" s="25" t="n"/>
      <c r="K450" s="25" t="n"/>
      <c r="L450" s="25" t="n"/>
      <c r="M450" s="25" t="n"/>
      <c r="N450" s="25" t="n"/>
      <c r="O450" s="4" t="n"/>
      <c r="P450" s="4" t="n"/>
      <c r="Q450" s="4" t="n"/>
      <c r="R450" s="4" t="n"/>
      <c r="S450" s="4" t="n"/>
    </row>
    <row r="451" ht="15" customHeight="1" s="215">
      <c r="A451" s="26" t="n"/>
      <c r="B451" s="26" t="n"/>
      <c r="C451" s="26" t="n"/>
      <c r="D451" s="26" t="n"/>
      <c r="E451" s="26" t="n"/>
      <c r="F451" s="25" t="n"/>
      <c r="G451" s="25" t="n"/>
      <c r="H451" s="25" t="n"/>
      <c r="I451" s="25" t="n"/>
      <c r="J451" s="25" t="n"/>
      <c r="K451" s="25" t="n"/>
      <c r="L451" s="25" t="n"/>
      <c r="M451" s="25" t="n"/>
      <c r="N451" s="25" t="n"/>
      <c r="O451" s="4" t="n"/>
      <c r="P451" s="4" t="n"/>
      <c r="Q451" s="4" t="n"/>
      <c r="R451" s="4" t="n"/>
      <c r="S451" s="4" t="n"/>
    </row>
    <row r="452" ht="15" customHeight="1" s="215">
      <c r="A452" s="26" t="n"/>
      <c r="B452" s="26" t="n"/>
      <c r="C452" s="26" t="n"/>
      <c r="D452" s="26" t="n"/>
      <c r="E452" s="26" t="n"/>
      <c r="F452" s="25" t="n"/>
      <c r="G452" s="25" t="n"/>
      <c r="H452" s="25" t="n"/>
      <c r="I452" s="25" t="n"/>
      <c r="J452" s="25" t="n"/>
      <c r="K452" s="25" t="n"/>
      <c r="L452" s="25" t="n"/>
      <c r="M452" s="25" t="n"/>
      <c r="N452" s="25" t="n"/>
      <c r="O452" s="4" t="n"/>
      <c r="P452" s="4" t="n"/>
      <c r="Q452" s="4" t="n"/>
      <c r="R452" s="4" t="n"/>
      <c r="S452" s="4" t="n"/>
    </row>
    <row r="453" ht="15" customHeight="1" s="215">
      <c r="A453" s="26" t="n"/>
      <c r="B453" s="26" t="n"/>
      <c r="C453" s="26" t="n"/>
      <c r="D453" s="26" t="n"/>
      <c r="E453" s="26" t="n"/>
      <c r="F453" s="25" t="n"/>
      <c r="G453" s="25" t="n"/>
      <c r="H453" s="25" t="n"/>
      <c r="I453" s="25" t="n"/>
      <c r="J453" s="25" t="n"/>
      <c r="K453" s="25" t="n"/>
      <c r="L453" s="25" t="n"/>
      <c r="M453" s="25" t="n"/>
      <c r="N453" s="25" t="n"/>
      <c r="O453" s="4" t="n"/>
      <c r="P453" s="4" t="n"/>
      <c r="Q453" s="4" t="n"/>
      <c r="R453" s="4" t="n"/>
      <c r="S453" s="4" t="n"/>
    </row>
    <row r="454" ht="15" customHeight="1" s="215">
      <c r="A454" s="26" t="n"/>
      <c r="B454" s="26" t="n"/>
      <c r="C454" s="26" t="n"/>
      <c r="D454" s="26" t="n"/>
      <c r="E454" s="26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4" t="n"/>
      <c r="P454" s="4" t="n"/>
      <c r="Q454" s="4" t="n"/>
      <c r="R454" s="4" t="n"/>
      <c r="S454" s="4" t="n"/>
    </row>
    <row r="455" ht="15" customHeight="1" s="215">
      <c r="A455" s="26" t="n"/>
      <c r="B455" s="26" t="n"/>
      <c r="C455" s="26" t="n"/>
      <c r="D455" s="26" t="n"/>
      <c r="E455" s="26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4" t="n"/>
      <c r="P455" s="4" t="n"/>
      <c r="Q455" s="4" t="n"/>
      <c r="R455" s="4" t="n"/>
      <c r="S455" s="4" t="n"/>
    </row>
    <row r="456" ht="15" customHeight="1" s="215">
      <c r="A456" s="26" t="n"/>
      <c r="B456" s="26" t="n"/>
      <c r="C456" s="26" t="n"/>
      <c r="D456" s="26" t="n"/>
      <c r="E456" s="26" t="n"/>
      <c r="F456" s="25" t="n"/>
      <c r="G456" s="25" t="n"/>
      <c r="H456" s="25" t="n"/>
      <c r="I456" s="25" t="n"/>
      <c r="J456" s="25" t="n"/>
      <c r="K456" s="25" t="n"/>
      <c r="L456" s="25" t="n"/>
      <c r="M456" s="25" t="n"/>
      <c r="N456" s="25" t="n"/>
      <c r="O456" s="4" t="n"/>
      <c r="P456" s="4" t="n"/>
      <c r="Q456" s="4" t="n"/>
      <c r="R456" s="4" t="n"/>
      <c r="S456" s="4" t="n"/>
    </row>
    <row r="457" ht="15" customHeight="1" s="215">
      <c r="A457" s="26" t="n"/>
      <c r="B457" s="26" t="n"/>
      <c r="C457" s="26" t="n"/>
      <c r="D457" s="26" t="n"/>
      <c r="E457" s="26" t="n"/>
      <c r="F457" s="25" t="n"/>
      <c r="G457" s="25" t="n"/>
      <c r="H457" s="25" t="n"/>
      <c r="I457" s="25" t="n"/>
      <c r="J457" s="25" t="n"/>
      <c r="K457" s="25" t="n"/>
      <c r="L457" s="25" t="n"/>
      <c r="M457" s="25" t="n"/>
      <c r="N457" s="25" t="n"/>
      <c r="O457" s="4" t="n"/>
      <c r="P457" s="4" t="n"/>
      <c r="Q457" s="4" t="n"/>
      <c r="R457" s="4" t="n"/>
      <c r="S457" s="4" t="n"/>
    </row>
    <row r="458" ht="15" customHeight="1" s="215">
      <c r="A458" s="26" t="n"/>
      <c r="B458" s="26" t="n"/>
      <c r="C458" s="26" t="n"/>
      <c r="D458" s="26" t="n"/>
      <c r="E458" s="26" t="n"/>
      <c r="F458" s="25" t="n"/>
      <c r="G458" s="25" t="n"/>
      <c r="H458" s="25" t="n"/>
      <c r="I458" s="25" t="n"/>
      <c r="J458" s="25" t="n"/>
      <c r="K458" s="25" t="n"/>
      <c r="L458" s="25" t="n"/>
      <c r="M458" s="25" t="n"/>
      <c r="N458" s="25" t="n"/>
      <c r="O458" s="4" t="n"/>
      <c r="P458" s="4" t="n"/>
      <c r="Q458" s="4" t="n"/>
      <c r="R458" s="4" t="n"/>
      <c r="S458" s="4" t="n"/>
    </row>
    <row r="459" ht="15" customHeight="1" s="215">
      <c r="A459" s="26" t="n"/>
      <c r="B459" s="26" t="n"/>
      <c r="C459" s="26" t="n"/>
      <c r="D459" s="26" t="n"/>
      <c r="E459" s="26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4" t="n"/>
      <c r="P459" s="4" t="n"/>
      <c r="Q459" s="4" t="n"/>
      <c r="R459" s="4" t="n"/>
      <c r="S459" s="4" t="n"/>
    </row>
    <row r="460" ht="15" customHeight="1" s="215">
      <c r="A460" s="26" t="n"/>
      <c r="B460" s="26" t="n"/>
      <c r="C460" s="26" t="n"/>
      <c r="D460" s="26" t="n"/>
      <c r="E460" s="26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4" t="n"/>
      <c r="P460" s="4" t="n"/>
      <c r="Q460" s="4" t="n"/>
      <c r="R460" s="4" t="n"/>
      <c r="S460" s="4" t="n"/>
    </row>
    <row r="461" ht="15" customHeight="1" s="215">
      <c r="A461" s="26" t="n"/>
      <c r="B461" s="26" t="n"/>
      <c r="C461" s="26" t="n"/>
      <c r="D461" s="26" t="n"/>
      <c r="E461" s="26" t="n"/>
      <c r="F461" s="25" t="n"/>
      <c r="G461" s="25" t="n"/>
      <c r="H461" s="25" t="n"/>
      <c r="I461" s="25" t="n"/>
      <c r="J461" s="25" t="n"/>
      <c r="K461" s="25" t="n"/>
      <c r="L461" s="25" t="n"/>
      <c r="M461" s="25" t="n"/>
      <c r="N461" s="25" t="n"/>
      <c r="O461" s="4" t="n"/>
      <c r="P461" s="4" t="n"/>
      <c r="Q461" s="4" t="n"/>
      <c r="R461" s="4" t="n"/>
      <c r="S461" s="4" t="n"/>
    </row>
    <row r="462" ht="15" customHeight="1" s="215">
      <c r="A462" s="26" t="n"/>
      <c r="B462" s="26" t="n"/>
      <c r="C462" s="26" t="n"/>
      <c r="D462" s="26" t="n"/>
      <c r="E462" s="26" t="n"/>
      <c r="F462" s="25" t="n"/>
      <c r="G462" s="25" t="n"/>
      <c r="H462" s="25" t="n"/>
      <c r="I462" s="25" t="n"/>
      <c r="J462" s="25" t="n"/>
      <c r="K462" s="25" t="n"/>
      <c r="L462" s="25" t="n"/>
      <c r="M462" s="25" t="n"/>
      <c r="N462" s="25" t="n"/>
      <c r="O462" s="4" t="n"/>
      <c r="P462" s="4" t="n"/>
      <c r="Q462" s="4" t="n"/>
      <c r="R462" s="4" t="n"/>
      <c r="S462" s="4" t="n"/>
    </row>
    <row r="463" ht="15" customHeight="1" s="215">
      <c r="A463" s="26" t="n"/>
      <c r="B463" s="26" t="n"/>
      <c r="C463" s="26" t="n"/>
      <c r="D463" s="26" t="n"/>
      <c r="E463" s="26" t="n"/>
      <c r="F463" s="25" t="n"/>
      <c r="G463" s="25" t="n"/>
      <c r="H463" s="25" t="n"/>
      <c r="I463" s="25" t="n"/>
      <c r="J463" s="25" t="n"/>
      <c r="K463" s="25" t="n"/>
      <c r="L463" s="25" t="n"/>
      <c r="M463" s="25" t="n"/>
      <c r="N463" s="25" t="n"/>
      <c r="O463" s="4" t="n"/>
      <c r="P463" s="4" t="n"/>
      <c r="Q463" s="4" t="n"/>
      <c r="R463" s="4" t="n"/>
      <c r="S463" s="4" t="n"/>
    </row>
    <row r="464" ht="15" customHeight="1" s="215">
      <c r="A464" s="26" t="n"/>
      <c r="B464" s="26" t="n"/>
      <c r="C464" s="26" t="n"/>
      <c r="D464" s="26" t="n"/>
      <c r="E464" s="26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4" t="n"/>
      <c r="P464" s="4" t="n"/>
      <c r="Q464" s="4" t="n"/>
      <c r="R464" s="4" t="n"/>
      <c r="S464" s="4" t="n"/>
    </row>
    <row r="465" ht="15" customHeight="1" s="215">
      <c r="A465" s="26" t="n"/>
      <c r="B465" s="26" t="n"/>
      <c r="C465" s="26" t="n"/>
      <c r="D465" s="26" t="n"/>
      <c r="E465" s="26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4" t="n"/>
      <c r="P465" s="4" t="n"/>
      <c r="Q465" s="4" t="n"/>
      <c r="R465" s="4" t="n"/>
      <c r="S465" s="4" t="n"/>
    </row>
    <row r="466" ht="15" customHeight="1" s="215">
      <c r="A466" s="26" t="n"/>
      <c r="B466" s="26" t="n"/>
      <c r="C466" s="26" t="n"/>
      <c r="D466" s="26" t="n"/>
      <c r="E466" s="26" t="n"/>
      <c r="F466" s="25" t="n"/>
      <c r="G466" s="25" t="n"/>
      <c r="H466" s="25" t="n"/>
      <c r="I466" s="25" t="n"/>
      <c r="J466" s="25" t="n"/>
      <c r="K466" s="25" t="n"/>
      <c r="L466" s="25" t="n"/>
      <c r="M466" s="25" t="n"/>
      <c r="N466" s="25" t="n"/>
      <c r="O466" s="4" t="n"/>
      <c r="P466" s="4" t="n"/>
      <c r="Q466" s="4" t="n"/>
      <c r="R466" s="4" t="n"/>
      <c r="S466" s="4" t="n"/>
    </row>
    <row r="467" ht="15" customHeight="1" s="215">
      <c r="A467" s="26" t="n"/>
      <c r="B467" s="26" t="n"/>
      <c r="C467" s="26" t="n"/>
      <c r="D467" s="26" t="n"/>
      <c r="E467" s="26" t="n"/>
      <c r="F467" s="25" t="n"/>
      <c r="G467" s="25" t="n"/>
      <c r="H467" s="25" t="n"/>
      <c r="I467" s="25" t="n"/>
      <c r="J467" s="25" t="n"/>
      <c r="K467" s="25" t="n"/>
      <c r="L467" s="25" t="n"/>
      <c r="M467" s="25" t="n"/>
      <c r="N467" s="25" t="n"/>
      <c r="O467" s="4" t="n"/>
      <c r="P467" s="4" t="n"/>
      <c r="Q467" s="4" t="n"/>
      <c r="R467" s="4" t="n"/>
      <c r="S467" s="4" t="n"/>
    </row>
    <row r="468" ht="15" customHeight="1" s="215">
      <c r="A468" s="26" t="n"/>
      <c r="B468" s="26" t="n"/>
      <c r="C468" s="26" t="n"/>
      <c r="D468" s="26" t="n"/>
      <c r="E468" s="26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4" t="n"/>
      <c r="P468" s="4" t="n"/>
      <c r="Q468" s="4" t="n"/>
      <c r="R468" s="4" t="n"/>
      <c r="S468" s="4" t="n"/>
    </row>
    <row r="469" ht="15" customHeight="1" s="215">
      <c r="A469" s="26" t="n"/>
      <c r="B469" s="26" t="n"/>
      <c r="C469" s="26" t="n"/>
      <c r="D469" s="26" t="n"/>
      <c r="E469" s="26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4" t="n"/>
      <c r="P469" s="4" t="n"/>
      <c r="Q469" s="4" t="n"/>
      <c r="R469" s="4" t="n"/>
      <c r="S469" s="4" t="n"/>
    </row>
    <row r="470" ht="15" customHeight="1" s="215">
      <c r="A470" s="26" t="n"/>
      <c r="B470" s="26" t="n"/>
      <c r="C470" s="26" t="n"/>
      <c r="D470" s="26" t="n"/>
      <c r="E470" s="26" t="n"/>
      <c r="F470" s="25" t="n"/>
      <c r="G470" s="25" t="n"/>
      <c r="H470" s="25" t="n"/>
      <c r="I470" s="25" t="n"/>
      <c r="J470" s="25" t="n"/>
      <c r="K470" s="25" t="n"/>
      <c r="L470" s="25" t="n"/>
      <c r="M470" s="25" t="n"/>
      <c r="N470" s="25" t="n"/>
      <c r="O470" s="4" t="n"/>
      <c r="P470" s="4" t="n"/>
      <c r="Q470" s="4" t="n"/>
      <c r="R470" s="4" t="n"/>
      <c r="S470" s="4" t="n"/>
    </row>
    <row r="471" ht="15" customHeight="1" s="215">
      <c r="A471" s="26" t="n"/>
      <c r="B471" s="26" t="n"/>
      <c r="C471" s="26" t="n"/>
      <c r="D471" s="26" t="n"/>
      <c r="E471" s="26" t="n"/>
      <c r="F471" s="25" t="n"/>
      <c r="G471" s="25" t="n"/>
      <c r="H471" s="25" t="n"/>
      <c r="I471" s="25" t="n"/>
      <c r="J471" s="25" t="n"/>
      <c r="K471" s="25" t="n"/>
      <c r="L471" s="25" t="n"/>
      <c r="M471" s="25" t="n"/>
      <c r="N471" s="25" t="n"/>
      <c r="O471" s="4" t="n"/>
      <c r="P471" s="4" t="n"/>
      <c r="Q471" s="4" t="n"/>
      <c r="R471" s="4" t="n"/>
      <c r="S471" s="4" t="n"/>
    </row>
    <row r="472" ht="15" customHeight="1" s="215">
      <c r="A472" s="26" t="n"/>
      <c r="B472" s="26" t="n"/>
      <c r="C472" s="26" t="n"/>
      <c r="D472" s="26" t="n"/>
      <c r="E472" s="26" t="n"/>
      <c r="F472" s="25" t="n"/>
      <c r="G472" s="25" t="n"/>
      <c r="H472" s="25" t="n"/>
      <c r="I472" s="25" t="n"/>
      <c r="J472" s="25" t="n"/>
      <c r="K472" s="25" t="n"/>
      <c r="L472" s="25" t="n"/>
      <c r="M472" s="25" t="n"/>
      <c r="N472" s="25" t="n"/>
      <c r="O472" s="4" t="n"/>
      <c r="P472" s="4" t="n"/>
      <c r="Q472" s="4" t="n"/>
      <c r="R472" s="4" t="n"/>
      <c r="S472" s="4" t="n"/>
    </row>
    <row r="473" ht="15" customHeight="1" s="215">
      <c r="A473" s="26" t="n"/>
      <c r="B473" s="26" t="n"/>
      <c r="C473" s="26" t="n"/>
      <c r="D473" s="26" t="n"/>
      <c r="E473" s="26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4" t="n"/>
      <c r="P473" s="4" t="n"/>
      <c r="Q473" s="4" t="n"/>
      <c r="R473" s="4" t="n"/>
      <c r="S473" s="4" t="n"/>
    </row>
    <row r="474" ht="15" customHeight="1" s="215">
      <c r="A474" s="26" t="n"/>
      <c r="B474" s="26" t="n"/>
      <c r="C474" s="26" t="n"/>
      <c r="D474" s="26" t="n"/>
      <c r="E474" s="26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4" t="n"/>
      <c r="P474" s="4" t="n"/>
      <c r="Q474" s="4" t="n"/>
      <c r="R474" s="4" t="n"/>
      <c r="S474" s="4" t="n"/>
    </row>
    <row r="475" ht="15" customHeight="1" s="215">
      <c r="A475" s="26" t="n"/>
      <c r="B475" s="26" t="n"/>
      <c r="C475" s="26" t="n"/>
      <c r="D475" s="26" t="n"/>
      <c r="E475" s="26" t="n"/>
      <c r="F475" s="25" t="n"/>
      <c r="G475" s="25" t="n"/>
      <c r="H475" s="25" t="n"/>
      <c r="I475" s="25" t="n"/>
      <c r="J475" s="25" t="n"/>
      <c r="K475" s="25" t="n"/>
      <c r="L475" s="25" t="n"/>
      <c r="M475" s="25" t="n"/>
      <c r="N475" s="25" t="n"/>
      <c r="O475" s="4" t="n"/>
      <c r="P475" s="4" t="n"/>
      <c r="Q475" s="4" t="n"/>
      <c r="R475" s="4" t="n"/>
      <c r="S475" s="4" t="n"/>
    </row>
    <row r="476" ht="15" customHeight="1" s="215">
      <c r="A476" s="26" t="n"/>
      <c r="B476" s="26" t="n"/>
      <c r="C476" s="26" t="n"/>
      <c r="D476" s="26" t="n"/>
      <c r="E476" s="26" t="n"/>
      <c r="F476" s="25" t="n"/>
      <c r="G476" s="25" t="n"/>
      <c r="H476" s="25" t="n"/>
      <c r="I476" s="25" t="n"/>
      <c r="J476" s="25" t="n"/>
      <c r="K476" s="25" t="n"/>
      <c r="L476" s="25" t="n"/>
      <c r="M476" s="25" t="n"/>
      <c r="N476" s="25" t="n"/>
      <c r="O476" s="4" t="n"/>
      <c r="P476" s="4" t="n"/>
      <c r="Q476" s="4" t="n"/>
      <c r="R476" s="4" t="n"/>
      <c r="S476" s="4" t="n"/>
    </row>
    <row r="477" ht="15" customHeight="1" s="215">
      <c r="A477" s="26" t="n"/>
      <c r="B477" s="26" t="n"/>
      <c r="C477" s="26" t="n"/>
      <c r="D477" s="26" t="n"/>
      <c r="E477" s="26" t="n"/>
      <c r="F477" s="25" t="n"/>
      <c r="G477" s="25" t="n"/>
      <c r="H477" s="25" t="n"/>
      <c r="I477" s="25" t="n"/>
      <c r="J477" s="25" t="n"/>
      <c r="K477" s="25" t="n"/>
      <c r="L477" s="25" t="n"/>
      <c r="M477" s="25" t="n"/>
      <c r="N477" s="25" t="n"/>
      <c r="O477" s="4" t="n"/>
      <c r="P477" s="4" t="n"/>
      <c r="Q477" s="4" t="n"/>
      <c r="R477" s="4" t="n"/>
      <c r="S477" s="4" t="n"/>
    </row>
    <row r="478" ht="15" customHeight="1" s="215">
      <c r="A478" s="26" t="n"/>
      <c r="B478" s="26" t="n"/>
      <c r="C478" s="26" t="n"/>
      <c r="D478" s="26" t="n"/>
      <c r="E478" s="26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4" t="n"/>
      <c r="P478" s="4" t="n"/>
      <c r="Q478" s="4" t="n"/>
      <c r="R478" s="4" t="n"/>
      <c r="S478" s="4" t="n"/>
    </row>
    <row r="479" ht="15" customHeight="1" s="215">
      <c r="A479" s="26" t="n"/>
      <c r="B479" s="26" t="n"/>
      <c r="C479" s="26" t="n"/>
      <c r="D479" s="26" t="n"/>
      <c r="E479" s="26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4" t="n"/>
      <c r="P479" s="4" t="n"/>
      <c r="Q479" s="4" t="n"/>
      <c r="R479" s="4" t="n"/>
      <c r="S479" s="4" t="n"/>
    </row>
    <row r="480" ht="15" customHeight="1" s="215">
      <c r="A480" s="26" t="n"/>
      <c r="B480" s="26" t="n"/>
      <c r="C480" s="26" t="n"/>
      <c r="D480" s="26" t="n"/>
      <c r="E480" s="26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4" t="n"/>
      <c r="P480" s="4" t="n"/>
      <c r="Q480" s="4" t="n"/>
      <c r="R480" s="4" t="n"/>
      <c r="S480" s="4" t="n"/>
    </row>
    <row r="481" ht="15" customHeight="1" s="215">
      <c r="A481" s="26" t="n"/>
      <c r="B481" s="26" t="n"/>
      <c r="C481" s="26" t="n"/>
      <c r="D481" s="26" t="n"/>
      <c r="E481" s="26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4" t="n"/>
      <c r="P481" s="4" t="n"/>
      <c r="Q481" s="4" t="n"/>
      <c r="R481" s="4" t="n"/>
      <c r="S481" s="4" t="n"/>
    </row>
    <row r="482" ht="15" customHeight="1" s="215">
      <c r="A482" s="26" t="n"/>
      <c r="B482" s="26" t="n"/>
      <c r="C482" s="26" t="n"/>
      <c r="D482" s="26" t="n"/>
      <c r="E482" s="26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4" t="n"/>
      <c r="P482" s="4" t="n"/>
      <c r="Q482" s="4" t="n"/>
      <c r="R482" s="4" t="n"/>
      <c r="S482" s="4" t="n"/>
    </row>
    <row r="483" ht="15" customHeight="1" s="215">
      <c r="A483" s="26" t="n"/>
      <c r="B483" s="26" t="n"/>
      <c r="C483" s="26" t="n"/>
      <c r="D483" s="26" t="n"/>
      <c r="E483" s="26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4" t="n"/>
      <c r="P483" s="4" t="n"/>
      <c r="Q483" s="4" t="n"/>
      <c r="R483" s="4" t="n"/>
      <c r="S483" s="4" t="n"/>
    </row>
    <row r="484" ht="15" customHeight="1" s="215">
      <c r="A484" s="26" t="n"/>
      <c r="B484" s="26" t="n"/>
      <c r="C484" s="26" t="n"/>
      <c r="D484" s="26" t="n"/>
      <c r="E484" s="26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4" t="n"/>
      <c r="P484" s="4" t="n"/>
      <c r="Q484" s="4" t="n"/>
      <c r="R484" s="4" t="n"/>
      <c r="S484" s="4" t="n"/>
    </row>
    <row r="485" ht="15" customHeight="1" s="215">
      <c r="A485" s="26" t="n"/>
      <c r="B485" s="26" t="n"/>
      <c r="C485" s="26" t="n"/>
      <c r="D485" s="26" t="n"/>
      <c r="E485" s="26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4" t="n"/>
      <c r="P485" s="4" t="n"/>
      <c r="Q485" s="4" t="n"/>
      <c r="R485" s="4" t="n"/>
      <c r="S485" s="4" t="n"/>
    </row>
    <row r="486" ht="15" customHeight="1" s="215">
      <c r="A486" s="26" t="n"/>
      <c r="B486" s="26" t="n"/>
      <c r="C486" s="26" t="n"/>
      <c r="D486" s="26" t="n"/>
      <c r="E486" s="26" t="n"/>
      <c r="F486" s="25" t="n"/>
      <c r="G486" s="25" t="n"/>
      <c r="H486" s="25" t="n"/>
      <c r="I486" s="25" t="n"/>
      <c r="J486" s="25" t="n"/>
      <c r="K486" s="25" t="n"/>
      <c r="L486" s="25" t="n"/>
      <c r="M486" s="25" t="n"/>
      <c r="N486" s="25" t="n"/>
      <c r="O486" s="4" t="n"/>
      <c r="P486" s="4" t="n"/>
      <c r="Q486" s="4" t="n"/>
      <c r="R486" s="4" t="n"/>
      <c r="S486" s="4" t="n"/>
    </row>
    <row r="487" ht="15" customHeight="1" s="215">
      <c r="A487" s="26" t="n"/>
      <c r="B487" s="26" t="n"/>
      <c r="C487" s="26" t="n"/>
      <c r="D487" s="26" t="n"/>
      <c r="E487" s="26" t="n"/>
      <c r="F487" s="25" t="n"/>
      <c r="G487" s="25" t="n"/>
      <c r="H487" s="25" t="n"/>
      <c r="I487" s="25" t="n"/>
      <c r="J487" s="25" t="n"/>
      <c r="K487" s="25" t="n"/>
      <c r="L487" s="25" t="n"/>
      <c r="M487" s="25" t="n"/>
      <c r="N487" s="25" t="n"/>
      <c r="O487" s="4" t="n"/>
      <c r="P487" s="4" t="n"/>
      <c r="Q487" s="4" t="n"/>
      <c r="R487" s="4" t="n"/>
      <c r="S487" s="4" t="n"/>
    </row>
    <row r="488" ht="15" customHeight="1" s="215">
      <c r="A488" s="26" t="n"/>
      <c r="B488" s="26" t="n"/>
      <c r="C488" s="26" t="n"/>
      <c r="D488" s="26" t="n"/>
      <c r="E488" s="26" t="n"/>
      <c r="F488" s="25" t="n"/>
      <c r="G488" s="25" t="n"/>
      <c r="H488" s="25" t="n"/>
      <c r="I488" s="25" t="n"/>
      <c r="J488" s="25" t="n"/>
      <c r="K488" s="25" t="n"/>
      <c r="L488" s="25" t="n"/>
      <c r="M488" s="25" t="n"/>
      <c r="N488" s="25" t="n"/>
      <c r="O488" s="4" t="n"/>
      <c r="P488" s="4" t="n"/>
      <c r="Q488" s="4" t="n"/>
      <c r="R488" s="4" t="n"/>
      <c r="S488" s="4" t="n"/>
    </row>
    <row r="489" ht="15" customHeight="1" s="215">
      <c r="A489" s="26" t="n"/>
      <c r="B489" s="26" t="n"/>
      <c r="C489" s="26" t="n"/>
      <c r="D489" s="26" t="n"/>
      <c r="E489" s="26" t="n"/>
      <c r="F489" s="25" t="n"/>
      <c r="G489" s="25" t="n"/>
      <c r="H489" s="25" t="n"/>
      <c r="I489" s="25" t="n"/>
      <c r="J489" s="25" t="n"/>
      <c r="K489" s="25" t="n"/>
      <c r="L489" s="25" t="n"/>
      <c r="M489" s="25" t="n"/>
      <c r="N489" s="25" t="n"/>
      <c r="O489" s="4" t="n"/>
      <c r="P489" s="4" t="n"/>
      <c r="Q489" s="4" t="n"/>
      <c r="R489" s="4" t="n"/>
      <c r="S489" s="4" t="n"/>
    </row>
    <row r="490" ht="15" customHeight="1" s="215">
      <c r="A490" s="26" t="n"/>
      <c r="B490" s="26" t="n"/>
      <c r="C490" s="26" t="n"/>
      <c r="D490" s="26" t="n"/>
      <c r="E490" s="26" t="n"/>
      <c r="F490" s="25" t="n"/>
      <c r="G490" s="25" t="n"/>
      <c r="H490" s="25" t="n"/>
      <c r="I490" s="25" t="n"/>
      <c r="J490" s="25" t="n"/>
      <c r="K490" s="25" t="n"/>
      <c r="L490" s="25" t="n"/>
      <c r="M490" s="25" t="n"/>
      <c r="N490" s="25" t="n"/>
      <c r="O490" s="4" t="n"/>
      <c r="P490" s="4" t="n"/>
      <c r="Q490" s="4" t="n"/>
      <c r="R490" s="4" t="n"/>
      <c r="S490" s="4" t="n"/>
    </row>
    <row r="491" ht="15" customHeight="1" s="215">
      <c r="A491" s="26" t="n"/>
      <c r="B491" s="26" t="n"/>
      <c r="C491" s="26" t="n"/>
      <c r="D491" s="26" t="n"/>
      <c r="E491" s="26" t="n"/>
      <c r="F491" s="25" t="n"/>
      <c r="G491" s="25" t="n"/>
      <c r="H491" s="25" t="n"/>
      <c r="I491" s="25" t="n"/>
      <c r="J491" s="25" t="n"/>
      <c r="K491" s="25" t="n"/>
      <c r="L491" s="25" t="n"/>
      <c r="M491" s="25" t="n"/>
      <c r="N491" s="25" t="n"/>
      <c r="O491" s="4" t="n"/>
      <c r="P491" s="4" t="n"/>
      <c r="Q491" s="4" t="n"/>
      <c r="R491" s="4" t="n"/>
      <c r="S491" s="4" t="n"/>
    </row>
    <row r="492" ht="15" customHeight="1" s="215">
      <c r="A492" s="26" t="n"/>
      <c r="B492" s="26" t="n"/>
      <c r="C492" s="26" t="n"/>
      <c r="D492" s="26" t="n"/>
      <c r="E492" s="26" t="n"/>
      <c r="F492" s="25" t="n"/>
      <c r="G492" s="25" t="n"/>
      <c r="H492" s="25" t="n"/>
      <c r="I492" s="25" t="n"/>
      <c r="J492" s="25" t="n"/>
      <c r="K492" s="25" t="n"/>
      <c r="L492" s="25" t="n"/>
      <c r="M492" s="25" t="n"/>
      <c r="N492" s="25" t="n"/>
      <c r="O492" s="4" t="n"/>
      <c r="P492" s="4" t="n"/>
      <c r="Q492" s="4" t="n"/>
      <c r="R492" s="4" t="n"/>
      <c r="S492" s="4" t="n"/>
    </row>
    <row r="493" ht="15" customHeight="1" s="215">
      <c r="A493" s="26" t="n"/>
      <c r="B493" s="26" t="n"/>
      <c r="C493" s="26" t="n"/>
      <c r="D493" s="26" t="n"/>
      <c r="E493" s="26" t="n"/>
      <c r="F493" s="25" t="n"/>
      <c r="G493" s="25" t="n"/>
      <c r="H493" s="25" t="n"/>
      <c r="I493" s="25" t="n"/>
      <c r="J493" s="25" t="n"/>
      <c r="K493" s="25" t="n"/>
      <c r="L493" s="25" t="n"/>
      <c r="M493" s="25" t="n"/>
      <c r="N493" s="25" t="n"/>
      <c r="O493" s="4" t="n"/>
      <c r="P493" s="4" t="n"/>
      <c r="Q493" s="4" t="n"/>
      <c r="R493" s="4" t="n"/>
      <c r="S493" s="4" t="n"/>
    </row>
    <row r="494" ht="15" customHeight="1" s="215">
      <c r="A494" s="26" t="n"/>
      <c r="B494" s="26" t="n"/>
      <c r="C494" s="26" t="n"/>
      <c r="D494" s="26" t="n"/>
      <c r="E494" s="26" t="n"/>
      <c r="F494" s="25" t="n"/>
      <c r="G494" s="25" t="n"/>
      <c r="H494" s="25" t="n"/>
      <c r="I494" s="25" t="n"/>
      <c r="J494" s="25" t="n"/>
      <c r="K494" s="25" t="n"/>
      <c r="L494" s="25" t="n"/>
      <c r="M494" s="25" t="n"/>
      <c r="N494" s="25" t="n"/>
      <c r="O494" s="4" t="n"/>
      <c r="P494" s="4" t="n"/>
      <c r="Q494" s="4" t="n"/>
      <c r="R494" s="4" t="n"/>
      <c r="S494" s="4" t="n"/>
    </row>
    <row r="495" ht="15" customHeight="1" s="215">
      <c r="A495" s="26" t="n"/>
      <c r="B495" s="26" t="n"/>
      <c r="C495" s="26" t="n"/>
      <c r="D495" s="26" t="n"/>
      <c r="E495" s="26" t="n"/>
      <c r="F495" s="25" t="n"/>
      <c r="G495" s="25" t="n"/>
      <c r="H495" s="25" t="n"/>
      <c r="I495" s="25" t="n"/>
      <c r="J495" s="25" t="n"/>
      <c r="K495" s="25" t="n"/>
      <c r="L495" s="25" t="n"/>
      <c r="M495" s="25" t="n"/>
      <c r="N495" s="25" t="n"/>
      <c r="O495" s="4" t="n"/>
      <c r="P495" s="4" t="n"/>
      <c r="Q495" s="4" t="n"/>
      <c r="R495" s="4" t="n"/>
      <c r="S495" s="4" t="n"/>
    </row>
    <row r="496" ht="15" customHeight="1" s="215">
      <c r="A496" s="26" t="n"/>
      <c r="B496" s="26" t="n"/>
      <c r="C496" s="26" t="n"/>
      <c r="D496" s="26" t="n"/>
      <c r="E496" s="26" t="n"/>
      <c r="F496" s="25" t="n"/>
      <c r="G496" s="25" t="n"/>
      <c r="H496" s="25" t="n"/>
      <c r="I496" s="25" t="n"/>
      <c r="J496" s="25" t="n"/>
      <c r="K496" s="25" t="n"/>
      <c r="L496" s="25" t="n"/>
      <c r="M496" s="25" t="n"/>
      <c r="N496" s="25" t="n"/>
      <c r="O496" s="4" t="n"/>
      <c r="P496" s="4" t="n"/>
      <c r="Q496" s="4" t="n"/>
      <c r="R496" s="4" t="n"/>
      <c r="S496" s="4" t="n"/>
    </row>
    <row r="497" ht="15" customHeight="1" s="215">
      <c r="A497" s="26" t="n"/>
      <c r="B497" s="26" t="n"/>
      <c r="C497" s="26" t="n"/>
      <c r="D497" s="26" t="n"/>
      <c r="E497" s="26" t="n"/>
      <c r="F497" s="25" t="n"/>
      <c r="G497" s="25" t="n"/>
      <c r="H497" s="25" t="n"/>
      <c r="I497" s="25" t="n"/>
      <c r="J497" s="25" t="n"/>
      <c r="K497" s="25" t="n"/>
      <c r="L497" s="25" t="n"/>
      <c r="M497" s="25" t="n"/>
      <c r="N497" s="25" t="n"/>
      <c r="O497" s="4" t="n"/>
      <c r="P497" s="4" t="n"/>
      <c r="Q497" s="4" t="n"/>
      <c r="R497" s="4" t="n"/>
      <c r="S497" s="4" t="n"/>
    </row>
    <row r="498" ht="15" customHeight="1" s="215">
      <c r="A498" s="26" t="n"/>
      <c r="B498" s="26" t="n"/>
      <c r="C498" s="26" t="n"/>
      <c r="D498" s="26" t="n"/>
      <c r="E498" s="26" t="n"/>
      <c r="F498" s="25" t="n"/>
      <c r="G498" s="25" t="n"/>
      <c r="H498" s="25" t="n"/>
      <c r="I498" s="25" t="n"/>
      <c r="J498" s="25" t="n"/>
      <c r="K498" s="25" t="n"/>
      <c r="L498" s="25" t="n"/>
      <c r="M498" s="25" t="n"/>
      <c r="N498" s="25" t="n"/>
      <c r="O498" s="4" t="n"/>
      <c r="P498" s="4" t="n"/>
      <c r="Q498" s="4" t="n"/>
      <c r="R498" s="4" t="n"/>
      <c r="S498" s="4" t="n"/>
    </row>
    <row r="499" ht="15" customHeight="1" s="215">
      <c r="A499" s="26" t="n"/>
      <c r="B499" s="26" t="n"/>
      <c r="C499" s="26" t="n"/>
      <c r="D499" s="26" t="n"/>
      <c r="E499" s="26" t="n"/>
      <c r="F499" s="25" t="n"/>
      <c r="G499" s="25" t="n"/>
      <c r="H499" s="25" t="n"/>
      <c r="I499" s="25" t="n"/>
      <c r="J499" s="25" t="n"/>
      <c r="K499" s="25" t="n"/>
      <c r="L499" s="25" t="n"/>
      <c r="M499" s="25" t="n"/>
      <c r="N499" s="25" t="n"/>
      <c r="O499" s="4" t="n"/>
      <c r="P499" s="4" t="n"/>
      <c r="Q499" s="4" t="n"/>
      <c r="R499" s="4" t="n"/>
      <c r="S499" s="4" t="n"/>
    </row>
    <row r="500" ht="15" customHeight="1" s="215">
      <c r="A500" s="26" t="n"/>
      <c r="B500" s="26" t="n"/>
      <c r="C500" s="26" t="n"/>
      <c r="D500" s="26" t="n"/>
      <c r="E500" s="26" t="n"/>
      <c r="F500" s="25" t="n"/>
      <c r="G500" s="25" t="n"/>
      <c r="H500" s="25" t="n"/>
      <c r="I500" s="25" t="n"/>
      <c r="J500" s="25" t="n"/>
      <c r="K500" s="25" t="n"/>
      <c r="L500" s="25" t="n"/>
      <c r="M500" s="25" t="n"/>
      <c r="N500" s="25" t="n"/>
      <c r="O500" s="4" t="n"/>
      <c r="P500" s="4" t="n"/>
      <c r="Q500" s="4" t="n"/>
      <c r="R500" s="4" t="n"/>
      <c r="S500" s="4" t="n"/>
    </row>
    <row r="501" ht="15" customHeight="1" s="215">
      <c r="A501" s="26" t="n"/>
      <c r="B501" s="26" t="n"/>
      <c r="C501" s="26" t="n"/>
      <c r="D501" s="26" t="n"/>
      <c r="E501" s="26" t="n"/>
      <c r="F501" s="25" t="n"/>
      <c r="G501" s="25" t="n"/>
      <c r="H501" s="25" t="n"/>
      <c r="I501" s="25" t="n"/>
      <c r="J501" s="25" t="n"/>
      <c r="K501" s="25" t="n"/>
      <c r="L501" s="25" t="n"/>
      <c r="M501" s="25" t="n"/>
      <c r="N501" s="25" t="n"/>
      <c r="O501" s="4" t="n"/>
      <c r="P501" s="4" t="n"/>
      <c r="Q501" s="4" t="n"/>
      <c r="R501" s="4" t="n"/>
      <c r="S501" s="4" t="n"/>
    </row>
    <row r="502" ht="15" customHeight="1" s="215">
      <c r="A502" s="26" t="n"/>
      <c r="B502" s="26" t="n"/>
      <c r="C502" s="26" t="n"/>
      <c r="D502" s="26" t="n"/>
      <c r="E502" s="26" t="n"/>
      <c r="F502" s="25" t="n"/>
      <c r="G502" s="25" t="n"/>
      <c r="H502" s="25" t="n"/>
      <c r="I502" s="25" t="n"/>
      <c r="J502" s="25" t="n"/>
      <c r="K502" s="25" t="n"/>
      <c r="L502" s="25" t="n"/>
      <c r="M502" s="25" t="n"/>
      <c r="N502" s="25" t="n"/>
      <c r="O502" s="4" t="n"/>
      <c r="P502" s="4" t="n"/>
      <c r="Q502" s="4" t="n"/>
      <c r="R502" s="4" t="n"/>
      <c r="S502" s="4" t="n"/>
    </row>
    <row r="503" ht="15" customHeight="1" s="215">
      <c r="A503" s="26" t="n"/>
      <c r="B503" s="26" t="n"/>
      <c r="C503" s="26" t="n"/>
      <c r="D503" s="26" t="n"/>
      <c r="E503" s="26" t="n"/>
      <c r="F503" s="25" t="n"/>
      <c r="G503" s="25" t="n"/>
      <c r="H503" s="25" t="n"/>
      <c r="I503" s="25" t="n"/>
      <c r="J503" s="25" t="n"/>
      <c r="K503" s="25" t="n"/>
      <c r="L503" s="25" t="n"/>
      <c r="M503" s="25" t="n"/>
      <c r="N503" s="25" t="n"/>
      <c r="O503" s="4" t="n"/>
      <c r="P503" s="4" t="n"/>
      <c r="Q503" s="4" t="n"/>
      <c r="R503" s="4" t="n"/>
      <c r="S503" s="4" t="n"/>
    </row>
    <row r="504" ht="15" customHeight="1" s="215">
      <c r="A504" s="26" t="n"/>
      <c r="B504" s="26" t="n"/>
      <c r="C504" s="26" t="n"/>
      <c r="D504" s="26" t="n"/>
      <c r="E504" s="26" t="n"/>
      <c r="F504" s="25" t="n"/>
      <c r="G504" s="25" t="n"/>
      <c r="H504" s="25" t="n"/>
      <c r="I504" s="25" t="n"/>
      <c r="J504" s="25" t="n"/>
      <c r="K504" s="25" t="n"/>
      <c r="L504" s="25" t="n"/>
      <c r="M504" s="25" t="n"/>
      <c r="N504" s="25" t="n"/>
      <c r="O504" s="4" t="n"/>
      <c r="P504" s="4" t="n"/>
      <c r="Q504" s="4" t="n"/>
      <c r="R504" s="4" t="n"/>
      <c r="S504" s="4" t="n"/>
    </row>
    <row r="505" ht="15" customHeight="1" s="215">
      <c r="A505" s="26" t="n"/>
      <c r="B505" s="26" t="n"/>
      <c r="C505" s="26" t="n"/>
      <c r="D505" s="26" t="n"/>
      <c r="E505" s="26" t="n"/>
      <c r="F505" s="25" t="n"/>
      <c r="G505" s="25" t="n"/>
      <c r="H505" s="25" t="n"/>
      <c r="I505" s="25" t="n"/>
      <c r="J505" s="25" t="n"/>
      <c r="K505" s="25" t="n"/>
      <c r="L505" s="25" t="n"/>
      <c r="M505" s="25" t="n"/>
      <c r="N505" s="25" t="n"/>
      <c r="O505" s="4" t="n"/>
      <c r="P505" s="4" t="n"/>
      <c r="Q505" s="4" t="n"/>
      <c r="R505" s="4" t="n"/>
      <c r="S505" s="4" t="n"/>
    </row>
    <row r="506" ht="15" customHeight="1" s="215">
      <c r="A506" s="26" t="n"/>
      <c r="B506" s="26" t="n"/>
      <c r="C506" s="26" t="n"/>
      <c r="D506" s="26" t="n"/>
      <c r="E506" s="26" t="n"/>
      <c r="F506" s="25" t="n"/>
      <c r="G506" s="25" t="n"/>
      <c r="H506" s="25" t="n"/>
      <c r="I506" s="25" t="n"/>
      <c r="J506" s="25" t="n"/>
      <c r="K506" s="25" t="n"/>
      <c r="L506" s="25" t="n"/>
      <c r="M506" s="25" t="n"/>
      <c r="N506" s="25" t="n"/>
      <c r="O506" s="4" t="n"/>
      <c r="P506" s="4" t="n"/>
      <c r="Q506" s="4" t="n"/>
      <c r="R506" s="4" t="n"/>
      <c r="S506" s="4" t="n"/>
    </row>
    <row r="507" ht="15" customHeight="1" s="215">
      <c r="A507" s="26" t="n"/>
      <c r="B507" s="26" t="n"/>
      <c r="C507" s="26" t="n"/>
      <c r="D507" s="26" t="n"/>
      <c r="E507" s="26" t="n"/>
      <c r="F507" s="25" t="n"/>
      <c r="G507" s="25" t="n"/>
      <c r="H507" s="25" t="n"/>
      <c r="I507" s="25" t="n"/>
      <c r="J507" s="25" t="n"/>
      <c r="K507" s="25" t="n"/>
      <c r="L507" s="25" t="n"/>
      <c r="M507" s="25" t="n"/>
      <c r="N507" s="25" t="n"/>
      <c r="O507" s="4" t="n"/>
      <c r="P507" s="4" t="n"/>
      <c r="Q507" s="4" t="n"/>
      <c r="R507" s="4" t="n"/>
      <c r="S507" s="4" t="n"/>
    </row>
    <row r="508" ht="15" customHeight="1" s="215">
      <c r="A508" s="26" t="n"/>
      <c r="B508" s="26" t="n"/>
      <c r="C508" s="26" t="n"/>
      <c r="D508" s="26" t="n"/>
      <c r="E508" s="26" t="n"/>
      <c r="F508" s="25" t="n"/>
      <c r="G508" s="25" t="n"/>
      <c r="H508" s="25" t="n"/>
      <c r="I508" s="25" t="n"/>
      <c r="J508" s="25" t="n"/>
      <c r="K508" s="25" t="n"/>
      <c r="L508" s="25" t="n"/>
      <c r="M508" s="25" t="n"/>
      <c r="N508" s="25" t="n"/>
      <c r="O508" s="4" t="n"/>
      <c r="P508" s="4" t="n"/>
      <c r="Q508" s="4" t="n"/>
      <c r="R508" s="4" t="n"/>
      <c r="S508" s="4" t="n"/>
    </row>
    <row r="509" ht="15" customHeight="1" s="215">
      <c r="A509" s="26" t="n"/>
      <c r="B509" s="26" t="n"/>
      <c r="C509" s="26" t="n"/>
      <c r="D509" s="26" t="n"/>
      <c r="E509" s="26" t="n"/>
      <c r="F509" s="25" t="n"/>
      <c r="G509" s="25" t="n"/>
      <c r="H509" s="25" t="n"/>
      <c r="I509" s="25" t="n"/>
      <c r="J509" s="25" t="n"/>
      <c r="K509" s="25" t="n"/>
      <c r="L509" s="25" t="n"/>
      <c r="M509" s="25" t="n"/>
      <c r="N509" s="25" t="n"/>
      <c r="O509" s="4" t="n"/>
      <c r="P509" s="4" t="n"/>
      <c r="Q509" s="4" t="n"/>
      <c r="R509" s="4" t="n"/>
      <c r="S509" s="4" t="n"/>
    </row>
    <row r="510" ht="15" customHeight="1" s="215">
      <c r="A510" s="26" t="n"/>
      <c r="B510" s="26" t="n"/>
      <c r="C510" s="26" t="n"/>
      <c r="D510" s="26" t="n"/>
      <c r="E510" s="26" t="n"/>
      <c r="F510" s="25" t="n"/>
      <c r="G510" s="25" t="n"/>
      <c r="H510" s="25" t="n"/>
      <c r="I510" s="25" t="n"/>
      <c r="J510" s="25" t="n"/>
      <c r="K510" s="25" t="n"/>
      <c r="L510" s="25" t="n"/>
      <c r="M510" s="25" t="n"/>
      <c r="N510" s="25" t="n"/>
      <c r="O510" s="4" t="n"/>
      <c r="P510" s="4" t="n"/>
      <c r="Q510" s="4" t="n"/>
      <c r="R510" s="4" t="n"/>
      <c r="S510" s="4" t="n"/>
    </row>
    <row r="511" ht="15" customHeight="1" s="215">
      <c r="A511" s="26" t="n"/>
      <c r="B511" s="26" t="n"/>
      <c r="C511" s="26" t="n"/>
      <c r="D511" s="26" t="n"/>
      <c r="E511" s="26" t="n"/>
      <c r="F511" s="25" t="n"/>
      <c r="G511" s="25" t="n"/>
      <c r="H511" s="25" t="n"/>
      <c r="I511" s="25" t="n"/>
      <c r="J511" s="25" t="n"/>
      <c r="K511" s="25" t="n"/>
      <c r="L511" s="25" t="n"/>
      <c r="M511" s="25" t="n"/>
      <c r="N511" s="25" t="n"/>
      <c r="O511" s="4" t="n"/>
      <c r="P511" s="4" t="n"/>
      <c r="Q511" s="4" t="n"/>
      <c r="R511" s="4" t="n"/>
      <c r="S511" s="4" t="n"/>
    </row>
    <row r="512" ht="15" customHeight="1" s="215">
      <c r="A512" s="26" t="n"/>
      <c r="B512" s="26" t="n"/>
      <c r="C512" s="26" t="n"/>
      <c r="D512" s="26" t="n"/>
      <c r="E512" s="26" t="n"/>
      <c r="F512" s="25" t="n"/>
      <c r="G512" s="25" t="n"/>
      <c r="H512" s="25" t="n"/>
      <c r="I512" s="25" t="n"/>
      <c r="J512" s="25" t="n"/>
      <c r="K512" s="25" t="n"/>
      <c r="L512" s="25" t="n"/>
      <c r="M512" s="25" t="n"/>
      <c r="N512" s="25" t="n"/>
      <c r="O512" s="4" t="n"/>
      <c r="P512" s="4" t="n"/>
      <c r="Q512" s="4" t="n"/>
      <c r="R512" s="4" t="n"/>
      <c r="S512" s="4" t="n"/>
    </row>
    <row r="513" ht="15" customHeight="1" s="215">
      <c r="A513" s="26" t="n"/>
      <c r="B513" s="26" t="n"/>
      <c r="C513" s="26" t="n"/>
      <c r="D513" s="26" t="n"/>
      <c r="E513" s="26" t="n"/>
      <c r="F513" s="25" t="n"/>
      <c r="G513" s="25" t="n"/>
      <c r="H513" s="25" t="n"/>
      <c r="I513" s="25" t="n"/>
      <c r="J513" s="25" t="n"/>
      <c r="K513" s="25" t="n"/>
      <c r="L513" s="25" t="n"/>
      <c r="M513" s="25" t="n"/>
      <c r="N513" s="25" t="n"/>
      <c r="O513" s="4" t="n"/>
      <c r="P513" s="4" t="n"/>
      <c r="Q513" s="4" t="n"/>
      <c r="R513" s="4" t="n"/>
      <c r="S513" s="4" t="n"/>
    </row>
    <row r="514" ht="15" customHeight="1" s="215">
      <c r="A514" s="26" t="n"/>
      <c r="B514" s="26" t="n"/>
      <c r="C514" s="26" t="n"/>
      <c r="D514" s="26" t="n"/>
      <c r="E514" s="26" t="n"/>
      <c r="F514" s="25" t="n"/>
      <c r="G514" s="25" t="n"/>
      <c r="H514" s="25" t="n"/>
      <c r="I514" s="25" t="n"/>
      <c r="J514" s="25" t="n"/>
      <c r="K514" s="25" t="n"/>
      <c r="L514" s="25" t="n"/>
      <c r="M514" s="25" t="n"/>
      <c r="N514" s="25" t="n"/>
      <c r="O514" s="4" t="n"/>
      <c r="P514" s="4" t="n"/>
      <c r="Q514" s="4" t="n"/>
      <c r="R514" s="4" t="n"/>
      <c r="S514" s="4" t="n"/>
    </row>
    <row r="515" ht="15" customHeight="1" s="215">
      <c r="A515" s="26" t="n"/>
      <c r="B515" s="26" t="n"/>
      <c r="C515" s="26" t="n"/>
      <c r="D515" s="26" t="n"/>
      <c r="E515" s="26" t="n"/>
      <c r="F515" s="25" t="n"/>
      <c r="G515" s="25" t="n"/>
      <c r="H515" s="25" t="n"/>
      <c r="I515" s="25" t="n"/>
      <c r="J515" s="25" t="n"/>
      <c r="K515" s="25" t="n"/>
      <c r="L515" s="25" t="n"/>
      <c r="M515" s="25" t="n"/>
      <c r="N515" s="25" t="n"/>
      <c r="O515" s="4" t="n"/>
      <c r="P515" s="4" t="n"/>
      <c r="Q515" s="4" t="n"/>
      <c r="R515" s="4" t="n"/>
      <c r="S515" s="4" t="n"/>
    </row>
    <row r="516" ht="15" customHeight="1" s="215">
      <c r="A516" s="26" t="n"/>
      <c r="B516" s="26" t="n"/>
      <c r="C516" s="26" t="n"/>
      <c r="D516" s="26" t="n"/>
      <c r="E516" s="26" t="n"/>
      <c r="F516" s="25" t="n"/>
      <c r="G516" s="25" t="n"/>
      <c r="H516" s="25" t="n"/>
      <c r="I516" s="25" t="n"/>
      <c r="J516" s="25" t="n"/>
      <c r="K516" s="25" t="n"/>
      <c r="L516" s="25" t="n"/>
      <c r="M516" s="25" t="n"/>
      <c r="N516" s="25" t="n"/>
      <c r="O516" s="4" t="n"/>
      <c r="P516" s="4" t="n"/>
      <c r="Q516" s="4" t="n"/>
      <c r="R516" s="4" t="n"/>
      <c r="S516" s="4" t="n"/>
    </row>
    <row r="517" ht="15" customHeight="1" s="215">
      <c r="A517" s="26" t="n"/>
      <c r="B517" s="26" t="n"/>
      <c r="C517" s="26" t="n"/>
      <c r="D517" s="26" t="n"/>
      <c r="E517" s="26" t="n"/>
      <c r="F517" s="25" t="n"/>
      <c r="G517" s="25" t="n"/>
      <c r="H517" s="25" t="n"/>
      <c r="I517" s="25" t="n"/>
      <c r="J517" s="25" t="n"/>
      <c r="K517" s="25" t="n"/>
      <c r="L517" s="25" t="n"/>
      <c r="M517" s="25" t="n"/>
      <c r="N517" s="25" t="n"/>
      <c r="O517" s="4" t="n"/>
      <c r="P517" s="4" t="n"/>
      <c r="Q517" s="4" t="n"/>
      <c r="R517" s="4" t="n"/>
      <c r="S517" s="4" t="n"/>
    </row>
    <row r="518" ht="15" customHeight="1" s="215">
      <c r="A518" s="26" t="n"/>
      <c r="B518" s="26" t="n"/>
      <c r="C518" s="26" t="n"/>
      <c r="D518" s="26" t="n"/>
      <c r="E518" s="26" t="n"/>
      <c r="F518" s="25" t="n"/>
      <c r="G518" s="25" t="n"/>
      <c r="H518" s="25" t="n"/>
      <c r="I518" s="25" t="n"/>
      <c r="J518" s="25" t="n"/>
      <c r="K518" s="25" t="n"/>
      <c r="L518" s="25" t="n"/>
      <c r="M518" s="25" t="n"/>
      <c r="N518" s="25" t="n"/>
      <c r="O518" s="4" t="n"/>
      <c r="P518" s="4" t="n"/>
      <c r="Q518" s="4" t="n"/>
      <c r="R518" s="4" t="n"/>
      <c r="S518" s="4" t="n"/>
    </row>
    <row r="519" ht="15" customHeight="1" s="215">
      <c r="A519" s="26" t="n"/>
      <c r="B519" s="26" t="n"/>
      <c r="C519" s="26" t="n"/>
      <c r="D519" s="26" t="n"/>
      <c r="E519" s="26" t="n"/>
      <c r="F519" s="25" t="n"/>
      <c r="G519" s="25" t="n"/>
      <c r="H519" s="25" t="n"/>
      <c r="I519" s="25" t="n"/>
      <c r="J519" s="25" t="n"/>
      <c r="K519" s="25" t="n"/>
      <c r="L519" s="25" t="n"/>
      <c r="M519" s="25" t="n"/>
      <c r="N519" s="25" t="n"/>
      <c r="O519" s="4" t="n"/>
      <c r="P519" s="4" t="n"/>
      <c r="Q519" s="4" t="n"/>
      <c r="R519" s="4" t="n"/>
      <c r="S519" s="4" t="n"/>
    </row>
    <row r="520" ht="15" customHeight="1" s="215">
      <c r="A520" s="26" t="n"/>
      <c r="B520" s="26" t="n"/>
      <c r="C520" s="26" t="n"/>
      <c r="D520" s="26" t="n"/>
      <c r="E520" s="26" t="n"/>
      <c r="F520" s="25" t="n"/>
      <c r="G520" s="25" t="n"/>
      <c r="H520" s="25" t="n"/>
      <c r="I520" s="25" t="n"/>
      <c r="J520" s="25" t="n"/>
      <c r="K520" s="25" t="n"/>
      <c r="L520" s="25" t="n"/>
      <c r="M520" s="25" t="n"/>
      <c r="N520" s="25" t="n"/>
      <c r="O520" s="4" t="n"/>
      <c r="P520" s="4" t="n"/>
      <c r="Q520" s="4" t="n"/>
      <c r="R520" s="4" t="n"/>
      <c r="S520" s="4" t="n"/>
    </row>
    <row r="521" ht="15" customHeight="1" s="215">
      <c r="A521" s="26" t="n"/>
      <c r="B521" s="26" t="n"/>
      <c r="C521" s="26" t="n"/>
      <c r="D521" s="26" t="n"/>
      <c r="E521" s="26" t="n"/>
      <c r="F521" s="25" t="n"/>
      <c r="G521" s="25" t="n"/>
      <c r="H521" s="25" t="n"/>
      <c r="I521" s="25" t="n"/>
      <c r="J521" s="25" t="n"/>
      <c r="K521" s="25" t="n"/>
      <c r="L521" s="25" t="n"/>
      <c r="M521" s="25" t="n"/>
      <c r="N521" s="25" t="n"/>
      <c r="O521" s="4" t="n"/>
      <c r="P521" s="4" t="n"/>
      <c r="Q521" s="4" t="n"/>
      <c r="R521" s="4" t="n"/>
      <c r="S521" s="4" t="n"/>
    </row>
    <row r="522" ht="15" customHeight="1" s="215">
      <c r="A522" s="26" t="n"/>
      <c r="B522" s="26" t="n"/>
      <c r="C522" s="26" t="n"/>
      <c r="D522" s="26" t="n"/>
      <c r="E522" s="26" t="n"/>
      <c r="F522" s="25" t="n"/>
      <c r="G522" s="25" t="n"/>
      <c r="H522" s="25" t="n"/>
      <c r="I522" s="25" t="n"/>
      <c r="J522" s="25" t="n"/>
      <c r="K522" s="25" t="n"/>
      <c r="L522" s="25" t="n"/>
      <c r="M522" s="25" t="n"/>
      <c r="N522" s="25" t="n"/>
      <c r="O522" s="4" t="n"/>
      <c r="P522" s="4" t="n"/>
      <c r="Q522" s="4" t="n"/>
      <c r="R522" s="4" t="n"/>
      <c r="S522" s="4" t="n"/>
    </row>
    <row r="523" ht="15" customHeight="1" s="215">
      <c r="A523" s="26" t="n"/>
      <c r="B523" s="26" t="n"/>
      <c r="C523" s="26" t="n"/>
      <c r="D523" s="26" t="n"/>
      <c r="E523" s="26" t="n"/>
      <c r="F523" s="25" t="n"/>
      <c r="G523" s="25" t="n"/>
      <c r="H523" s="25" t="n"/>
      <c r="I523" s="25" t="n"/>
      <c r="J523" s="25" t="n"/>
      <c r="K523" s="25" t="n"/>
      <c r="L523" s="25" t="n"/>
      <c r="M523" s="25" t="n"/>
      <c r="N523" s="25" t="n"/>
      <c r="O523" s="4" t="n"/>
      <c r="P523" s="4" t="n"/>
      <c r="Q523" s="4" t="n"/>
      <c r="R523" s="4" t="n"/>
      <c r="S523" s="4" t="n"/>
    </row>
    <row r="524" ht="15" customHeight="1" s="215">
      <c r="A524" s="26" t="n"/>
      <c r="B524" s="26" t="n"/>
      <c r="C524" s="26" t="n"/>
      <c r="D524" s="26" t="n"/>
      <c r="E524" s="26" t="n"/>
      <c r="F524" s="25" t="n"/>
      <c r="G524" s="25" t="n"/>
      <c r="H524" s="25" t="n"/>
      <c r="I524" s="25" t="n"/>
      <c r="J524" s="25" t="n"/>
      <c r="K524" s="25" t="n"/>
      <c r="L524" s="25" t="n"/>
      <c r="M524" s="25" t="n"/>
      <c r="N524" s="25" t="n"/>
      <c r="O524" s="4" t="n"/>
      <c r="P524" s="4" t="n"/>
      <c r="Q524" s="4" t="n"/>
      <c r="R524" s="4" t="n"/>
      <c r="S524" s="4" t="n"/>
    </row>
    <row r="525" ht="15" customHeight="1" s="215">
      <c r="A525" s="26" t="n"/>
      <c r="B525" s="26" t="n"/>
      <c r="C525" s="26" t="n"/>
      <c r="D525" s="26" t="n"/>
      <c r="E525" s="26" t="n"/>
      <c r="F525" s="25" t="n"/>
      <c r="G525" s="25" t="n"/>
      <c r="H525" s="25" t="n"/>
      <c r="I525" s="25" t="n"/>
      <c r="J525" s="25" t="n"/>
      <c r="K525" s="25" t="n"/>
      <c r="L525" s="25" t="n"/>
      <c r="M525" s="25" t="n"/>
      <c r="N525" s="25" t="n"/>
      <c r="O525" s="4" t="n"/>
      <c r="P525" s="4" t="n"/>
      <c r="Q525" s="4" t="n"/>
      <c r="R525" s="4" t="n"/>
      <c r="S525" s="4" t="n"/>
    </row>
    <row r="526" ht="15" customHeight="1" s="215">
      <c r="A526" s="26" t="n"/>
      <c r="B526" s="26" t="n"/>
      <c r="C526" s="26" t="n"/>
      <c r="D526" s="26" t="n"/>
      <c r="E526" s="26" t="n"/>
      <c r="F526" s="25" t="n"/>
      <c r="G526" s="25" t="n"/>
      <c r="H526" s="25" t="n"/>
      <c r="I526" s="25" t="n"/>
      <c r="J526" s="25" t="n"/>
      <c r="K526" s="25" t="n"/>
      <c r="L526" s="25" t="n"/>
      <c r="M526" s="25" t="n"/>
      <c r="N526" s="25" t="n"/>
      <c r="O526" s="4" t="n"/>
      <c r="P526" s="4" t="n"/>
      <c r="Q526" s="4" t="n"/>
      <c r="R526" s="4" t="n"/>
      <c r="S526" s="4" t="n"/>
    </row>
    <row r="527" ht="15" customHeight="1" s="215">
      <c r="A527" s="26" t="n"/>
      <c r="B527" s="26" t="n"/>
      <c r="C527" s="26" t="n"/>
      <c r="D527" s="26" t="n"/>
      <c r="E527" s="26" t="n"/>
      <c r="F527" s="25" t="n"/>
      <c r="G527" s="25" t="n"/>
      <c r="H527" s="25" t="n"/>
      <c r="I527" s="25" t="n"/>
      <c r="J527" s="25" t="n"/>
      <c r="K527" s="25" t="n"/>
      <c r="L527" s="25" t="n"/>
      <c r="M527" s="25" t="n"/>
      <c r="N527" s="25" t="n"/>
      <c r="O527" s="4" t="n"/>
      <c r="P527" s="4" t="n"/>
      <c r="Q527" s="4" t="n"/>
      <c r="R527" s="4" t="n"/>
      <c r="S527" s="4" t="n"/>
    </row>
    <row r="528" ht="15" customHeight="1" s="215">
      <c r="A528" s="26" t="n"/>
      <c r="B528" s="26" t="n"/>
      <c r="C528" s="26" t="n"/>
      <c r="D528" s="26" t="n"/>
      <c r="E528" s="26" t="n"/>
      <c r="F528" s="25" t="n"/>
      <c r="G528" s="25" t="n"/>
      <c r="H528" s="25" t="n"/>
      <c r="I528" s="25" t="n"/>
      <c r="J528" s="25" t="n"/>
      <c r="K528" s="25" t="n"/>
      <c r="L528" s="25" t="n"/>
      <c r="M528" s="25" t="n"/>
      <c r="N528" s="25" t="n"/>
      <c r="O528" s="4" t="n"/>
      <c r="P528" s="4" t="n"/>
      <c r="Q528" s="4" t="n"/>
      <c r="R528" s="4" t="n"/>
      <c r="S528" s="4" t="n"/>
    </row>
    <row r="529" ht="15" customHeight="1" s="215">
      <c r="A529" s="26" t="n"/>
      <c r="B529" s="26" t="n"/>
      <c r="C529" s="26" t="n"/>
      <c r="D529" s="26" t="n"/>
      <c r="E529" s="26" t="n"/>
      <c r="F529" s="25" t="n"/>
      <c r="G529" s="25" t="n"/>
      <c r="H529" s="25" t="n"/>
      <c r="I529" s="25" t="n"/>
      <c r="J529" s="25" t="n"/>
      <c r="K529" s="25" t="n"/>
      <c r="L529" s="25" t="n"/>
      <c r="M529" s="25" t="n"/>
      <c r="N529" s="25" t="n"/>
      <c r="O529" s="4" t="n"/>
      <c r="P529" s="4" t="n"/>
      <c r="Q529" s="4" t="n"/>
      <c r="R529" s="4" t="n"/>
      <c r="S529" s="4" t="n"/>
    </row>
    <row r="530" ht="15" customHeight="1" s="215">
      <c r="A530" s="26" t="n"/>
      <c r="B530" s="26" t="n"/>
      <c r="C530" s="26" t="n"/>
      <c r="D530" s="26" t="n"/>
      <c r="E530" s="26" t="n"/>
      <c r="F530" s="25" t="n"/>
      <c r="G530" s="25" t="n"/>
      <c r="H530" s="25" t="n"/>
      <c r="I530" s="25" t="n"/>
      <c r="J530" s="25" t="n"/>
      <c r="K530" s="25" t="n"/>
      <c r="L530" s="25" t="n"/>
      <c r="M530" s="25" t="n"/>
      <c r="N530" s="25" t="n"/>
      <c r="O530" s="4" t="n"/>
      <c r="P530" s="4" t="n"/>
      <c r="Q530" s="4" t="n"/>
      <c r="R530" s="4" t="n"/>
      <c r="S530" s="4" t="n"/>
    </row>
    <row r="531" ht="15" customHeight="1" s="215">
      <c r="A531" s="26" t="n"/>
      <c r="B531" s="26" t="n"/>
      <c r="C531" s="26" t="n"/>
      <c r="D531" s="26" t="n"/>
      <c r="E531" s="26" t="n"/>
      <c r="F531" s="25" t="n"/>
      <c r="G531" s="25" t="n"/>
      <c r="H531" s="25" t="n"/>
      <c r="I531" s="25" t="n"/>
      <c r="J531" s="25" t="n"/>
      <c r="K531" s="25" t="n"/>
      <c r="L531" s="25" t="n"/>
      <c r="M531" s="25" t="n"/>
      <c r="N531" s="25" t="n"/>
      <c r="O531" s="4" t="n"/>
      <c r="P531" s="4" t="n"/>
      <c r="Q531" s="4" t="n"/>
      <c r="R531" s="4" t="n"/>
      <c r="S531" s="4" t="n"/>
    </row>
    <row r="532" ht="15" customHeight="1" s="215">
      <c r="A532" s="26" t="n"/>
      <c r="B532" s="26" t="n"/>
      <c r="C532" s="26" t="n"/>
      <c r="D532" s="26" t="n"/>
      <c r="E532" s="26" t="n"/>
      <c r="F532" s="25" t="n"/>
      <c r="G532" s="25" t="n"/>
      <c r="H532" s="25" t="n"/>
      <c r="I532" s="25" t="n"/>
      <c r="J532" s="25" t="n"/>
      <c r="K532" s="25" t="n"/>
      <c r="L532" s="25" t="n"/>
      <c r="M532" s="25" t="n"/>
      <c r="N532" s="25" t="n"/>
      <c r="O532" s="4" t="n"/>
      <c r="P532" s="4" t="n"/>
      <c r="Q532" s="4" t="n"/>
      <c r="R532" s="4" t="n"/>
      <c r="S532" s="4" t="n"/>
    </row>
    <row r="533" ht="15" customHeight="1" s="215">
      <c r="A533" s="26" t="n"/>
      <c r="B533" s="26" t="n"/>
      <c r="C533" s="26" t="n"/>
      <c r="D533" s="26" t="n"/>
      <c r="E533" s="26" t="n"/>
      <c r="F533" s="25" t="n"/>
      <c r="G533" s="25" t="n"/>
      <c r="H533" s="25" t="n"/>
      <c r="I533" s="25" t="n"/>
      <c r="J533" s="25" t="n"/>
      <c r="K533" s="25" t="n"/>
      <c r="L533" s="25" t="n"/>
      <c r="M533" s="25" t="n"/>
      <c r="N533" s="25" t="n"/>
      <c r="O533" s="4" t="n"/>
      <c r="P533" s="4" t="n"/>
      <c r="Q533" s="4" t="n"/>
      <c r="R533" s="4" t="n"/>
      <c r="S533" s="4" t="n"/>
    </row>
    <row r="534" ht="15" customHeight="1" s="215">
      <c r="A534" s="26" t="n"/>
      <c r="B534" s="26" t="n"/>
      <c r="C534" s="26" t="n"/>
      <c r="D534" s="26" t="n"/>
      <c r="E534" s="26" t="n"/>
      <c r="F534" s="25" t="n"/>
      <c r="G534" s="25" t="n"/>
      <c r="H534" s="25" t="n"/>
      <c r="I534" s="25" t="n"/>
      <c r="J534" s="25" t="n"/>
      <c r="K534" s="25" t="n"/>
      <c r="L534" s="25" t="n"/>
      <c r="M534" s="25" t="n"/>
      <c r="N534" s="25" t="n"/>
      <c r="O534" s="4" t="n"/>
      <c r="P534" s="4" t="n"/>
      <c r="Q534" s="4" t="n"/>
      <c r="R534" s="4" t="n"/>
      <c r="S534" s="4" t="n"/>
    </row>
    <row r="535" ht="15" customHeight="1" s="215">
      <c r="A535" s="26" t="n"/>
      <c r="B535" s="26" t="n"/>
      <c r="C535" s="26" t="n"/>
      <c r="D535" s="26" t="n"/>
      <c r="E535" s="26" t="n"/>
      <c r="F535" s="25" t="n"/>
      <c r="G535" s="25" t="n"/>
      <c r="H535" s="25" t="n"/>
      <c r="I535" s="25" t="n"/>
      <c r="J535" s="25" t="n"/>
      <c r="K535" s="25" t="n"/>
      <c r="L535" s="25" t="n"/>
      <c r="M535" s="25" t="n"/>
      <c r="N535" s="25" t="n"/>
      <c r="O535" s="4" t="n"/>
      <c r="P535" s="4" t="n"/>
      <c r="Q535" s="4" t="n"/>
      <c r="R535" s="4" t="n"/>
      <c r="S535" s="4" t="n"/>
    </row>
    <row r="536" ht="15" customHeight="1" s="215">
      <c r="A536" s="26" t="n"/>
      <c r="B536" s="26" t="n"/>
      <c r="C536" s="26" t="n"/>
      <c r="D536" s="26" t="n"/>
      <c r="E536" s="26" t="n"/>
      <c r="F536" s="25" t="n"/>
      <c r="G536" s="25" t="n"/>
      <c r="H536" s="25" t="n"/>
      <c r="I536" s="25" t="n"/>
      <c r="J536" s="25" t="n"/>
      <c r="K536" s="25" t="n"/>
      <c r="L536" s="25" t="n"/>
      <c r="M536" s="25" t="n"/>
      <c r="N536" s="25" t="n"/>
      <c r="O536" s="4" t="n"/>
      <c r="P536" s="4" t="n"/>
      <c r="Q536" s="4" t="n"/>
      <c r="R536" s="4" t="n"/>
      <c r="S536" s="4" t="n"/>
    </row>
    <row r="537" ht="15" customHeight="1" s="215">
      <c r="A537" s="26" t="n"/>
      <c r="B537" s="26" t="n"/>
      <c r="C537" s="26" t="n"/>
      <c r="D537" s="26" t="n"/>
      <c r="E537" s="26" t="n"/>
      <c r="F537" s="25" t="n"/>
      <c r="G537" s="25" t="n"/>
      <c r="H537" s="25" t="n"/>
      <c r="I537" s="25" t="n"/>
      <c r="J537" s="25" t="n"/>
      <c r="K537" s="25" t="n"/>
      <c r="L537" s="25" t="n"/>
      <c r="M537" s="25" t="n"/>
      <c r="N537" s="25" t="n"/>
      <c r="O537" s="4" t="n"/>
      <c r="P537" s="4" t="n"/>
      <c r="Q537" s="4" t="n"/>
      <c r="R537" s="4" t="n"/>
      <c r="S537" s="4" t="n"/>
    </row>
    <row r="538" ht="15" customHeight="1" s="215">
      <c r="A538" s="26" t="n"/>
      <c r="B538" s="26" t="n"/>
      <c r="C538" s="26" t="n"/>
      <c r="D538" s="26" t="n"/>
      <c r="E538" s="26" t="n"/>
      <c r="F538" s="25" t="n"/>
      <c r="G538" s="25" t="n"/>
      <c r="H538" s="25" t="n"/>
      <c r="I538" s="25" t="n"/>
      <c r="J538" s="25" t="n"/>
      <c r="K538" s="25" t="n"/>
      <c r="L538" s="25" t="n"/>
      <c r="M538" s="25" t="n"/>
      <c r="N538" s="25" t="n"/>
      <c r="O538" s="4" t="n"/>
      <c r="P538" s="4" t="n"/>
      <c r="Q538" s="4" t="n"/>
      <c r="R538" s="4" t="n"/>
      <c r="S538" s="4" t="n"/>
    </row>
    <row r="539" ht="15" customHeight="1" s="215">
      <c r="A539" s="26" t="n"/>
      <c r="B539" s="26" t="n"/>
      <c r="C539" s="26" t="n"/>
      <c r="D539" s="26" t="n"/>
      <c r="E539" s="26" t="n"/>
      <c r="F539" s="25" t="n"/>
      <c r="G539" s="25" t="n"/>
      <c r="H539" s="25" t="n"/>
      <c r="I539" s="25" t="n"/>
      <c r="J539" s="25" t="n"/>
      <c r="K539" s="25" t="n"/>
      <c r="L539" s="25" t="n"/>
      <c r="M539" s="25" t="n"/>
      <c r="N539" s="25" t="n"/>
      <c r="O539" s="4" t="n"/>
      <c r="P539" s="4" t="n"/>
      <c r="Q539" s="4" t="n"/>
      <c r="R539" s="4" t="n"/>
      <c r="S539" s="4" t="n"/>
    </row>
    <row r="540" ht="15" customHeight="1" s="215">
      <c r="A540" s="26" t="n"/>
      <c r="B540" s="26" t="n"/>
      <c r="C540" s="26" t="n"/>
      <c r="D540" s="26" t="n"/>
      <c r="E540" s="26" t="n"/>
      <c r="F540" s="25" t="n"/>
      <c r="G540" s="25" t="n"/>
      <c r="H540" s="25" t="n"/>
      <c r="I540" s="25" t="n"/>
      <c r="J540" s="25" t="n"/>
      <c r="K540" s="25" t="n"/>
      <c r="L540" s="25" t="n"/>
      <c r="M540" s="25" t="n"/>
      <c r="N540" s="25" t="n"/>
      <c r="O540" s="4" t="n"/>
      <c r="P540" s="4" t="n"/>
      <c r="Q540" s="4" t="n"/>
      <c r="R540" s="4" t="n"/>
      <c r="S540" s="4" t="n"/>
    </row>
    <row r="541" ht="15" customHeight="1" s="215">
      <c r="A541" s="26" t="n"/>
      <c r="B541" s="26" t="n"/>
      <c r="C541" s="26" t="n"/>
      <c r="D541" s="26" t="n"/>
      <c r="E541" s="26" t="n"/>
      <c r="F541" s="25" t="n"/>
      <c r="G541" s="25" t="n"/>
      <c r="H541" s="25" t="n"/>
      <c r="I541" s="25" t="n"/>
      <c r="J541" s="25" t="n"/>
      <c r="K541" s="25" t="n"/>
      <c r="L541" s="25" t="n"/>
      <c r="M541" s="25" t="n"/>
      <c r="N541" s="25" t="n"/>
      <c r="O541" s="4" t="n"/>
      <c r="P541" s="4" t="n"/>
      <c r="Q541" s="4" t="n"/>
      <c r="R541" s="4" t="n"/>
      <c r="S541" s="4" t="n"/>
    </row>
    <row r="542" ht="15" customHeight="1" s="215">
      <c r="A542" s="26" t="n"/>
      <c r="B542" s="26" t="n"/>
      <c r="C542" s="26" t="n"/>
      <c r="D542" s="26" t="n"/>
      <c r="E542" s="26" t="n"/>
      <c r="F542" s="25" t="n"/>
      <c r="G542" s="25" t="n"/>
      <c r="H542" s="25" t="n"/>
      <c r="I542" s="25" t="n"/>
      <c r="J542" s="25" t="n"/>
      <c r="K542" s="25" t="n"/>
      <c r="L542" s="25" t="n"/>
      <c r="M542" s="25" t="n"/>
      <c r="N542" s="25" t="n"/>
      <c r="O542" s="4" t="n"/>
      <c r="P542" s="4" t="n"/>
      <c r="Q542" s="4" t="n"/>
      <c r="R542" s="4" t="n"/>
      <c r="S542" s="4" t="n"/>
    </row>
    <row r="543" ht="15" customHeight="1" s="215">
      <c r="A543" s="26" t="n"/>
      <c r="B543" s="26" t="n"/>
      <c r="C543" s="26" t="n"/>
      <c r="D543" s="26" t="n"/>
      <c r="E543" s="26" t="n"/>
      <c r="F543" s="25" t="n"/>
      <c r="G543" s="25" t="n"/>
      <c r="H543" s="25" t="n"/>
      <c r="I543" s="25" t="n"/>
      <c r="J543" s="25" t="n"/>
      <c r="K543" s="25" t="n"/>
      <c r="L543" s="25" t="n"/>
      <c r="M543" s="25" t="n"/>
      <c r="N543" s="25" t="n"/>
      <c r="O543" s="4" t="n"/>
      <c r="P543" s="4" t="n"/>
      <c r="Q543" s="4" t="n"/>
      <c r="R543" s="4" t="n"/>
      <c r="S543" s="4" t="n"/>
    </row>
    <row r="544" ht="15" customHeight="1" s="215">
      <c r="A544" s="26" t="n"/>
      <c r="B544" s="26" t="n"/>
      <c r="C544" s="26" t="n"/>
      <c r="D544" s="26" t="n"/>
      <c r="E544" s="26" t="n"/>
      <c r="F544" s="25" t="n"/>
      <c r="G544" s="25" t="n"/>
      <c r="H544" s="25" t="n"/>
      <c r="I544" s="25" t="n"/>
      <c r="J544" s="25" t="n"/>
      <c r="K544" s="25" t="n"/>
      <c r="L544" s="25" t="n"/>
      <c r="M544" s="25" t="n"/>
      <c r="N544" s="25" t="n"/>
      <c r="O544" s="4" t="n"/>
      <c r="P544" s="4" t="n"/>
      <c r="Q544" s="4" t="n"/>
      <c r="R544" s="4" t="n"/>
      <c r="S544" s="4" t="n"/>
    </row>
    <row r="545" ht="15" customHeight="1" s="215">
      <c r="A545" s="26" t="n"/>
      <c r="B545" s="26" t="n"/>
      <c r="C545" s="26" t="n"/>
      <c r="D545" s="26" t="n"/>
      <c r="E545" s="26" t="n"/>
      <c r="F545" s="25" t="n"/>
      <c r="G545" s="25" t="n"/>
      <c r="H545" s="25" t="n"/>
      <c r="I545" s="25" t="n"/>
      <c r="J545" s="25" t="n"/>
      <c r="K545" s="25" t="n"/>
      <c r="L545" s="25" t="n"/>
      <c r="M545" s="25" t="n"/>
      <c r="N545" s="25" t="n"/>
      <c r="O545" s="4" t="n"/>
      <c r="P545" s="4" t="n"/>
      <c r="Q545" s="4" t="n"/>
      <c r="R545" s="4" t="n"/>
      <c r="S545" s="4" t="n"/>
    </row>
    <row r="546" ht="15" customHeight="1" s="215">
      <c r="A546" s="26" t="n"/>
      <c r="B546" s="26" t="n"/>
      <c r="C546" s="26" t="n"/>
      <c r="D546" s="26" t="n"/>
      <c r="E546" s="26" t="n"/>
      <c r="F546" s="25" t="n"/>
      <c r="G546" s="25" t="n"/>
      <c r="H546" s="25" t="n"/>
      <c r="I546" s="25" t="n"/>
      <c r="J546" s="25" t="n"/>
      <c r="K546" s="25" t="n"/>
      <c r="L546" s="25" t="n"/>
      <c r="M546" s="25" t="n"/>
      <c r="N546" s="25" t="n"/>
      <c r="O546" s="4" t="n"/>
      <c r="P546" s="4" t="n"/>
      <c r="Q546" s="4" t="n"/>
      <c r="R546" s="4" t="n"/>
      <c r="S546" s="4" t="n"/>
    </row>
    <row r="547" ht="15" customHeight="1" s="215">
      <c r="A547" s="26" t="n"/>
      <c r="B547" s="26" t="n"/>
      <c r="C547" s="26" t="n"/>
      <c r="D547" s="26" t="n"/>
      <c r="E547" s="26" t="n"/>
      <c r="F547" s="25" t="n"/>
      <c r="G547" s="25" t="n"/>
      <c r="H547" s="25" t="n"/>
      <c r="I547" s="25" t="n"/>
      <c r="J547" s="25" t="n"/>
      <c r="K547" s="25" t="n"/>
      <c r="L547" s="25" t="n"/>
      <c r="M547" s="25" t="n"/>
      <c r="N547" s="25" t="n"/>
      <c r="O547" s="4" t="n"/>
      <c r="P547" s="4" t="n"/>
      <c r="Q547" s="4" t="n"/>
      <c r="R547" s="4" t="n"/>
      <c r="S547" s="4" t="n"/>
    </row>
    <row r="548" ht="15" customHeight="1" s="215">
      <c r="A548" s="26" t="n"/>
      <c r="B548" s="26" t="n"/>
      <c r="C548" s="26" t="n"/>
      <c r="D548" s="26" t="n"/>
      <c r="E548" s="26" t="n"/>
      <c r="F548" s="25" t="n"/>
      <c r="G548" s="25" t="n"/>
      <c r="H548" s="25" t="n"/>
      <c r="I548" s="25" t="n"/>
      <c r="J548" s="25" t="n"/>
      <c r="K548" s="25" t="n"/>
      <c r="L548" s="25" t="n"/>
      <c r="M548" s="25" t="n"/>
      <c r="N548" s="25" t="n"/>
      <c r="O548" s="4" t="n"/>
      <c r="P548" s="4" t="n"/>
      <c r="Q548" s="4" t="n"/>
      <c r="R548" s="4" t="n"/>
      <c r="S548" s="4" t="n"/>
    </row>
    <row r="549" ht="15" customHeight="1" s="215">
      <c r="A549" s="26" t="n"/>
      <c r="B549" s="26" t="n"/>
      <c r="C549" s="26" t="n"/>
      <c r="D549" s="26" t="n"/>
      <c r="E549" s="26" t="n"/>
      <c r="F549" s="25" t="n"/>
      <c r="G549" s="25" t="n"/>
      <c r="H549" s="25" t="n"/>
      <c r="I549" s="25" t="n"/>
      <c r="J549" s="25" t="n"/>
      <c r="K549" s="25" t="n"/>
      <c r="L549" s="25" t="n"/>
      <c r="M549" s="25" t="n"/>
      <c r="N549" s="25" t="n"/>
      <c r="O549" s="4" t="n"/>
      <c r="P549" s="4" t="n"/>
      <c r="Q549" s="4" t="n"/>
      <c r="R549" s="4" t="n"/>
      <c r="S549" s="4" t="n"/>
    </row>
    <row r="550" ht="15" customHeight="1" s="215">
      <c r="A550" s="26" t="n"/>
      <c r="B550" s="26" t="n"/>
      <c r="C550" s="26" t="n"/>
      <c r="D550" s="26" t="n"/>
      <c r="E550" s="26" t="n"/>
      <c r="F550" s="25" t="n"/>
      <c r="G550" s="25" t="n"/>
      <c r="H550" s="25" t="n"/>
      <c r="I550" s="25" t="n"/>
      <c r="J550" s="25" t="n"/>
      <c r="K550" s="25" t="n"/>
      <c r="L550" s="25" t="n"/>
      <c r="M550" s="25" t="n"/>
      <c r="N550" s="25" t="n"/>
      <c r="O550" s="4" t="n"/>
      <c r="P550" s="4" t="n"/>
      <c r="Q550" s="4" t="n"/>
      <c r="R550" s="4" t="n"/>
      <c r="S550" s="4" t="n"/>
    </row>
    <row r="551" ht="15" customHeight="1" s="215">
      <c r="A551" s="26" t="n"/>
      <c r="B551" s="26" t="n"/>
      <c r="C551" s="26" t="n"/>
      <c r="D551" s="26" t="n"/>
      <c r="E551" s="26" t="n"/>
      <c r="F551" s="25" t="n"/>
      <c r="G551" s="25" t="n"/>
      <c r="H551" s="25" t="n"/>
      <c r="I551" s="25" t="n"/>
      <c r="J551" s="25" t="n"/>
      <c r="K551" s="25" t="n"/>
      <c r="L551" s="25" t="n"/>
      <c r="M551" s="25" t="n"/>
      <c r="N551" s="25" t="n"/>
      <c r="O551" s="4" t="n"/>
      <c r="P551" s="4" t="n"/>
      <c r="Q551" s="4" t="n"/>
      <c r="R551" s="4" t="n"/>
      <c r="S551" s="4" t="n"/>
    </row>
    <row r="552" ht="15" customHeight="1" s="215">
      <c r="A552" s="26" t="n"/>
      <c r="B552" s="26" t="n"/>
      <c r="C552" s="26" t="n"/>
      <c r="D552" s="26" t="n"/>
      <c r="E552" s="26" t="n"/>
      <c r="F552" s="25" t="n"/>
      <c r="G552" s="25" t="n"/>
      <c r="H552" s="25" t="n"/>
      <c r="I552" s="25" t="n"/>
      <c r="J552" s="25" t="n"/>
      <c r="K552" s="25" t="n"/>
      <c r="L552" s="25" t="n"/>
      <c r="M552" s="25" t="n"/>
      <c r="N552" s="25" t="n"/>
      <c r="O552" s="4" t="n"/>
      <c r="P552" s="4" t="n"/>
      <c r="Q552" s="4" t="n"/>
      <c r="R552" s="4" t="n"/>
      <c r="S552" s="4" t="n"/>
    </row>
    <row r="553" ht="15" customHeight="1" s="215">
      <c r="A553" s="26" t="n"/>
      <c r="B553" s="26" t="n"/>
      <c r="C553" s="26" t="n"/>
      <c r="D553" s="26" t="n"/>
      <c r="E553" s="26" t="n"/>
      <c r="F553" s="25" t="n"/>
      <c r="G553" s="25" t="n"/>
      <c r="H553" s="25" t="n"/>
      <c r="I553" s="25" t="n"/>
      <c r="J553" s="25" t="n"/>
      <c r="K553" s="25" t="n"/>
      <c r="L553" s="25" t="n"/>
      <c r="M553" s="25" t="n"/>
      <c r="N553" s="25" t="n"/>
      <c r="O553" s="4" t="n"/>
      <c r="P553" s="4" t="n"/>
      <c r="Q553" s="4" t="n"/>
      <c r="R553" s="4" t="n"/>
      <c r="S553" s="4" t="n"/>
    </row>
    <row r="554" ht="15" customHeight="1" s="215">
      <c r="A554" s="26" t="n"/>
      <c r="B554" s="26" t="n"/>
      <c r="C554" s="26" t="n"/>
      <c r="D554" s="26" t="n"/>
      <c r="E554" s="26" t="n"/>
      <c r="F554" s="25" t="n"/>
      <c r="G554" s="25" t="n"/>
      <c r="H554" s="25" t="n"/>
      <c r="I554" s="25" t="n"/>
      <c r="J554" s="25" t="n"/>
      <c r="K554" s="25" t="n"/>
      <c r="L554" s="25" t="n"/>
      <c r="M554" s="25" t="n"/>
      <c r="N554" s="25" t="n"/>
      <c r="O554" s="4" t="n"/>
      <c r="P554" s="4" t="n"/>
      <c r="Q554" s="4" t="n"/>
      <c r="R554" s="4" t="n"/>
      <c r="S554" s="4" t="n"/>
    </row>
    <row r="555" ht="15" customHeight="1" s="215">
      <c r="A555" s="26" t="n"/>
      <c r="B555" s="26" t="n"/>
      <c r="C555" s="26" t="n"/>
      <c r="D555" s="26" t="n"/>
      <c r="E555" s="26" t="n"/>
      <c r="F555" s="25" t="n"/>
      <c r="G555" s="25" t="n"/>
      <c r="H555" s="25" t="n"/>
      <c r="I555" s="25" t="n"/>
      <c r="J555" s="25" t="n"/>
      <c r="K555" s="25" t="n"/>
      <c r="L555" s="25" t="n"/>
      <c r="M555" s="25" t="n"/>
      <c r="N555" s="25" t="n"/>
      <c r="O555" s="4" t="n"/>
      <c r="P555" s="4" t="n"/>
      <c r="Q555" s="4" t="n"/>
      <c r="R555" s="4" t="n"/>
      <c r="S555" s="4" t="n"/>
    </row>
    <row r="556" ht="15" customHeight="1" s="215">
      <c r="A556" s="26" t="n"/>
      <c r="B556" s="26" t="n"/>
      <c r="C556" s="26" t="n"/>
      <c r="D556" s="26" t="n"/>
      <c r="E556" s="26" t="n"/>
      <c r="F556" s="25" t="n"/>
      <c r="G556" s="25" t="n"/>
      <c r="H556" s="25" t="n"/>
      <c r="I556" s="25" t="n"/>
      <c r="J556" s="25" t="n"/>
      <c r="K556" s="25" t="n"/>
      <c r="L556" s="25" t="n"/>
      <c r="M556" s="25" t="n"/>
      <c r="N556" s="25" t="n"/>
      <c r="O556" s="4" t="n"/>
      <c r="P556" s="4" t="n"/>
      <c r="Q556" s="4" t="n"/>
      <c r="R556" s="4" t="n"/>
      <c r="S556" s="4" t="n"/>
    </row>
    <row r="557" ht="15" customHeight="1" s="215">
      <c r="A557" s="26" t="n"/>
      <c r="B557" s="26" t="n"/>
      <c r="C557" s="26" t="n"/>
      <c r="D557" s="26" t="n"/>
      <c r="E557" s="26" t="n"/>
      <c r="F557" s="25" t="n"/>
      <c r="G557" s="25" t="n"/>
      <c r="H557" s="25" t="n"/>
      <c r="I557" s="25" t="n"/>
      <c r="J557" s="25" t="n"/>
      <c r="K557" s="25" t="n"/>
      <c r="L557" s="25" t="n"/>
      <c r="M557" s="25" t="n"/>
      <c r="N557" s="25" t="n"/>
      <c r="O557" s="4" t="n"/>
      <c r="P557" s="4" t="n"/>
      <c r="Q557" s="4" t="n"/>
      <c r="R557" s="4" t="n"/>
      <c r="S557" s="4" t="n"/>
    </row>
    <row r="558" ht="15" customHeight="1" s="215">
      <c r="A558" s="26" t="n"/>
      <c r="B558" s="26" t="n"/>
      <c r="C558" s="26" t="n"/>
      <c r="D558" s="26" t="n"/>
      <c r="E558" s="26" t="n"/>
      <c r="F558" s="25" t="n"/>
      <c r="G558" s="25" t="n"/>
      <c r="H558" s="25" t="n"/>
      <c r="I558" s="25" t="n"/>
      <c r="J558" s="25" t="n"/>
      <c r="K558" s="25" t="n"/>
      <c r="L558" s="25" t="n"/>
      <c r="M558" s="25" t="n"/>
      <c r="N558" s="25" t="n"/>
      <c r="O558" s="4" t="n"/>
      <c r="P558" s="4" t="n"/>
      <c r="Q558" s="4" t="n"/>
      <c r="R558" s="4" t="n"/>
      <c r="S558" s="4" t="n"/>
    </row>
    <row r="559" ht="15" customHeight="1" s="215">
      <c r="A559" s="26" t="n"/>
      <c r="B559" s="26" t="n"/>
      <c r="C559" s="26" t="n"/>
      <c r="D559" s="26" t="n"/>
      <c r="E559" s="26" t="n"/>
      <c r="F559" s="25" t="n"/>
      <c r="G559" s="25" t="n"/>
      <c r="H559" s="25" t="n"/>
      <c r="I559" s="25" t="n"/>
      <c r="J559" s="25" t="n"/>
      <c r="K559" s="25" t="n"/>
      <c r="L559" s="25" t="n"/>
      <c r="M559" s="25" t="n"/>
      <c r="N559" s="25" t="n"/>
      <c r="O559" s="4" t="n"/>
      <c r="P559" s="4" t="n"/>
      <c r="Q559" s="4" t="n"/>
      <c r="R559" s="4" t="n"/>
      <c r="S559" s="4" t="n"/>
    </row>
    <row r="560" ht="15" customHeight="1" s="215">
      <c r="A560" s="26" t="n"/>
      <c r="B560" s="26" t="n"/>
      <c r="C560" s="26" t="n"/>
      <c r="D560" s="26" t="n"/>
      <c r="E560" s="26" t="n"/>
      <c r="F560" s="25" t="n"/>
      <c r="G560" s="25" t="n"/>
      <c r="H560" s="25" t="n"/>
      <c r="I560" s="25" t="n"/>
      <c r="J560" s="25" t="n"/>
      <c r="K560" s="25" t="n"/>
      <c r="L560" s="25" t="n"/>
      <c r="M560" s="25" t="n"/>
      <c r="N560" s="25" t="n"/>
      <c r="O560" s="4" t="n"/>
      <c r="P560" s="4" t="n"/>
      <c r="Q560" s="4" t="n"/>
      <c r="R560" s="4" t="n"/>
      <c r="S560" s="4" t="n"/>
    </row>
    <row r="561" ht="15" customHeight="1" s="215">
      <c r="A561" s="26" t="n"/>
      <c r="B561" s="26" t="n"/>
      <c r="C561" s="26" t="n"/>
      <c r="D561" s="26" t="n"/>
      <c r="E561" s="26" t="n"/>
      <c r="F561" s="25" t="n"/>
      <c r="G561" s="25" t="n"/>
      <c r="H561" s="25" t="n"/>
      <c r="I561" s="25" t="n"/>
      <c r="J561" s="25" t="n"/>
      <c r="K561" s="25" t="n"/>
      <c r="L561" s="25" t="n"/>
      <c r="M561" s="25" t="n"/>
      <c r="N561" s="25" t="n"/>
      <c r="O561" s="4" t="n"/>
      <c r="P561" s="4" t="n"/>
      <c r="Q561" s="4" t="n"/>
      <c r="R561" s="4" t="n"/>
      <c r="S561" s="4" t="n"/>
    </row>
    <row r="562" ht="15" customHeight="1" s="215">
      <c r="A562" s="26" t="n"/>
      <c r="B562" s="26" t="n"/>
      <c r="C562" s="26" t="n"/>
      <c r="D562" s="26" t="n"/>
      <c r="E562" s="26" t="n"/>
      <c r="F562" s="25" t="n"/>
      <c r="G562" s="25" t="n"/>
      <c r="H562" s="25" t="n"/>
      <c r="I562" s="25" t="n"/>
      <c r="J562" s="25" t="n"/>
      <c r="K562" s="25" t="n"/>
      <c r="L562" s="25" t="n"/>
      <c r="M562" s="25" t="n"/>
      <c r="N562" s="25" t="n"/>
      <c r="O562" s="4" t="n"/>
      <c r="P562" s="4" t="n"/>
      <c r="Q562" s="4" t="n"/>
      <c r="R562" s="4" t="n"/>
      <c r="S562" s="4" t="n"/>
    </row>
    <row r="563" ht="15" customHeight="1" s="215">
      <c r="A563" s="26" t="n"/>
      <c r="B563" s="26" t="n"/>
      <c r="C563" s="26" t="n"/>
      <c r="D563" s="26" t="n"/>
      <c r="E563" s="26" t="n"/>
      <c r="F563" s="25" t="n"/>
      <c r="G563" s="25" t="n"/>
      <c r="H563" s="25" t="n"/>
      <c r="I563" s="25" t="n"/>
      <c r="J563" s="25" t="n"/>
      <c r="K563" s="25" t="n"/>
      <c r="L563" s="25" t="n"/>
      <c r="M563" s="25" t="n"/>
      <c r="N563" s="25" t="n"/>
      <c r="O563" s="4" t="n"/>
      <c r="P563" s="4" t="n"/>
      <c r="Q563" s="4" t="n"/>
      <c r="R563" s="4" t="n"/>
      <c r="S563" s="4" t="n"/>
    </row>
    <row r="564" ht="15" customHeight="1" s="215">
      <c r="A564" s="26" t="n"/>
      <c r="B564" s="26" t="n"/>
      <c r="C564" s="26" t="n"/>
      <c r="D564" s="26" t="n"/>
      <c r="E564" s="26" t="n"/>
      <c r="F564" s="25" t="n"/>
      <c r="G564" s="25" t="n"/>
      <c r="H564" s="25" t="n"/>
      <c r="I564" s="25" t="n"/>
      <c r="J564" s="25" t="n"/>
      <c r="K564" s="25" t="n"/>
      <c r="L564" s="25" t="n"/>
      <c r="M564" s="25" t="n"/>
      <c r="N564" s="25" t="n"/>
      <c r="O564" s="4" t="n"/>
      <c r="P564" s="4" t="n"/>
      <c r="Q564" s="4" t="n"/>
      <c r="R564" s="4" t="n"/>
      <c r="S564" s="4" t="n"/>
    </row>
    <row r="565" ht="15" customHeight="1" s="215">
      <c r="A565" s="26" t="n"/>
      <c r="B565" s="26" t="n"/>
      <c r="C565" s="26" t="n"/>
      <c r="D565" s="26" t="n"/>
      <c r="E565" s="26" t="n"/>
      <c r="F565" s="25" t="n"/>
      <c r="G565" s="25" t="n"/>
      <c r="H565" s="25" t="n"/>
      <c r="I565" s="25" t="n"/>
      <c r="J565" s="25" t="n"/>
      <c r="K565" s="25" t="n"/>
      <c r="L565" s="25" t="n"/>
      <c r="M565" s="25" t="n"/>
      <c r="N565" s="25" t="n"/>
      <c r="O565" s="4" t="n"/>
      <c r="P565" s="4" t="n"/>
      <c r="Q565" s="4" t="n"/>
      <c r="R565" s="4" t="n"/>
      <c r="S565" s="4" t="n"/>
    </row>
    <row r="566" ht="15" customHeight="1" s="215">
      <c r="A566" s="26" t="n"/>
      <c r="B566" s="26" t="n"/>
      <c r="C566" s="26" t="n"/>
      <c r="D566" s="26" t="n"/>
      <c r="E566" s="26" t="n"/>
      <c r="F566" s="25" t="n"/>
      <c r="G566" s="25" t="n"/>
      <c r="H566" s="25" t="n"/>
      <c r="I566" s="25" t="n"/>
      <c r="J566" s="25" t="n"/>
      <c r="K566" s="25" t="n"/>
      <c r="L566" s="25" t="n"/>
      <c r="M566" s="25" t="n"/>
      <c r="N566" s="25" t="n"/>
      <c r="O566" s="4" t="n"/>
      <c r="P566" s="4" t="n"/>
      <c r="Q566" s="4" t="n"/>
      <c r="R566" s="4" t="n"/>
      <c r="S566" s="4" t="n"/>
    </row>
    <row r="567" ht="15" customHeight="1" s="215">
      <c r="A567" s="26" t="n"/>
      <c r="B567" s="26" t="n"/>
      <c r="C567" s="26" t="n"/>
      <c r="D567" s="26" t="n"/>
      <c r="E567" s="26" t="n"/>
      <c r="F567" s="25" t="n"/>
      <c r="G567" s="25" t="n"/>
      <c r="H567" s="25" t="n"/>
      <c r="I567" s="25" t="n"/>
      <c r="J567" s="25" t="n"/>
      <c r="K567" s="25" t="n"/>
      <c r="L567" s="25" t="n"/>
      <c r="M567" s="25" t="n"/>
      <c r="N567" s="25" t="n"/>
      <c r="O567" s="4" t="n"/>
      <c r="P567" s="4" t="n"/>
      <c r="Q567" s="4" t="n"/>
      <c r="R567" s="4" t="n"/>
      <c r="S567" s="4" t="n"/>
    </row>
    <row r="568" ht="15" customHeight="1" s="215">
      <c r="A568" s="26" t="n"/>
      <c r="B568" s="26" t="n"/>
      <c r="C568" s="26" t="n"/>
      <c r="D568" s="26" t="n"/>
      <c r="E568" s="26" t="n"/>
      <c r="F568" s="25" t="n"/>
      <c r="G568" s="25" t="n"/>
      <c r="H568" s="25" t="n"/>
      <c r="I568" s="25" t="n"/>
      <c r="J568" s="25" t="n"/>
      <c r="K568" s="25" t="n"/>
      <c r="L568" s="25" t="n"/>
      <c r="M568" s="25" t="n"/>
      <c r="N568" s="25" t="n"/>
      <c r="O568" s="4" t="n"/>
      <c r="P568" s="4" t="n"/>
      <c r="Q568" s="4" t="n"/>
      <c r="R568" s="4" t="n"/>
      <c r="S568" s="4" t="n"/>
    </row>
    <row r="569" ht="15" customHeight="1" s="215">
      <c r="A569" s="26" t="n"/>
      <c r="B569" s="26" t="n"/>
      <c r="C569" s="26" t="n"/>
      <c r="D569" s="26" t="n"/>
      <c r="E569" s="26" t="n"/>
      <c r="F569" s="25" t="n"/>
      <c r="G569" s="25" t="n"/>
      <c r="H569" s="25" t="n"/>
      <c r="I569" s="25" t="n"/>
      <c r="J569" s="25" t="n"/>
      <c r="K569" s="25" t="n"/>
      <c r="L569" s="25" t="n"/>
      <c r="M569" s="25" t="n"/>
      <c r="N569" s="25" t="n"/>
      <c r="O569" s="4" t="n"/>
      <c r="P569" s="4" t="n"/>
      <c r="Q569" s="4" t="n"/>
      <c r="R569" s="4" t="n"/>
      <c r="S569" s="4" t="n"/>
    </row>
    <row r="570" ht="15" customHeight="1" s="215">
      <c r="A570" s="26" t="n"/>
      <c r="B570" s="26" t="n"/>
      <c r="C570" s="26" t="n"/>
      <c r="D570" s="26" t="n"/>
      <c r="E570" s="26" t="n"/>
      <c r="F570" s="25" t="n"/>
      <c r="G570" s="25" t="n"/>
      <c r="H570" s="25" t="n"/>
      <c r="I570" s="25" t="n"/>
      <c r="J570" s="25" t="n"/>
      <c r="K570" s="25" t="n"/>
      <c r="L570" s="25" t="n"/>
      <c r="M570" s="25" t="n"/>
      <c r="N570" s="25" t="n"/>
      <c r="O570" s="4" t="n"/>
      <c r="P570" s="4" t="n"/>
      <c r="Q570" s="4" t="n"/>
      <c r="R570" s="4" t="n"/>
      <c r="S570" s="4" t="n"/>
    </row>
    <row r="571" ht="15" customHeight="1" s="215">
      <c r="A571" s="26" t="n"/>
      <c r="B571" s="26" t="n"/>
      <c r="C571" s="26" t="n"/>
      <c r="D571" s="26" t="n"/>
      <c r="E571" s="26" t="n"/>
      <c r="F571" s="25" t="n"/>
      <c r="G571" s="25" t="n"/>
      <c r="H571" s="25" t="n"/>
      <c r="I571" s="25" t="n"/>
      <c r="J571" s="25" t="n"/>
      <c r="K571" s="25" t="n"/>
      <c r="L571" s="25" t="n"/>
      <c r="M571" s="25" t="n"/>
      <c r="N571" s="25" t="n"/>
      <c r="O571" s="4" t="n"/>
      <c r="P571" s="4" t="n"/>
      <c r="Q571" s="4" t="n"/>
      <c r="R571" s="4" t="n"/>
      <c r="S571" s="4" t="n"/>
    </row>
    <row r="572" ht="15" customHeight="1" s="215">
      <c r="A572" s="26" t="n"/>
      <c r="B572" s="26" t="n"/>
      <c r="C572" s="26" t="n"/>
      <c r="D572" s="26" t="n"/>
      <c r="E572" s="26" t="n"/>
      <c r="F572" s="25" t="n"/>
      <c r="G572" s="25" t="n"/>
      <c r="H572" s="25" t="n"/>
      <c r="I572" s="25" t="n"/>
      <c r="J572" s="25" t="n"/>
      <c r="K572" s="25" t="n"/>
      <c r="L572" s="25" t="n"/>
      <c r="M572" s="25" t="n"/>
      <c r="N572" s="25" t="n"/>
      <c r="O572" s="4" t="n"/>
      <c r="P572" s="4" t="n"/>
      <c r="Q572" s="4" t="n"/>
      <c r="R572" s="4" t="n"/>
      <c r="S572" s="4" t="n"/>
    </row>
    <row r="573" ht="15" customHeight="1" s="215">
      <c r="A573" s="26" t="n"/>
      <c r="B573" s="26" t="n"/>
      <c r="C573" s="26" t="n"/>
      <c r="D573" s="26" t="n"/>
      <c r="E573" s="26" t="n"/>
      <c r="F573" s="25" t="n"/>
      <c r="G573" s="25" t="n"/>
      <c r="H573" s="25" t="n"/>
      <c r="I573" s="25" t="n"/>
      <c r="J573" s="25" t="n"/>
      <c r="K573" s="25" t="n"/>
      <c r="L573" s="25" t="n"/>
      <c r="M573" s="25" t="n"/>
      <c r="N573" s="25" t="n"/>
      <c r="O573" s="4" t="n"/>
      <c r="P573" s="4" t="n"/>
      <c r="Q573" s="4" t="n"/>
      <c r="R573" s="4" t="n"/>
      <c r="S573" s="4" t="n"/>
    </row>
    <row r="574" ht="15" customHeight="1" s="215">
      <c r="A574" s="26" t="n"/>
      <c r="B574" s="26" t="n"/>
      <c r="C574" s="26" t="n"/>
      <c r="D574" s="26" t="n"/>
      <c r="E574" s="26" t="n"/>
      <c r="F574" s="25" t="n"/>
      <c r="G574" s="25" t="n"/>
      <c r="H574" s="25" t="n"/>
      <c r="I574" s="25" t="n"/>
      <c r="J574" s="25" t="n"/>
      <c r="K574" s="25" t="n"/>
      <c r="L574" s="25" t="n"/>
      <c r="M574" s="25" t="n"/>
      <c r="N574" s="25" t="n"/>
      <c r="O574" s="4" t="n"/>
      <c r="P574" s="4" t="n"/>
      <c r="Q574" s="4" t="n"/>
      <c r="R574" s="4" t="n"/>
      <c r="S574" s="4" t="n"/>
    </row>
    <row r="575" ht="15" customHeight="1" s="215">
      <c r="A575" s="26" t="n"/>
      <c r="B575" s="26" t="n"/>
      <c r="C575" s="26" t="n"/>
      <c r="D575" s="26" t="n"/>
      <c r="E575" s="26" t="n"/>
      <c r="F575" s="25" t="n"/>
      <c r="G575" s="25" t="n"/>
      <c r="H575" s="25" t="n"/>
      <c r="I575" s="25" t="n"/>
      <c r="J575" s="25" t="n"/>
      <c r="K575" s="25" t="n"/>
      <c r="L575" s="25" t="n"/>
      <c r="M575" s="25" t="n"/>
      <c r="N575" s="25" t="n"/>
      <c r="O575" s="4" t="n"/>
      <c r="P575" s="4" t="n"/>
      <c r="Q575" s="4" t="n"/>
      <c r="R575" s="4" t="n"/>
      <c r="S575" s="4" t="n"/>
    </row>
    <row r="576" ht="15" customHeight="1" s="215">
      <c r="A576" s="26" t="n"/>
      <c r="B576" s="26" t="n"/>
      <c r="C576" s="26" t="n"/>
      <c r="D576" s="26" t="n"/>
      <c r="E576" s="26" t="n"/>
      <c r="F576" s="25" t="n"/>
      <c r="G576" s="25" t="n"/>
      <c r="H576" s="25" t="n"/>
      <c r="I576" s="25" t="n"/>
      <c r="J576" s="25" t="n"/>
      <c r="K576" s="25" t="n"/>
      <c r="L576" s="25" t="n"/>
      <c r="M576" s="25" t="n"/>
      <c r="N576" s="25" t="n"/>
      <c r="O576" s="4" t="n"/>
      <c r="P576" s="4" t="n"/>
      <c r="Q576" s="4" t="n"/>
      <c r="R576" s="4" t="n"/>
      <c r="S576" s="4" t="n"/>
    </row>
    <row r="577" ht="15" customHeight="1" s="215">
      <c r="A577" s="26" t="n"/>
      <c r="B577" s="26" t="n"/>
      <c r="C577" s="26" t="n"/>
      <c r="D577" s="26" t="n"/>
      <c r="E577" s="26" t="n"/>
      <c r="F577" s="25" t="n"/>
      <c r="G577" s="25" t="n"/>
      <c r="H577" s="25" t="n"/>
      <c r="I577" s="25" t="n"/>
      <c r="J577" s="25" t="n"/>
      <c r="K577" s="25" t="n"/>
      <c r="L577" s="25" t="n"/>
      <c r="M577" s="25" t="n"/>
      <c r="N577" s="25" t="n"/>
      <c r="O577" s="4" t="n"/>
      <c r="P577" s="4" t="n"/>
      <c r="Q577" s="4" t="n"/>
      <c r="R577" s="4" t="n"/>
      <c r="S577" s="4" t="n"/>
    </row>
    <row r="578" ht="15" customHeight="1" s="215">
      <c r="A578" s="26" t="n"/>
      <c r="B578" s="26" t="n"/>
      <c r="C578" s="26" t="n"/>
      <c r="D578" s="26" t="n"/>
      <c r="E578" s="26" t="n"/>
      <c r="F578" s="25" t="n"/>
      <c r="G578" s="25" t="n"/>
      <c r="H578" s="25" t="n"/>
      <c r="I578" s="25" t="n"/>
      <c r="J578" s="25" t="n"/>
      <c r="K578" s="25" t="n"/>
      <c r="L578" s="25" t="n"/>
      <c r="M578" s="25" t="n"/>
      <c r="N578" s="25" t="n"/>
      <c r="O578" s="4" t="n"/>
      <c r="P578" s="4" t="n"/>
      <c r="Q578" s="4" t="n"/>
      <c r="R578" s="4" t="n"/>
      <c r="S578" s="4" t="n"/>
    </row>
    <row r="579" ht="15" customHeight="1" s="215">
      <c r="A579" s="26" t="n"/>
      <c r="B579" s="26" t="n"/>
      <c r="C579" s="26" t="n"/>
      <c r="D579" s="26" t="n"/>
      <c r="E579" s="26" t="n"/>
      <c r="F579" s="25" t="n"/>
      <c r="G579" s="25" t="n"/>
      <c r="H579" s="25" t="n"/>
      <c r="I579" s="25" t="n"/>
      <c r="J579" s="25" t="n"/>
      <c r="K579" s="25" t="n"/>
      <c r="L579" s="25" t="n"/>
      <c r="M579" s="25" t="n"/>
      <c r="N579" s="25" t="n"/>
      <c r="O579" s="4" t="n"/>
      <c r="P579" s="4" t="n"/>
      <c r="Q579" s="4" t="n"/>
      <c r="R579" s="4" t="n"/>
      <c r="S579" s="4" t="n"/>
    </row>
    <row r="580" ht="15" customHeight="1" s="215">
      <c r="A580" s="26" t="n"/>
      <c r="B580" s="26" t="n"/>
      <c r="C580" s="26" t="n"/>
      <c r="D580" s="26" t="n"/>
      <c r="E580" s="26" t="n"/>
      <c r="F580" s="25" t="n"/>
      <c r="G580" s="25" t="n"/>
      <c r="H580" s="25" t="n"/>
      <c r="I580" s="25" t="n"/>
      <c r="J580" s="25" t="n"/>
      <c r="K580" s="25" t="n"/>
      <c r="L580" s="25" t="n"/>
      <c r="M580" s="25" t="n"/>
      <c r="N580" s="25" t="n"/>
      <c r="O580" s="4" t="n"/>
      <c r="P580" s="4" t="n"/>
      <c r="Q580" s="4" t="n"/>
      <c r="R580" s="4" t="n"/>
      <c r="S580" s="4" t="n"/>
    </row>
    <row r="581" ht="15" customHeight="1" s="215">
      <c r="A581" s="26" t="n"/>
      <c r="B581" s="26" t="n"/>
      <c r="C581" s="26" t="n"/>
      <c r="D581" s="26" t="n"/>
      <c r="E581" s="26" t="n"/>
      <c r="F581" s="25" t="n"/>
      <c r="G581" s="25" t="n"/>
      <c r="H581" s="25" t="n"/>
      <c r="I581" s="25" t="n"/>
      <c r="J581" s="25" t="n"/>
      <c r="K581" s="25" t="n"/>
      <c r="L581" s="25" t="n"/>
      <c r="M581" s="25" t="n"/>
      <c r="N581" s="25" t="n"/>
      <c r="O581" s="4" t="n"/>
      <c r="P581" s="4" t="n"/>
      <c r="Q581" s="4" t="n"/>
      <c r="R581" s="4" t="n"/>
      <c r="S581" s="4" t="n"/>
    </row>
    <row r="582" ht="15" customHeight="1" s="215">
      <c r="A582" s="26" t="n"/>
      <c r="B582" s="26" t="n"/>
      <c r="C582" s="26" t="n"/>
      <c r="D582" s="26" t="n"/>
      <c r="E582" s="26" t="n"/>
      <c r="F582" s="25" t="n"/>
      <c r="G582" s="25" t="n"/>
      <c r="H582" s="25" t="n"/>
      <c r="I582" s="25" t="n"/>
      <c r="J582" s="25" t="n"/>
      <c r="K582" s="25" t="n"/>
      <c r="L582" s="25" t="n"/>
      <c r="M582" s="25" t="n"/>
      <c r="N582" s="25" t="n"/>
      <c r="O582" s="4" t="n"/>
      <c r="P582" s="4" t="n"/>
      <c r="Q582" s="4" t="n"/>
      <c r="R582" s="4" t="n"/>
      <c r="S582" s="4" t="n"/>
    </row>
    <row r="583" ht="15" customHeight="1" s="215">
      <c r="A583" s="26" t="n"/>
      <c r="B583" s="26" t="n"/>
      <c r="C583" s="26" t="n"/>
      <c r="D583" s="26" t="n"/>
      <c r="E583" s="26" t="n"/>
      <c r="F583" s="25" t="n"/>
      <c r="G583" s="25" t="n"/>
      <c r="H583" s="25" t="n"/>
      <c r="I583" s="25" t="n"/>
      <c r="J583" s="25" t="n"/>
      <c r="K583" s="25" t="n"/>
      <c r="L583" s="25" t="n"/>
      <c r="M583" s="25" t="n"/>
      <c r="N583" s="25" t="n"/>
      <c r="O583" s="4" t="n"/>
      <c r="P583" s="4" t="n"/>
      <c r="Q583" s="4" t="n"/>
      <c r="R583" s="4" t="n"/>
      <c r="S583" s="4" t="n"/>
    </row>
    <row r="584" ht="15" customHeight="1" s="215">
      <c r="A584" s="26" t="n"/>
      <c r="B584" s="26" t="n"/>
      <c r="C584" s="26" t="n"/>
      <c r="D584" s="26" t="n"/>
      <c r="E584" s="26" t="n"/>
      <c r="F584" s="25" t="n"/>
      <c r="G584" s="25" t="n"/>
      <c r="H584" s="25" t="n"/>
      <c r="I584" s="25" t="n"/>
      <c r="J584" s="25" t="n"/>
      <c r="K584" s="25" t="n"/>
      <c r="L584" s="25" t="n"/>
      <c r="M584" s="25" t="n"/>
      <c r="N584" s="25" t="n"/>
      <c r="O584" s="4" t="n"/>
      <c r="P584" s="4" t="n"/>
      <c r="Q584" s="4" t="n"/>
      <c r="R584" s="4" t="n"/>
      <c r="S584" s="4" t="n"/>
    </row>
    <row r="585" ht="15" customHeight="1" s="215">
      <c r="A585" s="26" t="n"/>
      <c r="B585" s="26" t="n"/>
      <c r="C585" s="26" t="n"/>
      <c r="D585" s="26" t="n"/>
      <c r="E585" s="26" t="n"/>
      <c r="F585" s="25" t="n"/>
      <c r="G585" s="25" t="n"/>
      <c r="H585" s="25" t="n"/>
      <c r="I585" s="25" t="n"/>
      <c r="J585" s="25" t="n"/>
      <c r="K585" s="25" t="n"/>
      <c r="L585" s="25" t="n"/>
      <c r="M585" s="25" t="n"/>
      <c r="N585" s="25" t="n"/>
      <c r="O585" s="4" t="n"/>
      <c r="P585" s="4" t="n"/>
      <c r="Q585" s="4" t="n"/>
      <c r="R585" s="4" t="n"/>
      <c r="S585" s="4" t="n"/>
    </row>
    <row r="586" ht="15" customHeight="1" s="215">
      <c r="A586" s="26" t="n"/>
      <c r="B586" s="26" t="n"/>
      <c r="C586" s="26" t="n"/>
      <c r="D586" s="26" t="n"/>
      <c r="E586" s="26" t="n"/>
      <c r="F586" s="25" t="n"/>
      <c r="G586" s="25" t="n"/>
      <c r="H586" s="25" t="n"/>
      <c r="I586" s="25" t="n"/>
      <c r="J586" s="25" t="n"/>
      <c r="K586" s="25" t="n"/>
      <c r="L586" s="25" t="n"/>
      <c r="M586" s="25" t="n"/>
      <c r="N586" s="25" t="n"/>
      <c r="O586" s="4" t="n"/>
      <c r="P586" s="4" t="n"/>
      <c r="Q586" s="4" t="n"/>
      <c r="R586" s="4" t="n"/>
      <c r="S586" s="4" t="n"/>
    </row>
    <row r="587" ht="15" customHeight="1" s="215">
      <c r="A587" s="26" t="n"/>
      <c r="B587" s="26" t="n"/>
      <c r="C587" s="26" t="n"/>
      <c r="D587" s="26" t="n"/>
      <c r="E587" s="26" t="n"/>
      <c r="F587" s="25" t="n"/>
      <c r="G587" s="25" t="n"/>
      <c r="H587" s="25" t="n"/>
      <c r="I587" s="25" t="n"/>
      <c r="J587" s="25" t="n"/>
      <c r="K587" s="25" t="n"/>
      <c r="L587" s="25" t="n"/>
      <c r="M587" s="25" t="n"/>
      <c r="N587" s="25" t="n"/>
      <c r="O587" s="4" t="n"/>
      <c r="P587" s="4" t="n"/>
      <c r="Q587" s="4" t="n"/>
      <c r="R587" s="4" t="n"/>
      <c r="S587" s="4" t="n"/>
    </row>
    <row r="588" ht="15" customHeight="1" s="215">
      <c r="A588" s="26" t="n"/>
      <c r="B588" s="26" t="n"/>
      <c r="C588" s="26" t="n"/>
      <c r="D588" s="26" t="n"/>
      <c r="E588" s="26" t="n"/>
      <c r="F588" s="25" t="n"/>
      <c r="G588" s="25" t="n"/>
      <c r="H588" s="25" t="n"/>
      <c r="I588" s="25" t="n"/>
      <c r="J588" s="25" t="n"/>
      <c r="K588" s="25" t="n"/>
      <c r="L588" s="25" t="n"/>
      <c r="M588" s="25" t="n"/>
      <c r="N588" s="25" t="n"/>
      <c r="O588" s="4" t="n"/>
      <c r="P588" s="4" t="n"/>
      <c r="Q588" s="4" t="n"/>
      <c r="R588" s="4" t="n"/>
      <c r="S588" s="4" t="n"/>
    </row>
    <row r="589" ht="15" customHeight="1" s="215">
      <c r="A589" s="26" t="n"/>
      <c r="B589" s="26" t="n"/>
      <c r="C589" s="26" t="n"/>
      <c r="D589" s="26" t="n"/>
      <c r="E589" s="26" t="n"/>
      <c r="F589" s="25" t="n"/>
      <c r="G589" s="25" t="n"/>
      <c r="H589" s="25" t="n"/>
      <c r="I589" s="25" t="n"/>
      <c r="J589" s="25" t="n"/>
      <c r="K589" s="25" t="n"/>
      <c r="L589" s="25" t="n"/>
      <c r="M589" s="25" t="n"/>
      <c r="N589" s="25" t="n"/>
      <c r="O589" s="4" t="n"/>
      <c r="P589" s="4" t="n"/>
      <c r="Q589" s="4" t="n"/>
      <c r="R589" s="4" t="n"/>
      <c r="S589" s="4" t="n"/>
    </row>
    <row r="590" ht="15" customHeight="1" s="215">
      <c r="A590" s="26" t="n"/>
      <c r="B590" s="26" t="n"/>
      <c r="C590" s="26" t="n"/>
      <c r="D590" s="26" t="n"/>
      <c r="E590" s="26" t="n"/>
      <c r="F590" s="25" t="n"/>
      <c r="G590" s="25" t="n"/>
      <c r="H590" s="25" t="n"/>
      <c r="I590" s="25" t="n"/>
      <c r="J590" s="25" t="n"/>
      <c r="K590" s="25" t="n"/>
      <c r="L590" s="25" t="n"/>
      <c r="M590" s="25" t="n"/>
      <c r="N590" s="25" t="n"/>
      <c r="O590" s="4" t="n"/>
      <c r="P590" s="4" t="n"/>
      <c r="Q590" s="4" t="n"/>
      <c r="R590" s="4" t="n"/>
      <c r="S590" s="4" t="n"/>
    </row>
    <row r="591" ht="15" customHeight="1" s="215">
      <c r="A591" s="26" t="n"/>
      <c r="B591" s="26" t="n"/>
      <c r="C591" s="26" t="n"/>
      <c r="D591" s="26" t="n"/>
      <c r="E591" s="26" t="n"/>
      <c r="F591" s="25" t="n"/>
      <c r="G591" s="25" t="n"/>
      <c r="H591" s="25" t="n"/>
      <c r="I591" s="25" t="n"/>
      <c r="J591" s="25" t="n"/>
      <c r="K591" s="25" t="n"/>
      <c r="L591" s="25" t="n"/>
      <c r="M591" s="25" t="n"/>
      <c r="N591" s="25" t="n"/>
      <c r="O591" s="4" t="n"/>
      <c r="P591" s="4" t="n"/>
      <c r="Q591" s="4" t="n"/>
      <c r="R591" s="4" t="n"/>
      <c r="S591" s="4" t="n"/>
    </row>
    <row r="592" ht="15" customHeight="1" s="215">
      <c r="A592" s="26" t="n"/>
      <c r="B592" s="26" t="n"/>
      <c r="C592" s="26" t="n"/>
      <c r="D592" s="26" t="n"/>
      <c r="E592" s="26" t="n"/>
      <c r="F592" s="25" t="n"/>
      <c r="G592" s="25" t="n"/>
      <c r="H592" s="25" t="n"/>
      <c r="I592" s="25" t="n"/>
      <c r="J592" s="25" t="n"/>
      <c r="K592" s="25" t="n"/>
      <c r="L592" s="25" t="n"/>
      <c r="M592" s="25" t="n"/>
      <c r="N592" s="25" t="n"/>
      <c r="O592" s="4" t="n"/>
      <c r="P592" s="4" t="n"/>
      <c r="Q592" s="4" t="n"/>
      <c r="R592" s="4" t="n"/>
      <c r="S592" s="4" t="n"/>
    </row>
    <row r="593" ht="15" customHeight="1" s="215">
      <c r="A593" s="26" t="n"/>
      <c r="B593" s="26" t="n"/>
      <c r="C593" s="26" t="n"/>
      <c r="D593" s="26" t="n"/>
      <c r="E593" s="26" t="n"/>
      <c r="F593" s="25" t="n"/>
      <c r="G593" s="25" t="n"/>
      <c r="H593" s="25" t="n"/>
      <c r="I593" s="25" t="n"/>
      <c r="J593" s="25" t="n"/>
      <c r="K593" s="25" t="n"/>
      <c r="L593" s="25" t="n"/>
      <c r="M593" s="25" t="n"/>
      <c r="N593" s="25" t="n"/>
      <c r="O593" s="4" t="n"/>
      <c r="P593" s="4" t="n"/>
      <c r="Q593" s="4" t="n"/>
      <c r="R593" s="4" t="n"/>
      <c r="S593" s="4" t="n"/>
    </row>
    <row r="594" ht="15" customHeight="1" s="215">
      <c r="A594" s="26" t="n"/>
      <c r="B594" s="26" t="n"/>
      <c r="C594" s="26" t="n"/>
      <c r="D594" s="26" t="n"/>
      <c r="E594" s="26" t="n"/>
      <c r="F594" s="25" t="n"/>
      <c r="G594" s="25" t="n"/>
      <c r="H594" s="25" t="n"/>
      <c r="I594" s="25" t="n"/>
      <c r="J594" s="25" t="n"/>
      <c r="K594" s="25" t="n"/>
      <c r="L594" s="25" t="n"/>
      <c r="M594" s="25" t="n"/>
      <c r="N594" s="25" t="n"/>
      <c r="O594" s="4" t="n"/>
      <c r="P594" s="4" t="n"/>
      <c r="Q594" s="4" t="n"/>
      <c r="R594" s="4" t="n"/>
      <c r="S594" s="4" t="n"/>
    </row>
    <row r="595" ht="15" customHeight="1" s="215">
      <c r="A595" s="26" t="n"/>
      <c r="B595" s="26" t="n"/>
      <c r="C595" s="26" t="n"/>
      <c r="D595" s="26" t="n"/>
      <c r="E595" s="26" t="n"/>
      <c r="F595" s="25" t="n"/>
      <c r="G595" s="25" t="n"/>
      <c r="H595" s="25" t="n"/>
      <c r="I595" s="25" t="n"/>
      <c r="J595" s="25" t="n"/>
      <c r="K595" s="25" t="n"/>
      <c r="L595" s="25" t="n"/>
      <c r="M595" s="25" t="n"/>
      <c r="N595" s="25" t="n"/>
      <c r="O595" s="4" t="n"/>
      <c r="P595" s="4" t="n"/>
      <c r="Q595" s="4" t="n"/>
      <c r="R595" s="4" t="n"/>
      <c r="S595" s="4" t="n"/>
    </row>
    <row r="596" ht="15" customHeight="1" s="215">
      <c r="A596" s="26" t="n"/>
      <c r="B596" s="26" t="n"/>
      <c r="C596" s="26" t="n"/>
      <c r="D596" s="26" t="n"/>
      <c r="E596" s="26" t="n"/>
      <c r="F596" s="25" t="n"/>
      <c r="G596" s="25" t="n"/>
      <c r="H596" s="25" t="n"/>
      <c r="I596" s="25" t="n"/>
      <c r="J596" s="25" t="n"/>
      <c r="K596" s="25" t="n"/>
      <c r="L596" s="25" t="n"/>
      <c r="M596" s="25" t="n"/>
      <c r="N596" s="25" t="n"/>
      <c r="O596" s="4" t="n"/>
      <c r="P596" s="4" t="n"/>
      <c r="Q596" s="4" t="n"/>
      <c r="R596" s="4" t="n"/>
      <c r="S596" s="4" t="n"/>
    </row>
    <row r="597" ht="15" customHeight="1" s="215">
      <c r="A597" s="26" t="n"/>
      <c r="B597" s="26" t="n"/>
      <c r="C597" s="26" t="n"/>
      <c r="D597" s="26" t="n"/>
      <c r="E597" s="26" t="n"/>
      <c r="F597" s="25" t="n"/>
      <c r="G597" s="25" t="n"/>
      <c r="H597" s="25" t="n"/>
      <c r="I597" s="25" t="n"/>
      <c r="J597" s="25" t="n"/>
      <c r="K597" s="25" t="n"/>
      <c r="L597" s="25" t="n"/>
      <c r="M597" s="25" t="n"/>
      <c r="N597" s="25" t="n"/>
      <c r="O597" s="4" t="n"/>
      <c r="P597" s="4" t="n"/>
      <c r="Q597" s="4" t="n"/>
      <c r="R597" s="4" t="n"/>
      <c r="S597" s="4" t="n"/>
    </row>
    <row r="598" ht="15" customHeight="1" s="215">
      <c r="A598" s="26" t="n"/>
      <c r="B598" s="26" t="n"/>
      <c r="C598" s="26" t="n"/>
      <c r="D598" s="26" t="n"/>
      <c r="E598" s="26" t="n"/>
      <c r="F598" s="25" t="n"/>
      <c r="G598" s="25" t="n"/>
      <c r="H598" s="25" t="n"/>
      <c r="I598" s="25" t="n"/>
      <c r="J598" s="25" t="n"/>
      <c r="K598" s="25" t="n"/>
      <c r="L598" s="25" t="n"/>
      <c r="M598" s="25" t="n"/>
      <c r="N598" s="25" t="n"/>
      <c r="O598" s="4" t="n"/>
      <c r="P598" s="4" t="n"/>
      <c r="Q598" s="4" t="n"/>
      <c r="R598" s="4" t="n"/>
      <c r="S598" s="4" t="n"/>
    </row>
    <row r="599" ht="15" customHeight="1" s="215">
      <c r="A599" s="26" t="n"/>
      <c r="B599" s="26" t="n"/>
      <c r="C599" s="26" t="n"/>
      <c r="D599" s="26" t="n"/>
      <c r="E599" s="26" t="n"/>
      <c r="F599" s="25" t="n"/>
      <c r="G599" s="25" t="n"/>
      <c r="H599" s="25" t="n"/>
      <c r="I599" s="25" t="n"/>
      <c r="J599" s="25" t="n"/>
      <c r="K599" s="25" t="n"/>
      <c r="L599" s="25" t="n"/>
      <c r="M599" s="25" t="n"/>
      <c r="N599" s="25" t="n"/>
      <c r="O599" s="4" t="n"/>
      <c r="P599" s="4" t="n"/>
      <c r="Q599" s="4" t="n"/>
      <c r="R599" s="4" t="n"/>
      <c r="S599" s="4" t="n"/>
    </row>
    <row r="600" ht="15" customHeight="1" s="215">
      <c r="A600" s="26" t="n"/>
      <c r="B600" s="26" t="n"/>
      <c r="C600" s="26" t="n"/>
      <c r="D600" s="26" t="n"/>
      <c r="E600" s="26" t="n"/>
      <c r="F600" s="25" t="n"/>
      <c r="G600" s="25" t="n"/>
      <c r="H600" s="25" t="n"/>
      <c r="I600" s="25" t="n"/>
      <c r="J600" s="25" t="n"/>
      <c r="K600" s="25" t="n"/>
      <c r="L600" s="25" t="n"/>
      <c r="M600" s="25" t="n"/>
      <c r="N600" s="25" t="n"/>
      <c r="O600" s="4" t="n"/>
      <c r="P600" s="4" t="n"/>
      <c r="Q600" s="4" t="n"/>
      <c r="R600" s="4" t="n"/>
      <c r="S600" s="4" t="n"/>
    </row>
    <row r="601" ht="15" customHeight="1" s="215">
      <c r="A601" s="26" t="n"/>
      <c r="B601" s="26" t="n"/>
      <c r="C601" s="26" t="n"/>
      <c r="D601" s="26" t="n"/>
      <c r="E601" s="26" t="n"/>
      <c r="F601" s="25" t="n"/>
      <c r="G601" s="25" t="n"/>
      <c r="H601" s="25" t="n"/>
      <c r="I601" s="25" t="n"/>
      <c r="J601" s="25" t="n"/>
      <c r="K601" s="25" t="n"/>
      <c r="L601" s="25" t="n"/>
      <c r="M601" s="25" t="n"/>
      <c r="N601" s="25" t="n"/>
      <c r="O601" s="4" t="n"/>
      <c r="P601" s="4" t="n"/>
      <c r="Q601" s="4" t="n"/>
      <c r="R601" s="4" t="n"/>
      <c r="S601" s="4" t="n"/>
    </row>
    <row r="602" ht="15" customHeight="1" s="215">
      <c r="A602" s="26" t="n"/>
      <c r="B602" s="26" t="n"/>
      <c r="C602" s="26" t="n"/>
      <c r="D602" s="26" t="n"/>
      <c r="E602" s="26" t="n"/>
      <c r="F602" s="25" t="n"/>
      <c r="G602" s="25" t="n"/>
      <c r="H602" s="25" t="n"/>
      <c r="I602" s="25" t="n"/>
      <c r="J602" s="25" t="n"/>
      <c r="K602" s="25" t="n"/>
      <c r="L602" s="25" t="n"/>
      <c r="M602" s="25" t="n"/>
      <c r="N602" s="25" t="n"/>
      <c r="O602" s="4" t="n"/>
      <c r="P602" s="4" t="n"/>
      <c r="Q602" s="4" t="n"/>
      <c r="R602" s="4" t="n"/>
      <c r="S602" s="4" t="n"/>
    </row>
    <row r="603" ht="15" customHeight="1" s="215">
      <c r="A603" s="26" t="n"/>
      <c r="B603" s="26" t="n"/>
      <c r="C603" s="26" t="n"/>
      <c r="D603" s="26" t="n"/>
      <c r="E603" s="26" t="n"/>
      <c r="F603" s="25" t="n"/>
      <c r="G603" s="25" t="n"/>
      <c r="H603" s="25" t="n"/>
      <c r="I603" s="25" t="n"/>
      <c r="J603" s="25" t="n"/>
      <c r="K603" s="25" t="n"/>
      <c r="L603" s="25" t="n"/>
      <c r="M603" s="25" t="n"/>
      <c r="N603" s="25" t="n"/>
      <c r="O603" s="4" t="n"/>
      <c r="P603" s="4" t="n"/>
      <c r="Q603" s="4" t="n"/>
      <c r="R603" s="4" t="n"/>
      <c r="S603" s="4" t="n"/>
    </row>
    <row r="604" ht="15" customHeight="1" s="215">
      <c r="A604" s="26" t="n"/>
      <c r="B604" s="26" t="n"/>
      <c r="C604" s="26" t="n"/>
      <c r="D604" s="26" t="n"/>
      <c r="E604" s="26" t="n"/>
      <c r="F604" s="25" t="n"/>
      <c r="G604" s="25" t="n"/>
      <c r="H604" s="25" t="n"/>
      <c r="I604" s="25" t="n"/>
      <c r="J604" s="25" t="n"/>
      <c r="K604" s="25" t="n"/>
      <c r="L604" s="25" t="n"/>
      <c r="M604" s="25" t="n"/>
      <c r="N604" s="25" t="n"/>
      <c r="O604" s="4" t="n"/>
      <c r="P604" s="4" t="n"/>
      <c r="Q604" s="4" t="n"/>
      <c r="R604" s="4" t="n"/>
      <c r="S604" s="4" t="n"/>
    </row>
    <row r="605" ht="15" customHeight="1" s="215">
      <c r="A605" s="26" t="n"/>
      <c r="B605" s="26" t="n"/>
      <c r="C605" s="26" t="n"/>
      <c r="D605" s="26" t="n"/>
      <c r="E605" s="26" t="n"/>
      <c r="F605" s="25" t="n"/>
      <c r="G605" s="25" t="n"/>
      <c r="H605" s="25" t="n"/>
      <c r="I605" s="25" t="n"/>
      <c r="J605" s="25" t="n"/>
      <c r="K605" s="25" t="n"/>
      <c r="L605" s="25" t="n"/>
      <c r="M605" s="25" t="n"/>
      <c r="N605" s="25" t="n"/>
      <c r="O605" s="4" t="n"/>
      <c r="P605" s="4" t="n"/>
      <c r="Q605" s="4" t="n"/>
      <c r="R605" s="4" t="n"/>
      <c r="S605" s="4" t="n"/>
    </row>
    <row r="606" ht="15" customHeight="1" s="215">
      <c r="A606" s="26" t="n"/>
      <c r="B606" s="26" t="n"/>
      <c r="C606" s="26" t="n"/>
      <c r="D606" s="26" t="n"/>
      <c r="E606" s="26" t="n"/>
      <c r="F606" s="25" t="n"/>
      <c r="G606" s="25" t="n"/>
      <c r="H606" s="25" t="n"/>
      <c r="I606" s="25" t="n"/>
      <c r="J606" s="25" t="n"/>
      <c r="K606" s="25" t="n"/>
      <c r="L606" s="25" t="n"/>
      <c r="M606" s="25" t="n"/>
      <c r="N606" s="25" t="n"/>
      <c r="O606" s="4" t="n"/>
      <c r="P606" s="4" t="n"/>
      <c r="Q606" s="4" t="n"/>
      <c r="R606" s="4" t="n"/>
      <c r="S606" s="4" t="n"/>
    </row>
    <row r="607" ht="15" customHeight="1" s="215">
      <c r="A607" s="26" t="n"/>
      <c r="B607" s="26" t="n"/>
      <c r="C607" s="26" t="n"/>
      <c r="D607" s="26" t="n"/>
      <c r="E607" s="26" t="n"/>
      <c r="F607" s="25" t="n"/>
      <c r="G607" s="25" t="n"/>
      <c r="H607" s="25" t="n"/>
      <c r="I607" s="25" t="n"/>
      <c r="J607" s="25" t="n"/>
      <c r="K607" s="25" t="n"/>
      <c r="L607" s="25" t="n"/>
      <c r="M607" s="25" t="n"/>
      <c r="N607" s="25" t="n"/>
      <c r="O607" s="4" t="n"/>
      <c r="P607" s="4" t="n"/>
      <c r="Q607" s="4" t="n"/>
      <c r="R607" s="4" t="n"/>
      <c r="S607" s="4" t="n"/>
    </row>
    <row r="608" ht="15" customHeight="1" s="215">
      <c r="A608" s="26" t="n"/>
      <c r="B608" s="26" t="n"/>
      <c r="C608" s="26" t="n"/>
      <c r="D608" s="26" t="n"/>
      <c r="E608" s="26" t="n"/>
      <c r="F608" s="25" t="n"/>
      <c r="G608" s="25" t="n"/>
      <c r="H608" s="25" t="n"/>
      <c r="I608" s="25" t="n"/>
      <c r="J608" s="25" t="n"/>
      <c r="K608" s="25" t="n"/>
      <c r="L608" s="25" t="n"/>
      <c r="M608" s="25" t="n"/>
      <c r="N608" s="25" t="n"/>
      <c r="O608" s="4" t="n"/>
      <c r="P608" s="4" t="n"/>
      <c r="Q608" s="4" t="n"/>
      <c r="R608" s="4" t="n"/>
      <c r="S608" s="4" t="n"/>
    </row>
    <row r="609" ht="15" customHeight="1" s="215">
      <c r="A609" s="26" t="n"/>
      <c r="B609" s="26" t="n"/>
      <c r="C609" s="26" t="n"/>
      <c r="D609" s="26" t="n"/>
      <c r="E609" s="26" t="n"/>
      <c r="F609" s="25" t="n"/>
      <c r="G609" s="25" t="n"/>
      <c r="H609" s="25" t="n"/>
      <c r="I609" s="25" t="n"/>
      <c r="J609" s="25" t="n"/>
      <c r="K609" s="25" t="n"/>
      <c r="L609" s="25" t="n"/>
      <c r="M609" s="25" t="n"/>
      <c r="N609" s="25" t="n"/>
      <c r="O609" s="4" t="n"/>
      <c r="P609" s="4" t="n"/>
      <c r="Q609" s="4" t="n"/>
      <c r="R609" s="4" t="n"/>
      <c r="S609" s="4" t="n"/>
    </row>
    <row r="610" ht="15" customHeight="1" s="215">
      <c r="A610" s="26" t="n"/>
      <c r="B610" s="26" t="n"/>
      <c r="C610" s="26" t="n"/>
      <c r="D610" s="26" t="n"/>
      <c r="E610" s="26" t="n"/>
      <c r="F610" s="25" t="n"/>
      <c r="G610" s="25" t="n"/>
      <c r="H610" s="25" t="n"/>
      <c r="I610" s="25" t="n"/>
      <c r="J610" s="25" t="n"/>
      <c r="K610" s="25" t="n"/>
      <c r="L610" s="25" t="n"/>
      <c r="M610" s="25" t="n"/>
      <c r="N610" s="25" t="n"/>
      <c r="O610" s="4" t="n"/>
      <c r="P610" s="4" t="n"/>
      <c r="Q610" s="4" t="n"/>
      <c r="R610" s="4" t="n"/>
      <c r="S610" s="4" t="n"/>
    </row>
    <row r="611" ht="15" customHeight="1" s="215">
      <c r="A611" s="26" t="n"/>
      <c r="B611" s="26" t="n"/>
      <c r="C611" s="26" t="n"/>
      <c r="D611" s="26" t="n"/>
      <c r="E611" s="26" t="n"/>
      <c r="F611" s="25" t="n"/>
      <c r="G611" s="25" t="n"/>
      <c r="H611" s="25" t="n"/>
      <c r="I611" s="25" t="n"/>
      <c r="J611" s="25" t="n"/>
      <c r="K611" s="25" t="n"/>
      <c r="L611" s="25" t="n"/>
      <c r="M611" s="25" t="n"/>
      <c r="N611" s="25" t="n"/>
      <c r="O611" s="4" t="n"/>
      <c r="P611" s="4" t="n"/>
      <c r="Q611" s="4" t="n"/>
      <c r="R611" s="4" t="n"/>
      <c r="S611" s="4" t="n"/>
    </row>
    <row r="612" ht="15" customHeight="1" s="215">
      <c r="A612" s="26" t="n"/>
      <c r="B612" s="26" t="n"/>
      <c r="C612" s="26" t="n"/>
      <c r="D612" s="26" t="n"/>
      <c r="E612" s="26" t="n"/>
      <c r="F612" s="25" t="n"/>
      <c r="G612" s="25" t="n"/>
      <c r="H612" s="25" t="n"/>
      <c r="I612" s="25" t="n"/>
      <c r="J612" s="25" t="n"/>
      <c r="K612" s="25" t="n"/>
      <c r="L612" s="25" t="n"/>
      <c r="M612" s="25" t="n"/>
      <c r="N612" s="25" t="n"/>
      <c r="O612" s="4" t="n"/>
      <c r="P612" s="4" t="n"/>
      <c r="Q612" s="4" t="n"/>
      <c r="R612" s="4" t="n"/>
      <c r="S612" s="4" t="n"/>
    </row>
    <row r="613" ht="15" customHeight="1" s="215">
      <c r="A613" s="26" t="n"/>
      <c r="B613" s="26" t="n"/>
      <c r="C613" s="26" t="n"/>
      <c r="D613" s="26" t="n"/>
      <c r="E613" s="26" t="n"/>
      <c r="F613" s="25" t="n"/>
      <c r="G613" s="25" t="n"/>
      <c r="H613" s="25" t="n"/>
      <c r="I613" s="25" t="n"/>
      <c r="J613" s="25" t="n"/>
      <c r="K613" s="25" t="n"/>
      <c r="L613" s="25" t="n"/>
      <c r="M613" s="25" t="n"/>
      <c r="N613" s="25" t="n"/>
      <c r="O613" s="4" t="n"/>
      <c r="P613" s="4" t="n"/>
      <c r="Q613" s="4" t="n"/>
      <c r="R613" s="4" t="n"/>
      <c r="S613" s="4" t="n"/>
    </row>
    <row r="614" ht="15" customHeight="1" s="215">
      <c r="A614" s="26" t="n"/>
      <c r="B614" s="26" t="n"/>
      <c r="C614" s="26" t="n"/>
      <c r="D614" s="26" t="n"/>
      <c r="E614" s="26" t="n"/>
      <c r="F614" s="25" t="n"/>
      <c r="G614" s="25" t="n"/>
      <c r="H614" s="25" t="n"/>
      <c r="I614" s="25" t="n"/>
      <c r="J614" s="25" t="n"/>
      <c r="K614" s="25" t="n"/>
      <c r="L614" s="25" t="n"/>
      <c r="M614" s="25" t="n"/>
      <c r="N614" s="25" t="n"/>
      <c r="O614" s="4" t="n"/>
      <c r="P614" s="4" t="n"/>
      <c r="Q614" s="4" t="n"/>
      <c r="R614" s="4" t="n"/>
      <c r="S614" s="4" t="n"/>
    </row>
    <row r="615" ht="15" customHeight="1" s="215">
      <c r="A615" s="26" t="n"/>
      <c r="B615" s="26" t="n"/>
      <c r="C615" s="26" t="n"/>
      <c r="D615" s="26" t="n"/>
      <c r="E615" s="26" t="n"/>
      <c r="F615" s="25" t="n"/>
      <c r="G615" s="25" t="n"/>
      <c r="H615" s="25" t="n"/>
      <c r="I615" s="25" t="n"/>
      <c r="J615" s="25" t="n"/>
      <c r="K615" s="25" t="n"/>
      <c r="L615" s="25" t="n"/>
      <c r="M615" s="25" t="n"/>
      <c r="N615" s="25" t="n"/>
      <c r="O615" s="4" t="n"/>
      <c r="P615" s="4" t="n"/>
      <c r="Q615" s="4" t="n"/>
      <c r="R615" s="4" t="n"/>
      <c r="S615" s="4" t="n"/>
    </row>
    <row r="616" ht="15" customHeight="1" s="215">
      <c r="A616" s="26" t="n"/>
      <c r="B616" s="26" t="n"/>
      <c r="C616" s="26" t="n"/>
      <c r="D616" s="26" t="n"/>
      <c r="E616" s="26" t="n"/>
      <c r="F616" s="25" t="n"/>
      <c r="G616" s="25" t="n"/>
      <c r="H616" s="25" t="n"/>
      <c r="I616" s="25" t="n"/>
      <c r="J616" s="25" t="n"/>
      <c r="K616" s="25" t="n"/>
      <c r="L616" s="25" t="n"/>
      <c r="M616" s="25" t="n"/>
      <c r="N616" s="25" t="n"/>
      <c r="O616" s="4" t="n"/>
      <c r="P616" s="4" t="n"/>
      <c r="Q616" s="4" t="n"/>
      <c r="R616" s="4" t="n"/>
      <c r="S616" s="4" t="n"/>
    </row>
    <row r="617" ht="15" customHeight="1" s="215">
      <c r="A617" s="26" t="n"/>
      <c r="B617" s="26" t="n"/>
      <c r="C617" s="26" t="n"/>
      <c r="D617" s="26" t="n"/>
      <c r="E617" s="26" t="n"/>
      <c r="F617" s="25" t="n"/>
      <c r="G617" s="25" t="n"/>
      <c r="H617" s="25" t="n"/>
      <c r="I617" s="25" t="n"/>
      <c r="J617" s="25" t="n"/>
      <c r="K617" s="25" t="n"/>
      <c r="L617" s="25" t="n"/>
      <c r="M617" s="25" t="n"/>
      <c r="N617" s="25" t="n"/>
      <c r="O617" s="4" t="n"/>
      <c r="P617" s="4" t="n"/>
      <c r="Q617" s="4" t="n"/>
      <c r="R617" s="4" t="n"/>
      <c r="S617" s="4" t="n"/>
    </row>
    <row r="618" ht="15" customHeight="1" s="215">
      <c r="A618" s="26" t="n"/>
      <c r="B618" s="26" t="n"/>
      <c r="C618" s="26" t="n"/>
      <c r="D618" s="26" t="n"/>
      <c r="E618" s="26" t="n"/>
      <c r="F618" s="25" t="n"/>
      <c r="G618" s="25" t="n"/>
      <c r="H618" s="25" t="n"/>
      <c r="I618" s="25" t="n"/>
      <c r="J618" s="25" t="n"/>
      <c r="K618" s="25" t="n"/>
      <c r="L618" s="25" t="n"/>
      <c r="M618" s="25" t="n"/>
      <c r="N618" s="25" t="n"/>
      <c r="O618" s="4" t="n"/>
      <c r="P618" s="4" t="n"/>
      <c r="Q618" s="4" t="n"/>
      <c r="R618" s="4" t="n"/>
      <c r="S618" s="4" t="n"/>
    </row>
    <row r="619" ht="15" customHeight="1" s="215">
      <c r="A619" s="26" t="n"/>
      <c r="B619" s="26" t="n"/>
      <c r="C619" s="26" t="n"/>
      <c r="D619" s="26" t="n"/>
      <c r="E619" s="26" t="n"/>
      <c r="F619" s="25" t="n"/>
      <c r="G619" s="25" t="n"/>
      <c r="H619" s="25" t="n"/>
      <c r="I619" s="25" t="n"/>
      <c r="J619" s="25" t="n"/>
      <c r="K619" s="25" t="n"/>
      <c r="L619" s="25" t="n"/>
      <c r="M619" s="25" t="n"/>
      <c r="N619" s="25" t="n"/>
      <c r="O619" s="4" t="n"/>
      <c r="P619" s="4" t="n"/>
      <c r="Q619" s="4" t="n"/>
      <c r="R619" s="4" t="n"/>
      <c r="S619" s="4" t="n"/>
    </row>
    <row r="620" ht="15" customHeight="1" s="215">
      <c r="A620" s="26" t="n"/>
      <c r="B620" s="26" t="n"/>
      <c r="C620" s="26" t="n"/>
      <c r="D620" s="26" t="n"/>
      <c r="E620" s="26" t="n"/>
      <c r="F620" s="25" t="n"/>
      <c r="G620" s="25" t="n"/>
      <c r="H620" s="25" t="n"/>
      <c r="I620" s="25" t="n"/>
      <c r="J620" s="25" t="n"/>
      <c r="K620" s="25" t="n"/>
      <c r="L620" s="25" t="n"/>
      <c r="M620" s="25" t="n"/>
      <c r="N620" s="25" t="n"/>
      <c r="O620" s="4" t="n"/>
      <c r="P620" s="4" t="n"/>
      <c r="Q620" s="4" t="n"/>
      <c r="R620" s="4" t="n"/>
      <c r="S620" s="4" t="n"/>
    </row>
    <row r="621" ht="15" customHeight="1" s="215">
      <c r="A621" s="26" t="n"/>
      <c r="B621" s="26" t="n"/>
      <c r="C621" s="26" t="n"/>
      <c r="D621" s="26" t="n"/>
      <c r="E621" s="26" t="n"/>
      <c r="F621" s="25" t="n"/>
      <c r="G621" s="25" t="n"/>
      <c r="H621" s="25" t="n"/>
      <c r="I621" s="25" t="n"/>
      <c r="J621" s="25" t="n"/>
      <c r="K621" s="25" t="n"/>
      <c r="L621" s="25" t="n"/>
      <c r="M621" s="25" t="n"/>
      <c r="N621" s="25" t="n"/>
      <c r="O621" s="4" t="n"/>
      <c r="P621" s="4" t="n"/>
      <c r="Q621" s="4" t="n"/>
      <c r="R621" s="4" t="n"/>
      <c r="S621" s="4" t="n"/>
    </row>
    <row r="622" ht="15" customHeight="1" s="215">
      <c r="A622" s="26" t="n"/>
      <c r="B622" s="26" t="n"/>
      <c r="C622" s="26" t="n"/>
      <c r="D622" s="26" t="n"/>
      <c r="E622" s="26" t="n"/>
      <c r="F622" s="25" t="n"/>
      <c r="G622" s="25" t="n"/>
      <c r="H622" s="25" t="n"/>
      <c r="I622" s="25" t="n"/>
      <c r="J622" s="25" t="n"/>
      <c r="K622" s="25" t="n"/>
      <c r="L622" s="25" t="n"/>
      <c r="M622" s="25" t="n"/>
      <c r="N622" s="25" t="n"/>
      <c r="O622" s="4" t="n"/>
      <c r="P622" s="4" t="n"/>
      <c r="Q622" s="4" t="n"/>
      <c r="R622" s="4" t="n"/>
      <c r="S622" s="4" t="n"/>
    </row>
    <row r="623" ht="15" customHeight="1" s="215">
      <c r="A623" s="26" t="n"/>
      <c r="B623" s="26" t="n"/>
      <c r="C623" s="26" t="n"/>
      <c r="D623" s="26" t="n"/>
      <c r="E623" s="26" t="n"/>
      <c r="F623" s="25" t="n"/>
      <c r="G623" s="25" t="n"/>
      <c r="H623" s="25" t="n"/>
      <c r="I623" s="25" t="n"/>
      <c r="J623" s="25" t="n"/>
      <c r="K623" s="25" t="n"/>
      <c r="L623" s="25" t="n"/>
      <c r="M623" s="25" t="n"/>
      <c r="N623" s="25" t="n"/>
      <c r="O623" s="4" t="n"/>
      <c r="P623" s="4" t="n"/>
      <c r="Q623" s="4" t="n"/>
      <c r="R623" s="4" t="n"/>
      <c r="S623" s="4" t="n"/>
    </row>
    <row r="624" ht="15" customHeight="1" s="215">
      <c r="A624" s="26" t="n"/>
      <c r="B624" s="26" t="n"/>
      <c r="C624" s="26" t="n"/>
      <c r="D624" s="26" t="n"/>
      <c r="E624" s="26" t="n"/>
      <c r="F624" s="25" t="n"/>
      <c r="G624" s="25" t="n"/>
      <c r="H624" s="25" t="n"/>
      <c r="I624" s="25" t="n"/>
      <c r="J624" s="25" t="n"/>
      <c r="K624" s="25" t="n"/>
      <c r="L624" s="25" t="n"/>
      <c r="M624" s="25" t="n"/>
      <c r="N624" s="25" t="n"/>
      <c r="O624" s="4" t="n"/>
      <c r="P624" s="4" t="n"/>
      <c r="Q624" s="4" t="n"/>
      <c r="R624" s="4" t="n"/>
      <c r="S624" s="4" t="n"/>
    </row>
    <row r="625" ht="15" customHeight="1" s="215">
      <c r="A625" s="26" t="n"/>
      <c r="B625" s="26" t="n"/>
      <c r="C625" s="26" t="n"/>
      <c r="D625" s="26" t="n"/>
      <c r="E625" s="26" t="n"/>
      <c r="F625" s="25" t="n"/>
      <c r="G625" s="25" t="n"/>
      <c r="H625" s="25" t="n"/>
      <c r="I625" s="25" t="n"/>
      <c r="J625" s="25" t="n"/>
      <c r="K625" s="25" t="n"/>
      <c r="L625" s="25" t="n"/>
      <c r="M625" s="25" t="n"/>
      <c r="N625" s="25" t="n"/>
      <c r="O625" s="4" t="n"/>
      <c r="P625" s="4" t="n"/>
      <c r="Q625" s="4" t="n"/>
      <c r="R625" s="4" t="n"/>
      <c r="S625" s="4" t="n"/>
    </row>
    <row r="626" ht="15" customHeight="1" s="215">
      <c r="A626" s="26" t="n"/>
      <c r="B626" s="26" t="n"/>
      <c r="C626" s="26" t="n"/>
      <c r="D626" s="26" t="n"/>
      <c r="E626" s="26" t="n"/>
      <c r="F626" s="25" t="n"/>
      <c r="G626" s="25" t="n"/>
      <c r="H626" s="25" t="n"/>
      <c r="I626" s="25" t="n"/>
      <c r="J626" s="25" t="n"/>
      <c r="K626" s="25" t="n"/>
      <c r="L626" s="25" t="n"/>
      <c r="M626" s="25" t="n"/>
      <c r="N626" s="25" t="n"/>
      <c r="O626" s="4" t="n"/>
      <c r="P626" s="4" t="n"/>
      <c r="Q626" s="4" t="n"/>
      <c r="R626" s="4" t="n"/>
      <c r="S626" s="4" t="n"/>
    </row>
    <row r="627" ht="15" customHeight="1" s="215">
      <c r="A627" s="26" t="n"/>
      <c r="B627" s="26" t="n"/>
      <c r="C627" s="26" t="n"/>
      <c r="D627" s="26" t="n"/>
      <c r="E627" s="26" t="n"/>
      <c r="F627" s="25" t="n"/>
      <c r="G627" s="25" t="n"/>
      <c r="H627" s="25" t="n"/>
      <c r="I627" s="25" t="n"/>
      <c r="J627" s="25" t="n"/>
      <c r="K627" s="25" t="n"/>
      <c r="L627" s="25" t="n"/>
      <c r="M627" s="25" t="n"/>
      <c r="N627" s="25" t="n"/>
      <c r="O627" s="4" t="n"/>
      <c r="P627" s="4" t="n"/>
      <c r="Q627" s="4" t="n"/>
      <c r="R627" s="4" t="n"/>
      <c r="S627" s="4" t="n"/>
    </row>
    <row r="628" ht="15" customHeight="1" s="215">
      <c r="A628" s="26" t="n"/>
      <c r="B628" s="26" t="n"/>
      <c r="C628" s="26" t="n"/>
      <c r="D628" s="26" t="n"/>
      <c r="E628" s="26" t="n"/>
      <c r="F628" s="25" t="n"/>
      <c r="G628" s="25" t="n"/>
      <c r="H628" s="25" t="n"/>
      <c r="I628" s="25" t="n"/>
      <c r="J628" s="25" t="n"/>
      <c r="K628" s="25" t="n"/>
      <c r="L628" s="25" t="n"/>
      <c r="M628" s="25" t="n"/>
      <c r="N628" s="25" t="n"/>
      <c r="O628" s="4" t="n"/>
      <c r="P628" s="4" t="n"/>
      <c r="Q628" s="4" t="n"/>
      <c r="R628" s="4" t="n"/>
      <c r="S628" s="4" t="n"/>
    </row>
    <row r="629" ht="15" customHeight="1" s="215">
      <c r="A629" s="26" t="n"/>
      <c r="B629" s="26" t="n"/>
      <c r="C629" s="26" t="n"/>
      <c r="D629" s="26" t="n"/>
      <c r="E629" s="26" t="n"/>
      <c r="F629" s="25" t="n"/>
      <c r="G629" s="25" t="n"/>
      <c r="H629" s="25" t="n"/>
      <c r="I629" s="25" t="n"/>
      <c r="J629" s="25" t="n"/>
      <c r="K629" s="25" t="n"/>
      <c r="L629" s="25" t="n"/>
      <c r="M629" s="25" t="n"/>
      <c r="N629" s="25" t="n"/>
      <c r="O629" s="4" t="n"/>
      <c r="P629" s="4" t="n"/>
      <c r="Q629" s="4" t="n"/>
      <c r="R629" s="4" t="n"/>
      <c r="S629" s="4" t="n"/>
    </row>
    <row r="630" ht="15" customHeight="1" s="215">
      <c r="A630" s="26" t="n"/>
      <c r="B630" s="26" t="n"/>
      <c r="C630" s="26" t="n"/>
      <c r="D630" s="26" t="n"/>
      <c r="E630" s="26" t="n"/>
      <c r="F630" s="25" t="n"/>
      <c r="G630" s="25" t="n"/>
      <c r="H630" s="25" t="n"/>
      <c r="I630" s="25" t="n"/>
      <c r="J630" s="25" t="n"/>
      <c r="K630" s="25" t="n"/>
      <c r="L630" s="25" t="n"/>
      <c r="M630" s="25" t="n"/>
      <c r="N630" s="25" t="n"/>
      <c r="O630" s="4" t="n"/>
      <c r="P630" s="4" t="n"/>
      <c r="Q630" s="4" t="n"/>
      <c r="R630" s="4" t="n"/>
      <c r="S630" s="4" t="n"/>
    </row>
    <row r="631" ht="15" customHeight="1" s="215">
      <c r="A631" s="26" t="n"/>
      <c r="B631" s="26" t="n"/>
      <c r="C631" s="26" t="n"/>
      <c r="D631" s="26" t="n"/>
      <c r="E631" s="26" t="n"/>
      <c r="F631" s="25" t="n"/>
      <c r="G631" s="25" t="n"/>
      <c r="H631" s="25" t="n"/>
      <c r="I631" s="25" t="n"/>
      <c r="J631" s="25" t="n"/>
      <c r="K631" s="25" t="n"/>
      <c r="L631" s="25" t="n"/>
      <c r="M631" s="25" t="n"/>
      <c r="N631" s="25" t="n"/>
      <c r="O631" s="4" t="n"/>
      <c r="P631" s="4" t="n"/>
      <c r="Q631" s="4" t="n"/>
      <c r="R631" s="4" t="n"/>
      <c r="S631" s="4" t="n"/>
    </row>
    <row r="632" ht="15" customHeight="1" s="215">
      <c r="A632" s="26" t="n"/>
      <c r="B632" s="26" t="n"/>
      <c r="C632" s="26" t="n"/>
      <c r="D632" s="26" t="n"/>
      <c r="E632" s="26" t="n"/>
      <c r="F632" s="25" t="n"/>
      <c r="G632" s="25" t="n"/>
      <c r="H632" s="25" t="n"/>
      <c r="I632" s="25" t="n"/>
      <c r="J632" s="25" t="n"/>
      <c r="K632" s="25" t="n"/>
      <c r="L632" s="25" t="n"/>
      <c r="M632" s="25" t="n"/>
      <c r="N632" s="25" t="n"/>
      <c r="O632" s="4" t="n"/>
      <c r="P632" s="4" t="n"/>
      <c r="Q632" s="4" t="n"/>
      <c r="R632" s="4" t="n"/>
      <c r="S632" s="4" t="n"/>
    </row>
    <row r="633" ht="15" customHeight="1" s="215">
      <c r="A633" s="26" t="n"/>
      <c r="B633" s="26" t="n"/>
      <c r="C633" s="26" t="n"/>
      <c r="D633" s="26" t="n"/>
      <c r="E633" s="26" t="n"/>
      <c r="F633" s="25" t="n"/>
      <c r="G633" s="25" t="n"/>
      <c r="H633" s="25" t="n"/>
      <c r="I633" s="25" t="n"/>
      <c r="J633" s="25" t="n"/>
      <c r="K633" s="25" t="n"/>
      <c r="L633" s="25" t="n"/>
      <c r="M633" s="25" t="n"/>
      <c r="N633" s="25" t="n"/>
      <c r="O633" s="4" t="n"/>
      <c r="P633" s="4" t="n"/>
      <c r="Q633" s="4" t="n"/>
      <c r="R633" s="4" t="n"/>
      <c r="S633" s="4" t="n"/>
    </row>
    <row r="634" ht="15" customHeight="1" s="215">
      <c r="A634" s="26" t="n"/>
      <c r="B634" s="26" t="n"/>
      <c r="C634" s="26" t="n"/>
      <c r="D634" s="26" t="n"/>
      <c r="E634" s="26" t="n"/>
      <c r="F634" s="25" t="n"/>
      <c r="G634" s="25" t="n"/>
      <c r="H634" s="25" t="n"/>
      <c r="I634" s="25" t="n"/>
      <c r="J634" s="25" t="n"/>
      <c r="K634" s="25" t="n"/>
      <c r="L634" s="25" t="n"/>
      <c r="M634" s="25" t="n"/>
      <c r="N634" s="25" t="n"/>
      <c r="O634" s="4" t="n"/>
      <c r="P634" s="4" t="n"/>
      <c r="Q634" s="4" t="n"/>
      <c r="R634" s="4" t="n"/>
      <c r="S634" s="4" t="n"/>
    </row>
    <row r="635" ht="15" customHeight="1" s="215">
      <c r="A635" s="26" t="n"/>
      <c r="B635" s="26" t="n"/>
      <c r="C635" s="26" t="n"/>
      <c r="D635" s="26" t="n"/>
      <c r="E635" s="26" t="n"/>
      <c r="F635" s="25" t="n"/>
      <c r="G635" s="25" t="n"/>
      <c r="H635" s="25" t="n"/>
      <c r="I635" s="25" t="n"/>
      <c r="J635" s="25" t="n"/>
      <c r="K635" s="25" t="n"/>
      <c r="L635" s="25" t="n"/>
      <c r="M635" s="25" t="n"/>
      <c r="N635" s="25" t="n"/>
      <c r="O635" s="4" t="n"/>
      <c r="P635" s="4" t="n"/>
      <c r="Q635" s="4" t="n"/>
      <c r="R635" s="4" t="n"/>
      <c r="S635" s="4" t="n"/>
    </row>
    <row r="636" ht="15" customHeight="1" s="215">
      <c r="A636" s="26" t="n"/>
      <c r="B636" s="26" t="n"/>
      <c r="C636" s="26" t="n"/>
      <c r="D636" s="26" t="n"/>
      <c r="E636" s="26" t="n"/>
      <c r="F636" s="25" t="n"/>
      <c r="G636" s="25" t="n"/>
      <c r="H636" s="25" t="n"/>
      <c r="I636" s="25" t="n"/>
      <c r="J636" s="25" t="n"/>
      <c r="K636" s="25" t="n"/>
      <c r="L636" s="25" t="n"/>
      <c r="M636" s="25" t="n"/>
      <c r="N636" s="25" t="n"/>
      <c r="O636" s="4" t="n"/>
      <c r="P636" s="4" t="n"/>
      <c r="Q636" s="4" t="n"/>
      <c r="R636" s="4" t="n"/>
      <c r="S636" s="4" t="n"/>
    </row>
    <row r="637" ht="15" customHeight="1" s="215">
      <c r="A637" s="26" t="n"/>
      <c r="B637" s="26" t="n"/>
      <c r="C637" s="26" t="n"/>
      <c r="D637" s="26" t="n"/>
      <c r="E637" s="26" t="n"/>
      <c r="F637" s="25" t="n"/>
      <c r="G637" s="25" t="n"/>
      <c r="H637" s="25" t="n"/>
      <c r="I637" s="25" t="n"/>
      <c r="J637" s="25" t="n"/>
      <c r="K637" s="25" t="n"/>
      <c r="L637" s="25" t="n"/>
      <c r="M637" s="25" t="n"/>
      <c r="N637" s="25" t="n"/>
      <c r="O637" s="4" t="n"/>
      <c r="P637" s="4" t="n"/>
      <c r="Q637" s="4" t="n"/>
      <c r="R637" s="4" t="n"/>
      <c r="S637" s="4" t="n"/>
    </row>
    <row r="638" ht="15" customHeight="1" s="215">
      <c r="A638" s="26" t="n"/>
      <c r="B638" s="26" t="n"/>
      <c r="C638" s="26" t="n"/>
      <c r="D638" s="26" t="n"/>
      <c r="E638" s="26" t="n"/>
      <c r="F638" s="25" t="n"/>
      <c r="G638" s="25" t="n"/>
      <c r="H638" s="25" t="n"/>
      <c r="I638" s="25" t="n"/>
      <c r="J638" s="25" t="n"/>
      <c r="K638" s="25" t="n"/>
      <c r="L638" s="25" t="n"/>
      <c r="M638" s="25" t="n"/>
      <c r="N638" s="25" t="n"/>
      <c r="O638" s="4" t="n"/>
      <c r="P638" s="4" t="n"/>
      <c r="Q638" s="4" t="n"/>
      <c r="R638" s="4" t="n"/>
      <c r="S638" s="4" t="n"/>
    </row>
    <row r="639" ht="15" customHeight="1" s="215">
      <c r="A639" s="26" t="n"/>
      <c r="B639" s="26" t="n"/>
      <c r="C639" s="26" t="n"/>
      <c r="D639" s="26" t="n"/>
      <c r="E639" s="26" t="n"/>
      <c r="F639" s="25" t="n"/>
      <c r="G639" s="25" t="n"/>
      <c r="H639" s="25" t="n"/>
      <c r="I639" s="25" t="n"/>
      <c r="J639" s="25" t="n"/>
      <c r="K639" s="25" t="n"/>
      <c r="L639" s="25" t="n"/>
      <c r="M639" s="25" t="n"/>
      <c r="N639" s="25" t="n"/>
      <c r="O639" s="4" t="n"/>
      <c r="P639" s="4" t="n"/>
      <c r="Q639" s="4" t="n"/>
      <c r="R639" s="4" t="n"/>
      <c r="S639" s="4" t="n"/>
    </row>
    <row r="640" ht="15" customHeight="1" s="215">
      <c r="A640" s="26" t="n"/>
      <c r="B640" s="26" t="n"/>
      <c r="C640" s="26" t="n"/>
      <c r="D640" s="26" t="n"/>
      <c r="E640" s="26" t="n"/>
      <c r="F640" s="25" t="n"/>
      <c r="G640" s="25" t="n"/>
      <c r="H640" s="25" t="n"/>
      <c r="I640" s="25" t="n"/>
      <c r="J640" s="25" t="n"/>
      <c r="K640" s="25" t="n"/>
      <c r="L640" s="25" t="n"/>
      <c r="M640" s="25" t="n"/>
      <c r="N640" s="25" t="n"/>
      <c r="O640" s="4" t="n"/>
      <c r="P640" s="4" t="n"/>
      <c r="Q640" s="4" t="n"/>
      <c r="R640" s="4" t="n"/>
      <c r="S640" s="4" t="n"/>
    </row>
    <row r="641" ht="15" customHeight="1" s="215">
      <c r="A641" s="26" t="n"/>
      <c r="B641" s="26" t="n"/>
      <c r="C641" s="26" t="n"/>
      <c r="D641" s="26" t="n"/>
      <c r="E641" s="26" t="n"/>
      <c r="F641" s="25" t="n"/>
      <c r="G641" s="25" t="n"/>
      <c r="H641" s="25" t="n"/>
      <c r="I641" s="25" t="n"/>
      <c r="J641" s="25" t="n"/>
      <c r="K641" s="25" t="n"/>
      <c r="L641" s="25" t="n"/>
      <c r="M641" s="25" t="n"/>
      <c r="N641" s="25" t="n"/>
      <c r="O641" s="4" t="n"/>
      <c r="P641" s="4" t="n"/>
      <c r="Q641" s="4" t="n"/>
      <c r="R641" s="4" t="n"/>
      <c r="S641" s="4" t="n"/>
    </row>
    <row r="642" ht="15" customHeight="1" s="215">
      <c r="A642" s="26" t="n"/>
      <c r="B642" s="26" t="n"/>
      <c r="C642" s="26" t="n"/>
      <c r="D642" s="26" t="n"/>
      <c r="E642" s="26" t="n"/>
      <c r="F642" s="25" t="n"/>
      <c r="G642" s="25" t="n"/>
      <c r="H642" s="25" t="n"/>
      <c r="I642" s="25" t="n"/>
      <c r="J642" s="25" t="n"/>
      <c r="K642" s="25" t="n"/>
      <c r="L642" s="25" t="n"/>
      <c r="M642" s="25" t="n"/>
      <c r="N642" s="25" t="n"/>
      <c r="O642" s="4" t="n"/>
      <c r="P642" s="4" t="n"/>
      <c r="Q642" s="4" t="n"/>
      <c r="R642" s="4" t="n"/>
      <c r="S642" s="4" t="n"/>
    </row>
    <row r="643" ht="15" customHeight="1" s="215">
      <c r="A643" s="26" t="n"/>
      <c r="B643" s="26" t="n"/>
      <c r="C643" s="26" t="n"/>
      <c r="D643" s="26" t="n"/>
      <c r="E643" s="26" t="n"/>
      <c r="F643" s="25" t="n"/>
      <c r="G643" s="25" t="n"/>
      <c r="H643" s="25" t="n"/>
      <c r="I643" s="25" t="n"/>
      <c r="J643" s="25" t="n"/>
      <c r="K643" s="25" t="n"/>
      <c r="L643" s="25" t="n"/>
      <c r="M643" s="25" t="n"/>
      <c r="N643" s="25" t="n"/>
      <c r="O643" s="4" t="n"/>
      <c r="P643" s="4" t="n"/>
      <c r="Q643" s="4" t="n"/>
      <c r="R643" s="4" t="n"/>
      <c r="S643" s="4" t="n"/>
    </row>
    <row r="644" ht="15" customHeight="1" s="215">
      <c r="A644" s="26" t="n"/>
      <c r="B644" s="26" t="n"/>
      <c r="C644" s="26" t="n"/>
      <c r="D644" s="26" t="n"/>
      <c r="E644" s="26" t="n"/>
      <c r="F644" s="25" t="n"/>
      <c r="G644" s="25" t="n"/>
      <c r="H644" s="25" t="n"/>
      <c r="I644" s="25" t="n"/>
      <c r="J644" s="25" t="n"/>
      <c r="K644" s="25" t="n"/>
      <c r="L644" s="25" t="n"/>
      <c r="M644" s="25" t="n"/>
      <c r="N644" s="25" t="n"/>
      <c r="O644" s="4" t="n"/>
      <c r="P644" s="4" t="n"/>
      <c r="Q644" s="4" t="n"/>
      <c r="R644" s="4" t="n"/>
      <c r="S644" s="4" t="n"/>
    </row>
    <row r="645" ht="15" customHeight="1" s="215">
      <c r="A645" s="26" t="n"/>
      <c r="B645" s="26" t="n"/>
      <c r="C645" s="26" t="n"/>
      <c r="D645" s="26" t="n"/>
      <c r="E645" s="26" t="n"/>
      <c r="F645" s="25" t="n"/>
      <c r="G645" s="25" t="n"/>
      <c r="H645" s="25" t="n"/>
      <c r="I645" s="25" t="n"/>
      <c r="J645" s="25" t="n"/>
      <c r="K645" s="25" t="n"/>
      <c r="L645" s="25" t="n"/>
      <c r="M645" s="25" t="n"/>
      <c r="N645" s="25" t="n"/>
      <c r="O645" s="4" t="n"/>
      <c r="P645" s="4" t="n"/>
      <c r="Q645" s="4" t="n"/>
      <c r="R645" s="4" t="n"/>
      <c r="S645" s="4" t="n"/>
    </row>
    <row r="646" ht="15" customHeight="1" s="215">
      <c r="A646" s="26" t="n"/>
      <c r="B646" s="26" t="n"/>
      <c r="C646" s="26" t="n"/>
      <c r="D646" s="26" t="n"/>
      <c r="E646" s="26" t="n"/>
      <c r="F646" s="25" t="n"/>
      <c r="G646" s="25" t="n"/>
      <c r="H646" s="25" t="n"/>
      <c r="I646" s="25" t="n"/>
      <c r="J646" s="25" t="n"/>
      <c r="K646" s="25" t="n"/>
      <c r="L646" s="25" t="n"/>
      <c r="M646" s="25" t="n"/>
      <c r="N646" s="25" t="n"/>
      <c r="O646" s="4" t="n"/>
      <c r="P646" s="4" t="n"/>
      <c r="Q646" s="4" t="n"/>
      <c r="R646" s="4" t="n"/>
      <c r="S646" s="4" t="n"/>
    </row>
    <row r="647" ht="15" customHeight="1" s="215">
      <c r="A647" s="26" t="n"/>
      <c r="B647" s="26" t="n"/>
      <c r="C647" s="26" t="n"/>
      <c r="D647" s="26" t="n"/>
      <c r="E647" s="26" t="n"/>
      <c r="F647" s="25" t="n"/>
      <c r="G647" s="25" t="n"/>
      <c r="H647" s="25" t="n"/>
      <c r="I647" s="25" t="n"/>
      <c r="J647" s="25" t="n"/>
      <c r="K647" s="25" t="n"/>
      <c r="L647" s="25" t="n"/>
      <c r="M647" s="25" t="n"/>
      <c r="N647" s="25" t="n"/>
      <c r="O647" s="4" t="n"/>
      <c r="P647" s="4" t="n"/>
      <c r="Q647" s="4" t="n"/>
      <c r="R647" s="4" t="n"/>
      <c r="S647" s="4" t="n"/>
    </row>
    <row r="648" ht="15" customHeight="1" s="215">
      <c r="A648" s="26" t="n"/>
      <c r="B648" s="26" t="n"/>
      <c r="C648" s="26" t="n"/>
      <c r="D648" s="26" t="n"/>
      <c r="E648" s="26" t="n"/>
      <c r="F648" s="25" t="n"/>
      <c r="G648" s="25" t="n"/>
      <c r="H648" s="25" t="n"/>
      <c r="I648" s="25" t="n"/>
      <c r="J648" s="25" t="n"/>
      <c r="K648" s="25" t="n"/>
      <c r="L648" s="25" t="n"/>
      <c r="M648" s="25" t="n"/>
      <c r="N648" s="25" t="n"/>
      <c r="O648" s="4" t="n"/>
      <c r="P648" s="4" t="n"/>
      <c r="Q648" s="4" t="n"/>
      <c r="R648" s="4" t="n"/>
      <c r="S648" s="4" t="n"/>
    </row>
    <row r="649" ht="15" customHeight="1" s="215">
      <c r="A649" s="26" t="n"/>
      <c r="B649" s="26" t="n"/>
      <c r="C649" s="26" t="n"/>
      <c r="D649" s="26" t="n"/>
      <c r="E649" s="26" t="n"/>
      <c r="F649" s="25" t="n"/>
      <c r="G649" s="25" t="n"/>
      <c r="H649" s="25" t="n"/>
      <c r="I649" s="25" t="n"/>
      <c r="J649" s="25" t="n"/>
      <c r="K649" s="25" t="n"/>
      <c r="L649" s="25" t="n"/>
      <c r="M649" s="25" t="n"/>
      <c r="N649" s="25" t="n"/>
      <c r="O649" s="4" t="n"/>
      <c r="P649" s="4" t="n"/>
      <c r="Q649" s="4" t="n"/>
      <c r="R649" s="4" t="n"/>
      <c r="S649" s="4" t="n"/>
    </row>
    <row r="650" ht="15" customHeight="1" s="215">
      <c r="A650" s="26" t="n"/>
      <c r="B650" s="26" t="n"/>
      <c r="C650" s="26" t="n"/>
      <c r="D650" s="26" t="n"/>
      <c r="E650" s="26" t="n"/>
      <c r="F650" s="25" t="n"/>
      <c r="G650" s="25" t="n"/>
      <c r="H650" s="25" t="n"/>
      <c r="I650" s="25" t="n"/>
      <c r="J650" s="25" t="n"/>
      <c r="K650" s="25" t="n"/>
      <c r="L650" s="25" t="n"/>
      <c r="M650" s="25" t="n"/>
      <c r="N650" s="25" t="n"/>
      <c r="O650" s="4" t="n"/>
      <c r="P650" s="4" t="n"/>
      <c r="Q650" s="4" t="n"/>
      <c r="R650" s="4" t="n"/>
      <c r="S650" s="4" t="n"/>
    </row>
    <row r="651" ht="15" customHeight="1" s="215">
      <c r="A651" s="26" t="n"/>
      <c r="B651" s="26" t="n"/>
      <c r="C651" s="26" t="n"/>
      <c r="D651" s="26" t="n"/>
      <c r="E651" s="26" t="n"/>
      <c r="F651" s="25" t="n"/>
      <c r="G651" s="25" t="n"/>
      <c r="H651" s="25" t="n"/>
      <c r="I651" s="25" t="n"/>
      <c r="J651" s="25" t="n"/>
      <c r="K651" s="25" t="n"/>
      <c r="L651" s="25" t="n"/>
      <c r="M651" s="25" t="n"/>
      <c r="N651" s="25" t="n"/>
      <c r="O651" s="4" t="n"/>
      <c r="P651" s="4" t="n"/>
      <c r="Q651" s="4" t="n"/>
      <c r="R651" s="4" t="n"/>
      <c r="S651" s="4" t="n"/>
    </row>
    <row r="652" ht="15" customHeight="1" s="215">
      <c r="A652" s="26" t="n"/>
      <c r="B652" s="26" t="n"/>
      <c r="C652" s="26" t="n"/>
      <c r="D652" s="26" t="n"/>
      <c r="E652" s="26" t="n"/>
      <c r="F652" s="25" t="n"/>
      <c r="G652" s="25" t="n"/>
      <c r="H652" s="25" t="n"/>
      <c r="I652" s="25" t="n"/>
      <c r="J652" s="25" t="n"/>
      <c r="K652" s="25" t="n"/>
      <c r="L652" s="25" t="n"/>
      <c r="M652" s="25" t="n"/>
      <c r="N652" s="25" t="n"/>
      <c r="O652" s="4" t="n"/>
      <c r="P652" s="4" t="n"/>
      <c r="Q652" s="4" t="n"/>
      <c r="R652" s="4" t="n"/>
      <c r="S652" s="4" t="n"/>
    </row>
    <row r="653" ht="15" customHeight="1" s="215">
      <c r="A653" s="26" t="n"/>
      <c r="B653" s="26" t="n"/>
      <c r="C653" s="26" t="n"/>
      <c r="D653" s="26" t="n"/>
      <c r="E653" s="26" t="n"/>
      <c r="F653" s="25" t="n"/>
      <c r="G653" s="25" t="n"/>
      <c r="H653" s="25" t="n"/>
      <c r="I653" s="25" t="n"/>
      <c r="J653" s="25" t="n"/>
      <c r="K653" s="25" t="n"/>
      <c r="L653" s="25" t="n"/>
      <c r="M653" s="25" t="n"/>
      <c r="N653" s="25" t="n"/>
      <c r="O653" s="4" t="n"/>
      <c r="P653" s="4" t="n"/>
      <c r="Q653" s="4" t="n"/>
      <c r="R653" s="4" t="n"/>
      <c r="S653" s="4" t="n"/>
    </row>
    <row r="654" ht="15" customHeight="1" s="215">
      <c r="A654" s="26" t="n"/>
      <c r="B654" s="26" t="n"/>
      <c r="C654" s="26" t="n"/>
      <c r="D654" s="26" t="n"/>
      <c r="E654" s="26" t="n"/>
      <c r="F654" s="25" t="n"/>
      <c r="G654" s="25" t="n"/>
      <c r="H654" s="25" t="n"/>
      <c r="I654" s="25" t="n"/>
      <c r="J654" s="25" t="n"/>
      <c r="K654" s="25" t="n"/>
      <c r="L654" s="25" t="n"/>
      <c r="M654" s="25" t="n"/>
      <c r="N654" s="25" t="n"/>
      <c r="O654" s="4" t="n"/>
      <c r="P654" s="4" t="n"/>
      <c r="Q654" s="4" t="n"/>
      <c r="R654" s="4" t="n"/>
      <c r="S654" s="4" t="n"/>
    </row>
    <row r="655" ht="15" customHeight="1" s="215">
      <c r="A655" s="26" t="n"/>
      <c r="B655" s="26" t="n"/>
      <c r="C655" s="26" t="n"/>
      <c r="D655" s="26" t="n"/>
      <c r="E655" s="26" t="n"/>
      <c r="F655" s="25" t="n"/>
      <c r="G655" s="25" t="n"/>
      <c r="H655" s="25" t="n"/>
      <c r="I655" s="25" t="n"/>
      <c r="J655" s="25" t="n"/>
      <c r="K655" s="25" t="n"/>
      <c r="L655" s="25" t="n"/>
      <c r="M655" s="25" t="n"/>
      <c r="N655" s="25" t="n"/>
      <c r="O655" s="4" t="n"/>
      <c r="P655" s="4" t="n"/>
      <c r="Q655" s="4" t="n"/>
      <c r="R655" s="4" t="n"/>
      <c r="S655" s="4" t="n"/>
    </row>
    <row r="656" ht="15" customHeight="1" s="215">
      <c r="A656" s="26" t="n"/>
      <c r="B656" s="26" t="n"/>
      <c r="C656" s="26" t="n"/>
      <c r="D656" s="26" t="n"/>
      <c r="E656" s="26" t="n"/>
      <c r="F656" s="25" t="n"/>
      <c r="G656" s="25" t="n"/>
      <c r="H656" s="25" t="n"/>
      <c r="I656" s="25" t="n"/>
      <c r="J656" s="25" t="n"/>
      <c r="K656" s="25" t="n"/>
      <c r="L656" s="25" t="n"/>
      <c r="M656" s="25" t="n"/>
      <c r="N656" s="25" t="n"/>
      <c r="O656" s="4" t="n"/>
      <c r="P656" s="4" t="n"/>
      <c r="Q656" s="4" t="n"/>
      <c r="R656" s="4" t="n"/>
      <c r="S656" s="4" t="n"/>
    </row>
    <row r="657" ht="15" customHeight="1" s="215">
      <c r="A657" s="26" t="n"/>
      <c r="B657" s="26" t="n"/>
      <c r="C657" s="26" t="n"/>
      <c r="D657" s="26" t="n"/>
      <c r="E657" s="26" t="n"/>
      <c r="F657" s="25" t="n"/>
      <c r="G657" s="25" t="n"/>
      <c r="H657" s="25" t="n"/>
      <c r="I657" s="25" t="n"/>
      <c r="J657" s="25" t="n"/>
      <c r="K657" s="25" t="n"/>
      <c r="L657" s="25" t="n"/>
      <c r="M657" s="25" t="n"/>
      <c r="N657" s="25" t="n"/>
      <c r="O657" s="4" t="n"/>
      <c r="P657" s="4" t="n"/>
      <c r="Q657" s="4" t="n"/>
      <c r="R657" s="4" t="n"/>
      <c r="S657" s="4" t="n"/>
    </row>
    <row r="658" ht="15" customHeight="1" s="215">
      <c r="A658" s="26" t="n"/>
      <c r="B658" s="26" t="n"/>
      <c r="C658" s="26" t="n"/>
      <c r="D658" s="26" t="n"/>
      <c r="E658" s="26" t="n"/>
      <c r="F658" s="25" t="n"/>
      <c r="G658" s="25" t="n"/>
      <c r="H658" s="25" t="n"/>
      <c r="I658" s="25" t="n"/>
      <c r="J658" s="25" t="n"/>
      <c r="K658" s="25" t="n"/>
      <c r="L658" s="25" t="n"/>
      <c r="M658" s="25" t="n"/>
      <c r="N658" s="25" t="n"/>
      <c r="O658" s="4" t="n"/>
      <c r="P658" s="4" t="n"/>
      <c r="Q658" s="4" t="n"/>
      <c r="R658" s="4" t="n"/>
      <c r="S658" s="4" t="n"/>
    </row>
    <row r="659" ht="15" customHeight="1" s="215">
      <c r="A659" s="26" t="n"/>
      <c r="B659" s="26" t="n"/>
      <c r="C659" s="26" t="n"/>
      <c r="D659" s="26" t="n"/>
      <c r="E659" s="26" t="n"/>
      <c r="F659" s="25" t="n"/>
      <c r="G659" s="25" t="n"/>
      <c r="H659" s="25" t="n"/>
      <c r="I659" s="25" t="n"/>
      <c r="J659" s="25" t="n"/>
      <c r="K659" s="25" t="n"/>
      <c r="L659" s="25" t="n"/>
      <c r="M659" s="25" t="n"/>
      <c r="N659" s="25" t="n"/>
      <c r="O659" s="4" t="n"/>
      <c r="P659" s="4" t="n"/>
      <c r="Q659" s="4" t="n"/>
      <c r="R659" s="4" t="n"/>
      <c r="S659" s="4" t="n"/>
    </row>
    <row r="660" ht="15" customHeight="1" s="215">
      <c r="A660" s="26" t="n"/>
      <c r="B660" s="26" t="n"/>
      <c r="C660" s="26" t="n"/>
      <c r="D660" s="26" t="n"/>
      <c r="E660" s="26" t="n"/>
      <c r="F660" s="25" t="n"/>
      <c r="G660" s="25" t="n"/>
      <c r="H660" s="25" t="n"/>
      <c r="I660" s="25" t="n"/>
      <c r="J660" s="25" t="n"/>
      <c r="K660" s="25" t="n"/>
      <c r="L660" s="25" t="n"/>
      <c r="M660" s="25" t="n"/>
      <c r="N660" s="25" t="n"/>
      <c r="O660" s="4" t="n"/>
      <c r="P660" s="4" t="n"/>
      <c r="Q660" s="4" t="n"/>
      <c r="R660" s="4" t="n"/>
      <c r="S660" s="4" t="n"/>
    </row>
    <row r="661" ht="15" customHeight="1" s="215">
      <c r="A661" s="26" t="n"/>
      <c r="B661" s="26" t="n"/>
      <c r="C661" s="26" t="n"/>
      <c r="D661" s="26" t="n"/>
      <c r="E661" s="26" t="n"/>
      <c r="F661" s="25" t="n"/>
      <c r="G661" s="25" t="n"/>
      <c r="H661" s="25" t="n"/>
      <c r="I661" s="25" t="n"/>
      <c r="J661" s="25" t="n"/>
      <c r="K661" s="25" t="n"/>
      <c r="L661" s="25" t="n"/>
      <c r="M661" s="25" t="n"/>
      <c r="N661" s="25" t="n"/>
      <c r="O661" s="4" t="n"/>
      <c r="P661" s="4" t="n"/>
      <c r="Q661" s="4" t="n"/>
      <c r="R661" s="4" t="n"/>
      <c r="S661" s="4" t="n"/>
    </row>
    <row r="662" ht="15" customHeight="1" s="215">
      <c r="A662" s="26" t="n"/>
      <c r="B662" s="26" t="n"/>
      <c r="C662" s="26" t="n"/>
      <c r="D662" s="26" t="n"/>
      <c r="E662" s="26" t="n"/>
      <c r="F662" s="25" t="n"/>
      <c r="G662" s="25" t="n"/>
      <c r="H662" s="25" t="n"/>
      <c r="I662" s="25" t="n"/>
      <c r="J662" s="25" t="n"/>
      <c r="K662" s="25" t="n"/>
      <c r="L662" s="25" t="n"/>
      <c r="M662" s="25" t="n"/>
      <c r="N662" s="25" t="n"/>
      <c r="O662" s="4" t="n"/>
      <c r="P662" s="4" t="n"/>
      <c r="Q662" s="4" t="n"/>
      <c r="R662" s="4" t="n"/>
      <c r="S662" s="4" t="n"/>
    </row>
    <row r="663" ht="15" customHeight="1" s="215">
      <c r="A663" s="26" t="n"/>
      <c r="B663" s="26" t="n"/>
      <c r="C663" s="26" t="n"/>
      <c r="D663" s="26" t="n"/>
      <c r="E663" s="26" t="n"/>
      <c r="F663" s="25" t="n"/>
      <c r="G663" s="25" t="n"/>
      <c r="H663" s="25" t="n"/>
      <c r="I663" s="25" t="n"/>
      <c r="J663" s="25" t="n"/>
      <c r="K663" s="25" t="n"/>
      <c r="L663" s="25" t="n"/>
      <c r="M663" s="25" t="n"/>
      <c r="N663" s="25" t="n"/>
      <c r="O663" s="4" t="n"/>
      <c r="P663" s="4" t="n"/>
      <c r="Q663" s="4" t="n"/>
      <c r="R663" s="4" t="n"/>
      <c r="S663" s="4" t="n"/>
    </row>
    <row r="664" ht="15" customHeight="1" s="215">
      <c r="A664" s="26" t="n"/>
      <c r="B664" s="26" t="n"/>
      <c r="C664" s="26" t="n"/>
      <c r="D664" s="26" t="n"/>
      <c r="E664" s="26" t="n"/>
      <c r="F664" s="25" t="n"/>
      <c r="G664" s="25" t="n"/>
      <c r="H664" s="25" t="n"/>
      <c r="I664" s="25" t="n"/>
      <c r="J664" s="25" t="n"/>
      <c r="K664" s="25" t="n"/>
      <c r="L664" s="25" t="n"/>
      <c r="M664" s="25" t="n"/>
      <c r="N664" s="25" t="n"/>
      <c r="O664" s="4" t="n"/>
      <c r="P664" s="4" t="n"/>
      <c r="Q664" s="4" t="n"/>
      <c r="R664" s="4" t="n"/>
      <c r="S664" s="4" t="n"/>
    </row>
    <row r="665" ht="15" customHeight="1" s="215">
      <c r="A665" s="26" t="n"/>
      <c r="B665" s="26" t="n"/>
      <c r="C665" s="26" t="n"/>
      <c r="D665" s="26" t="n"/>
      <c r="E665" s="26" t="n"/>
      <c r="F665" s="25" t="n"/>
      <c r="G665" s="25" t="n"/>
      <c r="H665" s="25" t="n"/>
      <c r="I665" s="25" t="n"/>
      <c r="J665" s="25" t="n"/>
      <c r="K665" s="25" t="n"/>
      <c r="L665" s="25" t="n"/>
      <c r="M665" s="25" t="n"/>
      <c r="N665" s="25" t="n"/>
      <c r="O665" s="4" t="n"/>
      <c r="P665" s="4" t="n"/>
      <c r="Q665" s="4" t="n"/>
      <c r="R665" s="4" t="n"/>
      <c r="S665" s="4" t="n"/>
    </row>
    <row r="666" ht="15" customHeight="1" s="215">
      <c r="A666" s="26" t="n"/>
      <c r="B666" s="26" t="n"/>
      <c r="C666" s="26" t="n"/>
      <c r="D666" s="26" t="n"/>
      <c r="E666" s="26" t="n"/>
      <c r="F666" s="25" t="n"/>
      <c r="G666" s="25" t="n"/>
      <c r="H666" s="25" t="n"/>
      <c r="I666" s="25" t="n"/>
      <c r="J666" s="25" t="n"/>
      <c r="K666" s="25" t="n"/>
      <c r="L666" s="25" t="n"/>
      <c r="M666" s="25" t="n"/>
      <c r="N666" s="25" t="n"/>
      <c r="O666" s="4" t="n"/>
      <c r="P666" s="4" t="n"/>
      <c r="Q666" s="4" t="n"/>
      <c r="R666" s="4" t="n"/>
      <c r="S666" s="4" t="n"/>
    </row>
    <row r="667" ht="15" customHeight="1" s="215">
      <c r="A667" s="26" t="n"/>
      <c r="B667" s="26" t="n"/>
      <c r="C667" s="26" t="n"/>
      <c r="D667" s="26" t="n"/>
      <c r="E667" s="26" t="n"/>
      <c r="F667" s="25" t="n"/>
      <c r="G667" s="25" t="n"/>
      <c r="H667" s="25" t="n"/>
      <c r="I667" s="25" t="n"/>
      <c r="J667" s="25" t="n"/>
      <c r="K667" s="25" t="n"/>
      <c r="L667" s="25" t="n"/>
      <c r="M667" s="25" t="n"/>
      <c r="N667" s="25" t="n"/>
      <c r="O667" s="4" t="n"/>
      <c r="P667" s="4" t="n"/>
      <c r="Q667" s="4" t="n"/>
      <c r="R667" s="4" t="n"/>
      <c r="S667" s="4" t="n"/>
    </row>
    <row r="668" ht="15" customHeight="1" s="215">
      <c r="A668" s="26" t="n"/>
      <c r="B668" s="26" t="n"/>
      <c r="C668" s="26" t="n"/>
      <c r="D668" s="26" t="n"/>
      <c r="E668" s="26" t="n"/>
      <c r="F668" s="25" t="n"/>
      <c r="G668" s="25" t="n"/>
      <c r="H668" s="25" t="n"/>
      <c r="I668" s="25" t="n"/>
      <c r="J668" s="25" t="n"/>
      <c r="K668" s="25" t="n"/>
      <c r="L668" s="25" t="n"/>
      <c r="M668" s="25" t="n"/>
      <c r="N668" s="25" t="n"/>
      <c r="O668" s="4" t="n"/>
      <c r="P668" s="4" t="n"/>
      <c r="Q668" s="4" t="n"/>
      <c r="R668" s="4" t="n"/>
      <c r="S668" s="4" t="n"/>
    </row>
    <row r="669" ht="15" customHeight="1" s="215">
      <c r="A669" s="26" t="n"/>
      <c r="B669" s="26" t="n"/>
      <c r="C669" s="26" t="n"/>
      <c r="D669" s="26" t="n"/>
      <c r="E669" s="26" t="n"/>
      <c r="F669" s="25" t="n"/>
      <c r="G669" s="25" t="n"/>
      <c r="H669" s="25" t="n"/>
      <c r="I669" s="25" t="n"/>
      <c r="J669" s="25" t="n"/>
      <c r="K669" s="25" t="n"/>
      <c r="L669" s="25" t="n"/>
      <c r="M669" s="25" t="n"/>
      <c r="N669" s="25" t="n"/>
      <c r="O669" s="4" t="n"/>
      <c r="P669" s="4" t="n"/>
      <c r="Q669" s="4" t="n"/>
      <c r="R669" s="4" t="n"/>
      <c r="S669" s="4" t="n"/>
    </row>
    <row r="670" ht="15" customHeight="1" s="215">
      <c r="A670" s="26" t="n"/>
      <c r="B670" s="26" t="n"/>
      <c r="C670" s="26" t="n"/>
      <c r="D670" s="26" t="n"/>
      <c r="E670" s="26" t="n"/>
      <c r="F670" s="25" t="n"/>
      <c r="G670" s="25" t="n"/>
      <c r="H670" s="25" t="n"/>
      <c r="I670" s="25" t="n"/>
      <c r="J670" s="25" t="n"/>
      <c r="K670" s="25" t="n"/>
      <c r="L670" s="25" t="n"/>
      <c r="M670" s="25" t="n"/>
      <c r="N670" s="25" t="n"/>
      <c r="O670" s="4" t="n"/>
      <c r="P670" s="4" t="n"/>
      <c r="Q670" s="4" t="n"/>
      <c r="R670" s="4" t="n"/>
      <c r="S670" s="4" t="n"/>
    </row>
    <row r="671" ht="15" customHeight="1" s="215">
      <c r="A671" s="26" t="n"/>
      <c r="B671" s="26" t="n"/>
      <c r="C671" s="26" t="n"/>
      <c r="D671" s="26" t="n"/>
      <c r="E671" s="26" t="n"/>
      <c r="F671" s="25" t="n"/>
      <c r="G671" s="25" t="n"/>
      <c r="H671" s="25" t="n"/>
      <c r="I671" s="25" t="n"/>
      <c r="J671" s="25" t="n"/>
      <c r="K671" s="25" t="n"/>
      <c r="L671" s="25" t="n"/>
      <c r="M671" s="25" t="n"/>
      <c r="N671" s="25" t="n"/>
      <c r="O671" s="4" t="n"/>
      <c r="P671" s="4" t="n"/>
      <c r="Q671" s="4" t="n"/>
      <c r="R671" s="4" t="n"/>
      <c r="S671" s="4" t="n"/>
    </row>
    <row r="672" ht="15" customHeight="1" s="215">
      <c r="A672" s="26" t="n"/>
      <c r="B672" s="26" t="n"/>
      <c r="C672" s="26" t="n"/>
      <c r="D672" s="26" t="n"/>
      <c r="E672" s="26" t="n"/>
      <c r="F672" s="25" t="n"/>
      <c r="G672" s="25" t="n"/>
      <c r="H672" s="25" t="n"/>
      <c r="I672" s="25" t="n"/>
      <c r="J672" s="25" t="n"/>
      <c r="K672" s="25" t="n"/>
      <c r="L672" s="25" t="n"/>
      <c r="M672" s="25" t="n"/>
      <c r="N672" s="25" t="n"/>
      <c r="O672" s="4" t="n"/>
      <c r="P672" s="4" t="n"/>
      <c r="Q672" s="4" t="n"/>
      <c r="R672" s="4" t="n"/>
      <c r="S672" s="4" t="n"/>
    </row>
    <row r="673" ht="15" customHeight="1" s="215">
      <c r="A673" s="26" t="n"/>
      <c r="B673" s="26" t="n"/>
      <c r="C673" s="26" t="n"/>
      <c r="D673" s="26" t="n"/>
      <c r="E673" s="26" t="n"/>
      <c r="F673" s="25" t="n"/>
      <c r="G673" s="25" t="n"/>
      <c r="H673" s="25" t="n"/>
      <c r="I673" s="25" t="n"/>
      <c r="J673" s="25" t="n"/>
      <c r="K673" s="25" t="n"/>
      <c r="L673" s="25" t="n"/>
      <c r="M673" s="25" t="n"/>
      <c r="N673" s="25" t="n"/>
      <c r="O673" s="4" t="n"/>
      <c r="P673" s="4" t="n"/>
      <c r="Q673" s="4" t="n"/>
      <c r="R673" s="4" t="n"/>
      <c r="S673" s="4" t="n"/>
    </row>
    <row r="674" ht="15" customHeight="1" s="215">
      <c r="A674" s="26" t="n"/>
      <c r="B674" s="26" t="n"/>
      <c r="C674" s="26" t="n"/>
      <c r="D674" s="26" t="n"/>
      <c r="E674" s="26" t="n"/>
      <c r="F674" s="25" t="n"/>
      <c r="G674" s="25" t="n"/>
      <c r="H674" s="25" t="n"/>
      <c r="I674" s="25" t="n"/>
      <c r="J674" s="25" t="n"/>
      <c r="K674" s="25" t="n"/>
      <c r="L674" s="25" t="n"/>
      <c r="M674" s="25" t="n"/>
      <c r="N674" s="25" t="n"/>
      <c r="O674" s="4" t="n"/>
      <c r="P674" s="4" t="n"/>
      <c r="Q674" s="4" t="n"/>
      <c r="R674" s="4" t="n"/>
      <c r="S674" s="4" t="n"/>
    </row>
    <row r="675" ht="15" customHeight="1" s="215">
      <c r="A675" s="26" t="n"/>
      <c r="B675" s="26" t="n"/>
      <c r="C675" s="26" t="n"/>
      <c r="D675" s="26" t="n"/>
      <c r="E675" s="26" t="n"/>
      <c r="F675" s="25" t="n"/>
      <c r="G675" s="25" t="n"/>
      <c r="H675" s="25" t="n"/>
      <c r="I675" s="25" t="n"/>
      <c r="J675" s="25" t="n"/>
      <c r="K675" s="25" t="n"/>
      <c r="L675" s="25" t="n"/>
      <c r="M675" s="25" t="n"/>
      <c r="N675" s="25" t="n"/>
      <c r="O675" s="4" t="n"/>
      <c r="P675" s="4" t="n"/>
      <c r="Q675" s="4" t="n"/>
      <c r="R675" s="4" t="n"/>
      <c r="S675" s="4" t="n"/>
    </row>
    <row r="676" ht="15" customHeight="1" s="215">
      <c r="A676" s="26" t="n"/>
      <c r="B676" s="26" t="n"/>
      <c r="C676" s="26" t="n"/>
      <c r="D676" s="26" t="n"/>
      <c r="E676" s="26" t="n"/>
      <c r="F676" s="25" t="n"/>
      <c r="G676" s="25" t="n"/>
      <c r="H676" s="25" t="n"/>
      <c r="I676" s="25" t="n"/>
      <c r="J676" s="25" t="n"/>
      <c r="K676" s="25" t="n"/>
      <c r="L676" s="25" t="n"/>
      <c r="M676" s="25" t="n"/>
      <c r="N676" s="25" t="n"/>
      <c r="O676" s="4" t="n"/>
      <c r="P676" s="4" t="n"/>
      <c r="Q676" s="4" t="n"/>
      <c r="R676" s="4" t="n"/>
      <c r="S676" s="4" t="n"/>
    </row>
    <row r="677" ht="15" customHeight="1" s="215">
      <c r="A677" s="26" t="n"/>
      <c r="B677" s="26" t="n"/>
      <c r="C677" s="26" t="n"/>
      <c r="D677" s="26" t="n"/>
      <c r="E677" s="26" t="n"/>
      <c r="F677" s="25" t="n"/>
      <c r="G677" s="25" t="n"/>
      <c r="H677" s="25" t="n"/>
      <c r="I677" s="25" t="n"/>
      <c r="J677" s="25" t="n"/>
      <c r="K677" s="25" t="n"/>
      <c r="L677" s="25" t="n"/>
      <c r="M677" s="25" t="n"/>
      <c r="N677" s="25" t="n"/>
      <c r="O677" s="4" t="n"/>
      <c r="P677" s="4" t="n"/>
      <c r="Q677" s="4" t="n"/>
      <c r="R677" s="4" t="n"/>
      <c r="S677" s="4" t="n"/>
    </row>
    <row r="678" ht="15" customHeight="1" s="215">
      <c r="A678" s="26" t="n"/>
      <c r="B678" s="26" t="n"/>
      <c r="C678" s="26" t="n"/>
      <c r="D678" s="26" t="n"/>
      <c r="E678" s="26" t="n"/>
      <c r="F678" s="25" t="n"/>
      <c r="G678" s="25" t="n"/>
      <c r="H678" s="25" t="n"/>
      <c r="I678" s="25" t="n"/>
      <c r="J678" s="25" t="n"/>
      <c r="K678" s="25" t="n"/>
      <c r="L678" s="25" t="n"/>
      <c r="M678" s="25" t="n"/>
      <c r="N678" s="25" t="n"/>
      <c r="O678" s="4" t="n"/>
      <c r="P678" s="4" t="n"/>
      <c r="Q678" s="4" t="n"/>
      <c r="R678" s="4" t="n"/>
      <c r="S678" s="4" t="n"/>
    </row>
    <row r="679" ht="15" customHeight="1" s="215">
      <c r="A679" s="26" t="n"/>
      <c r="B679" s="26" t="n"/>
      <c r="C679" s="26" t="n"/>
      <c r="D679" s="26" t="n"/>
      <c r="E679" s="26" t="n"/>
      <c r="F679" s="25" t="n"/>
      <c r="G679" s="25" t="n"/>
      <c r="H679" s="25" t="n"/>
      <c r="I679" s="25" t="n"/>
      <c r="J679" s="25" t="n"/>
      <c r="K679" s="25" t="n"/>
      <c r="L679" s="25" t="n"/>
      <c r="M679" s="25" t="n"/>
      <c r="N679" s="25" t="n"/>
      <c r="O679" s="4" t="n"/>
      <c r="P679" s="4" t="n"/>
      <c r="Q679" s="4" t="n"/>
      <c r="R679" s="4" t="n"/>
      <c r="S679" s="4" t="n"/>
    </row>
    <row r="680" ht="15" customHeight="1" s="215">
      <c r="A680" s="26" t="n"/>
      <c r="B680" s="26" t="n"/>
      <c r="C680" s="26" t="n"/>
      <c r="D680" s="26" t="n"/>
      <c r="E680" s="26" t="n"/>
      <c r="F680" s="25" t="n"/>
      <c r="G680" s="25" t="n"/>
      <c r="H680" s="25" t="n"/>
      <c r="I680" s="25" t="n"/>
      <c r="J680" s="25" t="n"/>
      <c r="K680" s="25" t="n"/>
      <c r="L680" s="25" t="n"/>
      <c r="M680" s="25" t="n"/>
      <c r="N680" s="25" t="n"/>
      <c r="O680" s="4" t="n"/>
      <c r="P680" s="4" t="n"/>
      <c r="Q680" s="4" t="n"/>
      <c r="R680" s="4" t="n"/>
      <c r="S680" s="4" t="n"/>
    </row>
    <row r="681" ht="15" customHeight="1" s="215">
      <c r="A681" s="26" t="n"/>
      <c r="B681" s="26" t="n"/>
      <c r="C681" s="26" t="n"/>
      <c r="D681" s="26" t="n"/>
      <c r="E681" s="26" t="n"/>
      <c r="F681" s="25" t="n"/>
      <c r="G681" s="25" t="n"/>
      <c r="H681" s="25" t="n"/>
      <c r="I681" s="25" t="n"/>
      <c r="J681" s="25" t="n"/>
      <c r="K681" s="25" t="n"/>
      <c r="L681" s="25" t="n"/>
      <c r="M681" s="25" t="n"/>
      <c r="N681" s="25" t="n"/>
      <c r="O681" s="4" t="n"/>
      <c r="P681" s="4" t="n"/>
      <c r="Q681" s="4" t="n"/>
      <c r="R681" s="4" t="n"/>
      <c r="S681" s="4" t="n"/>
    </row>
    <row r="682" ht="15" customHeight="1" s="215">
      <c r="A682" s="26" t="n"/>
      <c r="B682" s="26" t="n"/>
      <c r="C682" s="26" t="n"/>
      <c r="D682" s="26" t="n"/>
      <c r="E682" s="26" t="n"/>
      <c r="F682" s="25" t="n"/>
      <c r="G682" s="25" t="n"/>
      <c r="H682" s="25" t="n"/>
      <c r="I682" s="25" t="n"/>
      <c r="J682" s="25" t="n"/>
      <c r="K682" s="25" t="n"/>
      <c r="L682" s="25" t="n"/>
      <c r="M682" s="25" t="n"/>
      <c r="N682" s="25" t="n"/>
      <c r="O682" s="4" t="n"/>
      <c r="P682" s="4" t="n"/>
      <c r="Q682" s="4" t="n"/>
      <c r="R682" s="4" t="n"/>
      <c r="S682" s="4" t="n"/>
    </row>
    <row r="683" ht="15" customHeight="1" s="215">
      <c r="A683" s="26" t="n"/>
      <c r="B683" s="26" t="n"/>
      <c r="C683" s="26" t="n"/>
      <c r="D683" s="26" t="n"/>
      <c r="E683" s="26" t="n"/>
      <c r="F683" s="25" t="n"/>
      <c r="G683" s="25" t="n"/>
      <c r="H683" s="25" t="n"/>
      <c r="I683" s="25" t="n"/>
      <c r="J683" s="25" t="n"/>
      <c r="K683" s="25" t="n"/>
      <c r="L683" s="25" t="n"/>
      <c r="M683" s="25" t="n"/>
      <c r="N683" s="25" t="n"/>
      <c r="O683" s="4" t="n"/>
      <c r="P683" s="4" t="n"/>
      <c r="Q683" s="4" t="n"/>
      <c r="R683" s="4" t="n"/>
      <c r="S683" s="4" t="n"/>
    </row>
    <row r="684" ht="15" customHeight="1" s="215">
      <c r="A684" s="26" t="n"/>
      <c r="B684" s="26" t="n"/>
      <c r="C684" s="26" t="n"/>
      <c r="D684" s="26" t="n"/>
      <c r="E684" s="26" t="n"/>
      <c r="F684" s="25" t="n"/>
      <c r="G684" s="25" t="n"/>
      <c r="H684" s="25" t="n"/>
      <c r="I684" s="25" t="n"/>
      <c r="J684" s="25" t="n"/>
      <c r="K684" s="25" t="n"/>
      <c r="L684" s="25" t="n"/>
      <c r="M684" s="25" t="n"/>
      <c r="N684" s="25" t="n"/>
      <c r="O684" s="4" t="n"/>
      <c r="P684" s="4" t="n"/>
      <c r="Q684" s="4" t="n"/>
      <c r="R684" s="4" t="n"/>
      <c r="S684" s="4" t="n"/>
    </row>
    <row r="685" ht="15" customHeight="1" s="215">
      <c r="A685" s="26" t="n"/>
      <c r="B685" s="26" t="n"/>
      <c r="C685" s="26" t="n"/>
      <c r="D685" s="26" t="n"/>
      <c r="E685" s="26" t="n"/>
      <c r="F685" s="25" t="n"/>
      <c r="G685" s="25" t="n"/>
      <c r="H685" s="25" t="n"/>
      <c r="I685" s="25" t="n"/>
      <c r="J685" s="25" t="n"/>
      <c r="K685" s="25" t="n"/>
      <c r="L685" s="25" t="n"/>
      <c r="M685" s="25" t="n"/>
      <c r="N685" s="25" t="n"/>
      <c r="O685" s="4" t="n"/>
      <c r="P685" s="4" t="n"/>
      <c r="Q685" s="4" t="n"/>
      <c r="R685" s="4" t="n"/>
      <c r="S685" s="4" t="n"/>
    </row>
    <row r="686" ht="15" customHeight="1" s="215">
      <c r="A686" s="26" t="n"/>
      <c r="B686" s="26" t="n"/>
      <c r="C686" s="26" t="n"/>
      <c r="D686" s="26" t="n"/>
      <c r="E686" s="26" t="n"/>
      <c r="F686" s="25" t="n"/>
      <c r="G686" s="25" t="n"/>
      <c r="H686" s="25" t="n"/>
      <c r="I686" s="25" t="n"/>
      <c r="J686" s="25" t="n"/>
      <c r="K686" s="25" t="n"/>
      <c r="L686" s="25" t="n"/>
      <c r="M686" s="25" t="n"/>
      <c r="N686" s="25" t="n"/>
      <c r="O686" s="4" t="n"/>
      <c r="P686" s="4" t="n"/>
      <c r="Q686" s="4" t="n"/>
      <c r="R686" s="4" t="n"/>
      <c r="S686" s="4" t="n"/>
    </row>
    <row r="687" ht="15" customHeight="1" s="215">
      <c r="A687" s="26" t="n"/>
      <c r="B687" s="26" t="n"/>
      <c r="C687" s="26" t="n"/>
      <c r="D687" s="26" t="n"/>
      <c r="E687" s="26" t="n"/>
      <c r="F687" s="25" t="n"/>
      <c r="G687" s="25" t="n"/>
      <c r="H687" s="25" t="n"/>
      <c r="I687" s="25" t="n"/>
      <c r="J687" s="25" t="n"/>
      <c r="K687" s="25" t="n"/>
      <c r="L687" s="25" t="n"/>
      <c r="M687" s="25" t="n"/>
      <c r="N687" s="25" t="n"/>
      <c r="O687" s="4" t="n"/>
      <c r="P687" s="4" t="n"/>
      <c r="Q687" s="4" t="n"/>
      <c r="R687" s="4" t="n"/>
      <c r="S687" s="4" t="n"/>
    </row>
    <row r="688" ht="15" customHeight="1" s="215">
      <c r="A688" s="26" t="n"/>
      <c r="B688" s="26" t="n"/>
      <c r="C688" s="26" t="n"/>
      <c r="D688" s="26" t="n"/>
      <c r="E688" s="26" t="n"/>
      <c r="F688" s="25" t="n"/>
      <c r="G688" s="25" t="n"/>
      <c r="H688" s="25" t="n"/>
      <c r="I688" s="25" t="n"/>
      <c r="J688" s="25" t="n"/>
      <c r="K688" s="25" t="n"/>
      <c r="L688" s="25" t="n"/>
      <c r="M688" s="25" t="n"/>
      <c r="N688" s="25" t="n"/>
      <c r="O688" s="4" t="n"/>
      <c r="P688" s="4" t="n"/>
      <c r="Q688" s="4" t="n"/>
      <c r="R688" s="4" t="n"/>
      <c r="S688" s="4" t="n"/>
    </row>
    <row r="689" ht="15" customHeight="1" s="215">
      <c r="A689" s="26" t="n"/>
      <c r="B689" s="26" t="n"/>
      <c r="C689" s="26" t="n"/>
      <c r="D689" s="26" t="n"/>
      <c r="E689" s="26" t="n"/>
      <c r="F689" s="25" t="n"/>
      <c r="G689" s="25" t="n"/>
      <c r="H689" s="25" t="n"/>
      <c r="I689" s="25" t="n"/>
      <c r="J689" s="25" t="n"/>
      <c r="K689" s="25" t="n"/>
      <c r="L689" s="25" t="n"/>
      <c r="M689" s="25" t="n"/>
      <c r="N689" s="25" t="n"/>
      <c r="O689" s="4" t="n"/>
      <c r="P689" s="4" t="n"/>
      <c r="Q689" s="4" t="n"/>
      <c r="R689" s="4" t="n"/>
      <c r="S689" s="4" t="n"/>
    </row>
    <row r="690" ht="15" customHeight="1" s="215">
      <c r="A690" s="26" t="n"/>
      <c r="B690" s="26" t="n"/>
      <c r="C690" s="26" t="n"/>
      <c r="D690" s="26" t="n"/>
      <c r="E690" s="26" t="n"/>
      <c r="F690" s="25" t="n"/>
      <c r="G690" s="25" t="n"/>
      <c r="H690" s="25" t="n"/>
      <c r="I690" s="25" t="n"/>
      <c r="J690" s="25" t="n"/>
      <c r="K690" s="25" t="n"/>
      <c r="L690" s="25" t="n"/>
      <c r="M690" s="25" t="n"/>
      <c r="N690" s="25" t="n"/>
      <c r="O690" s="4" t="n"/>
      <c r="P690" s="4" t="n"/>
      <c r="Q690" s="4" t="n"/>
      <c r="R690" s="4" t="n"/>
      <c r="S690" s="4" t="n"/>
    </row>
    <row r="691" ht="15" customHeight="1" s="215">
      <c r="A691" s="26" t="n"/>
      <c r="B691" s="26" t="n"/>
      <c r="C691" s="26" t="n"/>
      <c r="D691" s="26" t="n"/>
      <c r="E691" s="26" t="n"/>
      <c r="F691" s="25" t="n"/>
      <c r="G691" s="25" t="n"/>
      <c r="H691" s="25" t="n"/>
      <c r="I691" s="25" t="n"/>
      <c r="J691" s="25" t="n"/>
      <c r="K691" s="25" t="n"/>
      <c r="L691" s="25" t="n"/>
      <c r="M691" s="25" t="n"/>
      <c r="N691" s="25" t="n"/>
      <c r="O691" s="4" t="n"/>
      <c r="P691" s="4" t="n"/>
      <c r="Q691" s="4" t="n"/>
      <c r="R691" s="4" t="n"/>
      <c r="S691" s="4" t="n"/>
    </row>
    <row r="692" ht="15" customHeight="1" s="215">
      <c r="A692" s="26" t="n"/>
      <c r="B692" s="26" t="n"/>
      <c r="C692" s="26" t="n"/>
      <c r="D692" s="26" t="n"/>
      <c r="E692" s="26" t="n"/>
      <c r="F692" s="25" t="n"/>
      <c r="G692" s="25" t="n"/>
      <c r="H692" s="25" t="n"/>
      <c r="I692" s="25" t="n"/>
      <c r="J692" s="25" t="n"/>
      <c r="K692" s="25" t="n"/>
      <c r="L692" s="25" t="n"/>
      <c r="M692" s="25" t="n"/>
      <c r="N692" s="25" t="n"/>
      <c r="O692" s="4" t="n"/>
      <c r="P692" s="4" t="n"/>
      <c r="Q692" s="4" t="n"/>
      <c r="R692" s="4" t="n"/>
      <c r="S692" s="4" t="n"/>
    </row>
    <row r="693" ht="15" customHeight="1" s="215">
      <c r="A693" s="26" t="n"/>
      <c r="B693" s="26" t="n"/>
      <c r="C693" s="26" t="n"/>
      <c r="D693" s="26" t="n"/>
      <c r="E693" s="26" t="n"/>
      <c r="F693" s="25" t="n"/>
      <c r="G693" s="25" t="n"/>
      <c r="H693" s="25" t="n"/>
      <c r="I693" s="25" t="n"/>
      <c r="J693" s="25" t="n"/>
      <c r="K693" s="25" t="n"/>
      <c r="L693" s="25" t="n"/>
      <c r="M693" s="25" t="n"/>
      <c r="N693" s="25" t="n"/>
      <c r="O693" s="4" t="n"/>
      <c r="P693" s="4" t="n"/>
      <c r="Q693" s="4" t="n"/>
      <c r="R693" s="4" t="n"/>
      <c r="S693" s="4" t="n"/>
    </row>
    <row r="694" ht="15" customHeight="1" s="215">
      <c r="A694" s="26" t="n"/>
      <c r="B694" s="26" t="n"/>
      <c r="C694" s="26" t="n"/>
      <c r="D694" s="26" t="n"/>
      <c r="E694" s="26" t="n"/>
      <c r="F694" s="25" t="n"/>
      <c r="G694" s="25" t="n"/>
      <c r="H694" s="25" t="n"/>
      <c r="I694" s="25" t="n"/>
      <c r="J694" s="25" t="n"/>
      <c r="K694" s="25" t="n"/>
      <c r="L694" s="25" t="n"/>
      <c r="M694" s="25" t="n"/>
      <c r="N694" s="25" t="n"/>
      <c r="O694" s="4" t="n"/>
      <c r="P694" s="4" t="n"/>
      <c r="Q694" s="4" t="n"/>
      <c r="R694" s="4" t="n"/>
      <c r="S694" s="4" t="n"/>
    </row>
    <row r="695" ht="15" customHeight="1" s="215">
      <c r="A695" s="26" t="n"/>
      <c r="B695" s="26" t="n"/>
      <c r="C695" s="26" t="n"/>
      <c r="D695" s="26" t="n"/>
      <c r="E695" s="26" t="n"/>
      <c r="F695" s="25" t="n"/>
      <c r="G695" s="25" t="n"/>
      <c r="H695" s="25" t="n"/>
      <c r="I695" s="25" t="n"/>
      <c r="J695" s="25" t="n"/>
      <c r="K695" s="25" t="n"/>
      <c r="L695" s="25" t="n"/>
      <c r="M695" s="25" t="n"/>
      <c r="N695" s="25" t="n"/>
      <c r="O695" s="4" t="n"/>
      <c r="P695" s="4" t="n"/>
      <c r="Q695" s="4" t="n"/>
      <c r="R695" s="4" t="n"/>
      <c r="S695" s="4" t="n"/>
    </row>
    <row r="696" ht="15" customHeight="1" s="215">
      <c r="A696" s="26" t="n"/>
      <c r="B696" s="26" t="n"/>
      <c r="C696" s="26" t="n"/>
      <c r="D696" s="26" t="n"/>
      <c r="E696" s="26" t="n"/>
      <c r="F696" s="25" t="n"/>
      <c r="G696" s="25" t="n"/>
      <c r="H696" s="25" t="n"/>
      <c r="I696" s="25" t="n"/>
      <c r="J696" s="25" t="n"/>
      <c r="K696" s="25" t="n"/>
      <c r="L696" s="25" t="n"/>
      <c r="M696" s="25" t="n"/>
      <c r="N696" s="25" t="n"/>
      <c r="O696" s="4" t="n"/>
      <c r="P696" s="4" t="n"/>
      <c r="Q696" s="4" t="n"/>
      <c r="R696" s="4" t="n"/>
      <c r="S696" s="4" t="n"/>
    </row>
    <row r="697" ht="15" customHeight="1" s="215">
      <c r="A697" s="26" t="n"/>
      <c r="B697" s="26" t="n"/>
      <c r="C697" s="26" t="n"/>
      <c r="D697" s="26" t="n"/>
      <c r="E697" s="26" t="n"/>
      <c r="F697" s="25" t="n"/>
      <c r="G697" s="25" t="n"/>
      <c r="H697" s="25" t="n"/>
      <c r="I697" s="25" t="n"/>
      <c r="J697" s="25" t="n"/>
      <c r="K697" s="25" t="n"/>
      <c r="L697" s="25" t="n"/>
      <c r="M697" s="25" t="n"/>
      <c r="N697" s="25" t="n"/>
      <c r="O697" s="4" t="n"/>
      <c r="P697" s="4" t="n"/>
      <c r="Q697" s="4" t="n"/>
      <c r="R697" s="4" t="n"/>
      <c r="S697" s="4" t="n"/>
    </row>
    <row r="698" ht="15" customHeight="1" s="215">
      <c r="A698" s="26" t="n"/>
      <c r="B698" s="26" t="n"/>
      <c r="C698" s="26" t="n"/>
      <c r="D698" s="26" t="n"/>
      <c r="E698" s="26" t="n"/>
      <c r="F698" s="25" t="n"/>
      <c r="G698" s="25" t="n"/>
      <c r="H698" s="25" t="n"/>
      <c r="I698" s="25" t="n"/>
      <c r="J698" s="25" t="n"/>
      <c r="K698" s="25" t="n"/>
      <c r="L698" s="25" t="n"/>
      <c r="M698" s="25" t="n"/>
      <c r="N698" s="25" t="n"/>
      <c r="O698" s="4" t="n"/>
      <c r="P698" s="4" t="n"/>
      <c r="Q698" s="4" t="n"/>
      <c r="R698" s="4" t="n"/>
      <c r="S698" s="4" t="n"/>
    </row>
    <row r="699" ht="15" customHeight="1" s="215">
      <c r="A699" s="26" t="n"/>
      <c r="B699" s="26" t="n"/>
      <c r="C699" s="26" t="n"/>
      <c r="D699" s="26" t="n"/>
      <c r="E699" s="26" t="n"/>
      <c r="F699" s="25" t="n"/>
      <c r="G699" s="25" t="n"/>
      <c r="H699" s="25" t="n"/>
      <c r="I699" s="25" t="n"/>
      <c r="J699" s="25" t="n"/>
      <c r="K699" s="25" t="n"/>
      <c r="L699" s="25" t="n"/>
      <c r="M699" s="25" t="n"/>
      <c r="N699" s="25" t="n"/>
      <c r="O699" s="4" t="n"/>
      <c r="P699" s="4" t="n"/>
      <c r="Q699" s="4" t="n"/>
      <c r="R699" s="4" t="n"/>
      <c r="S699" s="4" t="n"/>
    </row>
    <row r="700" ht="15" customHeight="1" s="215">
      <c r="A700" s="26" t="n"/>
      <c r="B700" s="26" t="n"/>
      <c r="C700" s="26" t="n"/>
      <c r="D700" s="26" t="n"/>
      <c r="E700" s="26" t="n"/>
      <c r="F700" s="25" t="n"/>
      <c r="G700" s="25" t="n"/>
      <c r="H700" s="25" t="n"/>
      <c r="I700" s="25" t="n"/>
      <c r="J700" s="25" t="n"/>
      <c r="K700" s="25" t="n"/>
      <c r="L700" s="25" t="n"/>
      <c r="M700" s="25" t="n"/>
      <c r="N700" s="25" t="n"/>
      <c r="O700" s="4" t="n"/>
      <c r="P700" s="4" t="n"/>
      <c r="Q700" s="4" t="n"/>
      <c r="R700" s="4" t="n"/>
      <c r="S700" s="4" t="n"/>
    </row>
    <row r="701" ht="15" customHeight="1" s="215">
      <c r="A701" s="26" t="n"/>
      <c r="B701" s="26" t="n"/>
      <c r="C701" s="26" t="n"/>
      <c r="D701" s="26" t="n"/>
      <c r="E701" s="26" t="n"/>
      <c r="F701" s="25" t="n"/>
      <c r="G701" s="25" t="n"/>
      <c r="H701" s="25" t="n"/>
      <c r="I701" s="25" t="n"/>
      <c r="J701" s="25" t="n"/>
      <c r="K701" s="25" t="n"/>
      <c r="L701" s="25" t="n"/>
      <c r="M701" s="25" t="n"/>
      <c r="N701" s="25" t="n"/>
      <c r="O701" s="4" t="n"/>
      <c r="P701" s="4" t="n"/>
      <c r="Q701" s="4" t="n"/>
      <c r="R701" s="4" t="n"/>
      <c r="S701" s="4" t="n"/>
    </row>
    <row r="702" ht="15" customHeight="1" s="215">
      <c r="A702" s="26" t="n"/>
      <c r="B702" s="26" t="n"/>
      <c r="C702" s="26" t="n"/>
      <c r="D702" s="26" t="n"/>
      <c r="E702" s="26" t="n"/>
      <c r="F702" s="25" t="n"/>
      <c r="G702" s="25" t="n"/>
      <c r="H702" s="25" t="n"/>
      <c r="I702" s="25" t="n"/>
      <c r="J702" s="25" t="n"/>
      <c r="K702" s="25" t="n"/>
      <c r="L702" s="25" t="n"/>
      <c r="M702" s="25" t="n"/>
      <c r="N702" s="25" t="n"/>
      <c r="O702" s="4" t="n"/>
      <c r="P702" s="4" t="n"/>
      <c r="Q702" s="4" t="n"/>
      <c r="R702" s="4" t="n"/>
      <c r="S702" s="4" t="n"/>
    </row>
    <row r="703" ht="15" customHeight="1" s="215">
      <c r="A703" s="26" t="n"/>
      <c r="B703" s="26" t="n"/>
      <c r="C703" s="26" t="n"/>
      <c r="D703" s="26" t="n"/>
      <c r="E703" s="26" t="n"/>
      <c r="F703" s="25" t="n"/>
      <c r="G703" s="25" t="n"/>
      <c r="H703" s="25" t="n"/>
      <c r="I703" s="25" t="n"/>
      <c r="J703" s="25" t="n"/>
      <c r="K703" s="25" t="n"/>
      <c r="L703" s="25" t="n"/>
      <c r="M703" s="25" t="n"/>
      <c r="N703" s="25" t="n"/>
      <c r="O703" s="4" t="n"/>
      <c r="P703" s="4" t="n"/>
      <c r="Q703" s="4" t="n"/>
      <c r="R703" s="4" t="n"/>
      <c r="S703" s="4" t="n"/>
    </row>
    <row r="704" ht="15" customHeight="1" s="215">
      <c r="A704" s="26" t="n"/>
      <c r="B704" s="26" t="n"/>
      <c r="C704" s="26" t="n"/>
      <c r="D704" s="26" t="n"/>
      <c r="E704" s="26" t="n"/>
      <c r="F704" s="25" t="n"/>
      <c r="G704" s="25" t="n"/>
      <c r="H704" s="25" t="n"/>
      <c r="I704" s="25" t="n"/>
      <c r="J704" s="25" t="n"/>
      <c r="K704" s="25" t="n"/>
      <c r="L704" s="25" t="n"/>
      <c r="M704" s="25" t="n"/>
      <c r="N704" s="25" t="n"/>
      <c r="O704" s="4" t="n"/>
      <c r="P704" s="4" t="n"/>
      <c r="Q704" s="4" t="n"/>
      <c r="R704" s="4" t="n"/>
      <c r="S704" s="4" t="n"/>
    </row>
    <row r="705" ht="15" customHeight="1" s="215">
      <c r="A705" s="26" t="n"/>
      <c r="B705" s="26" t="n"/>
      <c r="C705" s="26" t="n"/>
      <c r="D705" s="26" t="n"/>
      <c r="E705" s="26" t="n"/>
      <c r="F705" s="25" t="n"/>
      <c r="G705" s="25" t="n"/>
      <c r="H705" s="25" t="n"/>
      <c r="I705" s="25" t="n"/>
      <c r="J705" s="25" t="n"/>
      <c r="K705" s="25" t="n"/>
      <c r="L705" s="25" t="n"/>
      <c r="M705" s="25" t="n"/>
      <c r="N705" s="25" t="n"/>
      <c r="O705" s="4" t="n"/>
      <c r="P705" s="4" t="n"/>
      <c r="Q705" s="4" t="n"/>
      <c r="R705" s="4" t="n"/>
      <c r="S705" s="4" t="n"/>
    </row>
    <row r="706" ht="15" customHeight="1" s="215">
      <c r="A706" s="26" t="n"/>
      <c r="B706" s="26" t="n"/>
      <c r="C706" s="26" t="n"/>
      <c r="D706" s="26" t="n"/>
      <c r="E706" s="26" t="n"/>
      <c r="F706" s="25" t="n"/>
      <c r="G706" s="25" t="n"/>
      <c r="H706" s="25" t="n"/>
      <c r="I706" s="25" t="n"/>
      <c r="J706" s="25" t="n"/>
      <c r="K706" s="25" t="n"/>
      <c r="L706" s="25" t="n"/>
      <c r="M706" s="25" t="n"/>
      <c r="N706" s="25" t="n"/>
      <c r="O706" s="4" t="n"/>
      <c r="P706" s="4" t="n"/>
      <c r="Q706" s="4" t="n"/>
      <c r="R706" s="4" t="n"/>
      <c r="S706" s="4" t="n"/>
    </row>
    <row r="707" ht="15" customHeight="1" s="215">
      <c r="A707" s="26" t="n"/>
      <c r="B707" s="26" t="n"/>
      <c r="C707" s="26" t="n"/>
      <c r="D707" s="26" t="n"/>
      <c r="E707" s="26" t="n"/>
      <c r="F707" s="25" t="n"/>
      <c r="G707" s="25" t="n"/>
      <c r="H707" s="25" t="n"/>
      <c r="I707" s="25" t="n"/>
      <c r="J707" s="25" t="n"/>
      <c r="K707" s="25" t="n"/>
      <c r="L707" s="25" t="n"/>
      <c r="M707" s="25" t="n"/>
      <c r="N707" s="25" t="n"/>
      <c r="O707" s="4" t="n"/>
      <c r="P707" s="4" t="n"/>
      <c r="Q707" s="4" t="n"/>
      <c r="R707" s="4" t="n"/>
      <c r="S707" s="4" t="n"/>
    </row>
    <row r="708" ht="15" customHeight="1" s="215">
      <c r="A708" s="26" t="n"/>
      <c r="B708" s="26" t="n"/>
      <c r="C708" s="26" t="n"/>
      <c r="D708" s="26" t="n"/>
      <c r="E708" s="26" t="n"/>
      <c r="F708" s="25" t="n"/>
      <c r="G708" s="25" t="n"/>
      <c r="H708" s="25" t="n"/>
      <c r="I708" s="25" t="n"/>
      <c r="J708" s="25" t="n"/>
      <c r="K708" s="25" t="n"/>
      <c r="L708" s="25" t="n"/>
      <c r="M708" s="25" t="n"/>
      <c r="N708" s="25" t="n"/>
      <c r="O708" s="4" t="n"/>
      <c r="P708" s="4" t="n"/>
      <c r="Q708" s="4" t="n"/>
      <c r="R708" s="4" t="n"/>
      <c r="S708" s="4" t="n"/>
    </row>
    <row r="709" ht="15" customHeight="1" s="215">
      <c r="A709" s="26" t="n"/>
      <c r="B709" s="26" t="n"/>
      <c r="C709" s="26" t="n"/>
      <c r="D709" s="26" t="n"/>
      <c r="E709" s="26" t="n"/>
      <c r="F709" s="25" t="n"/>
      <c r="G709" s="25" t="n"/>
      <c r="H709" s="25" t="n"/>
      <c r="I709" s="25" t="n"/>
      <c r="J709" s="25" t="n"/>
      <c r="K709" s="25" t="n"/>
      <c r="L709" s="25" t="n"/>
      <c r="M709" s="25" t="n"/>
      <c r="N709" s="25" t="n"/>
      <c r="O709" s="4" t="n"/>
      <c r="P709" s="4" t="n"/>
      <c r="Q709" s="4" t="n"/>
      <c r="R709" s="4" t="n"/>
      <c r="S709" s="4" t="n"/>
    </row>
    <row r="710" ht="15" customHeight="1" s="215">
      <c r="A710" s="26" t="n"/>
      <c r="B710" s="26" t="n"/>
      <c r="C710" s="26" t="n"/>
      <c r="D710" s="26" t="n"/>
      <c r="E710" s="26" t="n"/>
      <c r="F710" s="25" t="n"/>
      <c r="G710" s="25" t="n"/>
      <c r="H710" s="25" t="n"/>
      <c r="I710" s="25" t="n"/>
      <c r="J710" s="25" t="n"/>
      <c r="K710" s="25" t="n"/>
      <c r="L710" s="25" t="n"/>
      <c r="M710" s="25" t="n"/>
      <c r="N710" s="25" t="n"/>
      <c r="O710" s="4" t="n"/>
      <c r="P710" s="4" t="n"/>
      <c r="Q710" s="4" t="n"/>
      <c r="R710" s="4" t="n"/>
      <c r="S710" s="4" t="n"/>
    </row>
    <row r="711" ht="15" customHeight="1" s="215">
      <c r="A711" s="26" t="n"/>
      <c r="B711" s="26" t="n"/>
      <c r="C711" s="26" t="n"/>
      <c r="D711" s="26" t="n"/>
      <c r="E711" s="26" t="n"/>
      <c r="F711" s="25" t="n"/>
      <c r="G711" s="25" t="n"/>
      <c r="H711" s="25" t="n"/>
      <c r="I711" s="25" t="n"/>
      <c r="J711" s="25" t="n"/>
      <c r="K711" s="25" t="n"/>
      <c r="L711" s="25" t="n"/>
      <c r="M711" s="25" t="n"/>
      <c r="N711" s="25" t="n"/>
      <c r="O711" s="4" t="n"/>
      <c r="P711" s="4" t="n"/>
      <c r="Q711" s="4" t="n"/>
      <c r="R711" s="4" t="n"/>
      <c r="S711" s="4" t="n"/>
    </row>
    <row r="712" ht="15" customHeight="1" s="215">
      <c r="A712" s="26" t="n"/>
      <c r="B712" s="26" t="n"/>
      <c r="C712" s="26" t="n"/>
      <c r="D712" s="26" t="n"/>
      <c r="E712" s="26" t="n"/>
      <c r="F712" s="25" t="n"/>
      <c r="G712" s="25" t="n"/>
      <c r="H712" s="25" t="n"/>
      <c r="I712" s="25" t="n"/>
      <c r="J712" s="25" t="n"/>
      <c r="K712" s="25" t="n"/>
      <c r="L712" s="25" t="n"/>
      <c r="M712" s="25" t="n"/>
      <c r="N712" s="25" t="n"/>
      <c r="O712" s="4" t="n"/>
      <c r="P712" s="4" t="n"/>
      <c r="Q712" s="4" t="n"/>
      <c r="R712" s="4" t="n"/>
      <c r="S712" s="4" t="n"/>
    </row>
    <row r="713" ht="15" customHeight="1" s="215">
      <c r="A713" s="26" t="n"/>
      <c r="B713" s="26" t="n"/>
      <c r="C713" s="26" t="n"/>
      <c r="D713" s="26" t="n"/>
      <c r="E713" s="26" t="n"/>
      <c r="F713" s="25" t="n"/>
      <c r="G713" s="25" t="n"/>
      <c r="H713" s="25" t="n"/>
      <c r="I713" s="25" t="n"/>
      <c r="J713" s="25" t="n"/>
      <c r="K713" s="25" t="n"/>
      <c r="L713" s="25" t="n"/>
      <c r="M713" s="25" t="n"/>
      <c r="N713" s="25" t="n"/>
      <c r="O713" s="4" t="n"/>
      <c r="P713" s="4" t="n"/>
      <c r="Q713" s="4" t="n"/>
      <c r="R713" s="4" t="n"/>
      <c r="S713" s="4" t="n"/>
    </row>
    <row r="714" ht="15" customHeight="1" s="215">
      <c r="A714" s="26" t="n"/>
      <c r="B714" s="26" t="n"/>
      <c r="C714" s="26" t="n"/>
      <c r="D714" s="26" t="n"/>
      <c r="E714" s="26" t="n"/>
      <c r="F714" s="25" t="n"/>
      <c r="G714" s="25" t="n"/>
      <c r="H714" s="25" t="n"/>
      <c r="I714" s="25" t="n"/>
      <c r="J714" s="25" t="n"/>
      <c r="K714" s="25" t="n"/>
      <c r="L714" s="25" t="n"/>
      <c r="M714" s="25" t="n"/>
      <c r="N714" s="25" t="n"/>
      <c r="O714" s="4" t="n"/>
      <c r="P714" s="4" t="n"/>
      <c r="Q714" s="4" t="n"/>
      <c r="R714" s="4" t="n"/>
      <c r="S714" s="4" t="n"/>
    </row>
    <row r="715" ht="15" customHeight="1" s="215">
      <c r="A715" s="26" t="n"/>
      <c r="B715" s="26" t="n"/>
      <c r="C715" s="26" t="n"/>
      <c r="D715" s="26" t="n"/>
      <c r="E715" s="26" t="n"/>
      <c r="F715" s="25" t="n"/>
      <c r="G715" s="25" t="n"/>
      <c r="H715" s="25" t="n"/>
      <c r="I715" s="25" t="n"/>
      <c r="J715" s="25" t="n"/>
      <c r="K715" s="25" t="n"/>
      <c r="L715" s="25" t="n"/>
      <c r="M715" s="25" t="n"/>
      <c r="N715" s="25" t="n"/>
      <c r="O715" s="4" t="n"/>
      <c r="P715" s="4" t="n"/>
      <c r="Q715" s="4" t="n"/>
      <c r="R715" s="4" t="n"/>
      <c r="S715" s="4" t="n"/>
    </row>
    <row r="716" ht="15" customHeight="1" s="215">
      <c r="A716" s="26" t="n"/>
      <c r="B716" s="26" t="n"/>
      <c r="C716" s="26" t="n"/>
      <c r="D716" s="26" t="n"/>
      <c r="E716" s="26" t="n"/>
      <c r="F716" s="25" t="n"/>
      <c r="G716" s="25" t="n"/>
      <c r="H716" s="25" t="n"/>
      <c r="I716" s="25" t="n"/>
      <c r="J716" s="25" t="n"/>
      <c r="K716" s="25" t="n"/>
      <c r="L716" s="25" t="n"/>
      <c r="M716" s="25" t="n"/>
      <c r="N716" s="25" t="n"/>
      <c r="O716" s="4" t="n"/>
      <c r="P716" s="4" t="n"/>
      <c r="Q716" s="4" t="n"/>
      <c r="R716" s="4" t="n"/>
      <c r="S716" s="4" t="n"/>
    </row>
    <row r="717" ht="15" customHeight="1" s="215">
      <c r="A717" s="26" t="n"/>
      <c r="B717" s="26" t="n"/>
      <c r="C717" s="26" t="n"/>
      <c r="D717" s="26" t="n"/>
      <c r="E717" s="26" t="n"/>
      <c r="F717" s="25" t="n"/>
      <c r="G717" s="25" t="n"/>
      <c r="H717" s="25" t="n"/>
      <c r="I717" s="25" t="n"/>
      <c r="J717" s="25" t="n"/>
      <c r="K717" s="25" t="n"/>
      <c r="L717" s="25" t="n"/>
      <c r="M717" s="25" t="n"/>
      <c r="N717" s="25" t="n"/>
      <c r="O717" s="4" t="n"/>
      <c r="P717" s="4" t="n"/>
      <c r="Q717" s="4" t="n"/>
      <c r="R717" s="4" t="n"/>
      <c r="S717" s="4" t="n"/>
    </row>
    <row r="718" ht="15" customHeight="1" s="215">
      <c r="A718" s="26" t="n"/>
      <c r="B718" s="26" t="n"/>
      <c r="C718" s="26" t="n"/>
      <c r="D718" s="26" t="n"/>
      <c r="E718" s="26" t="n"/>
      <c r="F718" s="25" t="n"/>
      <c r="G718" s="25" t="n"/>
      <c r="H718" s="25" t="n"/>
      <c r="I718" s="25" t="n"/>
      <c r="J718" s="25" t="n"/>
      <c r="K718" s="25" t="n"/>
      <c r="L718" s="25" t="n"/>
      <c r="M718" s="25" t="n"/>
      <c r="N718" s="25" t="n"/>
      <c r="O718" s="4" t="n"/>
      <c r="P718" s="4" t="n"/>
      <c r="Q718" s="4" t="n"/>
      <c r="R718" s="4" t="n"/>
      <c r="S718" s="4" t="n"/>
    </row>
    <row r="719" ht="15" customHeight="1" s="215">
      <c r="A719" s="26" t="n"/>
      <c r="B719" s="26" t="n"/>
      <c r="C719" s="26" t="n"/>
      <c r="D719" s="26" t="n"/>
      <c r="E719" s="26" t="n"/>
      <c r="F719" s="25" t="n"/>
      <c r="G719" s="25" t="n"/>
      <c r="H719" s="25" t="n"/>
      <c r="I719" s="25" t="n"/>
      <c r="J719" s="25" t="n"/>
      <c r="K719" s="25" t="n"/>
      <c r="L719" s="25" t="n"/>
      <c r="M719" s="25" t="n"/>
      <c r="N719" s="25" t="n"/>
      <c r="O719" s="4" t="n"/>
      <c r="P719" s="4" t="n"/>
      <c r="Q719" s="4" t="n"/>
      <c r="R719" s="4" t="n"/>
      <c r="S719" s="4" t="n"/>
    </row>
    <row r="720" ht="15" customHeight="1" s="215">
      <c r="A720" s="26" t="n"/>
      <c r="B720" s="26" t="n"/>
      <c r="C720" s="26" t="n"/>
      <c r="D720" s="26" t="n"/>
      <c r="E720" s="26" t="n"/>
      <c r="F720" s="25" t="n"/>
      <c r="G720" s="25" t="n"/>
      <c r="H720" s="25" t="n"/>
      <c r="I720" s="25" t="n"/>
      <c r="J720" s="25" t="n"/>
      <c r="K720" s="25" t="n"/>
      <c r="L720" s="25" t="n"/>
      <c r="M720" s="25" t="n"/>
      <c r="N720" s="25" t="n"/>
      <c r="O720" s="4" t="n"/>
      <c r="P720" s="4" t="n"/>
      <c r="Q720" s="4" t="n"/>
      <c r="R720" s="4" t="n"/>
      <c r="S720" s="4" t="n"/>
    </row>
    <row r="721" ht="15" customHeight="1" s="215">
      <c r="A721" s="26" t="n"/>
      <c r="B721" s="26" t="n"/>
      <c r="C721" s="26" t="n"/>
      <c r="D721" s="26" t="n"/>
      <c r="E721" s="26" t="n"/>
      <c r="F721" s="25" t="n"/>
      <c r="G721" s="25" t="n"/>
      <c r="H721" s="25" t="n"/>
      <c r="I721" s="25" t="n"/>
      <c r="J721" s="25" t="n"/>
      <c r="K721" s="25" t="n"/>
      <c r="L721" s="25" t="n"/>
      <c r="M721" s="25" t="n"/>
      <c r="N721" s="25" t="n"/>
      <c r="O721" s="4" t="n"/>
      <c r="P721" s="4" t="n"/>
      <c r="Q721" s="4" t="n"/>
      <c r="R721" s="4" t="n"/>
      <c r="S721" s="4" t="n"/>
    </row>
    <row r="722" ht="15" customHeight="1" s="215">
      <c r="A722" s="26" t="n"/>
      <c r="B722" s="26" t="n"/>
      <c r="C722" s="26" t="n"/>
      <c r="D722" s="26" t="n"/>
      <c r="E722" s="26" t="n"/>
      <c r="F722" s="25" t="n"/>
      <c r="G722" s="25" t="n"/>
      <c r="H722" s="25" t="n"/>
      <c r="I722" s="25" t="n"/>
      <c r="J722" s="25" t="n"/>
      <c r="K722" s="25" t="n"/>
      <c r="L722" s="25" t="n"/>
      <c r="M722" s="25" t="n"/>
      <c r="N722" s="25" t="n"/>
      <c r="O722" s="4" t="n"/>
      <c r="P722" s="4" t="n"/>
      <c r="Q722" s="4" t="n"/>
      <c r="R722" s="4" t="n"/>
      <c r="S722" s="4" t="n"/>
    </row>
    <row r="723" ht="15" customHeight="1" s="215">
      <c r="A723" s="26" t="n"/>
      <c r="B723" s="26" t="n"/>
      <c r="C723" s="26" t="n"/>
      <c r="D723" s="26" t="n"/>
      <c r="E723" s="26" t="n"/>
      <c r="F723" s="25" t="n"/>
      <c r="G723" s="25" t="n"/>
      <c r="H723" s="25" t="n"/>
      <c r="I723" s="25" t="n"/>
      <c r="J723" s="25" t="n"/>
      <c r="K723" s="25" t="n"/>
      <c r="L723" s="25" t="n"/>
      <c r="M723" s="25" t="n"/>
      <c r="N723" s="25" t="n"/>
      <c r="O723" s="4" t="n"/>
      <c r="P723" s="4" t="n"/>
      <c r="Q723" s="4" t="n"/>
      <c r="R723" s="4" t="n"/>
      <c r="S723" s="4" t="n"/>
    </row>
    <row r="724" ht="15" customHeight="1" s="215">
      <c r="A724" s="26" t="n"/>
      <c r="B724" s="26" t="n"/>
      <c r="C724" s="26" t="n"/>
      <c r="D724" s="26" t="n"/>
      <c r="E724" s="26" t="n"/>
      <c r="F724" s="25" t="n"/>
      <c r="G724" s="25" t="n"/>
      <c r="H724" s="25" t="n"/>
      <c r="I724" s="25" t="n"/>
      <c r="J724" s="25" t="n"/>
      <c r="K724" s="25" t="n"/>
      <c r="L724" s="25" t="n"/>
      <c r="M724" s="25" t="n"/>
      <c r="N724" s="25" t="n"/>
      <c r="O724" s="4" t="n"/>
      <c r="P724" s="4" t="n"/>
      <c r="Q724" s="4" t="n"/>
      <c r="R724" s="4" t="n"/>
      <c r="S724" s="4" t="n"/>
    </row>
    <row r="725" ht="15" customHeight="1" s="215">
      <c r="A725" s="26" t="n"/>
      <c r="B725" s="26" t="n"/>
      <c r="C725" s="26" t="n"/>
      <c r="D725" s="26" t="n"/>
      <c r="E725" s="26" t="n"/>
      <c r="F725" s="25" t="n"/>
      <c r="G725" s="25" t="n"/>
      <c r="H725" s="25" t="n"/>
      <c r="I725" s="25" t="n"/>
      <c r="J725" s="25" t="n"/>
      <c r="K725" s="25" t="n"/>
      <c r="L725" s="25" t="n"/>
      <c r="M725" s="25" t="n"/>
      <c r="N725" s="25" t="n"/>
      <c r="O725" s="4" t="n"/>
      <c r="P725" s="4" t="n"/>
      <c r="Q725" s="4" t="n"/>
      <c r="R725" s="4" t="n"/>
      <c r="S725" s="4" t="n"/>
    </row>
    <row r="726" ht="15" customHeight="1" s="215">
      <c r="A726" s="26" t="n"/>
      <c r="B726" s="26" t="n"/>
      <c r="C726" s="26" t="n"/>
      <c r="D726" s="26" t="n"/>
      <c r="E726" s="26" t="n"/>
      <c r="F726" s="25" t="n"/>
      <c r="G726" s="25" t="n"/>
      <c r="H726" s="25" t="n"/>
      <c r="I726" s="25" t="n"/>
      <c r="J726" s="25" t="n"/>
      <c r="K726" s="25" t="n"/>
      <c r="L726" s="25" t="n"/>
      <c r="M726" s="25" t="n"/>
      <c r="N726" s="25" t="n"/>
      <c r="O726" s="4" t="n"/>
      <c r="P726" s="4" t="n"/>
      <c r="Q726" s="4" t="n"/>
      <c r="R726" s="4" t="n"/>
      <c r="S726" s="4" t="n"/>
    </row>
    <row r="727" ht="15" customHeight="1" s="215">
      <c r="A727" s="26" t="n"/>
      <c r="B727" s="26" t="n"/>
      <c r="C727" s="26" t="n"/>
      <c r="D727" s="26" t="n"/>
      <c r="E727" s="26" t="n"/>
      <c r="F727" s="25" t="n"/>
      <c r="G727" s="25" t="n"/>
      <c r="H727" s="25" t="n"/>
      <c r="I727" s="25" t="n"/>
      <c r="J727" s="25" t="n"/>
      <c r="K727" s="25" t="n"/>
      <c r="L727" s="25" t="n"/>
      <c r="M727" s="25" t="n"/>
      <c r="N727" s="25" t="n"/>
      <c r="O727" s="4" t="n"/>
      <c r="P727" s="4" t="n"/>
      <c r="Q727" s="4" t="n"/>
      <c r="R727" s="4" t="n"/>
      <c r="S727" s="4" t="n"/>
    </row>
    <row r="728" ht="15" customHeight="1" s="215">
      <c r="A728" s="26" t="n"/>
      <c r="B728" s="26" t="n"/>
      <c r="C728" s="26" t="n"/>
      <c r="D728" s="26" t="n"/>
      <c r="E728" s="26" t="n"/>
      <c r="F728" s="25" t="n"/>
      <c r="G728" s="25" t="n"/>
      <c r="H728" s="25" t="n"/>
      <c r="I728" s="25" t="n"/>
      <c r="J728" s="25" t="n"/>
      <c r="K728" s="25" t="n"/>
      <c r="L728" s="25" t="n"/>
      <c r="M728" s="25" t="n"/>
      <c r="N728" s="25" t="n"/>
      <c r="O728" s="4" t="n"/>
      <c r="P728" s="4" t="n"/>
      <c r="Q728" s="4" t="n"/>
      <c r="R728" s="4" t="n"/>
      <c r="S728" s="4" t="n"/>
    </row>
    <row r="729" ht="15" customHeight="1" s="215">
      <c r="A729" s="26" t="n"/>
      <c r="B729" s="26" t="n"/>
      <c r="C729" s="26" t="n"/>
      <c r="D729" s="26" t="n"/>
      <c r="E729" s="26" t="n"/>
      <c r="F729" s="25" t="n"/>
      <c r="G729" s="25" t="n"/>
      <c r="H729" s="25" t="n"/>
      <c r="I729" s="25" t="n"/>
      <c r="J729" s="25" t="n"/>
      <c r="K729" s="25" t="n"/>
      <c r="L729" s="25" t="n"/>
      <c r="M729" s="25" t="n"/>
      <c r="N729" s="25" t="n"/>
      <c r="O729" s="4" t="n"/>
      <c r="P729" s="4" t="n"/>
      <c r="Q729" s="4" t="n"/>
      <c r="R729" s="4" t="n"/>
      <c r="S729" s="4" t="n"/>
    </row>
    <row r="730" ht="15" customHeight="1" s="215">
      <c r="A730" s="26" t="n"/>
      <c r="B730" s="26" t="n"/>
      <c r="C730" s="26" t="n"/>
      <c r="D730" s="26" t="n"/>
      <c r="E730" s="26" t="n"/>
      <c r="F730" s="25" t="n"/>
      <c r="G730" s="25" t="n"/>
      <c r="H730" s="25" t="n"/>
      <c r="I730" s="25" t="n"/>
      <c r="J730" s="25" t="n"/>
      <c r="K730" s="25" t="n"/>
      <c r="L730" s="25" t="n"/>
      <c r="M730" s="25" t="n"/>
      <c r="N730" s="25" t="n"/>
      <c r="O730" s="4" t="n"/>
      <c r="P730" s="4" t="n"/>
      <c r="Q730" s="4" t="n"/>
      <c r="R730" s="4" t="n"/>
      <c r="S730" s="4" t="n"/>
    </row>
    <row r="731" ht="15" customHeight="1" s="215">
      <c r="A731" s="26" t="n"/>
      <c r="B731" s="26" t="n"/>
      <c r="C731" s="26" t="n"/>
      <c r="D731" s="26" t="n"/>
      <c r="E731" s="26" t="n"/>
      <c r="F731" s="25" t="n"/>
      <c r="G731" s="25" t="n"/>
      <c r="H731" s="25" t="n"/>
      <c r="I731" s="25" t="n"/>
      <c r="J731" s="25" t="n"/>
      <c r="K731" s="25" t="n"/>
      <c r="L731" s="25" t="n"/>
      <c r="M731" s="25" t="n"/>
      <c r="N731" s="25" t="n"/>
      <c r="O731" s="4" t="n"/>
      <c r="P731" s="4" t="n"/>
      <c r="Q731" s="4" t="n"/>
      <c r="R731" s="4" t="n"/>
      <c r="S731" s="4" t="n"/>
    </row>
    <row r="732" ht="15" customHeight="1" s="215">
      <c r="A732" s="26" t="n"/>
      <c r="B732" s="26" t="n"/>
      <c r="C732" s="26" t="n"/>
      <c r="D732" s="26" t="n"/>
      <c r="E732" s="26" t="n"/>
      <c r="F732" s="25" t="n"/>
      <c r="G732" s="25" t="n"/>
      <c r="H732" s="25" t="n"/>
      <c r="I732" s="25" t="n"/>
      <c r="J732" s="25" t="n"/>
      <c r="K732" s="25" t="n"/>
      <c r="L732" s="25" t="n"/>
      <c r="M732" s="25" t="n"/>
      <c r="N732" s="25" t="n"/>
      <c r="O732" s="4" t="n"/>
      <c r="P732" s="4" t="n"/>
      <c r="Q732" s="4" t="n"/>
      <c r="R732" s="4" t="n"/>
      <c r="S732" s="4" t="n"/>
    </row>
    <row r="733" ht="15" customHeight="1" s="215">
      <c r="A733" s="26" t="n"/>
      <c r="B733" s="26" t="n"/>
      <c r="C733" s="26" t="n"/>
      <c r="D733" s="26" t="n"/>
      <c r="E733" s="26" t="n"/>
      <c r="F733" s="25" t="n"/>
      <c r="G733" s="25" t="n"/>
      <c r="H733" s="25" t="n"/>
      <c r="I733" s="25" t="n"/>
      <c r="J733" s="25" t="n"/>
      <c r="K733" s="25" t="n"/>
      <c r="L733" s="25" t="n"/>
      <c r="M733" s="25" t="n"/>
      <c r="N733" s="25" t="n"/>
      <c r="O733" s="4" t="n"/>
      <c r="P733" s="4" t="n"/>
      <c r="Q733" s="4" t="n"/>
      <c r="R733" s="4" t="n"/>
      <c r="S733" s="4" t="n"/>
    </row>
    <row r="734" ht="15" customHeight="1" s="215">
      <c r="A734" s="26" t="n"/>
      <c r="B734" s="26" t="n"/>
      <c r="C734" s="26" t="n"/>
      <c r="D734" s="26" t="n"/>
      <c r="E734" s="26" t="n"/>
      <c r="F734" s="25" t="n"/>
      <c r="G734" s="25" t="n"/>
      <c r="H734" s="25" t="n"/>
      <c r="I734" s="25" t="n"/>
      <c r="J734" s="25" t="n"/>
      <c r="K734" s="25" t="n"/>
      <c r="L734" s="25" t="n"/>
      <c r="M734" s="25" t="n"/>
      <c r="N734" s="25" t="n"/>
      <c r="O734" s="4" t="n"/>
      <c r="P734" s="4" t="n"/>
      <c r="Q734" s="4" t="n"/>
      <c r="R734" s="4" t="n"/>
      <c r="S734" s="4" t="n"/>
    </row>
    <row r="735" ht="15" customHeight="1" s="215">
      <c r="A735" s="26" t="n"/>
      <c r="B735" s="26" t="n"/>
      <c r="C735" s="26" t="n"/>
      <c r="D735" s="26" t="n"/>
      <c r="E735" s="26" t="n"/>
      <c r="F735" s="25" t="n"/>
      <c r="G735" s="25" t="n"/>
      <c r="H735" s="25" t="n"/>
      <c r="I735" s="25" t="n"/>
      <c r="J735" s="25" t="n"/>
      <c r="K735" s="25" t="n"/>
      <c r="L735" s="25" t="n"/>
      <c r="M735" s="25" t="n"/>
      <c r="N735" s="25" t="n"/>
      <c r="O735" s="4" t="n"/>
      <c r="P735" s="4" t="n"/>
      <c r="Q735" s="4" t="n"/>
      <c r="R735" s="4" t="n"/>
      <c r="S735" s="4" t="n"/>
    </row>
    <row r="736" ht="15" customHeight="1" s="215">
      <c r="A736" s="26" t="n"/>
      <c r="B736" s="26" t="n"/>
      <c r="C736" s="26" t="n"/>
      <c r="D736" s="26" t="n"/>
      <c r="E736" s="26" t="n"/>
      <c r="F736" s="25" t="n"/>
      <c r="G736" s="25" t="n"/>
      <c r="H736" s="25" t="n"/>
      <c r="I736" s="25" t="n"/>
      <c r="J736" s="25" t="n"/>
      <c r="K736" s="25" t="n"/>
      <c r="L736" s="25" t="n"/>
      <c r="M736" s="25" t="n"/>
      <c r="N736" s="25" t="n"/>
      <c r="O736" s="4" t="n"/>
      <c r="P736" s="4" t="n"/>
      <c r="Q736" s="4" t="n"/>
      <c r="R736" s="4" t="n"/>
      <c r="S736" s="4" t="n"/>
    </row>
    <row r="737" ht="15" customHeight="1" s="215">
      <c r="A737" s="26" t="n"/>
      <c r="B737" s="26" t="n"/>
      <c r="C737" s="26" t="n"/>
      <c r="D737" s="26" t="n"/>
      <c r="E737" s="26" t="n"/>
      <c r="F737" s="25" t="n"/>
      <c r="G737" s="25" t="n"/>
      <c r="H737" s="25" t="n"/>
      <c r="I737" s="25" t="n"/>
      <c r="J737" s="25" t="n"/>
      <c r="K737" s="25" t="n"/>
      <c r="L737" s="25" t="n"/>
      <c r="M737" s="25" t="n"/>
      <c r="N737" s="25" t="n"/>
      <c r="O737" s="4" t="n"/>
      <c r="P737" s="4" t="n"/>
      <c r="Q737" s="4" t="n"/>
      <c r="R737" s="4" t="n"/>
      <c r="S737" s="4" t="n"/>
    </row>
    <row r="738" ht="15" customHeight="1" s="215">
      <c r="A738" s="26" t="n"/>
      <c r="B738" s="26" t="n"/>
      <c r="C738" s="26" t="n"/>
      <c r="D738" s="26" t="n"/>
      <c r="E738" s="26" t="n"/>
      <c r="F738" s="25" t="n"/>
      <c r="G738" s="25" t="n"/>
      <c r="H738" s="25" t="n"/>
      <c r="I738" s="25" t="n"/>
      <c r="J738" s="25" t="n"/>
      <c r="K738" s="25" t="n"/>
      <c r="L738" s="25" t="n"/>
      <c r="M738" s="25" t="n"/>
      <c r="N738" s="25" t="n"/>
      <c r="O738" s="4" t="n"/>
      <c r="P738" s="4" t="n"/>
      <c r="Q738" s="4" t="n"/>
      <c r="R738" s="4" t="n"/>
      <c r="S738" s="4" t="n"/>
    </row>
    <row r="739" ht="15" customHeight="1" s="215">
      <c r="A739" s="26" t="n"/>
      <c r="B739" s="26" t="n"/>
      <c r="C739" s="26" t="n"/>
      <c r="D739" s="26" t="n"/>
      <c r="E739" s="26" t="n"/>
      <c r="F739" s="25" t="n"/>
      <c r="G739" s="25" t="n"/>
      <c r="H739" s="25" t="n"/>
      <c r="I739" s="25" t="n"/>
      <c r="J739" s="25" t="n"/>
      <c r="K739" s="25" t="n"/>
      <c r="L739" s="25" t="n"/>
      <c r="M739" s="25" t="n"/>
      <c r="N739" s="25" t="n"/>
      <c r="O739" s="4" t="n"/>
      <c r="P739" s="4" t="n"/>
      <c r="Q739" s="4" t="n"/>
      <c r="R739" s="4" t="n"/>
      <c r="S739" s="4" t="n"/>
    </row>
    <row r="740" ht="15" customHeight="1" s="215">
      <c r="A740" s="26" t="n"/>
      <c r="B740" s="26" t="n"/>
      <c r="C740" s="26" t="n"/>
      <c r="D740" s="26" t="n"/>
      <c r="E740" s="26" t="n"/>
      <c r="F740" s="25" t="n"/>
      <c r="G740" s="25" t="n"/>
      <c r="H740" s="25" t="n"/>
      <c r="I740" s="25" t="n"/>
      <c r="J740" s="25" t="n"/>
      <c r="K740" s="25" t="n"/>
      <c r="L740" s="25" t="n"/>
      <c r="M740" s="25" t="n"/>
      <c r="N740" s="25" t="n"/>
      <c r="O740" s="4" t="n"/>
      <c r="P740" s="4" t="n"/>
      <c r="Q740" s="4" t="n"/>
      <c r="R740" s="4" t="n"/>
      <c r="S740" s="4" t="n"/>
    </row>
    <row r="741" ht="15" customHeight="1" s="215">
      <c r="A741" s="26" t="n"/>
      <c r="B741" s="26" t="n"/>
      <c r="C741" s="26" t="n"/>
      <c r="D741" s="26" t="n"/>
      <c r="E741" s="26" t="n"/>
      <c r="F741" s="25" t="n"/>
      <c r="G741" s="25" t="n"/>
      <c r="H741" s="25" t="n"/>
      <c r="I741" s="25" t="n"/>
      <c r="J741" s="25" t="n"/>
      <c r="K741" s="25" t="n"/>
      <c r="L741" s="25" t="n"/>
      <c r="M741" s="25" t="n"/>
      <c r="N741" s="25" t="n"/>
      <c r="O741" s="4" t="n"/>
      <c r="P741" s="4" t="n"/>
      <c r="Q741" s="4" t="n"/>
      <c r="R741" s="4" t="n"/>
      <c r="S741" s="4" t="n"/>
    </row>
    <row r="742" ht="15" customHeight="1" s="215">
      <c r="A742" s="26" t="n"/>
      <c r="B742" s="26" t="n"/>
      <c r="C742" s="26" t="n"/>
      <c r="D742" s="26" t="n"/>
      <c r="E742" s="26" t="n"/>
      <c r="F742" s="25" t="n"/>
      <c r="G742" s="25" t="n"/>
      <c r="H742" s="25" t="n"/>
      <c r="I742" s="25" t="n"/>
      <c r="J742" s="25" t="n"/>
      <c r="K742" s="25" t="n"/>
      <c r="L742" s="25" t="n"/>
      <c r="M742" s="25" t="n"/>
      <c r="N742" s="25" t="n"/>
      <c r="O742" s="4" t="n"/>
      <c r="P742" s="4" t="n"/>
      <c r="Q742" s="4" t="n"/>
      <c r="R742" s="4" t="n"/>
      <c r="S742" s="4" t="n"/>
    </row>
    <row r="743" ht="15" customHeight="1" s="215">
      <c r="A743" s="26" t="n"/>
      <c r="B743" s="26" t="n"/>
      <c r="C743" s="26" t="n"/>
      <c r="D743" s="26" t="n"/>
      <c r="E743" s="26" t="n"/>
      <c r="F743" s="25" t="n"/>
      <c r="G743" s="25" t="n"/>
      <c r="H743" s="25" t="n"/>
      <c r="I743" s="25" t="n"/>
      <c r="J743" s="25" t="n"/>
      <c r="K743" s="25" t="n"/>
      <c r="L743" s="25" t="n"/>
      <c r="M743" s="25" t="n"/>
      <c r="N743" s="25" t="n"/>
      <c r="O743" s="4" t="n"/>
      <c r="P743" s="4" t="n"/>
      <c r="Q743" s="4" t="n"/>
      <c r="R743" s="4" t="n"/>
      <c r="S743" s="4" t="n"/>
    </row>
    <row r="744" ht="15" customHeight="1" s="215">
      <c r="A744" s="26" t="n"/>
      <c r="B744" s="26" t="n"/>
      <c r="C744" s="26" t="n"/>
      <c r="D744" s="26" t="n"/>
      <c r="E744" s="26" t="n"/>
      <c r="F744" s="25" t="n"/>
      <c r="G744" s="25" t="n"/>
      <c r="H744" s="25" t="n"/>
      <c r="I744" s="25" t="n"/>
      <c r="J744" s="25" t="n"/>
      <c r="K744" s="25" t="n"/>
      <c r="L744" s="25" t="n"/>
      <c r="M744" s="25" t="n"/>
      <c r="N744" s="25" t="n"/>
      <c r="O744" s="4" t="n"/>
      <c r="P744" s="4" t="n"/>
      <c r="Q744" s="4" t="n"/>
      <c r="R744" s="4" t="n"/>
      <c r="S744" s="4" t="n"/>
    </row>
    <row r="745" ht="15" customHeight="1" s="215">
      <c r="A745" s="26" t="n"/>
      <c r="B745" s="26" t="n"/>
      <c r="C745" s="26" t="n"/>
      <c r="D745" s="26" t="n"/>
      <c r="E745" s="26" t="n"/>
      <c r="F745" s="25" t="n"/>
      <c r="G745" s="25" t="n"/>
      <c r="H745" s="25" t="n"/>
      <c r="I745" s="25" t="n"/>
      <c r="J745" s="25" t="n"/>
      <c r="K745" s="25" t="n"/>
      <c r="L745" s="25" t="n"/>
      <c r="M745" s="25" t="n"/>
      <c r="N745" s="25" t="n"/>
      <c r="O745" s="4" t="n"/>
      <c r="P745" s="4" t="n"/>
      <c r="Q745" s="4" t="n"/>
      <c r="R745" s="4" t="n"/>
      <c r="S745" s="4" t="n"/>
    </row>
    <row r="746" ht="15" customHeight="1" s="215">
      <c r="A746" s="26" t="n"/>
      <c r="B746" s="26" t="n"/>
      <c r="C746" s="26" t="n"/>
      <c r="D746" s="26" t="n"/>
      <c r="E746" s="26" t="n"/>
      <c r="F746" s="25" t="n"/>
      <c r="G746" s="25" t="n"/>
      <c r="H746" s="25" t="n"/>
      <c r="I746" s="25" t="n"/>
      <c r="J746" s="25" t="n"/>
      <c r="K746" s="25" t="n"/>
      <c r="L746" s="25" t="n"/>
      <c r="M746" s="25" t="n"/>
      <c r="N746" s="25" t="n"/>
      <c r="O746" s="4" t="n"/>
      <c r="P746" s="4" t="n"/>
      <c r="Q746" s="4" t="n"/>
      <c r="R746" s="4" t="n"/>
      <c r="S746" s="4" t="n"/>
    </row>
    <row r="747" ht="15" customHeight="1" s="215">
      <c r="A747" s="26" t="n"/>
      <c r="B747" s="26" t="n"/>
      <c r="C747" s="26" t="n"/>
      <c r="D747" s="26" t="n"/>
      <c r="E747" s="26" t="n"/>
      <c r="F747" s="25" t="n"/>
      <c r="G747" s="25" t="n"/>
      <c r="H747" s="25" t="n"/>
      <c r="I747" s="25" t="n"/>
      <c r="J747" s="25" t="n"/>
      <c r="K747" s="25" t="n"/>
      <c r="L747" s="25" t="n"/>
      <c r="M747" s="25" t="n"/>
      <c r="N747" s="25" t="n"/>
      <c r="O747" s="4" t="n"/>
      <c r="P747" s="4" t="n"/>
      <c r="Q747" s="4" t="n"/>
      <c r="R747" s="4" t="n"/>
      <c r="S747" s="4" t="n"/>
    </row>
    <row r="748" ht="15" customHeight="1" s="215">
      <c r="A748" s="26" t="n"/>
      <c r="B748" s="26" t="n"/>
      <c r="C748" s="26" t="n"/>
      <c r="D748" s="26" t="n"/>
      <c r="E748" s="26" t="n"/>
      <c r="F748" s="25" t="n"/>
      <c r="G748" s="25" t="n"/>
      <c r="H748" s="25" t="n"/>
      <c r="I748" s="25" t="n"/>
      <c r="J748" s="25" t="n"/>
      <c r="K748" s="25" t="n"/>
      <c r="L748" s="25" t="n"/>
      <c r="M748" s="25" t="n"/>
      <c r="N748" s="25" t="n"/>
      <c r="O748" s="4" t="n"/>
      <c r="P748" s="4" t="n"/>
      <c r="Q748" s="4" t="n"/>
      <c r="R748" s="4" t="n"/>
      <c r="S748" s="4" t="n"/>
    </row>
    <row r="749" ht="15" customHeight="1" s="215">
      <c r="A749" s="26" t="n"/>
      <c r="B749" s="26" t="n"/>
      <c r="C749" s="26" t="n"/>
      <c r="D749" s="26" t="n"/>
      <c r="E749" s="26" t="n"/>
      <c r="F749" s="25" t="n"/>
      <c r="G749" s="25" t="n"/>
      <c r="H749" s="25" t="n"/>
      <c r="I749" s="25" t="n"/>
      <c r="J749" s="25" t="n"/>
      <c r="K749" s="25" t="n"/>
      <c r="L749" s="25" t="n"/>
      <c r="M749" s="25" t="n"/>
      <c r="N749" s="25" t="n"/>
      <c r="O749" s="4" t="n"/>
      <c r="P749" s="4" t="n"/>
      <c r="Q749" s="4" t="n"/>
      <c r="R749" s="4" t="n"/>
      <c r="S749" s="4" t="n"/>
    </row>
    <row r="750" ht="15" customHeight="1" s="215">
      <c r="A750" s="26" t="n"/>
      <c r="B750" s="26" t="n"/>
      <c r="C750" s="26" t="n"/>
      <c r="D750" s="26" t="n"/>
      <c r="E750" s="26" t="n"/>
      <c r="F750" s="25" t="n"/>
      <c r="G750" s="25" t="n"/>
      <c r="H750" s="25" t="n"/>
      <c r="I750" s="25" t="n"/>
      <c r="J750" s="25" t="n"/>
      <c r="K750" s="25" t="n"/>
      <c r="L750" s="25" t="n"/>
      <c r="M750" s="25" t="n"/>
      <c r="N750" s="25" t="n"/>
      <c r="O750" s="4" t="n"/>
      <c r="P750" s="4" t="n"/>
      <c r="Q750" s="4" t="n"/>
      <c r="R750" s="4" t="n"/>
      <c r="S750" s="4" t="n"/>
    </row>
    <row r="751" ht="15" customHeight="1" s="215">
      <c r="A751" s="26" t="n"/>
      <c r="B751" s="26" t="n"/>
      <c r="C751" s="26" t="n"/>
      <c r="D751" s="26" t="n"/>
      <c r="E751" s="26" t="n"/>
      <c r="F751" s="25" t="n"/>
      <c r="G751" s="25" t="n"/>
      <c r="H751" s="25" t="n"/>
      <c r="I751" s="25" t="n"/>
      <c r="J751" s="25" t="n"/>
      <c r="K751" s="25" t="n"/>
      <c r="L751" s="25" t="n"/>
      <c r="M751" s="25" t="n"/>
      <c r="N751" s="25" t="n"/>
      <c r="O751" s="4" t="n"/>
      <c r="P751" s="4" t="n"/>
      <c r="Q751" s="4" t="n"/>
      <c r="R751" s="4" t="n"/>
      <c r="S751" s="4" t="n"/>
    </row>
    <row r="752" ht="15" customHeight="1" s="215">
      <c r="A752" s="26" t="n"/>
      <c r="B752" s="26" t="n"/>
      <c r="C752" s="26" t="n"/>
      <c r="D752" s="26" t="n"/>
      <c r="E752" s="26" t="n"/>
      <c r="F752" s="25" t="n"/>
      <c r="G752" s="25" t="n"/>
      <c r="H752" s="25" t="n"/>
      <c r="I752" s="25" t="n"/>
      <c r="J752" s="25" t="n"/>
      <c r="K752" s="25" t="n"/>
      <c r="L752" s="25" t="n"/>
      <c r="M752" s="25" t="n"/>
      <c r="N752" s="25" t="n"/>
      <c r="O752" s="4" t="n"/>
      <c r="P752" s="4" t="n"/>
      <c r="Q752" s="4" t="n"/>
      <c r="R752" s="4" t="n"/>
      <c r="S752" s="4" t="n"/>
    </row>
    <row r="753" ht="15" customHeight="1" s="215">
      <c r="A753" s="26" t="n"/>
      <c r="B753" s="26" t="n"/>
      <c r="C753" s="26" t="n"/>
      <c r="D753" s="26" t="n"/>
      <c r="E753" s="26" t="n"/>
      <c r="F753" s="25" t="n"/>
      <c r="G753" s="25" t="n"/>
      <c r="H753" s="25" t="n"/>
      <c r="I753" s="25" t="n"/>
      <c r="J753" s="25" t="n"/>
      <c r="K753" s="25" t="n"/>
      <c r="L753" s="25" t="n"/>
      <c r="M753" s="25" t="n"/>
      <c r="N753" s="25" t="n"/>
      <c r="O753" s="4" t="n"/>
      <c r="P753" s="4" t="n"/>
      <c r="Q753" s="4" t="n"/>
      <c r="R753" s="4" t="n"/>
      <c r="S753" s="4" t="n"/>
    </row>
    <row r="754" ht="15" customHeight="1" s="215">
      <c r="A754" s="26" t="n"/>
      <c r="B754" s="26" t="n"/>
      <c r="C754" s="26" t="n"/>
      <c r="D754" s="26" t="n"/>
      <c r="E754" s="26" t="n"/>
      <c r="F754" s="25" t="n"/>
      <c r="G754" s="25" t="n"/>
      <c r="H754" s="25" t="n"/>
      <c r="I754" s="25" t="n"/>
      <c r="J754" s="25" t="n"/>
      <c r="K754" s="25" t="n"/>
      <c r="L754" s="25" t="n"/>
      <c r="M754" s="25" t="n"/>
      <c r="N754" s="25" t="n"/>
      <c r="O754" s="4" t="n"/>
      <c r="P754" s="4" t="n"/>
      <c r="Q754" s="4" t="n"/>
      <c r="R754" s="4" t="n"/>
      <c r="S754" s="4" t="n"/>
    </row>
    <row r="755" ht="15" customHeight="1" s="215">
      <c r="A755" s="26" t="n"/>
      <c r="B755" s="26" t="n"/>
      <c r="C755" s="26" t="n"/>
      <c r="D755" s="26" t="n"/>
      <c r="E755" s="26" t="n"/>
      <c r="F755" s="25" t="n"/>
      <c r="G755" s="25" t="n"/>
      <c r="H755" s="25" t="n"/>
      <c r="I755" s="25" t="n"/>
      <c r="J755" s="25" t="n"/>
      <c r="K755" s="25" t="n"/>
      <c r="L755" s="25" t="n"/>
      <c r="M755" s="25" t="n"/>
      <c r="N755" s="25" t="n"/>
      <c r="O755" s="4" t="n"/>
      <c r="P755" s="4" t="n"/>
      <c r="Q755" s="4" t="n"/>
      <c r="R755" s="4" t="n"/>
      <c r="S755" s="4" t="n"/>
    </row>
    <row r="756" ht="15" customHeight="1" s="215">
      <c r="A756" s="26" t="n"/>
      <c r="B756" s="26" t="n"/>
      <c r="C756" s="26" t="n"/>
      <c r="D756" s="26" t="n"/>
      <c r="E756" s="26" t="n"/>
      <c r="F756" s="25" t="n"/>
      <c r="G756" s="25" t="n"/>
      <c r="H756" s="25" t="n"/>
      <c r="I756" s="25" t="n"/>
      <c r="J756" s="25" t="n"/>
      <c r="K756" s="25" t="n"/>
      <c r="L756" s="25" t="n"/>
      <c r="M756" s="25" t="n"/>
      <c r="N756" s="25" t="n"/>
      <c r="O756" s="4" t="n"/>
      <c r="P756" s="4" t="n"/>
      <c r="Q756" s="4" t="n"/>
      <c r="R756" s="4" t="n"/>
      <c r="S756" s="4" t="n"/>
    </row>
    <row r="757" ht="15" customHeight="1" s="215">
      <c r="A757" s="26" t="n"/>
      <c r="B757" s="26" t="n"/>
      <c r="C757" s="26" t="n"/>
      <c r="D757" s="26" t="n"/>
      <c r="E757" s="26" t="n"/>
      <c r="F757" s="25" t="n"/>
      <c r="G757" s="25" t="n"/>
      <c r="H757" s="25" t="n"/>
      <c r="I757" s="25" t="n"/>
      <c r="J757" s="25" t="n"/>
      <c r="K757" s="25" t="n"/>
      <c r="L757" s="25" t="n"/>
      <c r="M757" s="25" t="n"/>
      <c r="N757" s="25" t="n"/>
      <c r="O757" s="4" t="n"/>
      <c r="P757" s="4" t="n"/>
      <c r="Q757" s="4" t="n"/>
      <c r="R757" s="4" t="n"/>
      <c r="S757" s="4" t="n"/>
    </row>
    <row r="758" ht="15" customHeight="1" s="215">
      <c r="A758" s="26" t="n"/>
      <c r="B758" s="26" t="n"/>
      <c r="C758" s="26" t="n"/>
      <c r="D758" s="26" t="n"/>
      <c r="E758" s="26" t="n"/>
      <c r="F758" s="25" t="n"/>
      <c r="G758" s="25" t="n"/>
      <c r="H758" s="25" t="n"/>
      <c r="I758" s="25" t="n"/>
      <c r="J758" s="25" t="n"/>
      <c r="K758" s="25" t="n"/>
      <c r="L758" s="25" t="n"/>
      <c r="M758" s="25" t="n"/>
      <c r="N758" s="25" t="n"/>
      <c r="O758" s="4" t="n"/>
      <c r="P758" s="4" t="n"/>
      <c r="Q758" s="4" t="n"/>
      <c r="R758" s="4" t="n"/>
      <c r="S758" s="4" t="n"/>
    </row>
    <row r="759" ht="15" customHeight="1" s="215">
      <c r="A759" s="26" t="n"/>
      <c r="B759" s="26" t="n"/>
      <c r="C759" s="26" t="n"/>
      <c r="D759" s="26" t="n"/>
      <c r="E759" s="26" t="n"/>
      <c r="F759" s="25" t="n"/>
      <c r="G759" s="25" t="n"/>
      <c r="H759" s="25" t="n"/>
      <c r="I759" s="25" t="n"/>
      <c r="J759" s="25" t="n"/>
      <c r="K759" s="25" t="n"/>
      <c r="L759" s="25" t="n"/>
      <c r="M759" s="25" t="n"/>
      <c r="N759" s="25" t="n"/>
      <c r="O759" s="4" t="n"/>
      <c r="P759" s="4" t="n"/>
      <c r="Q759" s="4" t="n"/>
      <c r="R759" s="4" t="n"/>
      <c r="S759" s="4" t="n"/>
    </row>
    <row r="760" ht="15" customHeight="1" s="215">
      <c r="A760" s="26" t="n"/>
      <c r="B760" s="26" t="n"/>
      <c r="C760" s="26" t="n"/>
      <c r="D760" s="26" t="n"/>
      <c r="E760" s="26" t="n"/>
      <c r="F760" s="25" t="n"/>
      <c r="G760" s="25" t="n"/>
      <c r="H760" s="25" t="n"/>
      <c r="I760" s="25" t="n"/>
      <c r="J760" s="25" t="n"/>
      <c r="K760" s="25" t="n"/>
      <c r="L760" s="25" t="n"/>
      <c r="M760" s="25" t="n"/>
      <c r="N760" s="25" t="n"/>
      <c r="O760" s="4" t="n"/>
      <c r="P760" s="4" t="n"/>
      <c r="Q760" s="4" t="n"/>
      <c r="R760" s="4" t="n"/>
      <c r="S760" s="4" t="n"/>
    </row>
    <row r="761" ht="15" customHeight="1" s="215">
      <c r="A761" s="26" t="n"/>
      <c r="B761" s="26" t="n"/>
      <c r="C761" s="26" t="n"/>
      <c r="D761" s="26" t="n"/>
      <c r="E761" s="26" t="n"/>
      <c r="F761" s="25" t="n"/>
      <c r="G761" s="25" t="n"/>
      <c r="H761" s="25" t="n"/>
      <c r="I761" s="25" t="n"/>
      <c r="J761" s="25" t="n"/>
      <c r="K761" s="25" t="n"/>
      <c r="L761" s="25" t="n"/>
      <c r="M761" s="25" t="n"/>
      <c r="N761" s="25" t="n"/>
      <c r="O761" s="4" t="n"/>
      <c r="P761" s="4" t="n"/>
      <c r="Q761" s="4" t="n"/>
      <c r="R761" s="4" t="n"/>
      <c r="S761" s="4" t="n"/>
    </row>
    <row r="762" ht="15" customHeight="1" s="215">
      <c r="A762" s="26" t="n"/>
      <c r="B762" s="26" t="n"/>
      <c r="C762" s="26" t="n"/>
      <c r="D762" s="26" t="n"/>
      <c r="E762" s="26" t="n"/>
      <c r="F762" s="25" t="n"/>
      <c r="G762" s="25" t="n"/>
      <c r="H762" s="25" t="n"/>
      <c r="I762" s="25" t="n"/>
      <c r="J762" s="25" t="n"/>
      <c r="K762" s="25" t="n"/>
      <c r="L762" s="25" t="n"/>
      <c r="M762" s="25" t="n"/>
      <c r="N762" s="25" t="n"/>
      <c r="O762" s="4" t="n"/>
      <c r="P762" s="4" t="n"/>
      <c r="Q762" s="4" t="n"/>
      <c r="R762" s="4" t="n"/>
      <c r="S762" s="4" t="n"/>
    </row>
    <row r="763" ht="15" customHeight="1" s="215">
      <c r="A763" s="26" t="n"/>
      <c r="B763" s="26" t="n"/>
      <c r="C763" s="26" t="n"/>
      <c r="D763" s="26" t="n"/>
      <c r="E763" s="26" t="n"/>
      <c r="F763" s="25" t="n"/>
      <c r="G763" s="25" t="n"/>
      <c r="H763" s="25" t="n"/>
      <c r="I763" s="25" t="n"/>
      <c r="J763" s="25" t="n"/>
      <c r="K763" s="25" t="n"/>
      <c r="L763" s="25" t="n"/>
      <c r="M763" s="25" t="n"/>
      <c r="N763" s="25" t="n"/>
      <c r="O763" s="4" t="n"/>
      <c r="P763" s="4" t="n"/>
      <c r="Q763" s="4" t="n"/>
      <c r="R763" s="4" t="n"/>
      <c r="S763" s="4" t="n"/>
    </row>
    <row r="764" ht="15" customHeight="1" s="215">
      <c r="A764" s="26" t="n"/>
      <c r="B764" s="26" t="n"/>
      <c r="C764" s="26" t="n"/>
      <c r="D764" s="26" t="n"/>
      <c r="E764" s="26" t="n"/>
      <c r="F764" s="25" t="n"/>
      <c r="G764" s="25" t="n"/>
      <c r="H764" s="25" t="n"/>
      <c r="I764" s="25" t="n"/>
      <c r="J764" s="25" t="n"/>
      <c r="K764" s="25" t="n"/>
      <c r="L764" s="25" t="n"/>
      <c r="M764" s="25" t="n"/>
      <c r="N764" s="25" t="n"/>
      <c r="O764" s="4" t="n"/>
      <c r="P764" s="4" t="n"/>
      <c r="Q764" s="4" t="n"/>
      <c r="R764" s="4" t="n"/>
      <c r="S764" s="4" t="n"/>
    </row>
    <row r="765" ht="15" customHeight="1" s="215">
      <c r="A765" s="26" t="n"/>
      <c r="B765" s="26" t="n"/>
      <c r="C765" s="26" t="n"/>
      <c r="D765" s="26" t="n"/>
      <c r="E765" s="26" t="n"/>
      <c r="F765" s="25" t="n"/>
      <c r="G765" s="25" t="n"/>
      <c r="H765" s="25" t="n"/>
      <c r="I765" s="25" t="n"/>
      <c r="J765" s="25" t="n"/>
      <c r="K765" s="25" t="n"/>
      <c r="L765" s="25" t="n"/>
      <c r="M765" s="25" t="n"/>
      <c r="N765" s="25" t="n"/>
      <c r="O765" s="4" t="n"/>
      <c r="P765" s="4" t="n"/>
      <c r="Q765" s="4" t="n"/>
      <c r="R765" s="4" t="n"/>
      <c r="S765" s="4" t="n"/>
    </row>
    <row r="766" ht="15" customHeight="1" s="215">
      <c r="A766" s="26" t="n"/>
      <c r="B766" s="26" t="n"/>
      <c r="C766" s="26" t="n"/>
      <c r="D766" s="26" t="n"/>
      <c r="E766" s="26" t="n"/>
      <c r="F766" s="25" t="n"/>
      <c r="G766" s="25" t="n"/>
      <c r="H766" s="25" t="n"/>
      <c r="I766" s="25" t="n"/>
      <c r="J766" s="25" t="n"/>
      <c r="K766" s="25" t="n"/>
      <c r="L766" s="25" t="n"/>
      <c r="M766" s="25" t="n"/>
      <c r="N766" s="25" t="n"/>
      <c r="O766" s="4" t="n"/>
      <c r="P766" s="4" t="n"/>
      <c r="Q766" s="4" t="n"/>
      <c r="R766" s="4" t="n"/>
      <c r="S766" s="4" t="n"/>
    </row>
    <row r="767" ht="15" customHeight="1" s="215">
      <c r="A767" s="26" t="n"/>
      <c r="B767" s="26" t="n"/>
      <c r="C767" s="26" t="n"/>
      <c r="D767" s="26" t="n"/>
      <c r="E767" s="26" t="n"/>
      <c r="F767" s="25" t="n"/>
      <c r="G767" s="25" t="n"/>
      <c r="H767" s="25" t="n"/>
      <c r="I767" s="25" t="n"/>
      <c r="J767" s="25" t="n"/>
      <c r="K767" s="25" t="n"/>
      <c r="L767" s="25" t="n"/>
      <c r="M767" s="25" t="n"/>
      <c r="N767" s="25" t="n"/>
      <c r="O767" s="4" t="n"/>
      <c r="P767" s="4" t="n"/>
      <c r="Q767" s="4" t="n"/>
      <c r="R767" s="4" t="n"/>
      <c r="S767" s="4" t="n"/>
    </row>
    <row r="768" ht="15" customHeight="1" s="215">
      <c r="A768" s="26" t="n"/>
      <c r="B768" s="26" t="n"/>
      <c r="C768" s="26" t="n"/>
      <c r="D768" s="26" t="n"/>
      <c r="E768" s="26" t="n"/>
      <c r="F768" s="25" t="n"/>
      <c r="G768" s="25" t="n"/>
      <c r="H768" s="25" t="n"/>
      <c r="I768" s="25" t="n"/>
      <c r="J768" s="25" t="n"/>
      <c r="K768" s="25" t="n"/>
      <c r="L768" s="25" t="n"/>
      <c r="M768" s="25" t="n"/>
      <c r="N768" s="25" t="n"/>
      <c r="O768" s="4" t="n"/>
      <c r="P768" s="4" t="n"/>
      <c r="Q768" s="4" t="n"/>
      <c r="R768" s="4" t="n"/>
      <c r="S768" s="4" t="n"/>
    </row>
    <row r="769" ht="15" customHeight="1" s="215">
      <c r="A769" s="26" t="n"/>
      <c r="B769" s="26" t="n"/>
      <c r="C769" s="26" t="n"/>
      <c r="D769" s="26" t="n"/>
      <c r="E769" s="26" t="n"/>
      <c r="F769" s="25" t="n"/>
      <c r="G769" s="25" t="n"/>
      <c r="H769" s="25" t="n"/>
      <c r="I769" s="25" t="n"/>
      <c r="J769" s="25" t="n"/>
      <c r="K769" s="25" t="n"/>
      <c r="L769" s="25" t="n"/>
      <c r="M769" s="25" t="n"/>
      <c r="N769" s="25" t="n"/>
      <c r="O769" s="4" t="n"/>
      <c r="P769" s="4" t="n"/>
      <c r="Q769" s="4" t="n"/>
      <c r="R769" s="4" t="n"/>
      <c r="S769" s="4" t="n"/>
    </row>
    <row r="770" ht="15" customHeight="1" s="215">
      <c r="A770" s="26" t="n"/>
      <c r="B770" s="26" t="n"/>
      <c r="C770" s="26" t="n"/>
      <c r="D770" s="26" t="n"/>
      <c r="E770" s="26" t="n"/>
      <c r="F770" s="25" t="n"/>
      <c r="G770" s="25" t="n"/>
      <c r="H770" s="25" t="n"/>
      <c r="I770" s="25" t="n"/>
      <c r="J770" s="25" t="n"/>
      <c r="K770" s="25" t="n"/>
      <c r="L770" s="25" t="n"/>
      <c r="M770" s="25" t="n"/>
      <c r="N770" s="25" t="n"/>
      <c r="O770" s="4" t="n"/>
      <c r="P770" s="4" t="n"/>
      <c r="Q770" s="4" t="n"/>
      <c r="R770" s="4" t="n"/>
      <c r="S770" s="4" t="n"/>
    </row>
    <row r="771" ht="15" customHeight="1" s="215">
      <c r="A771" s="26" t="n"/>
      <c r="B771" s="26" t="n"/>
      <c r="C771" s="26" t="n"/>
      <c r="D771" s="26" t="n"/>
      <c r="E771" s="26" t="n"/>
      <c r="F771" s="25" t="n"/>
      <c r="G771" s="25" t="n"/>
      <c r="H771" s="25" t="n"/>
      <c r="I771" s="25" t="n"/>
      <c r="J771" s="25" t="n"/>
      <c r="K771" s="25" t="n"/>
      <c r="L771" s="25" t="n"/>
      <c r="M771" s="25" t="n"/>
      <c r="N771" s="25" t="n"/>
      <c r="O771" s="4" t="n"/>
      <c r="P771" s="4" t="n"/>
      <c r="Q771" s="4" t="n"/>
      <c r="R771" s="4" t="n"/>
      <c r="S771" s="4" t="n"/>
    </row>
    <row r="772" ht="15" customHeight="1" s="215">
      <c r="A772" s="26" t="n"/>
      <c r="B772" s="26" t="n"/>
      <c r="C772" s="26" t="n"/>
      <c r="D772" s="26" t="n"/>
      <c r="E772" s="26" t="n"/>
      <c r="F772" s="25" t="n"/>
      <c r="G772" s="25" t="n"/>
      <c r="H772" s="25" t="n"/>
      <c r="I772" s="25" t="n"/>
      <c r="J772" s="25" t="n"/>
      <c r="K772" s="25" t="n"/>
      <c r="L772" s="25" t="n"/>
      <c r="M772" s="25" t="n"/>
      <c r="N772" s="25" t="n"/>
      <c r="O772" s="4" t="n"/>
      <c r="P772" s="4" t="n"/>
      <c r="Q772" s="4" t="n"/>
      <c r="R772" s="4" t="n"/>
      <c r="S772" s="4" t="n"/>
    </row>
    <row r="773" ht="15" customHeight="1" s="215">
      <c r="A773" s="26" t="n"/>
      <c r="B773" s="26" t="n"/>
      <c r="C773" s="26" t="n"/>
      <c r="D773" s="26" t="n"/>
      <c r="E773" s="26" t="n"/>
      <c r="F773" s="25" t="n"/>
      <c r="G773" s="25" t="n"/>
      <c r="H773" s="25" t="n"/>
      <c r="I773" s="25" t="n"/>
      <c r="J773" s="25" t="n"/>
      <c r="K773" s="25" t="n"/>
      <c r="L773" s="25" t="n"/>
      <c r="M773" s="25" t="n"/>
      <c r="N773" s="25" t="n"/>
      <c r="O773" s="4" t="n"/>
      <c r="P773" s="4" t="n"/>
      <c r="Q773" s="4" t="n"/>
      <c r="R773" s="4" t="n"/>
      <c r="S773" s="4" t="n"/>
    </row>
    <row r="774" ht="15" customHeight="1" s="215">
      <c r="A774" s="26" t="n"/>
      <c r="B774" s="26" t="n"/>
      <c r="C774" s="26" t="n"/>
      <c r="D774" s="26" t="n"/>
      <c r="E774" s="26" t="n"/>
      <c r="F774" s="25" t="n"/>
      <c r="G774" s="25" t="n"/>
      <c r="H774" s="25" t="n"/>
      <c r="I774" s="25" t="n"/>
      <c r="J774" s="25" t="n"/>
      <c r="K774" s="25" t="n"/>
      <c r="L774" s="25" t="n"/>
      <c r="M774" s="25" t="n"/>
      <c r="N774" s="25" t="n"/>
      <c r="O774" s="4" t="n"/>
      <c r="P774" s="4" t="n"/>
      <c r="Q774" s="4" t="n"/>
      <c r="R774" s="4" t="n"/>
      <c r="S774" s="4" t="n"/>
    </row>
    <row r="775" ht="15" customHeight="1" s="215">
      <c r="A775" s="26" t="n"/>
      <c r="B775" s="26" t="n"/>
      <c r="C775" s="26" t="n"/>
      <c r="D775" s="26" t="n"/>
      <c r="E775" s="26" t="n"/>
      <c r="F775" s="25" t="n"/>
      <c r="G775" s="25" t="n"/>
      <c r="H775" s="25" t="n"/>
      <c r="I775" s="25" t="n"/>
      <c r="J775" s="25" t="n"/>
      <c r="K775" s="25" t="n"/>
      <c r="L775" s="25" t="n"/>
      <c r="M775" s="25" t="n"/>
      <c r="N775" s="25" t="n"/>
      <c r="O775" s="4" t="n"/>
      <c r="P775" s="4" t="n"/>
      <c r="Q775" s="4" t="n"/>
      <c r="R775" s="4" t="n"/>
      <c r="S775" s="4" t="n"/>
    </row>
    <row r="776" ht="15" customHeight="1" s="215">
      <c r="A776" s="26" t="n"/>
      <c r="B776" s="26" t="n"/>
      <c r="C776" s="26" t="n"/>
      <c r="D776" s="26" t="n"/>
      <c r="E776" s="26" t="n"/>
      <c r="F776" s="25" t="n"/>
      <c r="G776" s="25" t="n"/>
      <c r="H776" s="25" t="n"/>
      <c r="I776" s="25" t="n"/>
      <c r="J776" s="25" t="n"/>
      <c r="K776" s="25" t="n"/>
      <c r="L776" s="25" t="n"/>
      <c r="M776" s="25" t="n"/>
      <c r="N776" s="25" t="n"/>
      <c r="O776" s="4" t="n"/>
      <c r="P776" s="4" t="n"/>
      <c r="Q776" s="4" t="n"/>
      <c r="R776" s="4" t="n"/>
      <c r="S776" s="4" t="n"/>
    </row>
    <row r="777" ht="15" customHeight="1" s="215">
      <c r="A777" s="26" t="n"/>
      <c r="B777" s="26" t="n"/>
      <c r="C777" s="26" t="n"/>
      <c r="D777" s="26" t="n"/>
      <c r="E777" s="26" t="n"/>
      <c r="F777" s="25" t="n"/>
      <c r="G777" s="25" t="n"/>
      <c r="H777" s="25" t="n"/>
      <c r="I777" s="25" t="n"/>
      <c r="J777" s="25" t="n"/>
      <c r="K777" s="25" t="n"/>
      <c r="L777" s="25" t="n"/>
      <c r="M777" s="25" t="n"/>
      <c r="N777" s="25" t="n"/>
      <c r="O777" s="4" t="n"/>
      <c r="P777" s="4" t="n"/>
      <c r="Q777" s="4" t="n"/>
      <c r="R777" s="4" t="n"/>
      <c r="S777" s="4" t="n"/>
    </row>
    <row r="778" ht="15" customHeight="1" s="215">
      <c r="A778" s="26" t="n"/>
      <c r="B778" s="26" t="n"/>
      <c r="C778" s="26" t="n"/>
      <c r="D778" s="26" t="n"/>
      <c r="E778" s="26" t="n"/>
      <c r="F778" s="25" t="n"/>
      <c r="G778" s="25" t="n"/>
      <c r="H778" s="25" t="n"/>
      <c r="I778" s="25" t="n"/>
      <c r="J778" s="25" t="n"/>
      <c r="K778" s="25" t="n"/>
      <c r="L778" s="25" t="n"/>
      <c r="M778" s="25" t="n"/>
      <c r="N778" s="25" t="n"/>
      <c r="O778" s="4" t="n"/>
      <c r="P778" s="4" t="n"/>
      <c r="Q778" s="4" t="n"/>
      <c r="R778" s="4" t="n"/>
      <c r="S778" s="4" t="n"/>
    </row>
    <row r="779" ht="15" customHeight="1" s="215">
      <c r="A779" s="26" t="n"/>
      <c r="B779" s="26" t="n"/>
      <c r="C779" s="26" t="n"/>
      <c r="D779" s="26" t="n"/>
      <c r="E779" s="26" t="n"/>
      <c r="F779" s="25" t="n"/>
      <c r="G779" s="25" t="n"/>
      <c r="H779" s="25" t="n"/>
      <c r="I779" s="25" t="n"/>
      <c r="J779" s="25" t="n"/>
      <c r="K779" s="25" t="n"/>
      <c r="L779" s="25" t="n"/>
      <c r="M779" s="25" t="n"/>
      <c r="N779" s="25" t="n"/>
      <c r="O779" s="4" t="n"/>
      <c r="P779" s="4" t="n"/>
      <c r="Q779" s="4" t="n"/>
      <c r="R779" s="4" t="n"/>
      <c r="S779" s="4" t="n"/>
    </row>
    <row r="780" ht="15" customHeight="1" s="215">
      <c r="A780" s="26" t="n"/>
      <c r="B780" s="26" t="n"/>
      <c r="C780" s="26" t="n"/>
      <c r="D780" s="26" t="n"/>
      <c r="E780" s="26" t="n"/>
      <c r="F780" s="25" t="n"/>
      <c r="G780" s="25" t="n"/>
      <c r="H780" s="25" t="n"/>
      <c r="I780" s="25" t="n"/>
      <c r="J780" s="25" t="n"/>
      <c r="K780" s="25" t="n"/>
      <c r="L780" s="25" t="n"/>
      <c r="M780" s="25" t="n"/>
      <c r="N780" s="25" t="n"/>
      <c r="O780" s="4" t="n"/>
      <c r="P780" s="4" t="n"/>
      <c r="Q780" s="4" t="n"/>
      <c r="R780" s="4" t="n"/>
      <c r="S780" s="4" t="n"/>
    </row>
    <row r="781" ht="15" customHeight="1" s="215">
      <c r="A781" s="26" t="n"/>
      <c r="B781" s="26" t="n"/>
      <c r="C781" s="26" t="n"/>
      <c r="D781" s="26" t="n"/>
      <c r="E781" s="26" t="n"/>
      <c r="F781" s="25" t="n"/>
      <c r="G781" s="25" t="n"/>
      <c r="H781" s="25" t="n"/>
      <c r="I781" s="25" t="n"/>
      <c r="J781" s="25" t="n"/>
      <c r="K781" s="25" t="n"/>
      <c r="L781" s="25" t="n"/>
      <c r="M781" s="25" t="n"/>
      <c r="N781" s="25" t="n"/>
      <c r="O781" s="4" t="n"/>
      <c r="P781" s="4" t="n"/>
      <c r="Q781" s="4" t="n"/>
      <c r="R781" s="4" t="n"/>
      <c r="S781" s="4" t="n"/>
    </row>
    <row r="782" ht="15" customHeight="1" s="215">
      <c r="A782" s="26" t="n"/>
      <c r="B782" s="26" t="n"/>
      <c r="C782" s="26" t="n"/>
      <c r="D782" s="26" t="n"/>
      <c r="E782" s="26" t="n"/>
      <c r="F782" s="25" t="n"/>
      <c r="G782" s="25" t="n"/>
      <c r="H782" s="25" t="n"/>
      <c r="I782" s="25" t="n"/>
      <c r="J782" s="25" t="n"/>
      <c r="K782" s="25" t="n"/>
      <c r="L782" s="25" t="n"/>
      <c r="M782" s="25" t="n"/>
      <c r="N782" s="25" t="n"/>
      <c r="O782" s="4" t="n"/>
      <c r="P782" s="4" t="n"/>
      <c r="Q782" s="4" t="n"/>
      <c r="R782" s="4" t="n"/>
      <c r="S782" s="4" t="n"/>
    </row>
    <row r="783" ht="15" customHeight="1" s="215">
      <c r="A783" s="26" t="n"/>
      <c r="B783" s="26" t="n"/>
      <c r="C783" s="26" t="n"/>
      <c r="D783" s="26" t="n"/>
      <c r="E783" s="26" t="n"/>
      <c r="F783" s="25" t="n"/>
      <c r="G783" s="25" t="n"/>
      <c r="H783" s="25" t="n"/>
      <c r="I783" s="25" t="n"/>
      <c r="J783" s="25" t="n"/>
      <c r="K783" s="25" t="n"/>
      <c r="L783" s="25" t="n"/>
      <c r="M783" s="25" t="n"/>
      <c r="N783" s="25" t="n"/>
      <c r="O783" s="4" t="n"/>
      <c r="P783" s="4" t="n"/>
      <c r="Q783" s="4" t="n"/>
      <c r="R783" s="4" t="n"/>
      <c r="S783" s="4" t="n"/>
    </row>
    <row r="784" ht="15" customHeight="1" s="215">
      <c r="A784" s="26" t="n"/>
      <c r="B784" s="26" t="n"/>
      <c r="C784" s="26" t="n"/>
      <c r="D784" s="26" t="n"/>
      <c r="E784" s="26" t="n"/>
      <c r="F784" s="25" t="n"/>
      <c r="G784" s="25" t="n"/>
      <c r="H784" s="25" t="n"/>
      <c r="I784" s="25" t="n"/>
      <c r="J784" s="25" t="n"/>
      <c r="K784" s="25" t="n"/>
      <c r="L784" s="25" t="n"/>
      <c r="M784" s="25" t="n"/>
      <c r="N784" s="25" t="n"/>
      <c r="O784" s="4" t="n"/>
      <c r="P784" s="4" t="n"/>
      <c r="Q784" s="4" t="n"/>
      <c r="R784" s="4" t="n"/>
      <c r="S784" s="4" t="n"/>
    </row>
    <row r="785" ht="15" customHeight="1" s="215">
      <c r="A785" s="26" t="n"/>
      <c r="B785" s="26" t="n"/>
      <c r="C785" s="26" t="n"/>
      <c r="D785" s="26" t="n"/>
      <c r="E785" s="26" t="n"/>
      <c r="F785" s="25" t="n"/>
      <c r="G785" s="25" t="n"/>
      <c r="H785" s="25" t="n"/>
      <c r="I785" s="25" t="n"/>
      <c r="J785" s="25" t="n"/>
      <c r="K785" s="25" t="n"/>
      <c r="L785" s="25" t="n"/>
      <c r="M785" s="25" t="n"/>
      <c r="N785" s="25" t="n"/>
      <c r="O785" s="4" t="n"/>
      <c r="P785" s="4" t="n"/>
      <c r="Q785" s="4" t="n"/>
      <c r="R785" s="4" t="n"/>
      <c r="S785" s="4" t="n"/>
    </row>
    <row r="786" ht="15" customHeight="1" s="215">
      <c r="A786" s="26" t="n"/>
      <c r="B786" s="26" t="n"/>
      <c r="C786" s="26" t="n"/>
      <c r="D786" s="26" t="n"/>
      <c r="E786" s="26" t="n"/>
      <c r="F786" s="25" t="n"/>
      <c r="G786" s="25" t="n"/>
      <c r="H786" s="25" t="n"/>
      <c r="I786" s="25" t="n"/>
      <c r="J786" s="25" t="n"/>
      <c r="K786" s="25" t="n"/>
      <c r="L786" s="25" t="n"/>
      <c r="M786" s="25" t="n"/>
      <c r="N786" s="25" t="n"/>
      <c r="O786" s="4" t="n"/>
      <c r="P786" s="4" t="n"/>
      <c r="Q786" s="4" t="n"/>
      <c r="R786" s="4" t="n"/>
      <c r="S786" s="4" t="n"/>
    </row>
    <row r="787" ht="15" customHeight="1" s="215">
      <c r="A787" s="26" t="n"/>
      <c r="B787" s="26" t="n"/>
      <c r="C787" s="26" t="n"/>
      <c r="D787" s="26" t="n"/>
      <c r="E787" s="26" t="n"/>
      <c r="F787" s="25" t="n"/>
      <c r="G787" s="25" t="n"/>
      <c r="H787" s="25" t="n"/>
      <c r="I787" s="25" t="n"/>
      <c r="J787" s="25" t="n"/>
      <c r="K787" s="25" t="n"/>
      <c r="L787" s="25" t="n"/>
      <c r="M787" s="25" t="n"/>
      <c r="N787" s="25" t="n"/>
      <c r="O787" s="4" t="n"/>
      <c r="P787" s="4" t="n"/>
      <c r="Q787" s="4" t="n"/>
      <c r="R787" s="4" t="n"/>
      <c r="S787" s="4" t="n"/>
    </row>
    <row r="788" ht="15" customHeight="1" s="215">
      <c r="A788" s="26" t="n"/>
      <c r="B788" s="26" t="n"/>
      <c r="C788" s="26" t="n"/>
      <c r="D788" s="26" t="n"/>
      <c r="E788" s="26" t="n"/>
      <c r="F788" s="25" t="n"/>
      <c r="G788" s="25" t="n"/>
      <c r="H788" s="25" t="n"/>
      <c r="I788" s="25" t="n"/>
      <c r="J788" s="25" t="n"/>
      <c r="K788" s="25" t="n"/>
      <c r="L788" s="25" t="n"/>
      <c r="M788" s="25" t="n"/>
      <c r="N788" s="25" t="n"/>
      <c r="O788" s="4" t="n"/>
      <c r="P788" s="4" t="n"/>
      <c r="Q788" s="4" t="n"/>
      <c r="R788" s="4" t="n"/>
      <c r="S788" s="4" t="n"/>
    </row>
    <row r="789" ht="15" customHeight="1" s="215">
      <c r="A789" s="26" t="n"/>
      <c r="B789" s="26" t="n"/>
      <c r="C789" s="26" t="n"/>
      <c r="D789" s="26" t="n"/>
      <c r="E789" s="26" t="n"/>
      <c r="F789" s="25" t="n"/>
      <c r="G789" s="25" t="n"/>
      <c r="H789" s="25" t="n"/>
      <c r="I789" s="25" t="n"/>
      <c r="J789" s="25" t="n"/>
      <c r="K789" s="25" t="n"/>
      <c r="L789" s="25" t="n"/>
      <c r="M789" s="25" t="n"/>
      <c r="N789" s="25" t="n"/>
      <c r="O789" s="4" t="n"/>
      <c r="P789" s="4" t="n"/>
      <c r="Q789" s="4" t="n"/>
      <c r="R789" s="4" t="n"/>
      <c r="S789" s="4" t="n"/>
    </row>
    <row r="790" ht="15" customHeight="1" s="215">
      <c r="A790" s="26" t="n"/>
      <c r="B790" s="26" t="n"/>
      <c r="C790" s="26" t="n"/>
      <c r="D790" s="26" t="n"/>
      <c r="E790" s="26" t="n"/>
      <c r="F790" s="25" t="n"/>
      <c r="G790" s="25" t="n"/>
      <c r="H790" s="25" t="n"/>
      <c r="I790" s="25" t="n"/>
      <c r="J790" s="25" t="n"/>
      <c r="K790" s="25" t="n"/>
      <c r="L790" s="25" t="n"/>
      <c r="M790" s="25" t="n"/>
      <c r="N790" s="25" t="n"/>
      <c r="O790" s="4" t="n"/>
      <c r="P790" s="4" t="n"/>
      <c r="Q790" s="4" t="n"/>
      <c r="R790" s="4" t="n"/>
      <c r="S790" s="4" t="n"/>
    </row>
    <row r="791" ht="15" customHeight="1" s="215">
      <c r="A791" s="26" t="n"/>
      <c r="B791" s="26" t="n"/>
      <c r="C791" s="26" t="n"/>
      <c r="D791" s="26" t="n"/>
      <c r="E791" s="26" t="n"/>
      <c r="F791" s="25" t="n"/>
      <c r="G791" s="25" t="n"/>
      <c r="H791" s="25" t="n"/>
      <c r="I791" s="25" t="n"/>
      <c r="J791" s="25" t="n"/>
      <c r="K791" s="25" t="n"/>
      <c r="L791" s="25" t="n"/>
      <c r="M791" s="25" t="n"/>
      <c r="N791" s="25" t="n"/>
      <c r="O791" s="4" t="n"/>
      <c r="P791" s="4" t="n"/>
      <c r="Q791" s="4" t="n"/>
      <c r="R791" s="4" t="n"/>
      <c r="S791" s="4" t="n"/>
    </row>
    <row r="792" ht="15" customHeight="1" s="215">
      <c r="A792" s="26" t="n"/>
      <c r="B792" s="26" t="n"/>
      <c r="C792" s="26" t="n"/>
      <c r="D792" s="26" t="n"/>
      <c r="E792" s="26" t="n"/>
      <c r="F792" s="25" t="n"/>
      <c r="G792" s="25" t="n"/>
      <c r="H792" s="25" t="n"/>
      <c r="I792" s="25" t="n"/>
      <c r="J792" s="25" t="n"/>
      <c r="K792" s="25" t="n"/>
      <c r="L792" s="25" t="n"/>
      <c r="M792" s="25" t="n"/>
      <c r="N792" s="25" t="n"/>
      <c r="O792" s="4" t="n"/>
      <c r="P792" s="4" t="n"/>
      <c r="Q792" s="4" t="n"/>
      <c r="R792" s="4" t="n"/>
      <c r="S792" s="4" t="n"/>
    </row>
    <row r="793" ht="15" customHeight="1" s="215">
      <c r="A793" s="26" t="n"/>
      <c r="B793" s="26" t="n"/>
      <c r="C793" s="26" t="n"/>
      <c r="D793" s="26" t="n"/>
      <c r="E793" s="26" t="n"/>
      <c r="F793" s="25" t="n"/>
      <c r="G793" s="25" t="n"/>
      <c r="H793" s="25" t="n"/>
      <c r="I793" s="25" t="n"/>
      <c r="J793" s="25" t="n"/>
      <c r="K793" s="25" t="n"/>
      <c r="L793" s="25" t="n"/>
      <c r="M793" s="25" t="n"/>
      <c r="N793" s="25" t="n"/>
      <c r="O793" s="4" t="n"/>
      <c r="P793" s="4" t="n"/>
      <c r="Q793" s="4" t="n"/>
      <c r="R793" s="4" t="n"/>
      <c r="S793" s="4" t="n"/>
    </row>
    <row r="794" ht="15" customHeight="1" s="215">
      <c r="A794" s="26" t="n"/>
      <c r="B794" s="26" t="n"/>
      <c r="C794" s="26" t="n"/>
      <c r="D794" s="26" t="n"/>
      <c r="E794" s="26" t="n"/>
      <c r="F794" s="25" t="n"/>
      <c r="G794" s="25" t="n"/>
      <c r="H794" s="25" t="n"/>
      <c r="I794" s="25" t="n"/>
      <c r="J794" s="25" t="n"/>
      <c r="K794" s="25" t="n"/>
      <c r="L794" s="25" t="n"/>
      <c r="M794" s="25" t="n"/>
      <c r="N794" s="25" t="n"/>
      <c r="O794" s="4" t="n"/>
      <c r="P794" s="4" t="n"/>
      <c r="Q794" s="4" t="n"/>
      <c r="R794" s="4" t="n"/>
      <c r="S794" s="4" t="n"/>
    </row>
    <row r="795" ht="15" customHeight="1" s="215">
      <c r="A795" s="26" t="n"/>
      <c r="B795" s="26" t="n"/>
      <c r="C795" s="26" t="n"/>
      <c r="D795" s="26" t="n"/>
      <c r="E795" s="26" t="n"/>
      <c r="F795" s="25" t="n"/>
      <c r="G795" s="25" t="n"/>
      <c r="H795" s="25" t="n"/>
      <c r="I795" s="25" t="n"/>
      <c r="J795" s="25" t="n"/>
      <c r="K795" s="25" t="n"/>
      <c r="L795" s="25" t="n"/>
      <c r="M795" s="25" t="n"/>
      <c r="N795" s="25" t="n"/>
      <c r="O795" s="4" t="n"/>
      <c r="P795" s="4" t="n"/>
      <c r="Q795" s="4" t="n"/>
      <c r="R795" s="4" t="n"/>
      <c r="S795" s="4" t="n"/>
    </row>
    <row r="796" ht="15" customHeight="1" s="215">
      <c r="A796" s="26" t="n"/>
      <c r="B796" s="26" t="n"/>
      <c r="C796" s="26" t="n"/>
      <c r="D796" s="26" t="n"/>
      <c r="E796" s="26" t="n"/>
      <c r="F796" s="25" t="n"/>
      <c r="G796" s="25" t="n"/>
      <c r="H796" s="25" t="n"/>
      <c r="I796" s="25" t="n"/>
      <c r="J796" s="25" t="n"/>
      <c r="K796" s="25" t="n"/>
      <c r="L796" s="25" t="n"/>
      <c r="M796" s="25" t="n"/>
      <c r="N796" s="25" t="n"/>
      <c r="O796" s="4" t="n"/>
      <c r="P796" s="4" t="n"/>
      <c r="Q796" s="4" t="n"/>
      <c r="R796" s="4" t="n"/>
      <c r="S796" s="4" t="n"/>
    </row>
    <row r="797" ht="15" customHeight="1" s="215">
      <c r="A797" s="26" t="n"/>
      <c r="B797" s="26" t="n"/>
      <c r="C797" s="26" t="n"/>
      <c r="D797" s="26" t="n"/>
      <c r="E797" s="26" t="n"/>
      <c r="F797" s="25" t="n"/>
      <c r="G797" s="25" t="n"/>
      <c r="H797" s="25" t="n"/>
      <c r="I797" s="25" t="n"/>
      <c r="J797" s="25" t="n"/>
      <c r="K797" s="25" t="n"/>
      <c r="L797" s="25" t="n"/>
      <c r="M797" s="25" t="n"/>
      <c r="N797" s="25" t="n"/>
      <c r="O797" s="4" t="n"/>
      <c r="P797" s="4" t="n"/>
      <c r="Q797" s="4" t="n"/>
      <c r="R797" s="4" t="n"/>
      <c r="S797" s="4" t="n"/>
    </row>
    <row r="798" ht="15" customHeight="1" s="215">
      <c r="A798" s="26" t="n"/>
      <c r="B798" s="26" t="n"/>
      <c r="C798" s="26" t="n"/>
      <c r="D798" s="26" t="n"/>
      <c r="E798" s="26" t="n"/>
      <c r="F798" s="25" t="n"/>
      <c r="G798" s="25" t="n"/>
      <c r="H798" s="25" t="n"/>
      <c r="I798" s="25" t="n"/>
      <c r="J798" s="25" t="n"/>
      <c r="K798" s="25" t="n"/>
      <c r="L798" s="25" t="n"/>
      <c r="M798" s="25" t="n"/>
      <c r="N798" s="25" t="n"/>
      <c r="O798" s="4" t="n"/>
      <c r="P798" s="4" t="n"/>
      <c r="Q798" s="4" t="n"/>
      <c r="R798" s="4" t="n"/>
      <c r="S798" s="4" t="n"/>
    </row>
    <row r="799" ht="15" customHeight="1" s="215">
      <c r="A799" s="26" t="n"/>
      <c r="B799" s="26" t="n"/>
      <c r="C799" s="26" t="n"/>
      <c r="D799" s="26" t="n"/>
      <c r="E799" s="26" t="n"/>
      <c r="F799" s="25" t="n"/>
      <c r="G799" s="25" t="n"/>
      <c r="H799" s="25" t="n"/>
      <c r="I799" s="25" t="n"/>
      <c r="J799" s="25" t="n"/>
      <c r="K799" s="25" t="n"/>
      <c r="L799" s="25" t="n"/>
      <c r="M799" s="25" t="n"/>
      <c r="N799" s="25" t="n"/>
      <c r="O799" s="4" t="n"/>
      <c r="P799" s="4" t="n"/>
      <c r="Q799" s="4" t="n"/>
      <c r="R799" s="4" t="n"/>
      <c r="S799" s="4" t="n"/>
    </row>
    <row r="800" ht="15" customHeight="1" s="215">
      <c r="A800" s="26" t="n"/>
      <c r="B800" s="26" t="n"/>
      <c r="C800" s="26" t="n"/>
      <c r="D800" s="26" t="n"/>
      <c r="E800" s="26" t="n"/>
      <c r="F800" s="25" t="n"/>
      <c r="G800" s="25" t="n"/>
      <c r="H800" s="25" t="n"/>
      <c r="I800" s="25" t="n"/>
      <c r="J800" s="25" t="n"/>
      <c r="K800" s="25" t="n"/>
      <c r="L800" s="25" t="n"/>
      <c r="M800" s="25" t="n"/>
      <c r="N800" s="25" t="n"/>
      <c r="O800" s="4" t="n"/>
      <c r="P800" s="4" t="n"/>
      <c r="Q800" s="4" t="n"/>
      <c r="R800" s="4" t="n"/>
      <c r="S800" s="4" t="n"/>
    </row>
    <row r="801" ht="15" customHeight="1" s="215">
      <c r="A801" s="26" t="n"/>
      <c r="B801" s="26" t="n"/>
      <c r="C801" s="26" t="n"/>
      <c r="D801" s="26" t="n"/>
      <c r="E801" s="26" t="n"/>
      <c r="F801" s="25" t="n"/>
      <c r="G801" s="25" t="n"/>
      <c r="H801" s="25" t="n"/>
      <c r="I801" s="25" t="n"/>
      <c r="J801" s="25" t="n"/>
      <c r="K801" s="25" t="n"/>
      <c r="L801" s="25" t="n"/>
      <c r="M801" s="25" t="n"/>
      <c r="N801" s="25" t="n"/>
      <c r="O801" s="4" t="n"/>
      <c r="P801" s="4" t="n"/>
      <c r="Q801" s="4" t="n"/>
      <c r="R801" s="4" t="n"/>
      <c r="S801" s="4" t="n"/>
    </row>
    <row r="802" ht="15" customHeight="1" s="215">
      <c r="A802" s="26" t="n"/>
      <c r="B802" s="26" t="n"/>
      <c r="C802" s="26" t="n"/>
      <c r="D802" s="26" t="n"/>
      <c r="E802" s="26" t="n"/>
      <c r="F802" s="25" t="n"/>
      <c r="G802" s="25" t="n"/>
      <c r="H802" s="25" t="n"/>
      <c r="I802" s="25" t="n"/>
      <c r="J802" s="25" t="n"/>
      <c r="K802" s="25" t="n"/>
      <c r="L802" s="25" t="n"/>
      <c r="M802" s="25" t="n"/>
      <c r="N802" s="25" t="n"/>
      <c r="O802" s="4" t="n"/>
      <c r="P802" s="4" t="n"/>
      <c r="Q802" s="4" t="n"/>
      <c r="R802" s="4" t="n"/>
      <c r="S802" s="4" t="n"/>
    </row>
    <row r="803" ht="15" customHeight="1" s="215">
      <c r="A803" s="26" t="n"/>
      <c r="B803" s="26" t="n"/>
      <c r="C803" s="26" t="n"/>
      <c r="D803" s="26" t="n"/>
      <c r="E803" s="26" t="n"/>
      <c r="F803" s="25" t="n"/>
      <c r="G803" s="25" t="n"/>
      <c r="H803" s="25" t="n"/>
      <c r="I803" s="25" t="n"/>
      <c r="J803" s="25" t="n"/>
      <c r="K803" s="25" t="n"/>
      <c r="L803" s="25" t="n"/>
      <c r="M803" s="25" t="n"/>
      <c r="N803" s="25" t="n"/>
      <c r="O803" s="4" t="n"/>
      <c r="P803" s="4" t="n"/>
      <c r="Q803" s="4" t="n"/>
      <c r="R803" s="4" t="n"/>
      <c r="S803" s="4" t="n"/>
    </row>
    <row r="804" ht="15" customHeight="1" s="215">
      <c r="A804" s="26" t="n"/>
      <c r="B804" s="26" t="n"/>
      <c r="C804" s="26" t="n"/>
      <c r="D804" s="26" t="n"/>
      <c r="E804" s="26" t="n"/>
      <c r="F804" s="25" t="n"/>
      <c r="G804" s="25" t="n"/>
      <c r="H804" s="25" t="n"/>
      <c r="I804" s="25" t="n"/>
      <c r="J804" s="25" t="n"/>
      <c r="K804" s="25" t="n"/>
      <c r="L804" s="25" t="n"/>
      <c r="M804" s="25" t="n"/>
      <c r="N804" s="25" t="n"/>
      <c r="O804" s="4" t="n"/>
      <c r="P804" s="4" t="n"/>
      <c r="Q804" s="4" t="n"/>
      <c r="R804" s="4" t="n"/>
      <c r="S804" s="4" t="n"/>
    </row>
    <row r="805" ht="15" customHeight="1" s="215">
      <c r="A805" s="26" t="n"/>
      <c r="B805" s="26" t="n"/>
      <c r="C805" s="26" t="n"/>
      <c r="D805" s="26" t="n"/>
      <c r="E805" s="26" t="n"/>
      <c r="F805" s="25" t="n"/>
      <c r="G805" s="25" t="n"/>
      <c r="H805" s="25" t="n"/>
      <c r="I805" s="25" t="n"/>
      <c r="J805" s="25" t="n"/>
      <c r="K805" s="25" t="n"/>
      <c r="L805" s="25" t="n"/>
      <c r="M805" s="25" t="n"/>
      <c r="N805" s="25" t="n"/>
      <c r="O805" s="4" t="n"/>
      <c r="P805" s="4" t="n"/>
      <c r="Q805" s="4" t="n"/>
      <c r="R805" s="4" t="n"/>
      <c r="S805" s="4" t="n"/>
    </row>
    <row r="806" ht="15" customHeight="1" s="215">
      <c r="A806" s="26" t="n"/>
      <c r="B806" s="26" t="n"/>
      <c r="C806" s="26" t="n"/>
      <c r="D806" s="26" t="n"/>
      <c r="E806" s="26" t="n"/>
      <c r="F806" s="25" t="n"/>
      <c r="G806" s="25" t="n"/>
      <c r="H806" s="25" t="n"/>
      <c r="I806" s="25" t="n"/>
      <c r="J806" s="25" t="n"/>
      <c r="K806" s="25" t="n"/>
      <c r="L806" s="25" t="n"/>
      <c r="M806" s="25" t="n"/>
      <c r="N806" s="25" t="n"/>
      <c r="O806" s="4" t="n"/>
      <c r="P806" s="4" t="n"/>
      <c r="Q806" s="4" t="n"/>
      <c r="R806" s="4" t="n"/>
      <c r="S806" s="4" t="n"/>
    </row>
    <row r="807" ht="15" customHeight="1" s="215">
      <c r="A807" s="26" t="n"/>
      <c r="B807" s="26" t="n"/>
      <c r="C807" s="26" t="n"/>
      <c r="D807" s="26" t="n"/>
      <c r="E807" s="26" t="n"/>
      <c r="F807" s="25" t="n"/>
      <c r="G807" s="25" t="n"/>
      <c r="H807" s="25" t="n"/>
      <c r="I807" s="25" t="n"/>
      <c r="J807" s="25" t="n"/>
      <c r="K807" s="25" t="n"/>
      <c r="L807" s="25" t="n"/>
      <c r="M807" s="25" t="n"/>
      <c r="N807" s="25" t="n"/>
      <c r="O807" s="4" t="n"/>
      <c r="P807" s="4" t="n"/>
      <c r="Q807" s="4" t="n"/>
      <c r="R807" s="4" t="n"/>
      <c r="S807" s="4" t="n"/>
    </row>
    <row r="808" ht="15" customHeight="1" s="215">
      <c r="A808" s="26" t="n"/>
      <c r="B808" s="26" t="n"/>
      <c r="C808" s="26" t="n"/>
      <c r="D808" s="26" t="n"/>
      <c r="E808" s="26" t="n"/>
      <c r="F808" s="25" t="n"/>
      <c r="G808" s="25" t="n"/>
      <c r="H808" s="25" t="n"/>
      <c r="I808" s="25" t="n"/>
      <c r="J808" s="25" t="n"/>
      <c r="K808" s="25" t="n"/>
      <c r="L808" s="25" t="n"/>
      <c r="M808" s="25" t="n"/>
      <c r="N808" s="25" t="n"/>
      <c r="O808" s="4" t="n"/>
      <c r="P808" s="4" t="n"/>
      <c r="Q808" s="4" t="n"/>
      <c r="R808" s="4" t="n"/>
      <c r="S808" s="4" t="n"/>
    </row>
    <row r="809" ht="15" customHeight="1" s="215">
      <c r="A809" s="26" t="n"/>
      <c r="B809" s="26" t="n"/>
      <c r="C809" s="26" t="n"/>
      <c r="D809" s="26" t="n"/>
      <c r="E809" s="26" t="n"/>
      <c r="F809" s="25" t="n"/>
      <c r="G809" s="25" t="n"/>
      <c r="H809" s="25" t="n"/>
      <c r="I809" s="25" t="n"/>
      <c r="J809" s="25" t="n"/>
      <c r="K809" s="25" t="n"/>
      <c r="L809" s="25" t="n"/>
      <c r="M809" s="25" t="n"/>
      <c r="N809" s="25" t="n"/>
      <c r="O809" s="4" t="n"/>
      <c r="P809" s="4" t="n"/>
      <c r="Q809" s="4" t="n"/>
      <c r="R809" s="4" t="n"/>
      <c r="S809" s="4" t="n"/>
    </row>
    <row r="810" ht="15" customHeight="1" s="215">
      <c r="A810" s="26" t="n"/>
      <c r="B810" s="26" t="n"/>
      <c r="C810" s="26" t="n"/>
      <c r="D810" s="26" t="n"/>
      <c r="E810" s="26" t="n"/>
      <c r="F810" s="25" t="n"/>
      <c r="G810" s="25" t="n"/>
      <c r="H810" s="25" t="n"/>
      <c r="I810" s="25" t="n"/>
      <c r="J810" s="25" t="n"/>
      <c r="K810" s="25" t="n"/>
      <c r="L810" s="25" t="n"/>
      <c r="M810" s="25" t="n"/>
      <c r="N810" s="25" t="n"/>
      <c r="O810" s="4" t="n"/>
      <c r="P810" s="4" t="n"/>
      <c r="Q810" s="4" t="n"/>
      <c r="R810" s="4" t="n"/>
      <c r="S810" s="4" t="n"/>
    </row>
    <row r="811" ht="15" customHeight="1" s="215">
      <c r="A811" s="26" t="n"/>
      <c r="B811" s="26" t="n"/>
      <c r="C811" s="26" t="n"/>
      <c r="D811" s="26" t="n"/>
      <c r="E811" s="26" t="n"/>
      <c r="F811" s="25" t="n"/>
      <c r="G811" s="25" t="n"/>
      <c r="H811" s="25" t="n"/>
      <c r="I811" s="25" t="n"/>
      <c r="J811" s="25" t="n"/>
      <c r="K811" s="25" t="n"/>
      <c r="L811" s="25" t="n"/>
      <c r="M811" s="25" t="n"/>
      <c r="N811" s="25" t="n"/>
      <c r="O811" s="4" t="n"/>
      <c r="P811" s="4" t="n"/>
      <c r="Q811" s="4" t="n"/>
      <c r="R811" s="4" t="n"/>
      <c r="S811" s="4" t="n"/>
    </row>
    <row r="812" ht="15" customHeight="1" s="215">
      <c r="A812" s="26" t="n"/>
      <c r="B812" s="26" t="n"/>
      <c r="C812" s="26" t="n"/>
      <c r="D812" s="26" t="n"/>
      <c r="E812" s="26" t="n"/>
      <c r="F812" s="25" t="n"/>
      <c r="G812" s="25" t="n"/>
      <c r="H812" s="25" t="n"/>
      <c r="I812" s="25" t="n"/>
      <c r="J812" s="25" t="n"/>
      <c r="K812" s="25" t="n"/>
      <c r="L812" s="25" t="n"/>
      <c r="M812" s="25" t="n"/>
      <c r="N812" s="25" t="n"/>
      <c r="O812" s="4" t="n"/>
      <c r="P812" s="4" t="n"/>
      <c r="Q812" s="4" t="n"/>
      <c r="R812" s="4" t="n"/>
      <c r="S812" s="4" t="n"/>
    </row>
    <row r="813" ht="15" customHeight="1" s="215">
      <c r="A813" s="26" t="n"/>
      <c r="B813" s="26" t="n"/>
      <c r="C813" s="26" t="n"/>
      <c r="D813" s="26" t="n"/>
      <c r="E813" s="26" t="n"/>
      <c r="F813" s="25" t="n"/>
      <c r="G813" s="25" t="n"/>
      <c r="H813" s="25" t="n"/>
      <c r="I813" s="25" t="n"/>
      <c r="J813" s="25" t="n"/>
      <c r="K813" s="25" t="n"/>
      <c r="L813" s="25" t="n"/>
      <c r="M813" s="25" t="n"/>
      <c r="N813" s="25" t="n"/>
      <c r="O813" s="4" t="n"/>
      <c r="P813" s="4" t="n"/>
      <c r="Q813" s="4" t="n"/>
      <c r="R813" s="4" t="n"/>
      <c r="S813" s="4" t="n"/>
    </row>
    <row r="814" ht="15" customHeight="1" s="215">
      <c r="A814" s="26" t="n"/>
      <c r="B814" s="26" t="n"/>
      <c r="C814" s="26" t="n"/>
      <c r="D814" s="26" t="n"/>
      <c r="E814" s="26" t="n"/>
      <c r="F814" s="25" t="n"/>
      <c r="G814" s="25" t="n"/>
      <c r="H814" s="25" t="n"/>
      <c r="I814" s="25" t="n"/>
      <c r="J814" s="25" t="n"/>
      <c r="K814" s="25" t="n"/>
      <c r="L814" s="25" t="n"/>
      <c r="M814" s="25" t="n"/>
      <c r="N814" s="25" t="n"/>
      <c r="O814" s="4" t="n"/>
      <c r="P814" s="4" t="n"/>
      <c r="Q814" s="4" t="n"/>
      <c r="R814" s="4" t="n"/>
      <c r="S814" s="4" t="n"/>
    </row>
    <row r="815" ht="15" customHeight="1" s="215">
      <c r="A815" s="26" t="n"/>
      <c r="B815" s="26" t="n"/>
      <c r="C815" s="26" t="n"/>
      <c r="D815" s="26" t="n"/>
      <c r="E815" s="26" t="n"/>
      <c r="F815" s="25" t="n"/>
      <c r="G815" s="25" t="n"/>
      <c r="H815" s="25" t="n"/>
      <c r="I815" s="25" t="n"/>
      <c r="J815" s="25" t="n"/>
      <c r="K815" s="25" t="n"/>
      <c r="L815" s="25" t="n"/>
      <c r="M815" s="25" t="n"/>
      <c r="N815" s="25" t="n"/>
      <c r="O815" s="4" t="n"/>
      <c r="P815" s="4" t="n"/>
      <c r="Q815" s="4" t="n"/>
      <c r="R815" s="4" t="n"/>
      <c r="S815" s="4" t="n"/>
    </row>
    <row r="816" ht="15" customHeight="1" s="215">
      <c r="A816" s="26" t="n"/>
      <c r="B816" s="26" t="n"/>
      <c r="C816" s="26" t="n"/>
      <c r="D816" s="26" t="n"/>
      <c r="E816" s="26" t="n"/>
      <c r="F816" s="25" t="n"/>
      <c r="G816" s="25" t="n"/>
      <c r="H816" s="25" t="n"/>
      <c r="I816" s="25" t="n"/>
      <c r="J816" s="25" t="n"/>
      <c r="K816" s="25" t="n"/>
      <c r="L816" s="25" t="n"/>
      <c r="M816" s="25" t="n"/>
      <c r="N816" s="25" t="n"/>
      <c r="O816" s="4" t="n"/>
      <c r="P816" s="4" t="n"/>
      <c r="Q816" s="4" t="n"/>
      <c r="R816" s="4" t="n"/>
      <c r="S816" s="4" t="n"/>
    </row>
    <row r="817" ht="15" customHeight="1" s="215">
      <c r="A817" s="26" t="n"/>
      <c r="B817" s="26" t="n"/>
      <c r="C817" s="26" t="n"/>
      <c r="D817" s="26" t="n"/>
      <c r="E817" s="26" t="n"/>
      <c r="F817" s="25" t="n"/>
      <c r="G817" s="25" t="n"/>
      <c r="H817" s="25" t="n"/>
      <c r="I817" s="25" t="n"/>
      <c r="J817" s="25" t="n"/>
      <c r="K817" s="25" t="n"/>
      <c r="L817" s="25" t="n"/>
      <c r="M817" s="25" t="n"/>
      <c r="N817" s="25" t="n"/>
      <c r="O817" s="4" t="n"/>
      <c r="P817" s="4" t="n"/>
      <c r="Q817" s="4" t="n"/>
      <c r="R817" s="4" t="n"/>
      <c r="S817" s="4" t="n"/>
    </row>
    <row r="818" ht="15" customHeight="1" s="215">
      <c r="A818" s="26" t="n"/>
      <c r="B818" s="26" t="n"/>
      <c r="C818" s="26" t="n"/>
      <c r="D818" s="26" t="n"/>
      <c r="E818" s="26" t="n"/>
      <c r="F818" s="25" t="n"/>
      <c r="G818" s="25" t="n"/>
      <c r="H818" s="25" t="n"/>
      <c r="I818" s="25" t="n"/>
      <c r="J818" s="25" t="n"/>
      <c r="K818" s="25" t="n"/>
      <c r="L818" s="25" t="n"/>
      <c r="M818" s="25" t="n"/>
      <c r="N818" s="25" t="n"/>
      <c r="O818" s="4" t="n"/>
      <c r="P818" s="4" t="n"/>
      <c r="Q818" s="4" t="n"/>
      <c r="R818" s="4" t="n"/>
      <c r="S818" s="4" t="n"/>
    </row>
    <row r="819" ht="15" customHeight="1" s="215">
      <c r="A819" s="26" t="n"/>
      <c r="B819" s="26" t="n"/>
      <c r="C819" s="26" t="n"/>
      <c r="D819" s="26" t="n"/>
      <c r="E819" s="26" t="n"/>
      <c r="F819" s="25" t="n"/>
      <c r="G819" s="25" t="n"/>
      <c r="H819" s="25" t="n"/>
      <c r="I819" s="25" t="n"/>
      <c r="J819" s="25" t="n"/>
      <c r="K819" s="25" t="n"/>
      <c r="L819" s="25" t="n"/>
      <c r="M819" s="25" t="n"/>
      <c r="N819" s="25" t="n"/>
      <c r="O819" s="4" t="n"/>
      <c r="P819" s="4" t="n"/>
      <c r="Q819" s="4" t="n"/>
      <c r="R819" s="4" t="n"/>
      <c r="S819" s="4" t="n"/>
    </row>
    <row r="820" ht="15" customHeight="1" s="215">
      <c r="A820" s="26" t="n"/>
      <c r="B820" s="26" t="n"/>
      <c r="C820" s="26" t="n"/>
      <c r="D820" s="26" t="n"/>
      <c r="E820" s="26" t="n"/>
      <c r="F820" s="25" t="n"/>
      <c r="G820" s="25" t="n"/>
      <c r="H820" s="25" t="n"/>
      <c r="I820" s="25" t="n"/>
      <c r="J820" s="25" t="n"/>
      <c r="K820" s="25" t="n"/>
      <c r="L820" s="25" t="n"/>
      <c r="M820" s="25" t="n"/>
      <c r="N820" s="25" t="n"/>
      <c r="O820" s="4" t="n"/>
      <c r="P820" s="4" t="n"/>
      <c r="Q820" s="4" t="n"/>
      <c r="R820" s="4" t="n"/>
      <c r="S820" s="4" t="n"/>
    </row>
    <row r="821" ht="15" customHeight="1" s="215">
      <c r="A821" s="26" t="n"/>
      <c r="B821" s="26" t="n"/>
      <c r="C821" s="26" t="n"/>
      <c r="D821" s="26" t="n"/>
      <c r="E821" s="26" t="n"/>
      <c r="F821" s="25" t="n"/>
      <c r="G821" s="25" t="n"/>
      <c r="H821" s="25" t="n"/>
      <c r="I821" s="25" t="n"/>
      <c r="J821" s="25" t="n"/>
      <c r="K821" s="25" t="n"/>
      <c r="L821" s="25" t="n"/>
      <c r="M821" s="25" t="n"/>
      <c r="N821" s="25" t="n"/>
      <c r="O821" s="4" t="n"/>
      <c r="P821" s="4" t="n"/>
      <c r="Q821" s="4" t="n"/>
      <c r="R821" s="4" t="n"/>
      <c r="S821" s="4" t="n"/>
    </row>
    <row r="822" ht="15" customHeight="1" s="215">
      <c r="A822" s="26" t="n"/>
      <c r="B822" s="26" t="n"/>
      <c r="C822" s="26" t="n"/>
      <c r="D822" s="26" t="n"/>
      <c r="E822" s="26" t="n"/>
      <c r="F822" s="25" t="n"/>
      <c r="G822" s="25" t="n"/>
      <c r="H822" s="25" t="n"/>
      <c r="I822" s="25" t="n"/>
      <c r="J822" s="25" t="n"/>
      <c r="K822" s="25" t="n"/>
      <c r="L822" s="25" t="n"/>
      <c r="M822" s="25" t="n"/>
      <c r="N822" s="25" t="n"/>
      <c r="O822" s="4" t="n"/>
      <c r="P822" s="4" t="n"/>
      <c r="Q822" s="4" t="n"/>
      <c r="R822" s="4" t="n"/>
      <c r="S822" s="4" t="n"/>
    </row>
    <row r="823" ht="15" customHeight="1" s="215">
      <c r="A823" s="26" t="n"/>
      <c r="B823" s="26" t="n"/>
      <c r="C823" s="26" t="n"/>
      <c r="D823" s="26" t="n"/>
      <c r="E823" s="26" t="n"/>
      <c r="F823" s="25" t="n"/>
      <c r="G823" s="25" t="n"/>
      <c r="H823" s="25" t="n"/>
      <c r="I823" s="25" t="n"/>
      <c r="J823" s="25" t="n"/>
      <c r="K823" s="25" t="n"/>
      <c r="L823" s="25" t="n"/>
      <c r="M823" s="25" t="n"/>
      <c r="N823" s="25" t="n"/>
      <c r="O823" s="4" t="n"/>
      <c r="P823" s="4" t="n"/>
      <c r="Q823" s="4" t="n"/>
      <c r="R823" s="4" t="n"/>
      <c r="S823" s="4" t="n"/>
    </row>
    <row r="824" ht="15" customHeight="1" s="215">
      <c r="A824" s="26" t="n"/>
      <c r="B824" s="26" t="n"/>
      <c r="C824" s="26" t="n"/>
      <c r="D824" s="26" t="n"/>
      <c r="E824" s="26" t="n"/>
      <c r="F824" s="25" t="n"/>
      <c r="G824" s="25" t="n"/>
      <c r="H824" s="25" t="n"/>
      <c r="I824" s="25" t="n"/>
      <c r="J824" s="25" t="n"/>
      <c r="K824" s="25" t="n"/>
      <c r="L824" s="25" t="n"/>
      <c r="M824" s="25" t="n"/>
      <c r="N824" s="25" t="n"/>
      <c r="O824" s="4" t="n"/>
      <c r="P824" s="4" t="n"/>
      <c r="Q824" s="4" t="n"/>
      <c r="R824" s="4" t="n"/>
      <c r="S824" s="4" t="n"/>
    </row>
    <row r="825" ht="15" customHeight="1" s="215">
      <c r="A825" s="26" t="n"/>
      <c r="B825" s="26" t="n"/>
      <c r="C825" s="26" t="n"/>
      <c r="D825" s="26" t="n"/>
      <c r="E825" s="26" t="n"/>
      <c r="F825" s="25" t="n"/>
      <c r="G825" s="25" t="n"/>
      <c r="H825" s="25" t="n"/>
      <c r="I825" s="25" t="n"/>
      <c r="J825" s="25" t="n"/>
      <c r="K825" s="25" t="n"/>
      <c r="L825" s="25" t="n"/>
      <c r="M825" s="25" t="n"/>
      <c r="N825" s="25" t="n"/>
      <c r="O825" s="4" t="n"/>
      <c r="P825" s="4" t="n"/>
      <c r="Q825" s="4" t="n"/>
      <c r="R825" s="4" t="n"/>
      <c r="S825" s="4" t="n"/>
    </row>
    <row r="826" ht="15" customHeight="1" s="215">
      <c r="A826" s="26" t="n"/>
      <c r="B826" s="26" t="n"/>
      <c r="C826" s="26" t="n"/>
      <c r="D826" s="26" t="n"/>
      <c r="E826" s="26" t="n"/>
      <c r="F826" s="25" t="n"/>
      <c r="G826" s="25" t="n"/>
      <c r="H826" s="25" t="n"/>
      <c r="I826" s="25" t="n"/>
      <c r="J826" s="25" t="n"/>
      <c r="K826" s="25" t="n"/>
      <c r="L826" s="25" t="n"/>
      <c r="M826" s="25" t="n"/>
      <c r="N826" s="25" t="n"/>
      <c r="O826" s="4" t="n"/>
      <c r="P826" s="4" t="n"/>
      <c r="Q826" s="4" t="n"/>
      <c r="R826" s="4" t="n"/>
      <c r="S826" s="4" t="n"/>
    </row>
    <row r="827" ht="15" customHeight="1" s="215">
      <c r="A827" s="26" t="n"/>
      <c r="B827" s="26" t="n"/>
      <c r="C827" s="26" t="n"/>
      <c r="D827" s="26" t="n"/>
      <c r="E827" s="26" t="n"/>
      <c r="F827" s="25" t="n"/>
      <c r="G827" s="25" t="n"/>
      <c r="H827" s="25" t="n"/>
      <c r="I827" s="25" t="n"/>
      <c r="J827" s="25" t="n"/>
      <c r="K827" s="25" t="n"/>
      <c r="L827" s="25" t="n"/>
      <c r="M827" s="25" t="n"/>
      <c r="N827" s="25" t="n"/>
      <c r="O827" s="4" t="n"/>
      <c r="P827" s="4" t="n"/>
      <c r="Q827" s="4" t="n"/>
      <c r="R827" s="4" t="n"/>
      <c r="S827" s="4" t="n"/>
    </row>
    <row r="828" ht="15" customHeight="1" s="215">
      <c r="A828" s="26" t="n"/>
      <c r="B828" s="26" t="n"/>
      <c r="C828" s="26" t="n"/>
      <c r="D828" s="26" t="n"/>
      <c r="E828" s="26" t="n"/>
      <c r="F828" s="25" t="n"/>
      <c r="G828" s="25" t="n"/>
      <c r="H828" s="25" t="n"/>
      <c r="I828" s="25" t="n"/>
      <c r="J828" s="25" t="n"/>
      <c r="K828" s="25" t="n"/>
      <c r="L828" s="25" t="n"/>
      <c r="M828" s="25" t="n"/>
      <c r="N828" s="25" t="n"/>
      <c r="O828" s="4" t="n"/>
      <c r="P828" s="4" t="n"/>
      <c r="Q828" s="4" t="n"/>
      <c r="R828" s="4" t="n"/>
      <c r="S828" s="4" t="n"/>
    </row>
    <row r="829" ht="15" customHeight="1" s="215">
      <c r="A829" s="26" t="n"/>
      <c r="B829" s="26" t="n"/>
      <c r="C829" s="26" t="n"/>
      <c r="D829" s="26" t="n"/>
      <c r="E829" s="26" t="n"/>
      <c r="F829" s="25" t="n"/>
      <c r="G829" s="25" t="n"/>
      <c r="H829" s="25" t="n"/>
      <c r="I829" s="25" t="n"/>
      <c r="J829" s="25" t="n"/>
      <c r="K829" s="25" t="n"/>
      <c r="L829" s="25" t="n"/>
      <c r="M829" s="25" t="n"/>
      <c r="N829" s="25" t="n"/>
      <c r="O829" s="4" t="n"/>
      <c r="P829" s="4" t="n"/>
      <c r="Q829" s="4" t="n"/>
      <c r="R829" s="4" t="n"/>
      <c r="S829" s="4" t="n"/>
    </row>
    <row r="830" ht="15" customHeight="1" s="215">
      <c r="A830" s="26" t="n"/>
      <c r="B830" s="26" t="n"/>
      <c r="C830" s="26" t="n"/>
      <c r="D830" s="26" t="n"/>
      <c r="E830" s="26" t="n"/>
      <c r="F830" s="25" t="n"/>
      <c r="G830" s="25" t="n"/>
      <c r="H830" s="25" t="n"/>
      <c r="I830" s="25" t="n"/>
      <c r="J830" s="25" t="n"/>
      <c r="K830" s="25" t="n"/>
      <c r="L830" s="25" t="n"/>
      <c r="M830" s="25" t="n"/>
      <c r="N830" s="25" t="n"/>
      <c r="O830" s="4" t="n"/>
      <c r="P830" s="4" t="n"/>
      <c r="Q830" s="4" t="n"/>
      <c r="R830" s="4" t="n"/>
      <c r="S830" s="4" t="n"/>
    </row>
    <row r="831" ht="15" customHeight="1" s="215">
      <c r="A831" s="26" t="n"/>
      <c r="B831" s="26" t="n"/>
      <c r="C831" s="26" t="n"/>
      <c r="D831" s="26" t="n"/>
      <c r="E831" s="26" t="n"/>
      <c r="F831" s="25" t="n"/>
      <c r="G831" s="25" t="n"/>
      <c r="H831" s="25" t="n"/>
      <c r="I831" s="25" t="n"/>
      <c r="J831" s="25" t="n"/>
      <c r="K831" s="25" t="n"/>
      <c r="L831" s="25" t="n"/>
      <c r="M831" s="25" t="n"/>
      <c r="N831" s="25" t="n"/>
      <c r="O831" s="4" t="n"/>
      <c r="P831" s="4" t="n"/>
      <c r="Q831" s="4" t="n"/>
      <c r="R831" s="4" t="n"/>
      <c r="S831" s="4" t="n"/>
    </row>
    <row r="832" ht="15" customHeight="1" s="215">
      <c r="A832" s="26" t="n"/>
      <c r="B832" s="26" t="n"/>
      <c r="C832" s="26" t="n"/>
      <c r="D832" s="26" t="n"/>
      <c r="E832" s="26" t="n"/>
      <c r="F832" s="25" t="n"/>
      <c r="G832" s="25" t="n"/>
      <c r="H832" s="25" t="n"/>
      <c r="I832" s="25" t="n"/>
      <c r="J832" s="25" t="n"/>
      <c r="K832" s="25" t="n"/>
      <c r="L832" s="25" t="n"/>
      <c r="M832" s="25" t="n"/>
      <c r="N832" s="25" t="n"/>
      <c r="O832" s="4" t="n"/>
      <c r="P832" s="4" t="n"/>
      <c r="Q832" s="4" t="n"/>
      <c r="R832" s="4" t="n"/>
      <c r="S832" s="4" t="n"/>
    </row>
    <row r="833" ht="15" customHeight="1" s="215">
      <c r="A833" s="26" t="n"/>
      <c r="B833" s="26" t="n"/>
      <c r="C833" s="26" t="n"/>
      <c r="D833" s="26" t="n"/>
      <c r="E833" s="26" t="n"/>
      <c r="F833" s="25" t="n"/>
      <c r="G833" s="25" t="n"/>
      <c r="H833" s="25" t="n"/>
      <c r="I833" s="25" t="n"/>
      <c r="J833" s="25" t="n"/>
      <c r="K833" s="25" t="n"/>
      <c r="L833" s="25" t="n"/>
      <c r="M833" s="25" t="n"/>
      <c r="N833" s="25" t="n"/>
      <c r="O833" s="4" t="n"/>
      <c r="P833" s="4" t="n"/>
      <c r="Q833" s="4" t="n"/>
      <c r="R833" s="4" t="n"/>
      <c r="S833" s="4" t="n"/>
    </row>
    <row r="834" ht="15" customHeight="1" s="215">
      <c r="A834" s="26" t="n"/>
      <c r="B834" s="26" t="n"/>
      <c r="C834" s="26" t="n"/>
      <c r="D834" s="26" t="n"/>
      <c r="E834" s="26" t="n"/>
      <c r="F834" s="25" t="n"/>
      <c r="G834" s="25" t="n"/>
      <c r="H834" s="25" t="n"/>
      <c r="I834" s="25" t="n"/>
      <c r="J834" s="25" t="n"/>
      <c r="K834" s="25" t="n"/>
      <c r="L834" s="25" t="n"/>
      <c r="M834" s="25" t="n"/>
      <c r="N834" s="25" t="n"/>
      <c r="O834" s="4" t="n"/>
      <c r="P834" s="4" t="n"/>
      <c r="Q834" s="4" t="n"/>
      <c r="R834" s="4" t="n"/>
      <c r="S834" s="4" t="n"/>
    </row>
    <row r="835" ht="15" customHeight="1" s="215">
      <c r="A835" s="26" t="n"/>
      <c r="B835" s="26" t="n"/>
      <c r="C835" s="26" t="n"/>
      <c r="D835" s="26" t="n"/>
      <c r="E835" s="26" t="n"/>
      <c r="F835" s="25" t="n"/>
      <c r="G835" s="25" t="n"/>
      <c r="H835" s="25" t="n"/>
      <c r="I835" s="25" t="n"/>
      <c r="J835" s="25" t="n"/>
      <c r="K835" s="25" t="n"/>
      <c r="L835" s="25" t="n"/>
      <c r="M835" s="25" t="n"/>
      <c r="N835" s="25" t="n"/>
      <c r="O835" s="4" t="n"/>
      <c r="P835" s="4" t="n"/>
      <c r="Q835" s="4" t="n"/>
      <c r="R835" s="4" t="n"/>
      <c r="S835" s="4" t="n"/>
    </row>
    <row r="836" ht="15" customHeight="1" s="215">
      <c r="A836" s="26" t="n"/>
      <c r="B836" s="26" t="n"/>
      <c r="C836" s="26" t="n"/>
      <c r="D836" s="26" t="n"/>
      <c r="E836" s="26" t="n"/>
      <c r="F836" s="25" t="n"/>
      <c r="G836" s="25" t="n"/>
      <c r="H836" s="25" t="n"/>
      <c r="I836" s="25" t="n"/>
      <c r="J836" s="25" t="n"/>
      <c r="K836" s="25" t="n"/>
      <c r="L836" s="25" t="n"/>
      <c r="M836" s="25" t="n"/>
      <c r="N836" s="25" t="n"/>
      <c r="O836" s="4" t="n"/>
      <c r="P836" s="4" t="n"/>
      <c r="Q836" s="4" t="n"/>
      <c r="R836" s="4" t="n"/>
      <c r="S836" s="4" t="n"/>
    </row>
    <row r="837" ht="15" customHeight="1" s="215">
      <c r="A837" s="26" t="n"/>
      <c r="B837" s="26" t="n"/>
      <c r="C837" s="26" t="n"/>
      <c r="D837" s="26" t="n"/>
      <c r="E837" s="26" t="n"/>
      <c r="F837" s="25" t="n"/>
      <c r="G837" s="25" t="n"/>
      <c r="H837" s="25" t="n"/>
      <c r="I837" s="25" t="n"/>
      <c r="J837" s="25" t="n"/>
      <c r="K837" s="25" t="n"/>
      <c r="L837" s="25" t="n"/>
      <c r="M837" s="25" t="n"/>
      <c r="N837" s="25" t="n"/>
      <c r="O837" s="4" t="n"/>
      <c r="P837" s="4" t="n"/>
      <c r="Q837" s="4" t="n"/>
      <c r="R837" s="4" t="n"/>
      <c r="S837" s="4" t="n"/>
    </row>
    <row r="838" ht="15" customHeight="1" s="215">
      <c r="A838" s="26" t="n"/>
      <c r="B838" s="26" t="n"/>
      <c r="C838" s="26" t="n"/>
      <c r="D838" s="26" t="n"/>
      <c r="E838" s="26" t="n"/>
      <c r="F838" s="25" t="n"/>
      <c r="G838" s="25" t="n"/>
      <c r="H838" s="25" t="n"/>
      <c r="I838" s="25" t="n"/>
      <c r="J838" s="25" t="n"/>
      <c r="K838" s="25" t="n"/>
      <c r="L838" s="25" t="n"/>
      <c r="M838" s="25" t="n"/>
      <c r="N838" s="25" t="n"/>
      <c r="O838" s="4" t="n"/>
      <c r="P838" s="4" t="n"/>
      <c r="Q838" s="4" t="n"/>
      <c r="R838" s="4" t="n"/>
      <c r="S838" s="4" t="n"/>
    </row>
    <row r="839" ht="15" customHeight="1" s="215">
      <c r="A839" s="26" t="n"/>
      <c r="B839" s="26" t="n"/>
      <c r="C839" s="26" t="n"/>
      <c r="D839" s="26" t="n"/>
      <c r="E839" s="26" t="n"/>
      <c r="F839" s="25" t="n"/>
      <c r="G839" s="25" t="n"/>
      <c r="H839" s="25" t="n"/>
      <c r="I839" s="25" t="n"/>
      <c r="J839" s="25" t="n"/>
      <c r="K839" s="25" t="n"/>
      <c r="L839" s="25" t="n"/>
      <c r="M839" s="25" t="n"/>
      <c r="N839" s="25" t="n"/>
      <c r="O839" s="4" t="n"/>
      <c r="P839" s="4" t="n"/>
      <c r="Q839" s="4" t="n"/>
      <c r="R839" s="4" t="n"/>
      <c r="S839" s="4" t="n"/>
    </row>
    <row r="840" ht="15" customHeight="1" s="215">
      <c r="A840" s="26" t="n"/>
      <c r="B840" s="26" t="n"/>
      <c r="C840" s="26" t="n"/>
      <c r="D840" s="26" t="n"/>
      <c r="E840" s="26" t="n"/>
      <c r="F840" s="25" t="n"/>
      <c r="G840" s="25" t="n"/>
      <c r="H840" s="25" t="n"/>
      <c r="I840" s="25" t="n"/>
      <c r="J840" s="25" t="n"/>
      <c r="K840" s="25" t="n"/>
      <c r="L840" s="25" t="n"/>
      <c r="M840" s="25" t="n"/>
      <c r="N840" s="25" t="n"/>
      <c r="O840" s="4" t="n"/>
      <c r="P840" s="4" t="n"/>
      <c r="Q840" s="4" t="n"/>
      <c r="R840" s="4" t="n"/>
      <c r="S840" s="4" t="n"/>
    </row>
    <row r="841" ht="15" customHeight="1" s="215">
      <c r="A841" s="26" t="n"/>
      <c r="B841" s="26" t="n"/>
      <c r="C841" s="26" t="n"/>
      <c r="D841" s="26" t="n"/>
      <c r="E841" s="26" t="n"/>
      <c r="F841" s="25" t="n"/>
      <c r="G841" s="25" t="n"/>
      <c r="H841" s="25" t="n"/>
      <c r="I841" s="25" t="n"/>
      <c r="J841" s="25" t="n"/>
      <c r="K841" s="25" t="n"/>
      <c r="L841" s="25" t="n"/>
      <c r="M841" s="25" t="n"/>
      <c r="N841" s="25" t="n"/>
      <c r="O841" s="4" t="n"/>
      <c r="P841" s="4" t="n"/>
      <c r="Q841" s="4" t="n"/>
      <c r="R841" s="4" t="n"/>
      <c r="S841" s="4" t="n"/>
    </row>
    <row r="842" ht="15" customHeight="1" s="215">
      <c r="A842" s="26" t="n"/>
      <c r="B842" s="26" t="n"/>
      <c r="C842" s="26" t="n"/>
      <c r="D842" s="26" t="n"/>
      <c r="E842" s="26" t="n"/>
      <c r="F842" s="25" t="n"/>
      <c r="G842" s="25" t="n"/>
      <c r="H842" s="25" t="n"/>
      <c r="I842" s="25" t="n"/>
      <c r="J842" s="25" t="n"/>
      <c r="K842" s="25" t="n"/>
      <c r="L842" s="25" t="n"/>
      <c r="M842" s="25" t="n"/>
      <c r="N842" s="25" t="n"/>
      <c r="O842" s="4" t="n"/>
      <c r="P842" s="4" t="n"/>
      <c r="Q842" s="4" t="n"/>
      <c r="R842" s="4" t="n"/>
      <c r="S842" s="4" t="n"/>
    </row>
    <row r="843" ht="15" customHeight="1" s="215">
      <c r="A843" s="26" t="n"/>
      <c r="B843" s="26" t="n"/>
      <c r="C843" s="26" t="n"/>
      <c r="D843" s="26" t="n"/>
      <c r="E843" s="26" t="n"/>
      <c r="F843" s="25" t="n"/>
      <c r="G843" s="25" t="n"/>
      <c r="H843" s="25" t="n"/>
      <c r="I843" s="25" t="n"/>
      <c r="J843" s="25" t="n"/>
      <c r="K843" s="25" t="n"/>
      <c r="L843" s="25" t="n"/>
      <c r="M843" s="25" t="n"/>
      <c r="N843" s="25" t="n"/>
      <c r="O843" s="4" t="n"/>
      <c r="P843" s="4" t="n"/>
      <c r="Q843" s="4" t="n"/>
      <c r="R843" s="4" t="n"/>
      <c r="S843" s="4" t="n"/>
    </row>
    <row r="844" ht="15" customHeight="1" s="215">
      <c r="A844" s="26" t="n"/>
      <c r="B844" s="26" t="n"/>
      <c r="C844" s="26" t="n"/>
      <c r="D844" s="26" t="n"/>
      <c r="E844" s="26" t="n"/>
      <c r="F844" s="25" t="n"/>
      <c r="G844" s="25" t="n"/>
      <c r="H844" s="25" t="n"/>
      <c r="I844" s="25" t="n"/>
      <c r="J844" s="25" t="n"/>
      <c r="K844" s="25" t="n"/>
      <c r="L844" s="25" t="n"/>
      <c r="M844" s="25" t="n"/>
      <c r="N844" s="25" t="n"/>
      <c r="O844" s="4" t="n"/>
      <c r="P844" s="4" t="n"/>
      <c r="Q844" s="4" t="n"/>
      <c r="R844" s="4" t="n"/>
      <c r="S844" s="4" t="n"/>
    </row>
    <row r="845" ht="15" customHeight="1" s="215">
      <c r="A845" s="26" t="n"/>
      <c r="B845" s="26" t="n"/>
      <c r="C845" s="26" t="n"/>
      <c r="D845" s="26" t="n"/>
      <c r="E845" s="26" t="n"/>
      <c r="F845" s="25" t="n"/>
      <c r="G845" s="25" t="n"/>
      <c r="H845" s="25" t="n"/>
      <c r="I845" s="25" t="n"/>
      <c r="J845" s="25" t="n"/>
      <c r="K845" s="25" t="n"/>
      <c r="L845" s="25" t="n"/>
      <c r="M845" s="25" t="n"/>
      <c r="N845" s="25" t="n"/>
      <c r="O845" s="4" t="n"/>
      <c r="P845" s="4" t="n"/>
      <c r="Q845" s="4" t="n"/>
      <c r="R845" s="4" t="n"/>
      <c r="S845" s="4" t="n"/>
    </row>
    <row r="846" ht="15" customHeight="1" s="215">
      <c r="A846" s="26" t="n"/>
      <c r="B846" s="26" t="n"/>
      <c r="C846" s="26" t="n"/>
      <c r="D846" s="26" t="n"/>
      <c r="E846" s="26" t="n"/>
      <c r="F846" s="25" t="n"/>
      <c r="G846" s="25" t="n"/>
      <c r="H846" s="25" t="n"/>
      <c r="I846" s="25" t="n"/>
      <c r="J846" s="25" t="n"/>
      <c r="K846" s="25" t="n"/>
      <c r="L846" s="25" t="n"/>
      <c r="M846" s="25" t="n"/>
      <c r="N846" s="25" t="n"/>
      <c r="O846" s="4" t="n"/>
      <c r="P846" s="4" t="n"/>
      <c r="Q846" s="4" t="n"/>
      <c r="R846" s="4" t="n"/>
      <c r="S846" s="4" t="n"/>
    </row>
    <row r="847" ht="15" customHeight="1" s="215">
      <c r="A847" s="26" t="n"/>
      <c r="B847" s="26" t="n"/>
      <c r="C847" s="26" t="n"/>
      <c r="D847" s="26" t="n"/>
      <c r="E847" s="26" t="n"/>
      <c r="F847" s="25" t="n"/>
      <c r="G847" s="25" t="n"/>
      <c r="H847" s="25" t="n"/>
      <c r="I847" s="25" t="n"/>
      <c r="J847" s="25" t="n"/>
      <c r="K847" s="25" t="n"/>
      <c r="L847" s="25" t="n"/>
      <c r="M847" s="25" t="n"/>
      <c r="N847" s="25" t="n"/>
      <c r="O847" s="4" t="n"/>
      <c r="P847" s="4" t="n"/>
      <c r="Q847" s="4" t="n"/>
      <c r="R847" s="4" t="n"/>
      <c r="S847" s="4" t="n"/>
    </row>
    <row r="848" ht="15" customHeight="1" s="215">
      <c r="A848" s="26" t="n"/>
      <c r="B848" s="26" t="n"/>
      <c r="C848" s="26" t="n"/>
      <c r="D848" s="26" t="n"/>
      <c r="E848" s="26" t="n"/>
      <c r="F848" s="25" t="n"/>
      <c r="G848" s="25" t="n"/>
      <c r="H848" s="25" t="n"/>
      <c r="I848" s="25" t="n"/>
      <c r="J848" s="25" t="n"/>
      <c r="K848" s="25" t="n"/>
      <c r="L848" s="25" t="n"/>
      <c r="M848" s="25" t="n"/>
      <c r="N848" s="25" t="n"/>
      <c r="O848" s="4" t="n"/>
      <c r="P848" s="4" t="n"/>
      <c r="Q848" s="4" t="n"/>
      <c r="R848" s="4" t="n"/>
      <c r="S848" s="4" t="n"/>
    </row>
    <row r="849" ht="15" customHeight="1" s="215">
      <c r="A849" s="26" t="n"/>
      <c r="B849" s="26" t="n"/>
      <c r="C849" s="26" t="n"/>
      <c r="D849" s="26" t="n"/>
      <c r="E849" s="26" t="n"/>
      <c r="F849" s="25" t="n"/>
      <c r="G849" s="25" t="n"/>
      <c r="H849" s="25" t="n"/>
      <c r="I849" s="25" t="n"/>
      <c r="J849" s="25" t="n"/>
      <c r="K849" s="25" t="n"/>
      <c r="L849" s="25" t="n"/>
      <c r="M849" s="25" t="n"/>
      <c r="N849" s="25" t="n"/>
      <c r="O849" s="4" t="n"/>
      <c r="P849" s="4" t="n"/>
      <c r="Q849" s="4" t="n"/>
      <c r="R849" s="4" t="n"/>
      <c r="S849" s="4" t="n"/>
    </row>
    <row r="850" ht="15" customHeight="1" s="215">
      <c r="A850" s="26" t="n"/>
      <c r="B850" s="26" t="n"/>
      <c r="C850" s="26" t="n"/>
      <c r="D850" s="26" t="n"/>
      <c r="E850" s="26" t="n"/>
      <c r="F850" s="25" t="n"/>
      <c r="G850" s="25" t="n"/>
      <c r="H850" s="25" t="n"/>
      <c r="I850" s="25" t="n"/>
      <c r="J850" s="25" t="n"/>
      <c r="K850" s="25" t="n"/>
      <c r="L850" s="25" t="n"/>
      <c r="M850" s="25" t="n"/>
      <c r="N850" s="25" t="n"/>
      <c r="O850" s="4" t="n"/>
      <c r="P850" s="4" t="n"/>
      <c r="Q850" s="4" t="n"/>
      <c r="R850" s="4" t="n"/>
      <c r="S850" s="4" t="n"/>
    </row>
    <row r="851" ht="15" customHeight="1" s="215">
      <c r="A851" s="26" t="n"/>
      <c r="B851" s="26" t="n"/>
      <c r="C851" s="26" t="n"/>
      <c r="D851" s="26" t="n"/>
      <c r="E851" s="26" t="n"/>
      <c r="F851" s="25" t="n"/>
      <c r="G851" s="25" t="n"/>
      <c r="H851" s="25" t="n"/>
      <c r="I851" s="25" t="n"/>
      <c r="J851" s="25" t="n"/>
      <c r="K851" s="25" t="n"/>
      <c r="L851" s="25" t="n"/>
      <c r="M851" s="25" t="n"/>
      <c r="N851" s="25" t="n"/>
      <c r="O851" s="4" t="n"/>
      <c r="P851" s="4" t="n"/>
      <c r="Q851" s="4" t="n"/>
      <c r="R851" s="4" t="n"/>
      <c r="S851" s="4" t="n"/>
    </row>
    <row r="852" ht="15" customHeight="1" s="215">
      <c r="A852" s="26" t="n"/>
      <c r="B852" s="26" t="n"/>
      <c r="C852" s="26" t="n"/>
      <c r="D852" s="26" t="n"/>
      <c r="E852" s="26" t="n"/>
      <c r="F852" s="25" t="n"/>
      <c r="G852" s="25" t="n"/>
      <c r="H852" s="25" t="n"/>
      <c r="I852" s="25" t="n"/>
      <c r="J852" s="25" t="n"/>
      <c r="K852" s="25" t="n"/>
      <c r="L852" s="25" t="n"/>
      <c r="M852" s="25" t="n"/>
      <c r="N852" s="25" t="n"/>
      <c r="O852" s="4" t="n"/>
      <c r="P852" s="4" t="n"/>
      <c r="Q852" s="4" t="n"/>
      <c r="R852" s="4" t="n"/>
      <c r="S852" s="4" t="n"/>
    </row>
    <row r="853" ht="15" customHeight="1" s="215">
      <c r="A853" s="26" t="n"/>
      <c r="B853" s="26" t="n"/>
      <c r="C853" s="26" t="n"/>
      <c r="D853" s="26" t="n"/>
      <c r="E853" s="26" t="n"/>
      <c r="F853" s="25" t="n"/>
      <c r="G853" s="25" t="n"/>
      <c r="H853" s="25" t="n"/>
      <c r="I853" s="25" t="n"/>
      <c r="J853" s="25" t="n"/>
      <c r="K853" s="25" t="n"/>
      <c r="L853" s="25" t="n"/>
      <c r="M853" s="25" t="n"/>
      <c r="N853" s="25" t="n"/>
      <c r="O853" s="4" t="n"/>
      <c r="P853" s="4" t="n"/>
      <c r="Q853" s="4" t="n"/>
      <c r="R853" s="4" t="n"/>
      <c r="S853" s="4" t="n"/>
    </row>
    <row r="854" ht="15" customHeight="1" s="215">
      <c r="A854" s="26" t="n"/>
      <c r="B854" s="26" t="n"/>
      <c r="C854" s="26" t="n"/>
      <c r="D854" s="26" t="n"/>
      <c r="E854" s="26" t="n"/>
      <c r="F854" s="25" t="n"/>
      <c r="G854" s="25" t="n"/>
      <c r="H854" s="25" t="n"/>
      <c r="I854" s="25" t="n"/>
      <c r="J854" s="25" t="n"/>
      <c r="K854" s="25" t="n"/>
      <c r="L854" s="25" t="n"/>
      <c r="M854" s="25" t="n"/>
      <c r="N854" s="25" t="n"/>
      <c r="O854" s="4" t="n"/>
      <c r="P854" s="4" t="n"/>
      <c r="Q854" s="4" t="n"/>
      <c r="R854" s="4" t="n"/>
      <c r="S854" s="4" t="n"/>
    </row>
    <row r="855" ht="15" customHeight="1" s="215">
      <c r="A855" s="26" t="n"/>
      <c r="B855" s="26" t="n"/>
      <c r="C855" s="26" t="n"/>
      <c r="D855" s="26" t="n"/>
      <c r="E855" s="26" t="n"/>
      <c r="F855" s="25" t="n"/>
      <c r="G855" s="25" t="n"/>
      <c r="H855" s="25" t="n"/>
      <c r="I855" s="25" t="n"/>
      <c r="J855" s="25" t="n"/>
      <c r="K855" s="25" t="n"/>
      <c r="L855" s="25" t="n"/>
      <c r="M855" s="25" t="n"/>
      <c r="N855" s="25" t="n"/>
      <c r="O855" s="4" t="n"/>
      <c r="P855" s="4" t="n"/>
      <c r="Q855" s="4" t="n"/>
      <c r="R855" s="4" t="n"/>
      <c r="S855" s="4" t="n"/>
    </row>
    <row r="856" ht="15" customHeight="1" s="215">
      <c r="A856" s="26" t="n"/>
      <c r="B856" s="26" t="n"/>
      <c r="C856" s="26" t="n"/>
      <c r="D856" s="26" t="n"/>
      <c r="E856" s="26" t="n"/>
      <c r="F856" s="25" t="n"/>
      <c r="G856" s="25" t="n"/>
      <c r="H856" s="25" t="n"/>
      <c r="I856" s="25" t="n"/>
      <c r="J856" s="25" t="n"/>
      <c r="K856" s="25" t="n"/>
      <c r="L856" s="25" t="n"/>
      <c r="M856" s="25" t="n"/>
      <c r="N856" s="25" t="n"/>
      <c r="O856" s="4" t="n"/>
      <c r="P856" s="4" t="n"/>
      <c r="Q856" s="4" t="n"/>
      <c r="R856" s="4" t="n"/>
      <c r="S856" s="4" t="n"/>
    </row>
    <row r="857" ht="15" customHeight="1" s="215">
      <c r="A857" s="26" t="n"/>
      <c r="B857" s="26" t="n"/>
      <c r="C857" s="26" t="n"/>
      <c r="D857" s="26" t="n"/>
      <c r="E857" s="26" t="n"/>
      <c r="F857" s="25" t="n"/>
      <c r="G857" s="25" t="n"/>
      <c r="H857" s="25" t="n"/>
      <c r="I857" s="25" t="n"/>
      <c r="J857" s="25" t="n"/>
      <c r="K857" s="25" t="n"/>
      <c r="L857" s="25" t="n"/>
      <c r="M857" s="25" t="n"/>
      <c r="N857" s="25" t="n"/>
      <c r="O857" s="4" t="n"/>
      <c r="P857" s="4" t="n"/>
      <c r="Q857" s="4" t="n"/>
      <c r="R857" s="4" t="n"/>
      <c r="S857" s="4" t="n"/>
    </row>
    <row r="858" ht="15" customHeight="1" s="215">
      <c r="A858" s="26" t="n"/>
      <c r="B858" s="26" t="n"/>
      <c r="C858" s="26" t="n"/>
      <c r="D858" s="26" t="n"/>
      <c r="E858" s="26" t="n"/>
      <c r="F858" s="25" t="n"/>
      <c r="G858" s="25" t="n"/>
      <c r="H858" s="25" t="n"/>
      <c r="I858" s="25" t="n"/>
      <c r="J858" s="25" t="n"/>
      <c r="K858" s="25" t="n"/>
      <c r="L858" s="25" t="n"/>
      <c r="M858" s="25" t="n"/>
      <c r="N858" s="25" t="n"/>
      <c r="O858" s="4" t="n"/>
      <c r="P858" s="4" t="n"/>
      <c r="Q858" s="4" t="n"/>
      <c r="R858" s="4" t="n"/>
      <c r="S858" s="4" t="n"/>
    </row>
    <row r="859" ht="15" customHeight="1" s="215">
      <c r="A859" s="26" t="n"/>
      <c r="B859" s="26" t="n"/>
      <c r="C859" s="26" t="n"/>
      <c r="D859" s="26" t="n"/>
      <c r="E859" s="26" t="n"/>
      <c r="F859" s="25" t="n"/>
      <c r="G859" s="25" t="n"/>
      <c r="H859" s="25" t="n"/>
      <c r="I859" s="25" t="n"/>
      <c r="J859" s="25" t="n"/>
      <c r="K859" s="25" t="n"/>
      <c r="L859" s="25" t="n"/>
      <c r="M859" s="25" t="n"/>
      <c r="N859" s="25" t="n"/>
      <c r="O859" s="4" t="n"/>
      <c r="P859" s="4" t="n"/>
      <c r="Q859" s="4" t="n"/>
      <c r="R859" s="4" t="n"/>
      <c r="S859" s="4" t="n"/>
    </row>
    <row r="860" ht="15" customHeight="1" s="215">
      <c r="A860" s="26" t="n"/>
      <c r="B860" s="26" t="n"/>
      <c r="C860" s="26" t="n"/>
      <c r="D860" s="26" t="n"/>
      <c r="E860" s="26" t="n"/>
      <c r="F860" s="25" t="n"/>
      <c r="G860" s="25" t="n"/>
      <c r="H860" s="25" t="n"/>
      <c r="I860" s="25" t="n"/>
      <c r="J860" s="25" t="n"/>
      <c r="K860" s="25" t="n"/>
      <c r="L860" s="25" t="n"/>
      <c r="M860" s="25" t="n"/>
      <c r="N860" s="25" t="n"/>
      <c r="O860" s="4" t="n"/>
      <c r="P860" s="4" t="n"/>
      <c r="Q860" s="4" t="n"/>
      <c r="R860" s="4" t="n"/>
      <c r="S860" s="4" t="n"/>
    </row>
    <row r="861" ht="15" customHeight="1" s="215">
      <c r="A861" s="26" t="n"/>
      <c r="B861" s="26" t="n"/>
      <c r="C861" s="26" t="n"/>
      <c r="D861" s="26" t="n"/>
      <c r="E861" s="26" t="n"/>
      <c r="F861" s="25" t="n"/>
      <c r="G861" s="25" t="n"/>
      <c r="H861" s="25" t="n"/>
      <c r="I861" s="25" t="n"/>
      <c r="J861" s="25" t="n"/>
      <c r="K861" s="25" t="n"/>
      <c r="L861" s="25" t="n"/>
      <c r="M861" s="25" t="n"/>
      <c r="N861" s="25" t="n"/>
      <c r="O861" s="4" t="n"/>
      <c r="P861" s="4" t="n"/>
      <c r="Q861" s="4" t="n"/>
      <c r="R861" s="4" t="n"/>
      <c r="S861" s="4" t="n"/>
    </row>
    <row r="862" ht="15" customHeight="1" s="215">
      <c r="A862" s="26" t="n"/>
      <c r="B862" s="26" t="n"/>
      <c r="C862" s="26" t="n"/>
      <c r="D862" s="26" t="n"/>
      <c r="E862" s="26" t="n"/>
      <c r="F862" s="25" t="n"/>
      <c r="G862" s="25" t="n"/>
      <c r="H862" s="25" t="n"/>
      <c r="I862" s="25" t="n"/>
      <c r="J862" s="25" t="n"/>
      <c r="K862" s="25" t="n"/>
      <c r="L862" s="25" t="n"/>
      <c r="M862" s="25" t="n"/>
      <c r="N862" s="25" t="n"/>
      <c r="O862" s="4" t="n"/>
      <c r="P862" s="4" t="n"/>
      <c r="Q862" s="4" t="n"/>
      <c r="R862" s="4" t="n"/>
      <c r="S862" s="4" t="n"/>
    </row>
    <row r="863" ht="15" customHeight="1" s="215">
      <c r="A863" s="26" t="n"/>
      <c r="B863" s="26" t="n"/>
      <c r="C863" s="26" t="n"/>
      <c r="D863" s="26" t="n"/>
      <c r="E863" s="26" t="n"/>
      <c r="F863" s="25" t="n"/>
      <c r="G863" s="25" t="n"/>
      <c r="H863" s="25" t="n"/>
      <c r="I863" s="25" t="n"/>
      <c r="J863" s="25" t="n"/>
      <c r="K863" s="25" t="n"/>
      <c r="L863" s="25" t="n"/>
      <c r="M863" s="25" t="n"/>
      <c r="N863" s="25" t="n"/>
      <c r="O863" s="4" t="n"/>
      <c r="P863" s="4" t="n"/>
      <c r="Q863" s="4" t="n"/>
      <c r="R863" s="4" t="n"/>
      <c r="S863" s="4" t="n"/>
    </row>
    <row r="864" ht="15" customHeight="1" s="215">
      <c r="A864" s="26" t="n"/>
      <c r="B864" s="26" t="n"/>
      <c r="C864" s="26" t="n"/>
      <c r="D864" s="26" t="n"/>
      <c r="E864" s="26" t="n"/>
      <c r="F864" s="25" t="n"/>
      <c r="G864" s="25" t="n"/>
      <c r="H864" s="25" t="n"/>
      <c r="I864" s="25" t="n"/>
      <c r="J864" s="25" t="n"/>
      <c r="K864" s="25" t="n"/>
      <c r="L864" s="25" t="n"/>
      <c r="M864" s="25" t="n"/>
      <c r="N864" s="25" t="n"/>
      <c r="O864" s="4" t="n"/>
      <c r="P864" s="4" t="n"/>
      <c r="Q864" s="4" t="n"/>
      <c r="R864" s="4" t="n"/>
      <c r="S864" s="4" t="n"/>
    </row>
    <row r="865" ht="15" customHeight="1" s="215">
      <c r="A865" s="26" t="n"/>
      <c r="B865" s="26" t="n"/>
      <c r="C865" s="26" t="n"/>
      <c r="D865" s="26" t="n"/>
      <c r="E865" s="26" t="n"/>
      <c r="F865" s="25" t="n"/>
      <c r="G865" s="25" t="n"/>
      <c r="H865" s="25" t="n"/>
      <c r="I865" s="25" t="n"/>
      <c r="J865" s="25" t="n"/>
      <c r="K865" s="25" t="n"/>
      <c r="L865" s="25" t="n"/>
      <c r="M865" s="25" t="n"/>
      <c r="N865" s="25" t="n"/>
      <c r="O865" s="4" t="n"/>
      <c r="P865" s="4" t="n"/>
      <c r="Q865" s="4" t="n"/>
      <c r="R865" s="4" t="n"/>
      <c r="S865" s="4" t="n"/>
    </row>
    <row r="866" ht="15" customHeight="1" s="215">
      <c r="A866" s="26" t="n"/>
      <c r="B866" s="26" t="n"/>
      <c r="C866" s="26" t="n"/>
      <c r="D866" s="26" t="n"/>
      <c r="E866" s="26" t="n"/>
      <c r="F866" s="25" t="n"/>
      <c r="G866" s="25" t="n"/>
      <c r="H866" s="25" t="n"/>
      <c r="I866" s="25" t="n"/>
      <c r="J866" s="25" t="n"/>
      <c r="K866" s="25" t="n"/>
      <c r="L866" s="25" t="n"/>
      <c r="M866" s="25" t="n"/>
      <c r="N866" s="25" t="n"/>
      <c r="O866" s="4" t="n"/>
      <c r="P866" s="4" t="n"/>
      <c r="Q866" s="4" t="n"/>
      <c r="R866" s="4" t="n"/>
      <c r="S866" s="4" t="n"/>
    </row>
    <row r="867" ht="15" customHeight="1" s="215">
      <c r="A867" s="26" t="n"/>
      <c r="B867" s="26" t="n"/>
      <c r="C867" s="26" t="n"/>
      <c r="D867" s="26" t="n"/>
      <c r="E867" s="26" t="n"/>
      <c r="F867" s="25" t="n"/>
      <c r="G867" s="25" t="n"/>
      <c r="H867" s="25" t="n"/>
      <c r="I867" s="25" t="n"/>
      <c r="J867" s="25" t="n"/>
      <c r="K867" s="25" t="n"/>
      <c r="L867" s="25" t="n"/>
      <c r="M867" s="25" t="n"/>
      <c r="N867" s="25" t="n"/>
      <c r="O867" s="4" t="n"/>
      <c r="P867" s="4" t="n"/>
      <c r="Q867" s="4" t="n"/>
      <c r="R867" s="4" t="n"/>
      <c r="S867" s="4" t="n"/>
    </row>
    <row r="868" ht="15" customHeight="1" s="215">
      <c r="A868" s="26" t="n"/>
      <c r="B868" s="26" t="n"/>
      <c r="C868" s="26" t="n"/>
      <c r="D868" s="26" t="n"/>
      <c r="E868" s="26" t="n"/>
      <c r="F868" s="25" t="n"/>
      <c r="G868" s="25" t="n"/>
      <c r="H868" s="25" t="n"/>
      <c r="I868" s="25" t="n"/>
      <c r="J868" s="25" t="n"/>
      <c r="K868" s="25" t="n"/>
      <c r="L868" s="25" t="n"/>
      <c r="M868" s="25" t="n"/>
      <c r="N868" s="25" t="n"/>
      <c r="O868" s="4" t="n"/>
      <c r="P868" s="4" t="n"/>
      <c r="Q868" s="4" t="n"/>
      <c r="R868" s="4" t="n"/>
      <c r="S868" s="4" t="n"/>
    </row>
    <row r="869" ht="15" customHeight="1" s="215">
      <c r="A869" s="26" t="n"/>
      <c r="B869" s="26" t="n"/>
      <c r="C869" s="26" t="n"/>
      <c r="D869" s="26" t="n"/>
      <c r="E869" s="26" t="n"/>
      <c r="F869" s="25" t="n"/>
      <c r="G869" s="25" t="n"/>
      <c r="H869" s="25" t="n"/>
      <c r="I869" s="25" t="n"/>
      <c r="J869" s="25" t="n"/>
      <c r="K869" s="25" t="n"/>
      <c r="L869" s="25" t="n"/>
      <c r="M869" s="25" t="n"/>
      <c r="N869" s="25" t="n"/>
      <c r="O869" s="4" t="n"/>
      <c r="P869" s="4" t="n"/>
      <c r="Q869" s="4" t="n"/>
      <c r="R869" s="4" t="n"/>
      <c r="S869" s="4" t="n"/>
    </row>
    <row r="870" ht="15" customHeight="1" s="215">
      <c r="A870" s="26" t="n"/>
      <c r="B870" s="26" t="n"/>
      <c r="C870" s="26" t="n"/>
      <c r="D870" s="26" t="n"/>
      <c r="E870" s="26" t="n"/>
      <c r="F870" s="25" t="n"/>
      <c r="G870" s="25" t="n"/>
      <c r="H870" s="25" t="n"/>
      <c r="I870" s="25" t="n"/>
      <c r="J870" s="25" t="n"/>
      <c r="K870" s="25" t="n"/>
      <c r="L870" s="25" t="n"/>
      <c r="M870" s="25" t="n"/>
      <c r="N870" s="25" t="n"/>
      <c r="O870" s="4" t="n"/>
      <c r="P870" s="4" t="n"/>
      <c r="Q870" s="4" t="n"/>
      <c r="R870" s="4" t="n"/>
      <c r="S870" s="4" t="n"/>
    </row>
    <row r="871" ht="15" customHeight="1" s="215">
      <c r="A871" s="26" t="n"/>
      <c r="B871" s="26" t="n"/>
      <c r="C871" s="26" t="n"/>
      <c r="D871" s="26" t="n"/>
      <c r="E871" s="26" t="n"/>
      <c r="F871" s="25" t="n"/>
      <c r="G871" s="25" t="n"/>
      <c r="H871" s="25" t="n"/>
      <c r="I871" s="25" t="n"/>
      <c r="J871" s="25" t="n"/>
      <c r="K871" s="25" t="n"/>
      <c r="L871" s="25" t="n"/>
      <c r="M871" s="25" t="n"/>
      <c r="N871" s="25" t="n"/>
      <c r="O871" s="4" t="n"/>
      <c r="P871" s="4" t="n"/>
      <c r="Q871" s="4" t="n"/>
      <c r="R871" s="4" t="n"/>
      <c r="S871" s="4" t="n"/>
    </row>
    <row r="872" ht="15" customHeight="1" s="215">
      <c r="A872" s="26" t="n"/>
      <c r="B872" s="26" t="n"/>
      <c r="C872" s="26" t="n"/>
      <c r="D872" s="26" t="n"/>
      <c r="E872" s="26" t="n"/>
      <c r="F872" s="25" t="n"/>
      <c r="G872" s="25" t="n"/>
      <c r="H872" s="25" t="n"/>
      <c r="I872" s="25" t="n"/>
      <c r="J872" s="25" t="n"/>
      <c r="K872" s="25" t="n"/>
      <c r="L872" s="25" t="n"/>
      <c r="M872" s="25" t="n"/>
      <c r="N872" s="25" t="n"/>
      <c r="O872" s="4" t="n"/>
      <c r="P872" s="4" t="n"/>
      <c r="Q872" s="4" t="n"/>
      <c r="R872" s="4" t="n"/>
      <c r="S872" s="4" t="n"/>
    </row>
    <row r="873" ht="15" customHeight="1" s="215">
      <c r="A873" s="26" t="n"/>
      <c r="B873" s="26" t="n"/>
      <c r="C873" s="26" t="n"/>
      <c r="D873" s="26" t="n"/>
      <c r="E873" s="26" t="n"/>
      <c r="F873" s="25" t="n"/>
      <c r="G873" s="25" t="n"/>
      <c r="H873" s="25" t="n"/>
      <c r="I873" s="25" t="n"/>
      <c r="J873" s="25" t="n"/>
      <c r="K873" s="25" t="n"/>
      <c r="L873" s="25" t="n"/>
      <c r="M873" s="25" t="n"/>
      <c r="N873" s="25" t="n"/>
      <c r="O873" s="4" t="n"/>
      <c r="P873" s="4" t="n"/>
      <c r="Q873" s="4" t="n"/>
      <c r="R873" s="4" t="n"/>
      <c r="S873" s="4" t="n"/>
    </row>
    <row r="874" ht="15" customHeight="1" s="215">
      <c r="A874" s="26" t="n"/>
      <c r="B874" s="26" t="n"/>
      <c r="C874" s="26" t="n"/>
      <c r="D874" s="26" t="n"/>
      <c r="E874" s="26" t="n"/>
      <c r="F874" s="25" t="n"/>
      <c r="G874" s="25" t="n"/>
      <c r="H874" s="25" t="n"/>
      <c r="I874" s="25" t="n"/>
      <c r="J874" s="25" t="n"/>
      <c r="K874" s="25" t="n"/>
      <c r="L874" s="25" t="n"/>
      <c r="M874" s="25" t="n"/>
      <c r="N874" s="25" t="n"/>
      <c r="O874" s="4" t="n"/>
      <c r="P874" s="4" t="n"/>
      <c r="Q874" s="4" t="n"/>
      <c r="R874" s="4" t="n"/>
      <c r="S874" s="4" t="n"/>
    </row>
    <row r="875" ht="15" customHeight="1" s="215">
      <c r="A875" s="26" t="n"/>
      <c r="B875" s="26" t="n"/>
      <c r="C875" s="26" t="n"/>
      <c r="D875" s="26" t="n"/>
      <c r="E875" s="26" t="n"/>
      <c r="F875" s="25" t="n"/>
      <c r="G875" s="25" t="n"/>
      <c r="H875" s="25" t="n"/>
      <c r="I875" s="25" t="n"/>
      <c r="J875" s="25" t="n"/>
      <c r="K875" s="25" t="n"/>
      <c r="L875" s="25" t="n"/>
      <c r="M875" s="25" t="n"/>
      <c r="N875" s="25" t="n"/>
      <c r="O875" s="4" t="n"/>
      <c r="P875" s="4" t="n"/>
      <c r="Q875" s="4" t="n"/>
      <c r="R875" s="4" t="n"/>
      <c r="S875" s="4" t="n"/>
    </row>
    <row r="876" ht="15" customHeight="1" s="215">
      <c r="A876" s="26" t="n"/>
      <c r="B876" s="26" t="n"/>
      <c r="C876" s="26" t="n"/>
      <c r="D876" s="26" t="n"/>
      <c r="E876" s="26" t="n"/>
      <c r="F876" s="25" t="n"/>
      <c r="G876" s="25" t="n"/>
      <c r="H876" s="25" t="n"/>
      <c r="I876" s="25" t="n"/>
      <c r="J876" s="25" t="n"/>
      <c r="K876" s="25" t="n"/>
      <c r="L876" s="25" t="n"/>
      <c r="M876" s="25" t="n"/>
      <c r="N876" s="25" t="n"/>
      <c r="O876" s="4" t="n"/>
      <c r="P876" s="4" t="n"/>
      <c r="Q876" s="4" t="n"/>
      <c r="R876" s="4" t="n"/>
      <c r="S876" s="4" t="n"/>
    </row>
    <row r="877" ht="15" customHeight="1" s="215">
      <c r="A877" s="26" t="n"/>
      <c r="B877" s="26" t="n"/>
      <c r="C877" s="26" t="n"/>
      <c r="D877" s="26" t="n"/>
      <c r="E877" s="26" t="n"/>
      <c r="F877" s="25" t="n"/>
      <c r="G877" s="25" t="n"/>
      <c r="H877" s="25" t="n"/>
      <c r="I877" s="25" t="n"/>
      <c r="J877" s="25" t="n"/>
      <c r="K877" s="25" t="n"/>
      <c r="L877" s="25" t="n"/>
      <c r="M877" s="25" t="n"/>
      <c r="N877" s="25" t="n"/>
      <c r="O877" s="4" t="n"/>
      <c r="P877" s="4" t="n"/>
      <c r="Q877" s="4" t="n"/>
      <c r="R877" s="4" t="n"/>
      <c r="S877" s="4" t="n"/>
    </row>
    <row r="878" ht="15" customHeight="1" s="215">
      <c r="A878" s="26" t="n"/>
      <c r="B878" s="26" t="n"/>
      <c r="C878" s="26" t="n"/>
      <c r="D878" s="26" t="n"/>
      <c r="E878" s="26" t="n"/>
      <c r="F878" s="25" t="n"/>
      <c r="G878" s="25" t="n"/>
      <c r="H878" s="25" t="n"/>
      <c r="I878" s="25" t="n"/>
      <c r="J878" s="25" t="n"/>
      <c r="K878" s="25" t="n"/>
      <c r="L878" s="25" t="n"/>
      <c r="M878" s="25" t="n"/>
      <c r="N878" s="25" t="n"/>
      <c r="O878" s="4" t="n"/>
      <c r="P878" s="4" t="n"/>
      <c r="Q878" s="4" t="n"/>
      <c r="R878" s="4" t="n"/>
      <c r="S878" s="4" t="n"/>
    </row>
    <row r="879" ht="15" customHeight="1" s="215">
      <c r="A879" s="26" t="n"/>
      <c r="B879" s="26" t="n"/>
      <c r="C879" s="26" t="n"/>
      <c r="D879" s="26" t="n"/>
      <c r="E879" s="26" t="n"/>
      <c r="F879" s="25" t="n"/>
      <c r="G879" s="25" t="n"/>
      <c r="H879" s="25" t="n"/>
      <c r="I879" s="25" t="n"/>
      <c r="J879" s="25" t="n"/>
      <c r="K879" s="25" t="n"/>
      <c r="L879" s="25" t="n"/>
      <c r="M879" s="25" t="n"/>
      <c r="N879" s="25" t="n"/>
      <c r="O879" s="4" t="n"/>
      <c r="P879" s="4" t="n"/>
      <c r="Q879" s="4" t="n"/>
      <c r="R879" s="4" t="n"/>
      <c r="S879" s="4" t="n"/>
    </row>
    <row r="880" ht="15" customHeight="1" s="215">
      <c r="A880" s="26" t="n"/>
      <c r="B880" s="26" t="n"/>
      <c r="C880" s="26" t="n"/>
      <c r="D880" s="26" t="n"/>
      <c r="E880" s="26" t="n"/>
      <c r="F880" s="25" t="n"/>
      <c r="G880" s="25" t="n"/>
      <c r="H880" s="25" t="n"/>
      <c r="I880" s="25" t="n"/>
      <c r="J880" s="25" t="n"/>
      <c r="K880" s="25" t="n"/>
      <c r="L880" s="25" t="n"/>
      <c r="M880" s="25" t="n"/>
      <c r="N880" s="25" t="n"/>
      <c r="O880" s="4" t="n"/>
      <c r="P880" s="4" t="n"/>
      <c r="Q880" s="4" t="n"/>
      <c r="R880" s="4" t="n"/>
      <c r="S880" s="4" t="n"/>
    </row>
    <row r="881" ht="15" customHeight="1" s="215">
      <c r="A881" s="26" t="n"/>
      <c r="B881" s="26" t="n"/>
      <c r="C881" s="26" t="n"/>
      <c r="D881" s="26" t="n"/>
      <c r="E881" s="26" t="n"/>
      <c r="F881" s="25" t="n"/>
      <c r="G881" s="25" t="n"/>
      <c r="H881" s="25" t="n"/>
      <c r="I881" s="25" t="n"/>
      <c r="J881" s="25" t="n"/>
      <c r="K881" s="25" t="n"/>
      <c r="L881" s="25" t="n"/>
      <c r="M881" s="25" t="n"/>
      <c r="N881" s="25" t="n"/>
      <c r="O881" s="4" t="n"/>
      <c r="P881" s="4" t="n"/>
      <c r="Q881" s="4" t="n"/>
      <c r="R881" s="4" t="n"/>
      <c r="S881" s="4" t="n"/>
    </row>
    <row r="882" ht="15" customHeight="1" s="215">
      <c r="A882" s="26" t="n"/>
      <c r="B882" s="26" t="n"/>
      <c r="C882" s="26" t="n"/>
      <c r="D882" s="26" t="n"/>
      <c r="E882" s="26" t="n"/>
      <c r="F882" s="25" t="n"/>
      <c r="G882" s="25" t="n"/>
      <c r="H882" s="25" t="n"/>
      <c r="I882" s="25" t="n"/>
      <c r="J882" s="25" t="n"/>
      <c r="K882" s="25" t="n"/>
      <c r="L882" s="25" t="n"/>
      <c r="M882" s="25" t="n"/>
      <c r="N882" s="25" t="n"/>
      <c r="O882" s="4" t="n"/>
      <c r="P882" s="4" t="n"/>
      <c r="Q882" s="4" t="n"/>
      <c r="R882" s="4" t="n"/>
      <c r="S882" s="4" t="n"/>
    </row>
    <row r="883" ht="15" customHeight="1" s="215">
      <c r="A883" s="26" t="n"/>
      <c r="B883" s="26" t="n"/>
      <c r="C883" s="26" t="n"/>
      <c r="D883" s="26" t="n"/>
      <c r="E883" s="26" t="n"/>
      <c r="F883" s="25" t="n"/>
      <c r="G883" s="25" t="n"/>
      <c r="H883" s="25" t="n"/>
      <c r="I883" s="25" t="n"/>
      <c r="J883" s="25" t="n"/>
      <c r="K883" s="25" t="n"/>
      <c r="L883" s="25" t="n"/>
      <c r="M883" s="25" t="n"/>
      <c r="N883" s="25" t="n"/>
      <c r="O883" s="4" t="n"/>
      <c r="P883" s="4" t="n"/>
      <c r="Q883" s="4" t="n"/>
      <c r="R883" s="4" t="n"/>
      <c r="S883" s="4" t="n"/>
    </row>
    <row r="884" ht="15" customHeight="1" s="215">
      <c r="A884" s="26" t="n"/>
      <c r="B884" s="26" t="n"/>
      <c r="C884" s="26" t="n"/>
      <c r="D884" s="26" t="n"/>
      <c r="E884" s="26" t="n"/>
      <c r="F884" s="25" t="n"/>
      <c r="G884" s="25" t="n"/>
      <c r="H884" s="25" t="n"/>
      <c r="I884" s="25" t="n"/>
      <c r="J884" s="25" t="n"/>
      <c r="K884" s="25" t="n"/>
      <c r="L884" s="25" t="n"/>
      <c r="M884" s="25" t="n"/>
      <c r="N884" s="25" t="n"/>
      <c r="O884" s="4" t="n"/>
      <c r="P884" s="4" t="n"/>
      <c r="Q884" s="4" t="n"/>
      <c r="R884" s="4" t="n"/>
      <c r="S884" s="4" t="n"/>
    </row>
    <row r="885" ht="15" customHeight="1" s="215">
      <c r="A885" s="26" t="n"/>
      <c r="B885" s="26" t="n"/>
      <c r="C885" s="26" t="n"/>
      <c r="D885" s="26" t="n"/>
      <c r="E885" s="26" t="n"/>
      <c r="F885" s="25" t="n"/>
      <c r="G885" s="25" t="n"/>
      <c r="H885" s="25" t="n"/>
      <c r="I885" s="25" t="n"/>
      <c r="J885" s="25" t="n"/>
      <c r="K885" s="25" t="n"/>
      <c r="L885" s="25" t="n"/>
      <c r="M885" s="25" t="n"/>
      <c r="N885" s="25" t="n"/>
      <c r="O885" s="4" t="n"/>
      <c r="P885" s="4" t="n"/>
      <c r="Q885" s="4" t="n"/>
      <c r="R885" s="4" t="n"/>
      <c r="S885" s="4" t="n"/>
    </row>
    <row r="886" ht="15" customHeight="1" s="215">
      <c r="A886" s="26" t="n"/>
      <c r="B886" s="26" t="n"/>
      <c r="C886" s="26" t="n"/>
      <c r="D886" s="26" t="n"/>
      <c r="E886" s="26" t="n"/>
      <c r="F886" s="25" t="n"/>
      <c r="G886" s="25" t="n"/>
      <c r="H886" s="25" t="n"/>
      <c r="I886" s="25" t="n"/>
      <c r="J886" s="25" t="n"/>
      <c r="K886" s="25" t="n"/>
      <c r="L886" s="25" t="n"/>
      <c r="M886" s="25" t="n"/>
      <c r="N886" s="25" t="n"/>
      <c r="O886" s="4" t="n"/>
      <c r="P886" s="4" t="n"/>
      <c r="Q886" s="4" t="n"/>
      <c r="R886" s="4" t="n"/>
      <c r="S886" s="4" t="n"/>
    </row>
    <row r="887" ht="15" customHeight="1" s="215">
      <c r="A887" s="26" t="n"/>
      <c r="B887" s="26" t="n"/>
      <c r="C887" s="26" t="n"/>
      <c r="D887" s="26" t="n"/>
      <c r="E887" s="26" t="n"/>
      <c r="F887" s="25" t="n"/>
      <c r="G887" s="25" t="n"/>
      <c r="H887" s="25" t="n"/>
      <c r="I887" s="25" t="n"/>
      <c r="J887" s="25" t="n"/>
      <c r="K887" s="25" t="n"/>
      <c r="L887" s="25" t="n"/>
      <c r="M887" s="25" t="n"/>
      <c r="N887" s="25" t="n"/>
      <c r="O887" s="4" t="n"/>
      <c r="P887" s="4" t="n"/>
      <c r="Q887" s="4" t="n"/>
      <c r="R887" s="4" t="n"/>
      <c r="S887" s="4" t="n"/>
    </row>
    <row r="888" ht="15" customHeight="1" s="215">
      <c r="A888" s="26" t="n"/>
      <c r="B888" s="26" t="n"/>
      <c r="C888" s="26" t="n"/>
      <c r="D888" s="26" t="n"/>
      <c r="E888" s="26" t="n"/>
      <c r="F888" s="25" t="n"/>
      <c r="G888" s="25" t="n"/>
      <c r="H888" s="25" t="n"/>
      <c r="I888" s="25" t="n"/>
      <c r="J888" s="25" t="n"/>
      <c r="K888" s="25" t="n"/>
      <c r="L888" s="25" t="n"/>
      <c r="M888" s="25" t="n"/>
      <c r="N888" s="25" t="n"/>
      <c r="O888" s="4" t="n"/>
      <c r="P888" s="4" t="n"/>
      <c r="Q888" s="4" t="n"/>
      <c r="R888" s="4" t="n"/>
      <c r="S888" s="4" t="n"/>
    </row>
    <row r="889" ht="15" customHeight="1" s="215">
      <c r="A889" s="26" t="n"/>
      <c r="B889" s="26" t="n"/>
      <c r="C889" s="26" t="n"/>
      <c r="D889" s="26" t="n"/>
      <c r="E889" s="26" t="n"/>
      <c r="F889" s="25" t="n"/>
      <c r="G889" s="25" t="n"/>
      <c r="H889" s="25" t="n"/>
      <c r="I889" s="25" t="n"/>
      <c r="J889" s="25" t="n"/>
      <c r="K889" s="25" t="n"/>
      <c r="L889" s="25" t="n"/>
      <c r="M889" s="25" t="n"/>
      <c r="N889" s="25" t="n"/>
      <c r="O889" s="4" t="n"/>
      <c r="P889" s="4" t="n"/>
      <c r="Q889" s="4" t="n"/>
      <c r="R889" s="4" t="n"/>
      <c r="S889" s="4" t="n"/>
    </row>
    <row r="890" ht="15" customHeight="1" s="215">
      <c r="A890" s="26" t="n"/>
      <c r="B890" s="26" t="n"/>
      <c r="C890" s="26" t="n"/>
      <c r="D890" s="26" t="n"/>
      <c r="E890" s="26" t="n"/>
      <c r="F890" s="25" t="n"/>
      <c r="G890" s="25" t="n"/>
      <c r="H890" s="25" t="n"/>
      <c r="I890" s="25" t="n"/>
      <c r="J890" s="25" t="n"/>
      <c r="K890" s="25" t="n"/>
      <c r="L890" s="25" t="n"/>
      <c r="M890" s="25" t="n"/>
      <c r="N890" s="25" t="n"/>
      <c r="O890" s="4" t="n"/>
      <c r="P890" s="4" t="n"/>
      <c r="Q890" s="4" t="n"/>
      <c r="R890" s="4" t="n"/>
      <c r="S890" s="4" t="n"/>
    </row>
    <row r="891" ht="15" customHeight="1" s="215">
      <c r="A891" s="26" t="n"/>
      <c r="B891" s="26" t="n"/>
      <c r="C891" s="26" t="n"/>
      <c r="D891" s="26" t="n"/>
      <c r="E891" s="26" t="n"/>
      <c r="F891" s="25" t="n"/>
      <c r="G891" s="25" t="n"/>
      <c r="H891" s="25" t="n"/>
      <c r="I891" s="25" t="n"/>
      <c r="J891" s="25" t="n"/>
      <c r="K891" s="25" t="n"/>
      <c r="L891" s="25" t="n"/>
      <c r="M891" s="25" t="n"/>
      <c r="N891" s="25" t="n"/>
      <c r="O891" s="4" t="n"/>
      <c r="P891" s="4" t="n"/>
      <c r="Q891" s="4" t="n"/>
      <c r="R891" s="4" t="n"/>
      <c r="S891" s="4" t="n"/>
    </row>
    <row r="892" ht="15" customHeight="1" s="215">
      <c r="A892" s="26" t="n"/>
      <c r="B892" s="26" t="n"/>
      <c r="C892" s="26" t="n"/>
      <c r="D892" s="26" t="n"/>
      <c r="E892" s="26" t="n"/>
      <c r="F892" s="25" t="n"/>
      <c r="G892" s="25" t="n"/>
      <c r="H892" s="25" t="n"/>
      <c r="I892" s="25" t="n"/>
      <c r="J892" s="25" t="n"/>
      <c r="K892" s="25" t="n"/>
      <c r="L892" s="25" t="n"/>
      <c r="M892" s="25" t="n"/>
      <c r="N892" s="25" t="n"/>
      <c r="O892" s="4" t="n"/>
      <c r="P892" s="4" t="n"/>
      <c r="Q892" s="4" t="n"/>
      <c r="R892" s="4" t="n"/>
      <c r="S892" s="4" t="n"/>
    </row>
    <row r="893" ht="15" customHeight="1" s="215">
      <c r="A893" s="26" t="n"/>
      <c r="B893" s="26" t="n"/>
      <c r="C893" s="26" t="n"/>
      <c r="D893" s="26" t="n"/>
      <c r="E893" s="26" t="n"/>
      <c r="F893" s="25" t="n"/>
      <c r="G893" s="25" t="n"/>
      <c r="H893" s="25" t="n"/>
      <c r="I893" s="25" t="n"/>
      <c r="J893" s="25" t="n"/>
      <c r="K893" s="25" t="n"/>
      <c r="L893" s="25" t="n"/>
      <c r="M893" s="25" t="n"/>
      <c r="N893" s="25" t="n"/>
      <c r="O893" s="4" t="n"/>
      <c r="P893" s="4" t="n"/>
      <c r="Q893" s="4" t="n"/>
      <c r="R893" s="4" t="n"/>
      <c r="S893" s="4" t="n"/>
    </row>
    <row r="894" ht="15" customHeight="1" s="215">
      <c r="A894" s="26" t="n"/>
      <c r="B894" s="26" t="n"/>
      <c r="C894" s="26" t="n"/>
      <c r="D894" s="26" t="n"/>
      <c r="E894" s="26" t="n"/>
      <c r="F894" s="25" t="n"/>
      <c r="G894" s="25" t="n"/>
      <c r="H894" s="25" t="n"/>
      <c r="I894" s="25" t="n"/>
      <c r="J894" s="25" t="n"/>
      <c r="K894" s="25" t="n"/>
      <c r="L894" s="25" t="n"/>
      <c r="M894" s="25" t="n"/>
      <c r="N894" s="25" t="n"/>
      <c r="O894" s="4" t="n"/>
      <c r="P894" s="4" t="n"/>
      <c r="Q894" s="4" t="n"/>
      <c r="R894" s="4" t="n"/>
      <c r="S894" s="4" t="n"/>
    </row>
    <row r="895" ht="15" customHeight="1" s="215">
      <c r="A895" s="26" t="n"/>
      <c r="B895" s="26" t="n"/>
      <c r="C895" s="26" t="n"/>
      <c r="D895" s="26" t="n"/>
      <c r="E895" s="26" t="n"/>
      <c r="F895" s="25" t="n"/>
      <c r="G895" s="25" t="n"/>
      <c r="H895" s="25" t="n"/>
      <c r="I895" s="25" t="n"/>
      <c r="J895" s="25" t="n"/>
      <c r="K895" s="25" t="n"/>
      <c r="L895" s="25" t="n"/>
      <c r="M895" s="25" t="n"/>
      <c r="N895" s="25" t="n"/>
      <c r="O895" s="4" t="n"/>
      <c r="P895" s="4" t="n"/>
      <c r="Q895" s="4" t="n"/>
      <c r="R895" s="4" t="n"/>
      <c r="S895" s="4" t="n"/>
    </row>
    <row r="896" ht="15" customHeight="1" s="215">
      <c r="A896" s="26" t="n"/>
      <c r="B896" s="26" t="n"/>
      <c r="C896" s="26" t="n"/>
      <c r="D896" s="26" t="n"/>
      <c r="E896" s="26" t="n"/>
      <c r="F896" s="25" t="n"/>
      <c r="G896" s="25" t="n"/>
      <c r="H896" s="25" t="n"/>
      <c r="I896" s="25" t="n"/>
      <c r="J896" s="25" t="n"/>
      <c r="K896" s="25" t="n"/>
      <c r="L896" s="25" t="n"/>
      <c r="M896" s="25" t="n"/>
      <c r="N896" s="25" t="n"/>
      <c r="O896" s="4" t="n"/>
      <c r="P896" s="4" t="n"/>
      <c r="Q896" s="4" t="n"/>
      <c r="R896" s="4" t="n"/>
      <c r="S896" s="4" t="n"/>
    </row>
    <row r="897" ht="15" customHeight="1" s="215">
      <c r="A897" s="26" t="n"/>
      <c r="B897" s="26" t="n"/>
      <c r="C897" s="26" t="n"/>
      <c r="D897" s="26" t="n"/>
      <c r="E897" s="26" t="n"/>
      <c r="F897" s="25" t="n"/>
      <c r="G897" s="25" t="n"/>
      <c r="H897" s="25" t="n"/>
      <c r="I897" s="25" t="n"/>
      <c r="J897" s="25" t="n"/>
      <c r="K897" s="25" t="n"/>
      <c r="L897" s="25" t="n"/>
      <c r="M897" s="25" t="n"/>
      <c r="N897" s="25" t="n"/>
      <c r="O897" s="4" t="n"/>
      <c r="P897" s="4" t="n"/>
      <c r="Q897" s="4" t="n"/>
      <c r="R897" s="4" t="n"/>
      <c r="S897" s="4" t="n"/>
    </row>
    <row r="898" ht="15" customHeight="1" s="215">
      <c r="A898" s="26" t="n"/>
      <c r="B898" s="26" t="n"/>
      <c r="C898" s="26" t="n"/>
      <c r="D898" s="26" t="n"/>
      <c r="E898" s="26" t="n"/>
      <c r="F898" s="25" t="n"/>
      <c r="G898" s="25" t="n"/>
      <c r="H898" s="25" t="n"/>
      <c r="I898" s="25" t="n"/>
      <c r="J898" s="25" t="n"/>
      <c r="K898" s="25" t="n"/>
      <c r="L898" s="25" t="n"/>
      <c r="M898" s="25" t="n"/>
      <c r="N898" s="25" t="n"/>
      <c r="O898" s="4" t="n"/>
      <c r="P898" s="4" t="n"/>
      <c r="Q898" s="4" t="n"/>
      <c r="R898" s="4" t="n"/>
      <c r="S898" s="4" t="n"/>
    </row>
    <row r="899" ht="15" customHeight="1" s="215">
      <c r="A899" s="26" t="n"/>
      <c r="B899" s="26" t="n"/>
      <c r="C899" s="26" t="n"/>
      <c r="D899" s="26" t="n"/>
      <c r="E899" s="26" t="n"/>
      <c r="F899" s="25" t="n"/>
      <c r="G899" s="25" t="n"/>
      <c r="H899" s="25" t="n"/>
      <c r="I899" s="25" t="n"/>
      <c r="J899" s="25" t="n"/>
      <c r="K899" s="25" t="n"/>
      <c r="L899" s="25" t="n"/>
      <c r="M899" s="25" t="n"/>
      <c r="N899" s="25" t="n"/>
      <c r="O899" s="4" t="n"/>
      <c r="P899" s="4" t="n"/>
      <c r="Q899" s="4" t="n"/>
      <c r="R899" s="4" t="n"/>
      <c r="S899" s="4" t="n"/>
    </row>
    <row r="900" ht="15" customHeight="1" s="215">
      <c r="A900" s="26" t="n"/>
      <c r="B900" s="26" t="n"/>
      <c r="C900" s="26" t="n"/>
      <c r="D900" s="26" t="n"/>
      <c r="E900" s="26" t="n"/>
      <c r="F900" s="25" t="n"/>
      <c r="G900" s="25" t="n"/>
      <c r="H900" s="25" t="n"/>
      <c r="I900" s="25" t="n"/>
      <c r="J900" s="25" t="n"/>
      <c r="K900" s="25" t="n"/>
      <c r="L900" s="25" t="n"/>
      <c r="M900" s="25" t="n"/>
      <c r="N900" s="25" t="n"/>
      <c r="O900" s="4" t="n"/>
      <c r="P900" s="4" t="n"/>
      <c r="Q900" s="4" t="n"/>
      <c r="R900" s="4" t="n"/>
      <c r="S900" s="4" t="n"/>
    </row>
    <row r="901" ht="15" customHeight="1" s="215">
      <c r="A901" s="26" t="n"/>
      <c r="B901" s="26" t="n"/>
      <c r="C901" s="26" t="n"/>
      <c r="D901" s="26" t="n"/>
      <c r="E901" s="26" t="n"/>
      <c r="F901" s="25" t="n"/>
      <c r="G901" s="25" t="n"/>
      <c r="H901" s="25" t="n"/>
      <c r="I901" s="25" t="n"/>
      <c r="J901" s="25" t="n"/>
      <c r="K901" s="25" t="n"/>
      <c r="L901" s="25" t="n"/>
      <c r="M901" s="25" t="n"/>
      <c r="N901" s="25" t="n"/>
      <c r="O901" s="4" t="n"/>
      <c r="P901" s="4" t="n"/>
      <c r="Q901" s="4" t="n"/>
      <c r="R901" s="4" t="n"/>
      <c r="S901" s="4" t="n"/>
    </row>
    <row r="902" ht="15" customHeight="1" s="215">
      <c r="A902" s="26" t="n"/>
      <c r="B902" s="26" t="n"/>
      <c r="C902" s="26" t="n"/>
      <c r="D902" s="26" t="n"/>
      <c r="E902" s="26" t="n"/>
      <c r="F902" s="25" t="n"/>
      <c r="G902" s="25" t="n"/>
      <c r="H902" s="25" t="n"/>
      <c r="I902" s="25" t="n"/>
      <c r="J902" s="25" t="n"/>
      <c r="K902" s="25" t="n"/>
      <c r="L902" s="25" t="n"/>
      <c r="M902" s="25" t="n"/>
      <c r="N902" s="25" t="n"/>
      <c r="O902" s="4" t="n"/>
      <c r="P902" s="4" t="n"/>
      <c r="Q902" s="4" t="n"/>
      <c r="R902" s="4" t="n"/>
      <c r="S902" s="4" t="n"/>
    </row>
    <row r="903" ht="15" customHeight="1" s="215">
      <c r="A903" s="26" t="n"/>
      <c r="B903" s="26" t="n"/>
      <c r="C903" s="26" t="n"/>
      <c r="D903" s="26" t="n"/>
      <c r="E903" s="26" t="n"/>
      <c r="F903" s="25" t="n"/>
      <c r="G903" s="25" t="n"/>
      <c r="H903" s="25" t="n"/>
      <c r="I903" s="25" t="n"/>
      <c r="J903" s="25" t="n"/>
      <c r="K903" s="25" t="n"/>
      <c r="L903" s="25" t="n"/>
      <c r="M903" s="25" t="n"/>
      <c r="N903" s="25" t="n"/>
      <c r="O903" s="4" t="n"/>
      <c r="P903" s="4" t="n"/>
      <c r="Q903" s="4" t="n"/>
      <c r="R903" s="4" t="n"/>
      <c r="S903" s="4" t="n"/>
    </row>
    <row r="904" ht="15" customHeight="1" s="215">
      <c r="A904" s="26" t="n"/>
      <c r="B904" s="26" t="n"/>
      <c r="C904" s="26" t="n"/>
      <c r="D904" s="26" t="n"/>
      <c r="E904" s="26" t="n"/>
      <c r="F904" s="25" t="n"/>
      <c r="G904" s="25" t="n"/>
      <c r="H904" s="25" t="n"/>
      <c r="I904" s="25" t="n"/>
      <c r="J904" s="25" t="n"/>
      <c r="K904" s="25" t="n"/>
      <c r="L904" s="25" t="n"/>
      <c r="M904" s="25" t="n"/>
      <c r="N904" s="25" t="n"/>
      <c r="O904" s="4" t="n"/>
      <c r="P904" s="4" t="n"/>
      <c r="Q904" s="4" t="n"/>
      <c r="R904" s="4" t="n"/>
      <c r="S904" s="4" t="n"/>
    </row>
    <row r="905" ht="15" customHeight="1" s="215">
      <c r="A905" s="26" t="n"/>
      <c r="B905" s="26" t="n"/>
      <c r="C905" s="26" t="n"/>
      <c r="D905" s="26" t="n"/>
      <c r="E905" s="26" t="n"/>
      <c r="F905" s="25" t="n"/>
      <c r="G905" s="25" t="n"/>
      <c r="H905" s="25" t="n"/>
      <c r="I905" s="25" t="n"/>
      <c r="J905" s="25" t="n"/>
      <c r="K905" s="25" t="n"/>
      <c r="L905" s="25" t="n"/>
      <c r="M905" s="25" t="n"/>
      <c r="N905" s="25" t="n"/>
      <c r="O905" s="4" t="n"/>
      <c r="P905" s="4" t="n"/>
      <c r="Q905" s="4" t="n"/>
      <c r="R905" s="4" t="n"/>
      <c r="S905" s="4" t="n"/>
    </row>
    <row r="906" ht="15" customHeight="1" s="215">
      <c r="A906" s="26" t="n"/>
      <c r="B906" s="26" t="n"/>
      <c r="C906" s="26" t="n"/>
      <c r="D906" s="26" t="n"/>
      <c r="E906" s="26" t="n"/>
      <c r="F906" s="25" t="n"/>
      <c r="G906" s="25" t="n"/>
      <c r="H906" s="25" t="n"/>
      <c r="I906" s="25" t="n"/>
      <c r="J906" s="25" t="n"/>
      <c r="K906" s="25" t="n"/>
      <c r="L906" s="25" t="n"/>
      <c r="M906" s="25" t="n"/>
      <c r="N906" s="25" t="n"/>
      <c r="O906" s="4" t="n"/>
      <c r="P906" s="4" t="n"/>
      <c r="Q906" s="4" t="n"/>
      <c r="R906" s="4" t="n"/>
      <c r="S906" s="4" t="n"/>
    </row>
    <row r="907" ht="15" customHeight="1" s="215">
      <c r="A907" s="26" t="n"/>
      <c r="B907" s="26" t="n"/>
      <c r="C907" s="26" t="n"/>
      <c r="D907" s="26" t="n"/>
      <c r="E907" s="26" t="n"/>
      <c r="F907" s="25" t="n"/>
      <c r="G907" s="25" t="n"/>
      <c r="H907" s="25" t="n"/>
      <c r="I907" s="25" t="n"/>
      <c r="J907" s="25" t="n"/>
      <c r="K907" s="25" t="n"/>
      <c r="L907" s="25" t="n"/>
      <c r="M907" s="25" t="n"/>
      <c r="N907" s="25" t="n"/>
      <c r="O907" s="4" t="n"/>
      <c r="P907" s="4" t="n"/>
      <c r="Q907" s="4" t="n"/>
      <c r="R907" s="4" t="n"/>
      <c r="S907" s="4" t="n"/>
    </row>
    <row r="908" ht="15" customHeight="1" s="215">
      <c r="A908" s="26" t="n"/>
      <c r="B908" s="26" t="n"/>
      <c r="C908" s="26" t="n"/>
      <c r="D908" s="26" t="n"/>
      <c r="E908" s="26" t="n"/>
      <c r="F908" s="25" t="n"/>
      <c r="G908" s="25" t="n"/>
      <c r="H908" s="25" t="n"/>
      <c r="I908" s="25" t="n"/>
      <c r="J908" s="25" t="n"/>
      <c r="K908" s="25" t="n"/>
      <c r="L908" s="25" t="n"/>
      <c r="M908" s="25" t="n"/>
      <c r="N908" s="25" t="n"/>
      <c r="O908" s="4" t="n"/>
      <c r="P908" s="4" t="n"/>
      <c r="Q908" s="4" t="n"/>
      <c r="R908" s="4" t="n"/>
      <c r="S908" s="4" t="n"/>
    </row>
    <row r="909" ht="15" customHeight="1" s="215">
      <c r="A909" s="26" t="n"/>
      <c r="B909" s="26" t="n"/>
      <c r="C909" s="26" t="n"/>
      <c r="D909" s="26" t="n"/>
      <c r="E909" s="26" t="n"/>
      <c r="F909" s="25" t="n"/>
      <c r="G909" s="25" t="n"/>
      <c r="H909" s="25" t="n"/>
      <c r="I909" s="25" t="n"/>
      <c r="J909" s="25" t="n"/>
      <c r="K909" s="25" t="n"/>
      <c r="L909" s="25" t="n"/>
      <c r="M909" s="25" t="n"/>
      <c r="N909" s="25" t="n"/>
      <c r="O909" s="4" t="n"/>
      <c r="P909" s="4" t="n"/>
      <c r="Q909" s="4" t="n"/>
      <c r="R909" s="4" t="n"/>
      <c r="S909" s="4" t="n"/>
    </row>
    <row r="910" ht="15" customHeight="1" s="215">
      <c r="A910" s="26" t="n"/>
      <c r="B910" s="26" t="n"/>
      <c r="C910" s="26" t="n"/>
      <c r="D910" s="26" t="n"/>
      <c r="E910" s="26" t="n"/>
      <c r="F910" s="25" t="n"/>
      <c r="G910" s="25" t="n"/>
      <c r="H910" s="25" t="n"/>
      <c r="I910" s="25" t="n"/>
      <c r="J910" s="25" t="n"/>
      <c r="K910" s="25" t="n"/>
      <c r="L910" s="25" t="n"/>
      <c r="M910" s="25" t="n"/>
      <c r="N910" s="25" t="n"/>
      <c r="O910" s="4" t="n"/>
      <c r="P910" s="4" t="n"/>
      <c r="Q910" s="4" t="n"/>
      <c r="R910" s="4" t="n"/>
      <c r="S910" s="4" t="n"/>
    </row>
    <row r="911" ht="15" customHeight="1" s="215">
      <c r="A911" s="26" t="n"/>
      <c r="B911" s="26" t="n"/>
      <c r="C911" s="26" t="n"/>
      <c r="D911" s="26" t="n"/>
      <c r="E911" s="26" t="n"/>
      <c r="F911" s="25" t="n"/>
      <c r="G911" s="25" t="n"/>
      <c r="H911" s="25" t="n"/>
      <c r="I911" s="25" t="n"/>
      <c r="J911" s="25" t="n"/>
      <c r="K911" s="25" t="n"/>
      <c r="L911" s="25" t="n"/>
      <c r="M911" s="25" t="n"/>
      <c r="N911" s="25" t="n"/>
      <c r="O911" s="4" t="n"/>
      <c r="P911" s="4" t="n"/>
      <c r="Q911" s="4" t="n"/>
      <c r="R911" s="4" t="n"/>
      <c r="S911" s="4" t="n"/>
    </row>
    <row r="912" ht="15" customHeight="1" s="215">
      <c r="A912" s="26" t="n"/>
      <c r="B912" s="26" t="n"/>
      <c r="C912" s="26" t="n"/>
      <c r="D912" s="26" t="n"/>
      <c r="E912" s="26" t="n"/>
      <c r="F912" s="25" t="n"/>
      <c r="G912" s="25" t="n"/>
      <c r="H912" s="25" t="n"/>
      <c r="I912" s="25" t="n"/>
      <c r="J912" s="25" t="n"/>
      <c r="K912" s="25" t="n"/>
      <c r="L912" s="25" t="n"/>
      <c r="M912" s="25" t="n"/>
      <c r="N912" s="25" t="n"/>
      <c r="O912" s="4" t="n"/>
      <c r="P912" s="4" t="n"/>
      <c r="Q912" s="4" t="n"/>
      <c r="R912" s="4" t="n"/>
      <c r="S912" s="4" t="n"/>
    </row>
    <row r="913" ht="15" customHeight="1" s="215">
      <c r="A913" s="26" t="n"/>
      <c r="B913" s="26" t="n"/>
      <c r="C913" s="26" t="n"/>
      <c r="D913" s="26" t="n"/>
      <c r="E913" s="26" t="n"/>
      <c r="F913" s="25" t="n"/>
      <c r="G913" s="25" t="n"/>
      <c r="H913" s="25" t="n"/>
      <c r="I913" s="25" t="n"/>
      <c r="J913" s="25" t="n"/>
      <c r="K913" s="25" t="n"/>
      <c r="L913" s="25" t="n"/>
      <c r="M913" s="25" t="n"/>
      <c r="N913" s="25" t="n"/>
      <c r="O913" s="4" t="n"/>
      <c r="P913" s="4" t="n"/>
      <c r="Q913" s="4" t="n"/>
      <c r="R913" s="4" t="n"/>
      <c r="S913" s="4" t="n"/>
    </row>
    <row r="914" ht="15" customHeight="1" s="215">
      <c r="A914" s="26" t="n"/>
      <c r="B914" s="26" t="n"/>
      <c r="C914" s="26" t="n"/>
      <c r="D914" s="26" t="n"/>
      <c r="E914" s="26" t="n"/>
      <c r="F914" s="25" t="n"/>
      <c r="G914" s="25" t="n"/>
      <c r="H914" s="25" t="n"/>
      <c r="I914" s="25" t="n"/>
      <c r="J914" s="25" t="n"/>
      <c r="K914" s="25" t="n"/>
      <c r="L914" s="25" t="n"/>
      <c r="M914" s="25" t="n"/>
      <c r="N914" s="25" t="n"/>
      <c r="O914" s="4" t="n"/>
      <c r="P914" s="4" t="n"/>
      <c r="Q914" s="4" t="n"/>
      <c r="R914" s="4" t="n"/>
      <c r="S914" s="4" t="n"/>
    </row>
    <row r="915" ht="15" customHeight="1" s="215">
      <c r="A915" s="26" t="n"/>
      <c r="B915" s="26" t="n"/>
      <c r="C915" s="26" t="n"/>
      <c r="D915" s="26" t="n"/>
      <c r="E915" s="26" t="n"/>
      <c r="F915" s="25" t="n"/>
      <c r="G915" s="25" t="n"/>
      <c r="H915" s="25" t="n"/>
      <c r="I915" s="25" t="n"/>
      <c r="J915" s="25" t="n"/>
      <c r="K915" s="25" t="n"/>
      <c r="L915" s="25" t="n"/>
      <c r="M915" s="25" t="n"/>
      <c r="N915" s="25" t="n"/>
      <c r="O915" s="4" t="n"/>
      <c r="P915" s="4" t="n"/>
      <c r="Q915" s="4" t="n"/>
      <c r="R915" s="4" t="n"/>
      <c r="S915" s="4" t="n"/>
    </row>
    <row r="916" ht="15" customHeight="1" s="215">
      <c r="A916" s="26" t="n"/>
      <c r="B916" s="26" t="n"/>
      <c r="C916" s="26" t="n"/>
      <c r="D916" s="26" t="n"/>
      <c r="E916" s="26" t="n"/>
      <c r="F916" s="25" t="n"/>
      <c r="G916" s="25" t="n"/>
      <c r="H916" s="25" t="n"/>
      <c r="I916" s="25" t="n"/>
      <c r="J916" s="25" t="n"/>
      <c r="K916" s="25" t="n"/>
      <c r="L916" s="25" t="n"/>
      <c r="M916" s="25" t="n"/>
      <c r="N916" s="25" t="n"/>
      <c r="O916" s="4" t="n"/>
      <c r="P916" s="4" t="n"/>
      <c r="Q916" s="4" t="n"/>
      <c r="R916" s="4" t="n"/>
      <c r="S916" s="4" t="n"/>
    </row>
    <row r="917" ht="15" customHeight="1" s="215">
      <c r="A917" s="26" t="n"/>
      <c r="B917" s="26" t="n"/>
      <c r="C917" s="26" t="n"/>
      <c r="D917" s="26" t="n"/>
      <c r="E917" s="26" t="n"/>
      <c r="F917" s="25" t="n"/>
      <c r="G917" s="25" t="n"/>
      <c r="H917" s="25" t="n"/>
      <c r="I917" s="25" t="n"/>
      <c r="J917" s="25" t="n"/>
      <c r="K917" s="25" t="n"/>
      <c r="L917" s="25" t="n"/>
      <c r="M917" s="25" t="n"/>
      <c r="N917" s="25" t="n"/>
      <c r="O917" s="4" t="n"/>
      <c r="P917" s="4" t="n"/>
      <c r="Q917" s="4" t="n"/>
      <c r="R917" s="4" t="n"/>
      <c r="S917" s="4" t="n"/>
    </row>
    <row r="918" ht="15" customHeight="1" s="215">
      <c r="A918" s="26" t="n"/>
      <c r="B918" s="26" t="n"/>
      <c r="C918" s="26" t="n"/>
      <c r="D918" s="26" t="n"/>
      <c r="E918" s="26" t="n"/>
      <c r="F918" s="25" t="n"/>
      <c r="G918" s="25" t="n"/>
      <c r="H918" s="25" t="n"/>
      <c r="I918" s="25" t="n"/>
      <c r="J918" s="25" t="n"/>
      <c r="K918" s="25" t="n"/>
      <c r="L918" s="25" t="n"/>
      <c r="M918" s="25" t="n"/>
      <c r="N918" s="25" t="n"/>
      <c r="O918" s="4" t="n"/>
      <c r="P918" s="4" t="n"/>
      <c r="Q918" s="4" t="n"/>
      <c r="R918" s="4" t="n"/>
      <c r="S918" s="4" t="n"/>
    </row>
    <row r="919" ht="15" customHeight="1" s="215">
      <c r="A919" s="26" t="n"/>
      <c r="B919" s="26" t="n"/>
      <c r="C919" s="26" t="n"/>
      <c r="D919" s="26" t="n"/>
      <c r="E919" s="26" t="n"/>
      <c r="F919" s="25" t="n"/>
      <c r="G919" s="25" t="n"/>
      <c r="H919" s="25" t="n"/>
      <c r="I919" s="25" t="n"/>
      <c r="J919" s="25" t="n"/>
      <c r="K919" s="25" t="n"/>
      <c r="L919" s="25" t="n"/>
      <c r="M919" s="25" t="n"/>
      <c r="N919" s="25" t="n"/>
      <c r="O919" s="4" t="n"/>
      <c r="P919" s="4" t="n"/>
      <c r="Q919" s="4" t="n"/>
      <c r="R919" s="4" t="n"/>
      <c r="S919" s="4" t="n"/>
    </row>
  </sheetData>
  <autoFilter ref="A2:M25">
    <sortState ref="A2:M25">
      <sortCondition ref="F2:F25"/>
      <sortCondition ref="I2:I25"/>
      <sortCondition ref="J2:J25"/>
    </sortState>
  </autoFilter>
  <conditionalFormatting sqref="A3:B87 C3:C77 D3:D9 D11:D77 E3:E87">
    <cfRule type="expression" priority="4" dxfId="2">
      <formula>#REF!&gt;1</formula>
    </cfRule>
  </conditionalFormatting>
  <conditionalFormatting sqref="A80 D10 E64:E87 F3:G87 H3:H80 H82:H87 I3:I77 I80 I86:J87 J3:J9 J11:J77 K3:K77 L3:M87 N3:N27">
    <cfRule type="cellIs" priority="1" operator="greaterThan" dxfId="1">
      <formula>0</formula>
    </cfRule>
    <cfRule type="cellIs" priority="2" operator="lessThan" dxfId="0">
      <formula>0</formula>
    </cfRule>
    <cfRule type="containsBlanks" priority="3">
      <formula>LEN(TRIM(F3))=0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J19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215">
      <c r="A1" s="28" t="inlineStr">
        <is>
          <t>Decision</t>
        </is>
      </c>
      <c r="B1" s="28" t="inlineStr">
        <is>
          <t>Company</t>
        </is>
      </c>
      <c r="C1" s="28" t="inlineStr">
        <is>
          <t>Round</t>
        </is>
      </c>
      <c r="D1" s="28" t="inlineStr">
        <is>
          <t>Cap, M$</t>
        </is>
      </c>
      <c r="E1" s="28" t="inlineStr">
        <is>
          <t>ARR, M$</t>
        </is>
      </c>
      <c r="F1" s="28" t="inlineStr">
        <is>
          <t>Growth %/month</t>
        </is>
      </c>
      <c r="G1" s="28" t="inlineStr">
        <is>
          <t xml:space="preserve">Lead </t>
        </is>
      </c>
      <c r="H1" s="28" t="inlineStr">
        <is>
          <t>Deal link</t>
        </is>
      </c>
      <c r="I1" s="28" t="inlineStr">
        <is>
          <t>P/ARR</t>
        </is>
      </c>
      <c r="J1" s="28" t="inlineStr">
        <is>
          <t>ARR/raised</t>
        </is>
      </c>
    </row>
    <row r="2" ht="15.75" customHeight="1" s="215">
      <c r="A2" s="28" t="inlineStr">
        <is>
          <t>No</t>
        </is>
      </c>
      <c r="B2" s="28" t="inlineStr">
        <is>
          <t>Humand</t>
        </is>
      </c>
      <c r="C2" s="28" t="inlineStr">
        <is>
          <t>A+</t>
        </is>
      </c>
      <c r="D2" s="28" t="n">
        <v>120</v>
      </c>
      <c r="E2" s="28" t="n">
        <v>6.25</v>
      </c>
      <c r="F2" s="29">
        <f>(6.25-5)/5/3</f>
        <v/>
      </c>
      <c r="G2" s="28" t="inlineStr">
        <is>
          <t>Pioner+angels</t>
        </is>
      </c>
      <c r="H2" s="30" t="inlineStr">
        <is>
          <t>https://venture.angellist.com/v/andrey-a-semenov/i/invest/durovc-humand-series-a-ext</t>
        </is>
      </c>
      <c r="I2" s="28">
        <f>D2/E2</f>
        <v/>
      </c>
    </row>
    <row r="3" ht="15.75" customHeight="1" s="215">
      <c r="A3" s="28" t="inlineStr">
        <is>
          <t>No</t>
        </is>
      </c>
      <c r="B3" s="28" t="inlineStr">
        <is>
          <t>Bios</t>
        </is>
      </c>
      <c r="C3" s="28" t="inlineStr">
        <is>
          <t>A</t>
        </is>
      </c>
      <c r="D3" s="28" t="n">
        <v>51</v>
      </c>
      <c r="E3" s="28" t="n">
        <v>3.1</v>
      </c>
      <c r="F3" s="29">
        <f>(4.6-2.8)/12</f>
        <v/>
      </c>
      <c r="G3" s="28" t="inlineStr">
        <is>
          <t>DSN+Ester Dyson</t>
        </is>
      </c>
      <c r="H3" s="30" t="inlineStr">
        <is>
          <t>https://venture.angellist.com/v/andrey-a-semenov/i/invest/daniel-gould-bioz-series-a</t>
        </is>
      </c>
      <c r="I3" s="28">
        <f>D3/E3</f>
        <v/>
      </c>
      <c r="J3" s="28">
        <f>4.6/20</f>
        <v/>
      </c>
    </row>
    <row r="4" ht="15.75" customHeight="1" s="215">
      <c r="A4" s="28" t="inlineStr">
        <is>
          <t>Yes</t>
        </is>
      </c>
      <c r="B4" s="28" t="inlineStr">
        <is>
          <t>Eventeny</t>
        </is>
      </c>
      <c r="C4" s="28" t="inlineStr">
        <is>
          <t>Seed+</t>
        </is>
      </c>
      <c r="D4" s="28" t="n">
        <v>43</v>
      </c>
      <c r="E4" s="28" t="n">
        <v>6</v>
      </c>
      <c r="F4" s="29">
        <f>(6-4.5)/12</f>
        <v/>
      </c>
      <c r="G4" s="28" t="inlineStr">
        <is>
          <t>Zach Coelius</t>
        </is>
      </c>
      <c r="H4" s="30" t="inlineStr">
        <is>
          <t>https://venture.angellist.com/v/andrey-a-semenov/i/invest/zach-coelius-eventeny-seed-ext-prorata</t>
        </is>
      </c>
      <c r="I4" s="28">
        <f>D4/E4</f>
        <v/>
      </c>
      <c r="J4" s="28">
        <f>E4/3</f>
        <v/>
      </c>
    </row>
    <row r="5" ht="15.75" customHeight="1" s="215">
      <c r="A5" s="28" t="inlineStr">
        <is>
          <t>No</t>
        </is>
      </c>
      <c r="B5" s="28" t="inlineStr">
        <is>
          <t>InchFab</t>
        </is>
      </c>
      <c r="C5" s="28" t="inlineStr">
        <is>
          <t>Seed</t>
        </is>
      </c>
      <c r="D5" s="28" t="n">
        <v>21</v>
      </c>
      <c r="E5" s="28" t="n">
        <v>0.76</v>
      </c>
      <c r="F5" s="29">
        <f>260/1200</f>
        <v/>
      </c>
      <c r="G5" s="28" t="inlineStr">
        <is>
          <t>Tim Draper</t>
        </is>
      </c>
      <c r="H5" s="30" t="inlineStr">
        <is>
          <t>https://venture.angellist.com/v/andrey-a-semenov/i/invest/rv-inchfab-seed</t>
        </is>
      </c>
      <c r="I5" s="28">
        <f>D5/E5</f>
        <v/>
      </c>
    </row>
    <row r="6" ht="15.75" customHeight="1" s="215">
      <c r="A6" s="28" t="inlineStr">
        <is>
          <t>Yes</t>
        </is>
      </c>
      <c r="B6" s="28" t="inlineStr">
        <is>
          <t>Anello Photonics</t>
        </is>
      </c>
      <c r="C6" s="28" t="inlineStr">
        <is>
          <t>A+</t>
        </is>
      </c>
      <c r="D6" s="28" t="n">
        <v>110</v>
      </c>
      <c r="E6" s="28" t="n">
        <v>8.199999999999999</v>
      </c>
      <c r="F6" s="29">
        <f>(8.2-3)/12</f>
        <v/>
      </c>
      <c r="G6" s="28" t="inlineStr">
        <is>
          <t>Lockheed Martin</t>
        </is>
      </c>
      <c r="H6" s="30" t="inlineStr">
        <is>
          <t>https://venture.angellist.com/v/andrey-a-semenov/i/invest/mana-ventures-anello-photonics-seed</t>
        </is>
      </c>
      <c r="I6" s="28">
        <f>D6/E6</f>
        <v/>
      </c>
      <c r="J6" s="28">
        <f>E6/28</f>
        <v/>
      </c>
    </row>
    <row r="7" ht="15.75" customHeight="1" s="215">
      <c r="B7" s="28" t="inlineStr">
        <is>
          <t>Ale's age</t>
        </is>
      </c>
      <c r="C7" s="28" t="inlineStr">
        <is>
          <t>Growth</t>
        </is>
      </c>
    </row>
    <row r="8" ht="15.75" customHeight="1" s="215">
      <c r="A8" s="28" t="n">
        <v>735</v>
      </c>
      <c r="B8" s="28" t="n">
        <v>5</v>
      </c>
      <c r="C8" s="28" t="n">
        <v>0.096</v>
      </c>
    </row>
    <row r="9" ht="15.75" customHeight="1" s="215">
      <c r="A9" s="28">
        <f>A8*(1+C8)</f>
        <v/>
      </c>
      <c r="B9" s="28" t="n">
        <v>6</v>
      </c>
      <c r="C9" s="28" t="n">
        <v>0.096</v>
      </c>
    </row>
    <row r="10" ht="15.75" customHeight="1" s="215">
      <c r="A10" s="28">
        <f>A9*(1+C9)</f>
        <v/>
      </c>
      <c r="B10" s="28" t="n">
        <v>7</v>
      </c>
      <c r="C10" s="28" t="n">
        <v>0.096</v>
      </c>
    </row>
    <row r="11" ht="15.75" customHeight="1" s="215">
      <c r="A11" s="28">
        <f>A10*(1+C10)</f>
        <v/>
      </c>
      <c r="B11" s="28" t="n">
        <v>8</v>
      </c>
      <c r="C11" s="28" t="n">
        <v>0.096</v>
      </c>
    </row>
    <row r="12" ht="15.75" customHeight="1" s="215">
      <c r="A12" s="28">
        <f>A11*(1+C11)</f>
        <v/>
      </c>
      <c r="B12" s="28" t="n">
        <v>9</v>
      </c>
      <c r="C12" s="28" t="n">
        <v>0.096</v>
      </c>
    </row>
    <row r="13" ht="15.75" customHeight="1" s="215">
      <c r="A13" s="28">
        <f>A12*(1+C12)</f>
        <v/>
      </c>
      <c r="B13" s="28" t="n">
        <v>10</v>
      </c>
      <c r="C13" s="28" t="n">
        <v>0.096</v>
      </c>
    </row>
    <row r="14" ht="15.75" customHeight="1" s="215">
      <c r="A14" s="28">
        <f>A13*(1+C13)</f>
        <v/>
      </c>
      <c r="B14" s="28" t="n">
        <v>11</v>
      </c>
      <c r="C14" s="28" t="n">
        <v>0.096</v>
      </c>
    </row>
    <row r="15" ht="15.75" customHeight="1" s="215">
      <c r="A15" s="28">
        <f>A14*(1+C14)</f>
        <v/>
      </c>
      <c r="B15" s="28" t="n">
        <v>12</v>
      </c>
      <c r="C15" s="28" t="n">
        <v>0.096</v>
      </c>
    </row>
    <row r="16" ht="15.75" customHeight="1" s="215">
      <c r="A16" s="28">
        <f>A15*(1+C15)</f>
        <v/>
      </c>
      <c r="B16" s="28" t="n">
        <v>13</v>
      </c>
      <c r="C16" s="28" t="n">
        <v>0.096</v>
      </c>
    </row>
    <row r="17" ht="15.75" customHeight="1" s="215">
      <c r="A17" s="28">
        <f>A16*(1+C16)</f>
        <v/>
      </c>
      <c r="B17" s="28" t="n">
        <v>14</v>
      </c>
      <c r="C17" s="28" t="n">
        <v>0.096</v>
      </c>
    </row>
    <row r="18" ht="15.75" customHeight="1" s="215">
      <c r="A18" s="28">
        <f>A17*(1+C17)</f>
        <v/>
      </c>
      <c r="B18" s="28" t="n">
        <v>15</v>
      </c>
      <c r="C18" s="28" t="n">
        <v>0.096</v>
      </c>
    </row>
    <row r="19" ht="15.75" customHeight="1" s="215">
      <c r="A19" s="31">
        <f>A18*(1+C18)</f>
        <v/>
      </c>
      <c r="B19" s="28" t="n">
        <v>16</v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H37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215">
      <c r="A1" s="28" t="inlineStr">
        <is>
          <t>COVID economic downturm</t>
        </is>
      </c>
    </row>
    <row r="2" ht="15.75" customHeight="1" s="215">
      <c r="F2" s="28" t="n">
        <v>33.58</v>
      </c>
      <c r="G2" s="28" t="n">
        <v>107.71</v>
      </c>
      <c r="H2" s="28">
        <f>F2*G2</f>
        <v/>
      </c>
    </row>
    <row r="3" ht="15.75" customHeight="1" s="215">
      <c r="F3" s="28" t="n">
        <v>33.52</v>
      </c>
      <c r="G3" s="28" t="n">
        <v>99.59999999999999</v>
      </c>
      <c r="H3" s="28">
        <f>F3*G3</f>
        <v/>
      </c>
    </row>
    <row r="4" ht="15.75" customHeight="1" s="215">
      <c r="F4" s="28" t="n">
        <v>33.49</v>
      </c>
      <c r="G4" s="28">
        <f>(H2-H3)/F4</f>
        <v/>
      </c>
      <c r="H4" s="28">
        <f>28.06-G4</f>
        <v/>
      </c>
    </row>
    <row r="6" ht="15.75" customHeight="1" s="215">
      <c r="F6" s="28">
        <f>(1+((2923-2880)/2880)*1.2)*303.74</f>
        <v/>
      </c>
    </row>
    <row r="28" ht="15.75" customHeight="1" s="215">
      <c r="B28" s="28" t="inlineStr">
        <is>
          <t>Pershing</t>
        </is>
      </c>
    </row>
    <row r="29" ht="15.75" customHeight="1" s="215">
      <c r="A29" s="28" t="inlineStr">
        <is>
          <t>Blackstone</t>
        </is>
      </c>
      <c r="B29" s="28">
        <f>25/0.549</f>
        <v/>
      </c>
      <c r="C29" s="28" t="inlineStr">
        <is>
          <t>$/share</t>
        </is>
      </c>
    </row>
    <row r="30" ht="15.75" customHeight="1" s="215">
      <c r="A30" s="28" t="inlineStr">
        <is>
          <t>PK</t>
        </is>
      </c>
      <c r="B30" s="28">
        <f>5.4/0.678</f>
        <v/>
      </c>
      <c r="C30" s="28" t="inlineStr">
        <is>
          <t>$/share</t>
        </is>
      </c>
    </row>
    <row r="32" ht="15.75" customHeight="1" s="215">
      <c r="A32" s="28" t="n">
        <v>721</v>
      </c>
      <c r="B32" s="28" t="inlineStr">
        <is>
          <t>Moscow</t>
        </is>
      </c>
      <c r="C32" s="28">
        <f>IFERROR(__xludf.DUMMYFUNCTION("AI(""What is the country"",B32)"),"=AI(""What is the country"",B32)")</f>
        <v/>
      </c>
    </row>
    <row r="33" ht="15.75" customHeight="1" s="215">
      <c r="A33" s="28" t="n">
        <v>1158</v>
      </c>
      <c r="B33" s="28" t="inlineStr">
        <is>
          <t>New York</t>
        </is>
      </c>
      <c r="C33" s="28">
        <f>IFERROR(__xludf.DUMMYFUNCTION("AI(""What is the country"",B33)"),"=AI(""What is the country"",B33)")</f>
        <v/>
      </c>
    </row>
    <row r="34" ht="15.75" customHeight="1" s="215">
      <c r="A34" s="28" t="n">
        <v>587</v>
      </c>
    </row>
    <row r="35" ht="15.75" customHeight="1" s="215">
      <c r="A35" s="28" t="n">
        <v>401</v>
      </c>
    </row>
    <row r="36" ht="15.75" customHeight="1" s="215">
      <c r="A36" s="28" t="n">
        <v>930</v>
      </c>
    </row>
    <row r="37" ht="15.75" customHeight="1" s="215">
      <c r="A37" s="28">
        <f>SUM(A32:A36)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B7"/>
  <sheetViews>
    <sheetView workbookViewId="0">
      <selection activeCell="A1" sqref="A1"/>
    </sheetView>
  </sheetViews>
  <sheetFormatPr baseColWidth="10" defaultColWidth="12.6640625" defaultRowHeight="15.75" customHeight="1"/>
  <sheetData>
    <row r="1" ht="15.75" customHeight="1" s="215">
      <c r="A1" s="28" t="inlineStr">
        <is>
          <t>autocratn</t>
        </is>
      </c>
      <c r="B1" s="28" t="inlineStr">
        <is>
          <t>autocratp</t>
        </is>
      </c>
    </row>
    <row r="2" ht="15.75" customHeight="1" s="215">
      <c r="A2" s="28" t="inlineStr">
        <is>
          <t>dataSheetName</t>
        </is>
      </c>
      <c r="B2" s="28" t="inlineStr">
        <is>
          <t>"Все компании"</t>
        </is>
      </c>
    </row>
    <row r="3" ht="15.75" customHeight="1" s="215">
      <c r="A3" s="28" t="inlineStr">
        <is>
          <t>v</t>
        </is>
      </c>
      <c r="B3" s="28" t="inlineStr">
        <is>
          <t>"5.1"</t>
        </is>
      </c>
    </row>
    <row r="4" ht="15.75" customHeight="1" s="215">
      <c r="A4" s="28" t="inlineStr">
        <is>
          <t>dataSheetId</t>
        </is>
      </c>
      <c r="B4" s="28" t="inlineStr">
        <is>
          <t>"0.0"</t>
        </is>
      </c>
    </row>
    <row r="5" ht="15.75" customHeight="1" s="215">
      <c r="A5" s="28" t="inlineStr">
        <is>
          <t>updateTime</t>
        </is>
      </c>
      <c r="B5" s="28" t="inlineStr">
        <is>
          <t>"1.770887443575E12"</t>
        </is>
      </c>
    </row>
    <row r="6" ht="15.75" customHeight="1" s="215">
      <c r="A6" s="28" t="inlineStr">
        <is>
          <t>vp</t>
        </is>
      </c>
      <c r="B6" s="28" t="inlineStr">
        <is>
          <t>"5.1"</t>
        </is>
      </c>
    </row>
    <row r="7" ht="15.75" customHeight="1" s="215">
      <c r="A7" s="28" t="inlineStr">
        <is>
          <t>ssId</t>
        </is>
      </c>
      <c r="B7" s="28" t="inlineStr">
        <is>
          <t>"14Zw71JCwsHTLVyzE-P3vUVB7yMzE_sIAHjSgD3W8wsE"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1">
    <outlinePr summaryBelow="0" summaryRight="0"/>
    <pageSetUpPr/>
  </sheetPr>
  <dimension ref="A1:U1000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8.33203125" customWidth="1" style="215" min="1" max="1"/>
    <col width="25.6640625" customWidth="1" style="215" min="3" max="3"/>
    <col width="25.5" customWidth="1" style="215" min="4" max="4"/>
  </cols>
  <sheetData>
    <row r="1" ht="13" customHeight="1" s="215">
      <c r="B1" s="224" t="n"/>
      <c r="C1" s="224" t="n"/>
      <c r="D1" s="33" t="n"/>
      <c r="E1" s="34" t="n"/>
      <c r="F1" s="34" t="n"/>
      <c r="G1" s="34" t="n"/>
      <c r="H1" s="34" t="n"/>
      <c r="I1" s="34" t="n"/>
      <c r="J1" s="34" t="n"/>
      <c r="K1" s="34" t="n"/>
      <c r="L1" s="34" t="n"/>
    </row>
    <row r="2" ht="16" customHeight="1" s="215">
      <c r="B2" s="224" t="n"/>
      <c r="C2" s="35">
        <f>HYPERLINK("https://theassets.ru","The Assets")</f>
        <v/>
      </c>
      <c r="D2" s="33" t="n"/>
      <c r="E2" s="34" t="n"/>
      <c r="F2" s="34" t="n"/>
      <c r="G2" s="34" t="n"/>
      <c r="H2" s="34" t="n"/>
      <c r="I2" s="34" t="n"/>
      <c r="J2" s="34" t="n"/>
      <c r="K2" s="34" t="n"/>
      <c r="L2" s="34" t="n"/>
    </row>
    <row r="3" ht="16" customHeight="1" s="215">
      <c r="C3" s="36" t="inlineStr">
        <is>
          <t>S&amp;P 500 companies</t>
        </is>
      </c>
    </row>
    <row r="4" ht="16" customHeight="1" s="215">
      <c r="C4" s="37" t="n"/>
      <c r="D4" s="33" t="n"/>
      <c r="E4" s="34" t="n"/>
      <c r="F4" s="34" t="n"/>
      <c r="G4" s="34" t="n"/>
      <c r="H4" s="34" t="n"/>
      <c r="I4" s="34" t="n"/>
      <c r="J4" s="34" t="n"/>
      <c r="K4" s="34" t="n"/>
      <c r="L4" s="34" t="n"/>
    </row>
    <row r="5" ht="13" customHeight="1" s="215">
      <c r="B5" s="224" t="n"/>
      <c r="C5" s="224" t="n"/>
      <c r="D5" s="33" t="n"/>
      <c r="E5" s="34" t="n"/>
      <c r="F5" s="34" t="n"/>
      <c r="G5" s="34" t="n"/>
      <c r="H5" s="34" t="n"/>
      <c r="I5" s="34" t="n"/>
      <c r="J5" s="34" t="n"/>
      <c r="K5" s="34" t="n"/>
      <c r="L5" s="34" t="n"/>
    </row>
    <row r="6" ht="28" customHeight="1" s="215">
      <c r="A6" s="224" t="n"/>
      <c r="B6" s="38" t="inlineStr">
        <is>
          <t>Ticker</t>
        </is>
      </c>
      <c r="C6" s="38" t="inlineStr">
        <is>
          <t>Company</t>
        </is>
      </c>
      <c r="D6" s="39" t="inlineStr">
        <is>
          <t>Industry</t>
        </is>
      </c>
      <c r="E6" s="40" t="inlineStr">
        <is>
          <t>Debt / Equity</t>
        </is>
      </c>
      <c r="F6" s="40" t="inlineStr">
        <is>
          <t>Current Ratio</t>
        </is>
      </c>
      <c r="G6" s="40" t="inlineStr">
        <is>
          <t>Quick Ratio</t>
        </is>
      </c>
      <c r="H6" s="40" t="inlineStr">
        <is>
          <t>Gross Margin</t>
        </is>
      </c>
      <c r="I6" s="40" t="inlineStr">
        <is>
          <t>Operating Margin</t>
        </is>
      </c>
      <c r="J6" s="40" t="inlineStr">
        <is>
          <t>Net Margin</t>
        </is>
      </c>
      <c r="K6" s="40" t="inlineStr">
        <is>
          <t>FCF as a % of Sales</t>
        </is>
      </c>
      <c r="L6" s="40" t="inlineStr">
        <is>
          <t>FCF as a % of Net Income</t>
        </is>
      </c>
      <c r="M6" s="224" t="n"/>
      <c r="N6" s="224" t="n"/>
      <c r="O6" s="224" t="n"/>
      <c r="P6" s="224" t="n"/>
      <c r="Q6" s="224" t="n"/>
      <c r="R6" s="224" t="n"/>
      <c r="S6" s="224" t="n"/>
      <c r="T6" s="224" t="n"/>
      <c r="U6" s="224" t="n"/>
    </row>
    <row r="7" hidden="1" ht="14" customHeight="1" s="215">
      <c r="A7" s="28" t="n"/>
      <c r="B7" s="41" t="inlineStr">
        <is>
          <t>MS</t>
        </is>
      </c>
      <c r="C7" s="41" t="inlineStr">
        <is>
          <t>Morgan Stanley</t>
        </is>
      </c>
      <c r="D7" s="42" t="inlineStr">
        <is>
          <t>Capital Markets</t>
        </is>
      </c>
      <c r="E7" s="43" t="n">
        <v>2.4</v>
      </c>
      <c r="F7" s="43" t="inlineStr">
        <is>
          <t xml:space="preserve">- </t>
        </is>
      </c>
      <c r="G7" s="43" t="inlineStr">
        <is>
          <t xml:space="preserve">- </t>
        </is>
      </c>
      <c r="H7" s="44" t="n">
        <v>0</v>
      </c>
      <c r="I7" s="44" t="n">
        <v>0.29</v>
      </c>
      <c r="J7" s="44" t="n">
        <v>0.232</v>
      </c>
      <c r="K7" s="44" t="n">
        <v>0.993</v>
      </c>
      <c r="L7" s="44" t="n">
        <v>4.278</v>
      </c>
    </row>
    <row r="8" hidden="1" ht="14" customHeight="1" s="215">
      <c r="A8" s="28" t="n"/>
      <c r="B8" s="41" t="inlineStr">
        <is>
          <t>ETFC</t>
        </is>
      </c>
      <c r="C8" s="41" t="inlineStr">
        <is>
          <t>E*TRADE Financial</t>
        </is>
      </c>
      <c r="D8" s="42" t="inlineStr">
        <is>
          <t>Capital Markets</t>
        </is>
      </c>
      <c r="E8" s="43" t="n">
        <v>0.2</v>
      </c>
      <c r="F8" s="43" t="inlineStr">
        <is>
          <t xml:space="preserve">- </t>
        </is>
      </c>
      <c r="G8" s="43" t="inlineStr">
        <is>
          <t xml:space="preserve">- </t>
        </is>
      </c>
      <c r="H8" s="44" t="n">
        <v>0</v>
      </c>
      <c r="I8" s="44" t="n">
        <v>0.447</v>
      </c>
      <c r="J8" s="44" t="n">
        <v>0.33</v>
      </c>
      <c r="K8" s="44" t="n">
        <v>0.944</v>
      </c>
      <c r="L8" s="44" t="n">
        <v>2.857</v>
      </c>
    </row>
    <row r="9" hidden="1" ht="14" customHeight="1" s="215">
      <c r="A9" s="28" t="n"/>
      <c r="B9" s="41" t="inlineStr">
        <is>
          <t>SCHW</t>
        </is>
      </c>
      <c r="C9" s="41" t="inlineStr">
        <is>
          <t>Charles Schwab</t>
        </is>
      </c>
      <c r="D9" s="42" t="inlineStr">
        <is>
          <t>Capital Markets</t>
        </is>
      </c>
      <c r="E9" s="43" t="n">
        <v>0.3</v>
      </c>
      <c r="F9" s="43" t="inlineStr">
        <is>
          <t xml:space="preserve">- </t>
        </is>
      </c>
      <c r="G9" s="43" t="inlineStr">
        <is>
          <t xml:space="preserve">- </t>
        </is>
      </c>
      <c r="H9" s="44" t="n">
        <v>0</v>
      </c>
      <c r="I9" s="44" t="n">
        <v>0.452</v>
      </c>
      <c r="J9" s="44" t="n">
        <v>0.345</v>
      </c>
      <c r="K9" s="44" t="n">
        <v>0.824</v>
      </c>
      <c r="L9" s="44" t="n">
        <v>2.386</v>
      </c>
    </row>
    <row r="10" hidden="1" ht="14" customHeight="1" s="215">
      <c r="A10" s="28" t="n"/>
      <c r="B10" s="41" t="inlineStr">
        <is>
          <t>O</t>
        </is>
      </c>
      <c r="C10" s="41" t="inlineStr">
        <is>
          <t>Realty Income</t>
        </is>
      </c>
      <c r="D10" s="42" t="inlineStr">
        <is>
          <t>REIT - Retail</t>
        </is>
      </c>
      <c r="E10" s="43" t="n">
        <v>0.8</v>
      </c>
      <c r="F10" s="43" t="n">
        <v>2</v>
      </c>
      <c r="G10" s="43" t="n">
        <v>2</v>
      </c>
      <c r="H10" s="44" t="n">
        <v>0.9409999999999999</v>
      </c>
      <c r="I10" s="44" t="n">
        <v>0.498</v>
      </c>
      <c r="J10" s="44" t="n">
        <v>0.292</v>
      </c>
      <c r="K10" s="44" t="n">
        <v>0.718</v>
      </c>
      <c r="L10" s="44" t="n">
        <v>2.455</v>
      </c>
    </row>
    <row r="11" hidden="1" ht="14" customHeight="1" s="215">
      <c r="A11" s="28" t="n"/>
      <c r="B11" s="41" t="inlineStr">
        <is>
          <t>PLD</t>
        </is>
      </c>
      <c r="C11" s="41" t="inlineStr">
        <is>
          <t>Prologis</t>
        </is>
      </c>
      <c r="D11" s="42" t="inlineStr">
        <is>
          <t>REIT - Industrial</t>
        </is>
      </c>
      <c r="E11" s="43" t="n">
        <v>0.6</v>
      </c>
      <c r="F11" s="43" t="n">
        <v>2.6</v>
      </c>
      <c r="G11" s="43" t="n">
        <v>2.6</v>
      </c>
      <c r="H11" s="44" t="n">
        <v>0.724</v>
      </c>
      <c r="I11" s="44" t="n">
        <v>0.298</v>
      </c>
      <c r="J11" s="44" t="n">
        <v>0.473</v>
      </c>
      <c r="K11" s="44" t="n">
        <v>0.68</v>
      </c>
      <c r="L11" s="44" t="n">
        <v>1.44</v>
      </c>
    </row>
    <row r="12" hidden="1" ht="14" customHeight="1" s="215">
      <c r="A12" s="28" t="n"/>
      <c r="B12" s="41" t="inlineStr">
        <is>
          <t>BAC</t>
        </is>
      </c>
      <c r="C12" s="41" t="inlineStr">
        <is>
          <t>Bank of America</t>
        </is>
      </c>
      <c r="D12" s="42" t="inlineStr">
        <is>
          <t>Banks - Diversified</t>
        </is>
      </c>
      <c r="E12" s="43" t="n">
        <v>1</v>
      </c>
      <c r="F12" s="43" t="inlineStr">
        <is>
          <t xml:space="preserve">- </t>
        </is>
      </c>
      <c r="G12" s="43" t="inlineStr">
        <is>
          <t xml:space="preserve">- </t>
        </is>
      </c>
      <c r="H12" s="44" t="n">
        <v>0</v>
      </c>
      <c r="I12" s="44" t="n">
        <v>0.398</v>
      </c>
      <c r="J12" s="44" t="n">
        <v>0.3</v>
      </c>
      <c r="K12" s="44" t="n">
        <v>0.677</v>
      </c>
      <c r="L12" s="44" t="n">
        <v>2.254</v>
      </c>
    </row>
    <row r="13" hidden="1" ht="14" customHeight="1" s="215">
      <c r="A13" s="28" t="n"/>
      <c r="B13" s="41" t="inlineStr">
        <is>
          <t>VRSN</t>
        </is>
      </c>
      <c r="C13" s="41" t="inlineStr">
        <is>
          <t>VeriSign</t>
        </is>
      </c>
      <c r="D13" s="42" t="inlineStr">
        <is>
          <t>Software - Infrastructure</t>
        </is>
      </c>
      <c r="E13" s="43" t="inlineStr">
        <is>
          <t xml:space="preserve">- </t>
        </is>
      </c>
      <c r="F13" s="43" t="n">
        <v>1.3</v>
      </c>
      <c r="G13" s="43" t="n">
        <v>1.3</v>
      </c>
      <c r="H13" s="44" t="n">
        <v>0.854</v>
      </c>
      <c r="I13" s="44" t="n">
        <v>0.655</v>
      </c>
      <c r="J13" s="44" t="n">
        <v>0.497</v>
      </c>
      <c r="K13" s="44" t="n">
        <v>0.579</v>
      </c>
      <c r="L13" s="44" t="n">
        <v>1.166</v>
      </c>
    </row>
    <row r="14" hidden="1" ht="14" customHeight="1" s="215">
      <c r="A14" s="28" t="n"/>
      <c r="B14" s="41" t="inlineStr">
        <is>
          <t>COF</t>
        </is>
      </c>
      <c r="C14" s="41" t="inlineStr">
        <is>
          <t>Capital One Financial</t>
        </is>
      </c>
      <c r="D14" s="42" t="inlineStr">
        <is>
          <t>Credit Services</t>
        </is>
      </c>
      <c r="E14" s="43" t="n">
        <v>1</v>
      </c>
      <c r="F14" s="43" t="inlineStr">
        <is>
          <t xml:space="preserve">- </t>
        </is>
      </c>
      <c r="G14" s="43" t="inlineStr">
        <is>
          <t xml:space="preserve">- </t>
        </is>
      </c>
      <c r="H14" s="44" t="n">
        <v>0</v>
      </c>
      <c r="I14" s="44" t="n">
        <v>0.485</v>
      </c>
      <c r="J14" s="44" t="n">
        <v>0.199</v>
      </c>
      <c r="K14" s="44" t="n">
        <v>0.5649999999999999</v>
      </c>
      <c r="L14" s="44" t="n">
        <v>2.835</v>
      </c>
    </row>
    <row r="15" hidden="1" ht="14" customHeight="1" s="215">
      <c r="A15" s="28" t="n"/>
      <c r="B15" s="41" t="inlineStr">
        <is>
          <t>ESS</t>
        </is>
      </c>
      <c r="C15" s="41" t="inlineStr">
        <is>
          <t>Essex Property Trust</t>
        </is>
      </c>
      <c r="D15" s="42" t="inlineStr">
        <is>
          <t>REIT - Residential</t>
        </is>
      </c>
      <c r="E15" s="43" t="n">
        <v>1</v>
      </c>
      <c r="F15" s="43" t="n">
        <v>0.8</v>
      </c>
      <c r="G15" s="43" t="n">
        <v>0.8</v>
      </c>
      <c r="H15" s="44" t="n">
        <v>0.705</v>
      </c>
      <c r="I15" s="44" t="n">
        <v>0.337</v>
      </c>
      <c r="J15" s="44" t="n">
        <v>0.301</v>
      </c>
      <c r="K15" s="44" t="n">
        <v>0.5590000000000001</v>
      </c>
      <c r="L15" s="44" t="n">
        <v>1.859</v>
      </c>
    </row>
    <row r="16" hidden="1" ht="14" customHeight="1" s="215">
      <c r="A16" s="28" t="n"/>
      <c r="B16" s="41" t="inlineStr">
        <is>
          <t>REG</t>
        </is>
      </c>
      <c r="C16" s="41" t="inlineStr">
        <is>
          <t>Regency Centers</t>
        </is>
      </c>
      <c r="D16" s="42" t="inlineStr">
        <is>
          <t>REIT - Retail</t>
        </is>
      </c>
      <c r="E16" s="43" t="n">
        <v>0.7</v>
      </c>
      <c r="F16" s="43" t="n">
        <v>0.8</v>
      </c>
      <c r="G16" s="43" t="n">
        <v>0.8</v>
      </c>
      <c r="H16" s="44" t="n">
        <v>0.73</v>
      </c>
      <c r="I16" s="44" t="n">
        <v>0.327</v>
      </c>
      <c r="J16" s="44" t="n">
        <v>0.21</v>
      </c>
      <c r="K16" s="44" t="n">
        <v>0.549</v>
      </c>
      <c r="L16" s="44" t="n">
        <v>2.614</v>
      </c>
    </row>
    <row r="17" hidden="1" ht="14" customHeight="1" s="215">
      <c r="A17" s="28" t="n"/>
      <c r="B17" s="41" t="inlineStr">
        <is>
          <t>V</t>
        </is>
      </c>
      <c r="C17" s="41" t="inlineStr">
        <is>
          <t>Visa</t>
        </is>
      </c>
      <c r="D17" s="42" t="inlineStr">
        <is>
          <t>Credit Services</t>
        </is>
      </c>
      <c r="E17" s="43" t="n">
        <v>0.5</v>
      </c>
      <c r="F17" s="43" t="n">
        <v>1.3</v>
      </c>
      <c r="G17" s="43" t="n">
        <v>1.3</v>
      </c>
      <c r="H17" s="44" t="n">
        <v>0.8149999999999999</v>
      </c>
      <c r="I17" s="44" t="n">
        <v>0.667</v>
      </c>
      <c r="J17" s="44" t="n">
        <v>0.526</v>
      </c>
      <c r="K17" s="44" t="n">
        <v>0.537</v>
      </c>
      <c r="L17" s="44" t="n">
        <v>1.02</v>
      </c>
    </row>
    <row r="18" hidden="1" ht="14" customHeight="1" s="215">
      <c r="A18" s="28" t="n"/>
      <c r="B18" s="41" t="inlineStr">
        <is>
          <t>EXR</t>
        </is>
      </c>
      <c r="C18" s="41" t="inlineStr">
        <is>
          <t>Extra Space Storage</t>
        </is>
      </c>
      <c r="D18" s="42" t="inlineStr">
        <is>
          <t>REIT - Industrial</t>
        </is>
      </c>
      <c r="E18" s="43" t="n">
        <v>2.1</v>
      </c>
      <c r="F18" s="43" t="n">
        <v>0.5</v>
      </c>
      <c r="G18" s="43" t="n">
        <v>0.5</v>
      </c>
      <c r="H18" s="44" t="n">
        <v>0.721</v>
      </c>
      <c r="I18" s="44" t="n">
        <v>0.484</v>
      </c>
      <c r="J18" s="44" t="n">
        <v>0.321</v>
      </c>
      <c r="K18" s="44" t="n">
        <v>0.535</v>
      </c>
      <c r="L18" s="44" t="n">
        <v>1.666</v>
      </c>
    </row>
    <row r="19" hidden="1" ht="14" customHeight="1" s="215">
      <c r="A19" s="28" t="n"/>
      <c r="B19" s="41" t="inlineStr">
        <is>
          <t>GS</t>
        </is>
      </c>
      <c r="C19" s="41" t="inlineStr">
        <is>
          <t>Goldman Sachs Group</t>
        </is>
      </c>
      <c r="D19" s="42" t="inlineStr">
        <is>
          <t>Capital Markets</t>
        </is>
      </c>
      <c r="E19" s="43" t="n">
        <v>3.1</v>
      </c>
      <c r="F19" s="43" t="inlineStr">
        <is>
          <t xml:space="preserve">- </t>
        </is>
      </c>
      <c r="G19" s="43" t="inlineStr">
        <is>
          <t xml:space="preserve">- </t>
        </is>
      </c>
      <c r="H19" s="44" t="n">
        <v>0</v>
      </c>
      <c r="I19" s="44" t="n">
        <v>0.35</v>
      </c>
      <c r="J19" s="44" t="n">
        <v>0.254</v>
      </c>
      <c r="K19" s="44" t="n">
        <v>0.531</v>
      </c>
      <c r="L19" s="44" t="n">
        <v>2.091</v>
      </c>
    </row>
    <row r="20" hidden="1" ht="14" customHeight="1" s="215">
      <c r="A20" s="28" t="n"/>
      <c r="B20" s="41" t="inlineStr">
        <is>
          <t>SYF</t>
        </is>
      </c>
      <c r="C20" s="41" t="inlineStr">
        <is>
          <t>Synchrony Finl</t>
        </is>
      </c>
      <c r="D20" s="42" t="inlineStr">
        <is>
          <t>Credit Services</t>
        </is>
      </c>
      <c r="E20" s="43" t="n">
        <v>1.3</v>
      </c>
      <c r="F20" s="43" t="inlineStr">
        <is>
          <t xml:space="preserve">- </t>
        </is>
      </c>
      <c r="G20" s="43" t="inlineStr">
        <is>
          <t xml:space="preserve">- </t>
        </is>
      </c>
      <c r="H20" s="44" t="n">
        <v>0</v>
      </c>
      <c r="I20" s="44" t="n">
        <v>0.753</v>
      </c>
      <c r="J20" s="44" t="n">
        <v>0.218</v>
      </c>
      <c r="K20" s="44" t="n">
        <v>0.524</v>
      </c>
      <c r="L20" s="44" t="n">
        <v>2.404</v>
      </c>
    </row>
    <row r="21" hidden="1" ht="14" customHeight="1" s="215">
      <c r="A21" s="28" t="n"/>
      <c r="B21" s="41" t="inlineStr">
        <is>
          <t>DFS</t>
        </is>
      </c>
      <c r="C21" s="41" t="inlineStr">
        <is>
          <t>Discover Financial</t>
        </is>
      </c>
      <c r="D21" s="42" t="inlineStr">
        <is>
          <t>Credit Services</t>
        </is>
      </c>
      <c r="E21" s="43" t="n">
        <v>2.2</v>
      </c>
      <c r="F21" s="43" t="inlineStr">
        <is>
          <t xml:space="preserve">- </t>
        </is>
      </c>
      <c r="G21" s="43" t="inlineStr">
        <is>
          <t xml:space="preserve">- </t>
        </is>
      </c>
      <c r="H21" s="44" t="n">
        <v>0</v>
      </c>
      <c r="I21" s="44" t="n">
        <v>0.625</v>
      </c>
      <c r="J21" s="44" t="n">
        <v>0.258</v>
      </c>
      <c r="K21" s="44" t="n">
        <v>0.513</v>
      </c>
      <c r="L21" s="44" t="n">
        <v>1.987</v>
      </c>
    </row>
    <row r="22" hidden="1" ht="14" customHeight="1" s="215">
      <c r="A22" s="28" t="n"/>
      <c r="B22" s="41" t="inlineStr">
        <is>
          <t>SPG</t>
        </is>
      </c>
      <c r="C22" s="41" t="inlineStr">
        <is>
          <t>Simon Property Group</t>
        </is>
      </c>
      <c r="D22" s="42" t="inlineStr">
        <is>
          <t>REIT - Retail</t>
        </is>
      </c>
      <c r="E22" s="43" t="n">
        <v>9.800000000000001</v>
      </c>
      <c r="F22" s="43" t="n">
        <v>0.5</v>
      </c>
      <c r="G22" s="43" t="n">
        <v>0.5</v>
      </c>
      <c r="H22" s="44" t="n">
        <v>0.823</v>
      </c>
      <c r="I22" s="44" t="n">
        <v>0.506</v>
      </c>
      <c r="J22" s="44" t="n">
        <v>0.365</v>
      </c>
      <c r="K22" s="44" t="n">
        <v>0.51</v>
      </c>
      <c r="L22" s="44" t="n">
        <v>1.398</v>
      </c>
    </row>
    <row r="23" hidden="1" ht="14" customHeight="1" s="215">
      <c r="A23" s="28" t="n"/>
      <c r="B23" s="41" t="inlineStr">
        <is>
          <t>AVB</t>
        </is>
      </c>
      <c r="C23" s="41" t="inlineStr">
        <is>
          <t>AvalonBay Communities</t>
        </is>
      </c>
      <c r="D23" s="42" t="inlineStr">
        <is>
          <t>REIT - Residential</t>
        </is>
      </c>
      <c r="E23" s="43" t="n">
        <v>0.7</v>
      </c>
      <c r="F23" s="43" t="n">
        <v>0.5</v>
      </c>
      <c r="G23" s="43" t="n">
        <v>0.5</v>
      </c>
      <c r="H23" s="44" t="n">
        <v>0.67</v>
      </c>
      <c r="I23" s="44" t="n">
        <v>0.359</v>
      </c>
      <c r="J23" s="44" t="n">
        <v>0.339</v>
      </c>
      <c r="K23" s="44" t="n">
        <v>0.507</v>
      </c>
      <c r="L23" s="44" t="n">
        <v>1.498</v>
      </c>
    </row>
    <row r="24" hidden="1" ht="14" customHeight="1" s="215">
      <c r="A24" s="28" t="n"/>
      <c r="B24" s="41" t="inlineStr">
        <is>
          <t>PSA</t>
        </is>
      </c>
      <c r="C24" s="41" t="inlineStr">
        <is>
          <t>Public Storage</t>
        </is>
      </c>
      <c r="D24" s="42" t="inlineStr">
        <is>
          <t>REIT - Industrial</t>
        </is>
      </c>
      <c r="E24" s="43" t="n">
        <v>0.2</v>
      </c>
      <c r="F24" s="43" t="n">
        <v>1.1</v>
      </c>
      <c r="G24" s="43" t="n">
        <v>1.1</v>
      </c>
      <c r="H24" s="44" t="n">
        <v>0.72</v>
      </c>
      <c r="I24" s="44" t="n">
        <v>0.515</v>
      </c>
      <c r="J24" s="44" t="n">
        <v>0.534</v>
      </c>
      <c r="K24" s="44" t="n">
        <v>0.507</v>
      </c>
      <c r="L24" s="44" t="n">
        <v>0.948</v>
      </c>
    </row>
    <row r="25" hidden="1" ht="14" customHeight="1" s="215">
      <c r="A25" s="28" t="n"/>
      <c r="B25" s="41" t="inlineStr">
        <is>
          <t>KIM</t>
        </is>
      </c>
      <c r="C25" s="41" t="inlineStr">
        <is>
          <t>Kimco Realty</t>
        </is>
      </c>
      <c r="D25" s="42" t="inlineStr">
        <is>
          <t>REIT - Retail</t>
        </is>
      </c>
      <c r="E25" s="43" t="n">
        <v>1.1</v>
      </c>
      <c r="F25" s="43" t="n">
        <v>1.2</v>
      </c>
      <c r="G25" s="43" t="n">
        <v>1.2</v>
      </c>
      <c r="H25" s="44" t="n">
        <v>0.719</v>
      </c>
      <c r="I25" s="44" t="n">
        <v>0.386</v>
      </c>
      <c r="J25" s="44" t="n">
        <v>0.354</v>
      </c>
      <c r="K25" s="44" t="n">
        <v>0.503</v>
      </c>
      <c r="L25" s="44" t="n">
        <v>1.423</v>
      </c>
    </row>
    <row r="26" hidden="1" ht="28" customHeight="1" s="215">
      <c r="A26" s="28" t="n"/>
      <c r="B26" s="41" t="inlineStr">
        <is>
          <t>CME</t>
        </is>
      </c>
      <c r="C26" s="41" t="inlineStr">
        <is>
          <t>CME Group</t>
        </is>
      </c>
      <c r="D26" s="42" t="inlineStr">
        <is>
          <t>Financial Data &amp; Stock Exchanges</t>
        </is>
      </c>
      <c r="E26" s="43" t="n">
        <v>0.1</v>
      </c>
      <c r="F26" s="43" t="n">
        <v>1</v>
      </c>
      <c r="G26" s="43" t="n">
        <v>1</v>
      </c>
      <c r="H26" s="44" t="n">
        <v>0.738</v>
      </c>
      <c r="I26" s="44" t="n">
        <v>0.532</v>
      </c>
      <c r="J26" s="44" t="n">
        <v>0.435</v>
      </c>
      <c r="K26" s="44" t="n">
        <v>0.498</v>
      </c>
      <c r="L26" s="44" t="n">
        <v>1.146</v>
      </c>
    </row>
    <row r="27" hidden="1" ht="14" customHeight="1" s="215">
      <c r="A27" s="28" t="n"/>
      <c r="B27" s="41" t="inlineStr">
        <is>
          <t>MAA</t>
        </is>
      </c>
      <c r="C27" s="41" t="inlineStr">
        <is>
          <t>Mid-America Apartment</t>
        </is>
      </c>
      <c r="D27" s="42" t="inlineStr">
        <is>
          <t>REIT - Residential</t>
        </is>
      </c>
      <c r="E27" s="43" t="n">
        <v>0.7</v>
      </c>
      <c r="F27" s="43" t="n">
        <v>0.2</v>
      </c>
      <c r="G27" s="43" t="n">
        <v>0.2</v>
      </c>
      <c r="H27" s="44" t="n">
        <v>0.627</v>
      </c>
      <c r="I27" s="44" t="n">
        <v>0.262</v>
      </c>
      <c r="J27" s="44" t="n">
        <v>0.216</v>
      </c>
      <c r="K27" s="44" t="n">
        <v>0.477</v>
      </c>
      <c r="L27" s="44" t="n">
        <v>2.207</v>
      </c>
    </row>
    <row r="28" hidden="1" ht="14" customHeight="1" s="215">
      <c r="A28" s="28" t="n"/>
      <c r="B28" s="41" t="inlineStr">
        <is>
          <t>STT</t>
        </is>
      </c>
      <c r="C28" s="41" t="inlineStr">
        <is>
          <t>State Street</t>
        </is>
      </c>
      <c r="D28" s="42" t="inlineStr">
        <is>
          <t>Asset Management</t>
        </is>
      </c>
      <c r="E28" s="43" t="n">
        <v>0.6</v>
      </c>
      <c r="F28" s="43" t="inlineStr">
        <is>
          <t xml:space="preserve">- </t>
        </is>
      </c>
      <c r="G28" s="43" t="inlineStr">
        <is>
          <t xml:space="preserve">- </t>
        </is>
      </c>
      <c r="H28" s="44" t="n">
        <v>0</v>
      </c>
      <c r="I28" s="44" t="n">
        <v>0.269</v>
      </c>
      <c r="J28" s="44" t="n">
        <v>0.211</v>
      </c>
      <c r="K28" s="44" t="n">
        <v>0.475</v>
      </c>
      <c r="L28" s="44" t="n">
        <v>2.248</v>
      </c>
    </row>
    <row r="29" hidden="1" ht="14" customHeight="1" s="215">
      <c r="A29" s="28" t="n"/>
      <c r="B29" s="41" t="inlineStr">
        <is>
          <t>DLR</t>
        </is>
      </c>
      <c r="C29" s="41" t="inlineStr">
        <is>
          <t>Digital Realty Trust</t>
        </is>
      </c>
      <c r="D29" s="42" t="inlineStr">
        <is>
          <t>REIT - Office</t>
        </is>
      </c>
      <c r="E29" s="43" t="n">
        <v>1.1</v>
      </c>
      <c r="F29" s="43" t="n">
        <v>0.5</v>
      </c>
      <c r="G29" s="43" t="n">
        <v>0.5</v>
      </c>
      <c r="H29" s="44" t="n">
        <v>0.628</v>
      </c>
      <c r="I29" s="44" t="n">
        <v>0.196</v>
      </c>
      <c r="J29" s="44" t="n">
        <v>0.181</v>
      </c>
      <c r="K29" s="44" t="n">
        <v>0.472</v>
      </c>
      <c r="L29" s="44" t="n">
        <v>2.608</v>
      </c>
    </row>
    <row r="30" hidden="1" ht="14" customHeight="1" s="215">
      <c r="A30" s="28" t="n"/>
      <c r="B30" s="41" t="inlineStr">
        <is>
          <t>EQR</t>
        </is>
      </c>
      <c r="C30" s="41" t="inlineStr">
        <is>
          <t>Equity Residential</t>
        </is>
      </c>
      <c r="D30" s="42" t="inlineStr">
        <is>
          <t>REIT - Residential</t>
        </is>
      </c>
      <c r="E30" s="43" t="n">
        <v>0.9</v>
      </c>
      <c r="F30" s="43" t="n">
        <v>0.3</v>
      </c>
      <c r="G30" s="43" t="n">
        <v>0.3</v>
      </c>
      <c r="H30" s="44" t="n">
        <v>0.664</v>
      </c>
      <c r="I30" s="44" t="n">
        <v>0.337</v>
      </c>
      <c r="J30" s="44" t="n">
        <v>0.362</v>
      </c>
      <c r="K30" s="44" t="n">
        <v>0.471</v>
      </c>
      <c r="L30" s="44" t="n">
        <v>1.303</v>
      </c>
    </row>
    <row r="31" hidden="1" ht="14" customHeight="1" s="215">
      <c r="A31" s="28" t="n"/>
      <c r="B31" s="41" t="inlineStr">
        <is>
          <t>KEY</t>
        </is>
      </c>
      <c r="C31" s="41" t="inlineStr">
        <is>
          <t>KeyCorp</t>
        </is>
      </c>
      <c r="D31" s="42" t="inlineStr">
        <is>
          <t>Banks - Regional</t>
        </is>
      </c>
      <c r="E31" s="43" t="n">
        <v>0.8</v>
      </c>
      <c r="F31" s="43" t="inlineStr">
        <is>
          <t xml:space="preserve">- </t>
        </is>
      </c>
      <c r="G31" s="43" t="inlineStr">
        <is>
          <t xml:space="preserve">- </t>
        </is>
      </c>
      <c r="H31" s="44" t="n">
        <v>0</v>
      </c>
      <c r="I31" s="44" t="n">
        <v>0.399</v>
      </c>
      <c r="J31" s="44" t="n">
        <v>0.278</v>
      </c>
      <c r="K31" s="44" t="n">
        <v>0.457</v>
      </c>
      <c r="L31" s="44" t="n">
        <v>1.646</v>
      </c>
    </row>
    <row r="32" hidden="1" ht="14" customHeight="1" s="215">
      <c r="A32" s="28" t="n"/>
      <c r="B32" s="41" t="inlineStr">
        <is>
          <t>MKTX</t>
        </is>
      </c>
      <c r="C32" s="41" t="inlineStr">
        <is>
          <t>MarketAxess Holdings</t>
        </is>
      </c>
      <c r="D32" s="42" t="inlineStr">
        <is>
          <t>Capital Markets</t>
        </is>
      </c>
      <c r="E32" s="43" t="n">
        <v>0.1</v>
      </c>
      <c r="F32" s="43" t="n">
        <v>4.4</v>
      </c>
      <c r="G32" s="43" t="n">
        <v>4.3</v>
      </c>
      <c r="H32" s="44" t="n">
        <v>0</v>
      </c>
      <c r="I32" s="44" t="n">
        <v>0.49</v>
      </c>
      <c r="J32" s="44" t="n">
        <v>0.401</v>
      </c>
      <c r="K32" s="44" t="n">
        <v>0.454</v>
      </c>
      <c r="L32" s="44" t="n">
        <v>1.134</v>
      </c>
    </row>
    <row r="33" hidden="1" ht="14" customHeight="1" s="215">
      <c r="A33" s="28" t="n"/>
      <c r="B33" s="41" t="inlineStr">
        <is>
          <t>ARE</t>
        </is>
      </c>
      <c r="C33" s="41" t="inlineStr">
        <is>
          <t>Alexandria Real Estate</t>
        </is>
      </c>
      <c r="D33" s="42" t="inlineStr">
        <is>
          <t>REIT - Office</t>
        </is>
      </c>
      <c r="E33" s="43" t="n">
        <v>0.8</v>
      </c>
      <c r="F33" s="43" t="n">
        <v>0.4</v>
      </c>
      <c r="G33" s="43" t="n">
        <v>0.4</v>
      </c>
      <c r="H33" s="44" t="n">
        <v>0.709</v>
      </c>
      <c r="I33" s="44" t="n">
        <v>0.282</v>
      </c>
      <c r="J33" s="44" t="n">
        <v>0.236</v>
      </c>
      <c r="K33" s="44" t="n">
        <v>0.447</v>
      </c>
      <c r="L33" s="44" t="n">
        <v>1.896</v>
      </c>
    </row>
    <row r="34" hidden="1" ht="14" customHeight="1" s="215">
      <c r="A34" s="28" t="n"/>
      <c r="B34" s="41" t="inlineStr">
        <is>
          <t>BIIB</t>
        </is>
      </c>
      <c r="C34" s="41" t="inlineStr">
        <is>
          <t>Biogen</t>
        </is>
      </c>
      <c r="D34" s="42" t="inlineStr">
        <is>
          <t>Drug Manufacturers - General</t>
        </is>
      </c>
      <c r="E34" s="43" t="n">
        <v>0.5</v>
      </c>
      <c r="F34" s="43" t="n">
        <v>1.7</v>
      </c>
      <c r="G34" s="43" t="n">
        <v>1.6</v>
      </c>
      <c r="H34" s="44" t="n">
        <v>0.864</v>
      </c>
      <c r="I34" s="44" t="n">
        <v>0.49</v>
      </c>
      <c r="J34" s="44" t="n">
        <v>0.41</v>
      </c>
      <c r="K34" s="44" t="n">
        <v>0.447</v>
      </c>
      <c r="L34" s="44" t="n">
        <v>1.09</v>
      </c>
    </row>
    <row r="35" hidden="1" ht="14" customHeight="1" s="215">
      <c r="A35" s="28" t="n"/>
      <c r="B35" s="41" t="inlineStr">
        <is>
          <t>MA</t>
        </is>
      </c>
      <c r="C35" s="41" t="inlineStr">
        <is>
          <t>Mastercard</t>
        </is>
      </c>
      <c r="D35" s="42" t="inlineStr">
        <is>
          <t>Credit Services</t>
        </is>
      </c>
      <c r="E35" s="43" t="n">
        <v>1.5</v>
      </c>
      <c r="F35" s="43" t="n">
        <v>1.4</v>
      </c>
      <c r="G35" s="43" t="n">
        <v>1.4</v>
      </c>
      <c r="H35" s="44" t="n">
        <v>0</v>
      </c>
      <c r="I35" s="44" t="n">
        <v>0.574</v>
      </c>
      <c r="J35" s="44" t="n">
        <v>0.481</v>
      </c>
      <c r="K35" s="44" t="n">
        <v>0.443</v>
      </c>
      <c r="L35" s="44" t="n">
        <v>0.921</v>
      </c>
    </row>
    <row r="36" hidden="1" ht="14" customHeight="1" s="215">
      <c r="A36" s="28" t="n"/>
      <c r="B36" s="41" t="inlineStr">
        <is>
          <t>RF</t>
        </is>
      </c>
      <c r="C36" s="41" t="inlineStr">
        <is>
          <t>Regions Financial</t>
        </is>
      </c>
      <c r="D36" s="42" t="inlineStr">
        <is>
          <t>Banks - Regional</t>
        </is>
      </c>
      <c r="E36" s="43" t="n">
        <v>0.6</v>
      </c>
      <c r="F36" s="43" t="inlineStr">
        <is>
          <t xml:space="preserve">- </t>
        </is>
      </c>
      <c r="G36" s="43" t="inlineStr">
        <is>
          <t xml:space="preserve">- </t>
        </is>
      </c>
      <c r="H36" s="44" t="n">
        <v>0</v>
      </c>
      <c r="I36" s="44" t="n">
        <v>0.415</v>
      </c>
      <c r="J36" s="44" t="n">
        <v>0.271</v>
      </c>
      <c r="K36" s="44" t="n">
        <v>0.439</v>
      </c>
      <c r="L36" s="44" t="n">
        <v>1.618</v>
      </c>
    </row>
    <row r="37" hidden="1" ht="14" customHeight="1" s="215">
      <c r="A37" s="28" t="n"/>
      <c r="B37" s="41" t="inlineStr">
        <is>
          <t>AGN</t>
        </is>
      </c>
      <c r="C37" s="41" t="inlineStr">
        <is>
          <t>Allergan</t>
        </is>
      </c>
      <c r="D37" s="42" t="inlineStr">
        <is>
          <t>Drug Manufacturers - General</t>
        </is>
      </c>
      <c r="E37" s="43" t="n">
        <v>0.4</v>
      </c>
      <c r="F37" s="43" t="n">
        <v>1</v>
      </c>
      <c r="G37" s="43" t="n">
        <v>0.9</v>
      </c>
      <c r="H37" s="44" t="n">
        <v>0.845</v>
      </c>
      <c r="I37" s="44" t="n">
        <v>-0.001</v>
      </c>
      <c r="J37" s="44" t="n">
        <v>-0.324</v>
      </c>
      <c r="K37" s="44" t="n">
        <v>0.424</v>
      </c>
      <c r="L37" s="43" t="inlineStr">
        <is>
          <t xml:space="preserve">- </t>
        </is>
      </c>
    </row>
    <row r="38" hidden="1" ht="14" customHeight="1" s="215">
      <c r="A38" s="28" t="n"/>
      <c r="B38" s="41" t="inlineStr">
        <is>
          <t>PEAK</t>
        </is>
      </c>
      <c r="C38" s="41" t="inlineStr">
        <is>
          <t>Healthpeak Properties</t>
        </is>
      </c>
      <c r="D38" s="42" t="inlineStr">
        <is>
          <t>REIT - Healthcare Facilities</t>
        </is>
      </c>
      <c r="E38" s="43" t="n">
        <v>1.1</v>
      </c>
      <c r="F38" s="43" t="n">
        <v>1.9</v>
      </c>
      <c r="G38" s="43" t="n">
        <v>1.9</v>
      </c>
      <c r="H38" s="44" t="n">
        <v>0.5590000000000001</v>
      </c>
      <c r="I38" s="44" t="n">
        <v>0.178</v>
      </c>
      <c r="J38" s="44" t="n">
        <v>0.022</v>
      </c>
      <c r="K38" s="44" t="n">
        <v>0.424</v>
      </c>
      <c r="L38" s="44" t="n">
        <v>19.592</v>
      </c>
    </row>
    <row r="39" hidden="1" ht="28" customHeight="1" s="215">
      <c r="A39" s="28" t="n"/>
      <c r="B39" s="41" t="inlineStr">
        <is>
          <t>MSCI</t>
        </is>
      </c>
      <c r="C39" s="41" t="inlineStr">
        <is>
          <t>MSCI</t>
        </is>
      </c>
      <c r="D39" s="42" t="inlineStr">
        <is>
          <t>Financial Data &amp; Stock Exchanges</t>
        </is>
      </c>
      <c r="E39" s="43" t="inlineStr">
        <is>
          <t xml:space="preserve">- </t>
        </is>
      </c>
      <c r="F39" s="43" t="n">
        <v>2.3</v>
      </c>
      <c r="G39" s="43" t="n">
        <v>2.3</v>
      </c>
      <c r="H39" s="44" t="n">
        <v>0.8110000000000001</v>
      </c>
      <c r="I39" s="44" t="n">
        <v>0.486</v>
      </c>
      <c r="J39" s="44" t="n">
        <v>0.361</v>
      </c>
      <c r="K39" s="44" t="n">
        <v>0.423</v>
      </c>
      <c r="L39" s="44" t="n">
        <v>1.174</v>
      </c>
    </row>
    <row r="40" hidden="1" ht="14" customHeight="1" s="215">
      <c r="A40" s="28" t="n"/>
      <c r="B40" s="41" t="inlineStr">
        <is>
          <t>ADSK</t>
        </is>
      </c>
      <c r="C40" s="41" t="inlineStr">
        <is>
          <t>Autodesk</t>
        </is>
      </c>
      <c r="D40" s="42" t="inlineStr">
        <is>
          <t>Software - Application</t>
        </is>
      </c>
      <c r="E40" s="43" t="inlineStr">
        <is>
          <t xml:space="preserve">- </t>
        </is>
      </c>
      <c r="F40" s="43" t="n">
        <v>0.8</v>
      </c>
      <c r="G40" s="43" t="n">
        <v>0.8</v>
      </c>
      <c r="H40" s="44" t="n">
        <v>0.901</v>
      </c>
      <c r="I40" s="44" t="n">
        <v>0.105</v>
      </c>
      <c r="J40" s="44" t="n">
        <v>0.066</v>
      </c>
      <c r="K40" s="44" t="n">
        <v>0.417</v>
      </c>
      <c r="L40" s="44" t="n">
        <v>6.294</v>
      </c>
    </row>
    <row r="41" hidden="1" ht="14" customHeight="1" s="215">
      <c r="A41" s="28" t="n"/>
      <c r="B41" s="41" t="inlineStr">
        <is>
          <t>AVGO</t>
        </is>
      </c>
      <c r="C41" s="41" t="inlineStr">
        <is>
          <t>Broadcom</t>
        </is>
      </c>
      <c r="D41" s="42" t="inlineStr">
        <is>
          <t>Semiconductors</t>
        </is>
      </c>
      <c r="E41" s="43" t="n">
        <v>1.8</v>
      </c>
      <c r="F41" s="43" t="n">
        <v>1.6</v>
      </c>
      <c r="G41" s="43" t="n">
        <v>1.4</v>
      </c>
      <c r="H41" s="44" t="n">
        <v>0.553</v>
      </c>
      <c r="I41" s="44" t="n">
        <v>0.169</v>
      </c>
      <c r="J41" s="44" t="n">
        <v>0.116</v>
      </c>
      <c r="K41" s="44" t="n">
        <v>0.416</v>
      </c>
      <c r="L41" s="44" t="n">
        <v>3.58</v>
      </c>
    </row>
    <row r="42" hidden="1" ht="14" customHeight="1" s="215">
      <c r="A42" s="28" t="n"/>
      <c r="B42" s="41" t="inlineStr">
        <is>
          <t>PNC</t>
        </is>
      </c>
      <c r="C42" s="41" t="inlineStr">
        <is>
          <t>PNC Financial Services Gr</t>
        </is>
      </c>
      <c r="D42" s="42" t="inlineStr">
        <is>
          <t>Banks - Regional</t>
        </is>
      </c>
      <c r="E42" s="43" t="n">
        <v>1.1</v>
      </c>
      <c r="F42" s="43" t="inlineStr">
        <is>
          <t xml:space="preserve">- </t>
        </is>
      </c>
      <c r="G42" s="43" t="inlineStr">
        <is>
          <t xml:space="preserve">- </t>
        </is>
      </c>
      <c r="H42" s="44" t="n">
        <v>0</v>
      </c>
      <c r="I42" s="44" t="n">
        <v>0.407</v>
      </c>
      <c r="J42" s="44" t="n">
        <v>0.301</v>
      </c>
      <c r="K42" s="44" t="n">
        <v>0.414</v>
      </c>
      <c r="L42" s="44" t="n">
        <v>1.374</v>
      </c>
    </row>
    <row r="43" hidden="1" ht="28" customHeight="1" s="215">
      <c r="A43" s="28" t="n"/>
      <c r="B43" s="41" t="inlineStr">
        <is>
          <t>FLT</t>
        </is>
      </c>
      <c r="C43" s="41" t="inlineStr">
        <is>
          <t>Fleetcor Technologies</t>
        </is>
      </c>
      <c r="D43" s="42" t="inlineStr">
        <is>
          <t>Information Technology Services</t>
        </is>
      </c>
      <c r="E43" s="43" t="n">
        <v>1.4</v>
      </c>
      <c r="F43" s="43" t="n">
        <v>1</v>
      </c>
      <c r="G43" s="43" t="n">
        <v>1</v>
      </c>
      <c r="H43" s="44" t="n">
        <v>0.8</v>
      </c>
      <c r="I43" s="44" t="n">
        <v>0.465</v>
      </c>
      <c r="J43" s="44" t="n">
        <v>0.339</v>
      </c>
      <c r="K43" s="44" t="n">
        <v>0.41</v>
      </c>
      <c r="L43" s="44" t="n">
        <v>1.211</v>
      </c>
    </row>
    <row r="44" hidden="1" ht="14" customHeight="1" s="215">
      <c r="A44" s="28" t="n"/>
      <c r="B44" s="41" t="inlineStr">
        <is>
          <t>SBAC</t>
        </is>
      </c>
      <c r="C44" s="41" t="inlineStr">
        <is>
          <t>SBA Communications</t>
        </is>
      </c>
      <c r="D44" s="42" t="inlineStr">
        <is>
          <t>REIT - Specialty</t>
        </is>
      </c>
      <c r="E44" s="43" t="inlineStr">
        <is>
          <t xml:space="preserve">- </t>
        </is>
      </c>
      <c r="F44" s="43" t="n">
        <v>0.3</v>
      </c>
      <c r="G44" s="43" t="n">
        <v>0.3</v>
      </c>
      <c r="H44" s="44" t="n">
        <v>0.755</v>
      </c>
      <c r="I44" s="44" t="n">
        <v>0.314</v>
      </c>
      <c r="J44" s="44" t="n">
        <v>0.073</v>
      </c>
      <c r="K44" s="44" t="n">
        <v>0.405</v>
      </c>
      <c r="L44" s="44" t="n">
        <v>5.537</v>
      </c>
    </row>
    <row r="45" hidden="1" ht="14" customHeight="1" s="215">
      <c r="A45" s="28" t="n"/>
      <c r="B45" s="41" t="inlineStr">
        <is>
          <t>TXN</t>
        </is>
      </c>
      <c r="C45" s="41" t="inlineStr">
        <is>
          <t>Texas Instruments</t>
        </is>
      </c>
      <c r="D45" s="42" t="inlineStr">
        <is>
          <t>Semiconductors</t>
        </is>
      </c>
      <c r="E45" s="43" t="n">
        <v>0.7</v>
      </c>
      <c r="F45" s="43" t="n">
        <v>4.1</v>
      </c>
      <c r="G45" s="43" t="n">
        <v>3.2</v>
      </c>
      <c r="H45" s="44" t="n">
        <v>0.637</v>
      </c>
      <c r="I45" s="44" t="n">
        <v>0.416</v>
      </c>
      <c r="J45" s="44" t="n">
        <v>0.349</v>
      </c>
      <c r="K45" s="44" t="n">
        <v>0.405</v>
      </c>
      <c r="L45" s="44" t="n">
        <v>1.161</v>
      </c>
    </row>
    <row r="46" hidden="1" ht="14" customHeight="1" s="215">
      <c r="A46" s="28" t="n"/>
      <c r="B46" s="41" t="inlineStr">
        <is>
          <t>BXP</t>
        </is>
      </c>
      <c r="C46" s="41" t="inlineStr">
        <is>
          <t>Boston Properties</t>
        </is>
      </c>
      <c r="D46" s="42" t="inlineStr">
        <is>
          <t>REIT - Office</t>
        </is>
      </c>
      <c r="E46" s="43" t="n">
        <v>2.2</v>
      </c>
      <c r="F46" s="43" t="n">
        <v>3.1</v>
      </c>
      <c r="G46" s="43" t="n">
        <v>3.1</v>
      </c>
      <c r="H46" s="44" t="n">
        <v>0.63</v>
      </c>
      <c r="I46" s="44" t="n">
        <v>0.354</v>
      </c>
      <c r="J46" s="44" t="n">
        <v>0.177</v>
      </c>
      <c r="K46" s="44" t="n">
        <v>0.4</v>
      </c>
      <c r="L46" s="44" t="n">
        <v>2.267</v>
      </c>
    </row>
    <row r="47" hidden="1" ht="28" customHeight="1" s="215">
      <c r="A47" s="28" t="n"/>
      <c r="B47" s="41" t="inlineStr">
        <is>
          <t>SPGI</t>
        </is>
      </c>
      <c r="C47" s="41" t="inlineStr">
        <is>
          <t>S&amp;P Global</t>
        </is>
      </c>
      <c r="D47" s="42" t="inlineStr">
        <is>
          <t>Financial Data &amp; Stock Exchanges</t>
        </is>
      </c>
      <c r="E47" s="43" t="n">
        <v>9.800000000000001</v>
      </c>
      <c r="F47" s="43" t="n">
        <v>1.5</v>
      </c>
      <c r="G47" s="43" t="n">
        <v>1.5</v>
      </c>
      <c r="H47" s="44" t="n">
        <v>0.733</v>
      </c>
      <c r="I47" s="44" t="n">
        <v>0.475</v>
      </c>
      <c r="J47" s="44" t="n">
        <v>0.318</v>
      </c>
      <c r="K47" s="44" t="n">
        <v>0.4</v>
      </c>
      <c r="L47" s="44" t="n">
        <v>1.258</v>
      </c>
    </row>
    <row r="48" hidden="1" ht="14" customHeight="1" s="215">
      <c r="A48" s="28" t="n"/>
      <c r="B48" s="41" t="inlineStr">
        <is>
          <t>ANET</t>
        </is>
      </c>
      <c r="C48" s="41" t="inlineStr">
        <is>
          <t>Arista Networks</t>
        </is>
      </c>
      <c r="D48" s="42" t="inlineStr">
        <is>
          <t>Computer Hardware</t>
        </is>
      </c>
      <c r="E48" s="43" t="n">
        <v>0</v>
      </c>
      <c r="F48" s="43" t="n">
        <v>5.8</v>
      </c>
      <c r="G48" s="43" t="n">
        <v>5.4</v>
      </c>
      <c r="H48" s="44" t="n">
        <v>0.641</v>
      </c>
      <c r="I48" s="44" t="n">
        <v>0.334</v>
      </c>
      <c r="J48" s="44" t="n">
        <v>0.357</v>
      </c>
      <c r="K48" s="44" t="n">
        <v>0.394</v>
      </c>
      <c r="L48" s="44" t="n">
        <v>1.105</v>
      </c>
    </row>
    <row r="49" hidden="1" ht="14" customHeight="1" s="215">
      <c r="A49" s="28" t="n"/>
      <c r="B49" s="41" t="inlineStr">
        <is>
          <t>NVDA</t>
        </is>
      </c>
      <c r="C49" s="41" t="inlineStr">
        <is>
          <t>NVIDIA</t>
        </is>
      </c>
      <c r="D49" s="42" t="inlineStr">
        <is>
          <t>Semiconductors</t>
        </is>
      </c>
      <c r="E49" s="43" t="n">
        <v>0.2</v>
      </c>
      <c r="F49" s="43" t="n">
        <v>7.7</v>
      </c>
      <c r="G49" s="43" t="n">
        <v>7.1</v>
      </c>
      <c r="H49" s="44" t="n">
        <v>0.62</v>
      </c>
      <c r="I49" s="44" t="n">
        <v>0.261</v>
      </c>
      <c r="J49" s="44" t="n">
        <v>0.257</v>
      </c>
      <c r="K49" s="44" t="n">
        <v>0.392</v>
      </c>
      <c r="L49" s="44" t="n">
        <v>1.528</v>
      </c>
    </row>
    <row r="50" hidden="1" ht="14" customHeight="1" s="215">
      <c r="A50" s="28" t="n"/>
      <c r="B50" s="41" t="inlineStr">
        <is>
          <t>UDR</t>
        </is>
      </c>
      <c r="C50" s="41" t="inlineStr">
        <is>
          <t>UDR</t>
        </is>
      </c>
      <c r="D50" s="42" t="inlineStr">
        <is>
          <t>REIT - Residential</t>
        </is>
      </c>
      <c r="E50" s="43" t="n">
        <v>1.5</v>
      </c>
      <c r="F50" s="43" t="n">
        <v>0.3</v>
      </c>
      <c r="G50" s="43" t="n">
        <v>0.3</v>
      </c>
      <c r="H50" s="44" t="n">
        <v>0.6850000000000001</v>
      </c>
      <c r="I50" s="44" t="n">
        <v>0.188</v>
      </c>
      <c r="J50" s="44" t="n">
        <v>0.161</v>
      </c>
      <c r="K50" s="44" t="n">
        <v>0.388</v>
      </c>
      <c r="L50" s="44" t="n">
        <v>2.403</v>
      </c>
    </row>
    <row r="51" hidden="1" ht="14" customHeight="1" s="215">
      <c r="A51" s="28" t="n"/>
      <c r="B51" s="41" t="inlineStr">
        <is>
          <t>ABBV</t>
        </is>
      </c>
      <c r="C51" s="41" t="inlineStr">
        <is>
          <t>AbbVie</t>
        </is>
      </c>
      <c r="D51" s="42" t="inlineStr">
        <is>
          <t>Drug Manufacturers - General</t>
        </is>
      </c>
      <c r="E51" s="43" t="inlineStr">
        <is>
          <t xml:space="preserve">- </t>
        </is>
      </c>
      <c r="F51" s="43" t="n">
        <v>3.2</v>
      </c>
      <c r="G51" s="43" t="n">
        <v>3.1</v>
      </c>
      <c r="H51" s="44" t="n">
        <v>0.776</v>
      </c>
      <c r="I51" s="44" t="n">
        <v>0.402</v>
      </c>
      <c r="J51" s="44" t="n">
        <v>0.236</v>
      </c>
      <c r="K51" s="44" t="n">
        <v>0.384</v>
      </c>
      <c r="L51" s="44" t="n">
        <v>1.626</v>
      </c>
    </row>
    <row r="52" hidden="1" ht="14" customHeight="1" s="215">
      <c r="A52" s="28" t="n"/>
      <c r="B52" s="41" t="inlineStr">
        <is>
          <t>ALXN</t>
        </is>
      </c>
      <c r="C52" s="41" t="inlineStr">
        <is>
          <t>Alexion Pharmaceuticals</t>
        </is>
      </c>
      <c r="D52" s="42" t="inlineStr">
        <is>
          <t>Biotechnology</t>
        </is>
      </c>
      <c r="E52" s="43" t="n">
        <v>0.2</v>
      </c>
      <c r="F52" s="43" t="n">
        <v>4.3</v>
      </c>
      <c r="G52" s="43" t="n">
        <v>3.7</v>
      </c>
      <c r="H52" s="44" t="n">
        <v>0.921</v>
      </c>
      <c r="I52" s="44" t="n">
        <v>0.429</v>
      </c>
      <c r="J52" s="44" t="n">
        <v>0.481</v>
      </c>
      <c r="K52" s="44" t="n">
        <v>0.384</v>
      </c>
      <c r="L52" s="44" t="n">
        <v>0.798</v>
      </c>
    </row>
    <row r="53" hidden="1" ht="14" customHeight="1" s="215">
      <c r="A53" s="28" t="n"/>
      <c r="B53" s="41" t="inlineStr">
        <is>
          <t>MO</t>
        </is>
      </c>
      <c r="C53" s="41" t="inlineStr">
        <is>
          <t>Altria Group</t>
        </is>
      </c>
      <c r="D53" s="42" t="inlineStr">
        <is>
          <t>Tobacco</t>
        </is>
      </c>
      <c r="E53" s="43" t="n">
        <v>4.5</v>
      </c>
      <c r="F53" s="43" t="n">
        <v>0.6</v>
      </c>
      <c r="G53" s="43" t="n">
        <v>0.3</v>
      </c>
      <c r="H53" s="44" t="n">
        <v>0.642</v>
      </c>
      <c r="I53" s="44" t="n">
        <v>0.53</v>
      </c>
      <c r="J53" s="44" t="n">
        <v>-0.068</v>
      </c>
      <c r="K53" s="44" t="n">
        <v>0.382</v>
      </c>
      <c r="L53" s="43" t="inlineStr">
        <is>
          <t xml:space="preserve">- </t>
        </is>
      </c>
    </row>
    <row r="54" hidden="1" ht="14" customHeight="1" s="215">
      <c r="A54" s="28" t="n"/>
      <c r="B54" s="41" t="inlineStr">
        <is>
          <t>AXP</t>
        </is>
      </c>
      <c r="C54" s="41" t="inlineStr">
        <is>
          <t>American Express</t>
        </is>
      </c>
      <c r="D54" s="42" t="inlineStr">
        <is>
          <t>Credit Services</t>
        </is>
      </c>
      <c r="E54" s="43" t="n">
        <v>2.8</v>
      </c>
      <c r="F54" s="43" t="inlineStr">
        <is>
          <t xml:space="preserve">- </t>
        </is>
      </c>
      <c r="G54" s="43" t="inlineStr">
        <is>
          <t xml:space="preserve">- </t>
        </is>
      </c>
      <c r="H54" s="44" t="n">
        <v>0</v>
      </c>
      <c r="I54" s="44" t="n">
        <v>0.389</v>
      </c>
      <c r="J54" s="44" t="n">
        <v>0.219</v>
      </c>
      <c r="K54" s="44" t="n">
        <v>0.38</v>
      </c>
      <c r="L54" s="44" t="n">
        <v>1.738</v>
      </c>
    </row>
    <row r="55" hidden="1" ht="14" customHeight="1" s="215">
      <c r="A55" s="28" t="n"/>
      <c r="B55" s="41" t="inlineStr">
        <is>
          <t>NTRS</t>
        </is>
      </c>
      <c r="C55" s="41" t="inlineStr">
        <is>
          <t>Northern Trust</t>
        </is>
      </c>
      <c r="D55" s="42" t="inlineStr">
        <is>
          <t>Asset Management</t>
        </is>
      </c>
      <c r="E55" s="43" t="n">
        <v>1</v>
      </c>
      <c r="F55" s="43" t="inlineStr">
        <is>
          <t xml:space="preserve">- </t>
        </is>
      </c>
      <c r="G55" s="43" t="inlineStr">
        <is>
          <t xml:space="preserve">- </t>
        </is>
      </c>
      <c r="H55" s="44" t="n">
        <v>0</v>
      </c>
      <c r="I55" s="44" t="n">
        <v>0.364</v>
      </c>
      <c r="J55" s="44" t="n">
        <v>0.282</v>
      </c>
      <c r="K55" s="44" t="n">
        <v>0.378</v>
      </c>
      <c r="L55" s="44" t="n">
        <v>1.343</v>
      </c>
    </row>
    <row r="56" hidden="1" ht="14" customHeight="1" s="215">
      <c r="A56" s="28" t="n"/>
      <c r="B56" s="41" t="inlineStr">
        <is>
          <t>GILD</t>
        </is>
      </c>
      <c r="C56" s="41" t="inlineStr">
        <is>
          <t>Gilead Sciences</t>
        </is>
      </c>
      <c r="D56" s="42" t="inlineStr">
        <is>
          <t>Drug Manufacturers - General</t>
        </is>
      </c>
      <c r="E56" s="43" t="n">
        <v>1.1</v>
      </c>
      <c r="F56" s="43" t="n">
        <v>3.1</v>
      </c>
      <c r="G56" s="43" t="n">
        <v>3</v>
      </c>
      <c r="H56" s="44" t="n">
        <v>0.792</v>
      </c>
      <c r="I56" s="44" t="n">
        <v>0.189</v>
      </c>
      <c r="J56" s="44" t="n">
        <v>0.239</v>
      </c>
      <c r="K56" s="44" t="n">
        <v>0.372</v>
      </c>
      <c r="L56" s="44" t="n">
        <v>1.56</v>
      </c>
    </row>
    <row r="57" hidden="1" ht="14" customHeight="1" s="215">
      <c r="A57" s="28" t="n"/>
      <c r="B57" s="41" t="inlineStr">
        <is>
          <t>ADBE</t>
        </is>
      </c>
      <c r="C57" s="41" t="inlineStr">
        <is>
          <t>Adobe</t>
        </is>
      </c>
      <c r="D57" s="42" t="inlineStr">
        <is>
          <t>Software - Infrastructure</t>
        </is>
      </c>
      <c r="E57" s="43" t="n">
        <v>0.5</v>
      </c>
      <c r="F57" s="43" t="n">
        <v>1.2</v>
      </c>
      <c r="G57" s="43" t="n">
        <v>1.2</v>
      </c>
      <c r="H57" s="44" t="n">
        <v>0.852</v>
      </c>
      <c r="I57" s="44" t="n">
        <v>0.301</v>
      </c>
      <c r="J57" s="44" t="n">
        <v>0.277</v>
      </c>
      <c r="K57" s="44" t="n">
        <v>0.37</v>
      </c>
      <c r="L57" s="44" t="n">
        <v>1.334</v>
      </c>
    </row>
    <row r="58" hidden="1" ht="14" customHeight="1" s="215">
      <c r="A58" s="28" t="n"/>
      <c r="B58" s="41" t="inlineStr">
        <is>
          <t>AMGN</t>
        </is>
      </c>
      <c r="C58" s="41" t="inlineStr">
        <is>
          <t>Amgen</t>
        </is>
      </c>
      <c r="D58" s="42" t="inlineStr">
        <is>
          <t>Drug Manufacturers - General</t>
        </is>
      </c>
      <c r="E58" s="43" t="n">
        <v>3.1</v>
      </c>
      <c r="F58" s="43" t="n">
        <v>1.4</v>
      </c>
      <c r="G58" s="43" t="n">
        <v>1.2</v>
      </c>
      <c r="H58" s="44" t="n">
        <v>0.8139999999999999</v>
      </c>
      <c r="I58" s="44" t="n">
        <v>0.414</v>
      </c>
      <c r="J58" s="44" t="n">
        <v>0.335</v>
      </c>
      <c r="K58" s="44" t="n">
        <v>0.366</v>
      </c>
      <c r="L58" s="44" t="n">
        <v>1.091</v>
      </c>
    </row>
    <row r="59" hidden="1" ht="14" customHeight="1" s="215">
      <c r="A59" s="28" t="n"/>
      <c r="B59" s="41" t="inlineStr">
        <is>
          <t>AMT</t>
        </is>
      </c>
      <c r="C59" s="41" t="inlineStr">
        <is>
          <t>American Tower</t>
        </is>
      </c>
      <c r="D59" s="42" t="inlineStr">
        <is>
          <t>REIT - Specialty</t>
        </is>
      </c>
      <c r="E59" s="43" t="n">
        <v>6.1</v>
      </c>
      <c r="F59" s="43" t="n">
        <v>0.5</v>
      </c>
      <c r="G59" s="43" t="n">
        <v>0.5</v>
      </c>
      <c r="H59" s="44" t="n">
        <v>0.708</v>
      </c>
      <c r="I59" s="44" t="n">
        <v>0.355</v>
      </c>
      <c r="J59" s="44" t="n">
        <v>0.249</v>
      </c>
      <c r="K59" s="44" t="n">
        <v>0.365</v>
      </c>
      <c r="L59" s="44" t="n">
        <v>1.463</v>
      </c>
    </row>
    <row r="60" hidden="1" ht="28" customHeight="1" s="215">
      <c r="A60" s="28" t="n"/>
      <c r="B60" s="41" t="inlineStr">
        <is>
          <t>ICE</t>
        </is>
      </c>
      <c r="C60" s="41" t="inlineStr">
        <is>
          <t>Intercontinental Exchange</t>
        </is>
      </c>
      <c r="D60" s="42" t="inlineStr">
        <is>
          <t>Financial Data &amp; Stock Exchanges</t>
        </is>
      </c>
      <c r="E60" s="43" t="n">
        <v>0.5</v>
      </c>
      <c r="F60" s="43" t="n">
        <v>1</v>
      </c>
      <c r="G60" s="43" t="n">
        <v>1</v>
      </c>
      <c r="H60" s="44" t="n">
        <v>0.795</v>
      </c>
      <c r="I60" s="44" t="n">
        <v>0.409</v>
      </c>
      <c r="J60" s="44" t="n">
        <v>0.295</v>
      </c>
      <c r="K60" s="44" t="n">
        <v>0.359</v>
      </c>
      <c r="L60" s="44" t="n">
        <v>1.218</v>
      </c>
    </row>
    <row r="61" hidden="1" ht="14" customHeight="1" s="215">
      <c r="A61" s="28" t="n"/>
      <c r="B61" s="41" t="inlineStr">
        <is>
          <t>VRTX</t>
        </is>
      </c>
      <c r="C61" s="41" t="inlineStr">
        <is>
          <t>Vertex Pharmaceuticals</t>
        </is>
      </c>
      <c r="D61" s="42" t="inlineStr">
        <is>
          <t>Biotechnology</t>
        </is>
      </c>
      <c r="E61" s="43" t="n">
        <v>0.1</v>
      </c>
      <c r="F61" s="43" t="n">
        <v>3.6</v>
      </c>
      <c r="G61" s="43" t="n">
        <v>3.4</v>
      </c>
      <c r="H61" s="44" t="n">
        <v>0.868</v>
      </c>
      <c r="I61" s="44" t="n">
        <v>0.288</v>
      </c>
      <c r="J61" s="44" t="n">
        <v>0.282</v>
      </c>
      <c r="K61" s="44" t="n">
        <v>0.359</v>
      </c>
      <c r="L61" s="44" t="n">
        <v>1.271</v>
      </c>
    </row>
    <row r="62" hidden="1" ht="14" customHeight="1" s="215">
      <c r="A62" s="28" t="n"/>
      <c r="B62" s="41" t="inlineStr">
        <is>
          <t>MTB</t>
        </is>
      </c>
      <c r="C62" s="41" t="inlineStr">
        <is>
          <t>M&amp;T Bank</t>
        </is>
      </c>
      <c r="D62" s="42" t="inlineStr">
        <is>
          <t>Banks - Regional</t>
        </is>
      </c>
      <c r="E62" s="43" t="n">
        <v>0.4</v>
      </c>
      <c r="F62" s="43" t="inlineStr">
        <is>
          <t xml:space="preserve">- </t>
        </is>
      </c>
      <c r="G62" s="43" t="inlineStr">
        <is>
          <t xml:space="preserve">- </t>
        </is>
      </c>
      <c r="H62" s="44" t="n">
        <v>0</v>
      </c>
      <c r="I62" s="44" t="n">
        <v>0.44</v>
      </c>
      <c r="J62" s="44" t="n">
        <v>0.312</v>
      </c>
      <c r="K62" s="44" t="n">
        <v>0.353</v>
      </c>
      <c r="L62" s="44" t="n">
        <v>1.134</v>
      </c>
    </row>
    <row r="63" hidden="1" ht="14" customHeight="1" s="215">
      <c r="A63" s="28" t="n"/>
      <c r="B63" s="41" t="inlineStr">
        <is>
          <t>VNO</t>
        </is>
      </c>
      <c r="C63" s="41" t="inlineStr">
        <is>
          <t>Vornado Realty</t>
        </is>
      </c>
      <c r="D63" s="42" t="inlineStr">
        <is>
          <t>REIT - Office</t>
        </is>
      </c>
      <c r="E63" s="43" t="n">
        <v>1.2</v>
      </c>
      <c r="F63" s="43" t="n">
        <v>3.4</v>
      </c>
      <c r="G63" s="43" t="n">
        <v>3.4</v>
      </c>
      <c r="H63" s="44" t="n">
        <v>0.523</v>
      </c>
      <c r="I63" s="44" t="n">
        <v>0.217</v>
      </c>
      <c r="J63" s="44" t="n">
        <v>1.651</v>
      </c>
      <c r="K63" s="44" t="n">
        <v>0.347</v>
      </c>
      <c r="L63" s="44" t="n">
        <v>0.21</v>
      </c>
    </row>
    <row r="64" hidden="1" ht="14" customHeight="1" s="215">
      <c r="A64" s="28" t="n"/>
      <c r="B64" s="41" t="inlineStr">
        <is>
          <t>ADI</t>
        </is>
      </c>
      <c r="C64" s="41" t="inlineStr">
        <is>
          <t>Analog Devices</t>
        </is>
      </c>
      <c r="D64" s="42" t="inlineStr">
        <is>
          <t>Semiconductors</t>
        </is>
      </c>
      <c r="E64" s="43" t="n">
        <v>0.5</v>
      </c>
      <c r="F64" s="43" t="n">
        <v>1.1</v>
      </c>
      <c r="G64" s="43" t="n">
        <v>0.8</v>
      </c>
      <c r="H64" s="44" t="n">
        <v>0.664</v>
      </c>
      <c r="I64" s="44" t="n">
        <v>0.28</v>
      </c>
      <c r="J64" s="44" t="n">
        <v>0.21</v>
      </c>
      <c r="K64" s="44" t="n">
        <v>0.346</v>
      </c>
      <c r="L64" s="44" t="n">
        <v>1.644</v>
      </c>
    </row>
    <row r="65" hidden="1" ht="14" customHeight="1" s="215">
      <c r="A65" s="28" t="n"/>
      <c r="B65" s="41" t="inlineStr">
        <is>
          <t>MXIM</t>
        </is>
      </c>
      <c r="C65" s="41" t="inlineStr">
        <is>
          <t>Maxim Integrated Products</t>
        </is>
      </c>
      <c r="D65" s="42" t="inlineStr">
        <is>
          <t>Semiconductors</t>
        </is>
      </c>
      <c r="E65" s="43" t="n">
        <v>0.6</v>
      </c>
      <c r="F65" s="43" t="n">
        <v>6.6</v>
      </c>
      <c r="G65" s="43" t="n">
        <v>6</v>
      </c>
      <c r="H65" s="44" t="n">
        <v>0.642</v>
      </c>
      <c r="I65" s="44" t="n">
        <v>0.304</v>
      </c>
      <c r="J65" s="44" t="n">
        <v>0.361</v>
      </c>
      <c r="K65" s="44" t="n">
        <v>0.338</v>
      </c>
      <c r="L65" s="44" t="n">
        <v>0.9360000000000001</v>
      </c>
    </row>
    <row r="66" hidden="1" ht="14" customHeight="1" s="215">
      <c r="A66" s="28" t="n"/>
      <c r="B66" s="41" t="inlineStr">
        <is>
          <t>SIVB</t>
        </is>
      </c>
      <c r="C66" s="41" t="inlineStr">
        <is>
          <t>SVB Financial</t>
        </is>
      </c>
      <c r="D66" s="42" t="inlineStr">
        <is>
          <t>Banks - Regional</t>
        </is>
      </c>
      <c r="E66" s="43" t="n">
        <v>0.1</v>
      </c>
      <c r="F66" s="43" t="inlineStr">
        <is>
          <t xml:space="preserve">- </t>
        </is>
      </c>
      <c r="G66" s="43" t="inlineStr">
        <is>
          <t xml:space="preserve">- </t>
        </is>
      </c>
      <c r="H66" s="44" t="n">
        <v>0</v>
      </c>
      <c r="I66" s="44" t="n">
        <v>0.529</v>
      </c>
      <c r="J66" s="44" t="n">
        <v>0.349</v>
      </c>
      <c r="K66" s="44" t="n">
        <v>0.336</v>
      </c>
      <c r="L66" s="44" t="n">
        <v>0.964</v>
      </c>
    </row>
    <row r="67" hidden="1" ht="28" customHeight="1" s="215">
      <c r="A67" s="28" t="n"/>
      <c r="B67" s="41" t="inlineStr">
        <is>
          <t>MCO</t>
        </is>
      </c>
      <c r="C67" s="41" t="inlineStr">
        <is>
          <t>Moody's</t>
        </is>
      </c>
      <c r="D67" s="42" t="inlineStr">
        <is>
          <t>Financial Data &amp; Stock Exchanges</t>
        </is>
      </c>
      <c r="E67" s="43" t="n">
        <v>10.1</v>
      </c>
      <c r="F67" s="43" t="n">
        <v>1.9</v>
      </c>
      <c r="G67" s="43" t="n">
        <v>1.9</v>
      </c>
      <c r="H67" s="44" t="n">
        <v>0.713</v>
      </c>
      <c r="I67" s="44" t="n">
        <v>0.43</v>
      </c>
      <c r="J67" s="44" t="n">
        <v>0.294</v>
      </c>
      <c r="K67" s="44" t="n">
        <v>0.333</v>
      </c>
      <c r="L67" s="44" t="n">
        <v>1.132</v>
      </c>
    </row>
    <row r="68" hidden="1" ht="14" customHeight="1" s="215">
      <c r="A68" s="28" t="n"/>
      <c r="B68" s="41" t="inlineStr">
        <is>
          <t>FTNT</t>
        </is>
      </c>
      <c r="C68" s="41" t="inlineStr">
        <is>
          <t>Fortinet</t>
        </is>
      </c>
      <c r="D68" s="42" t="inlineStr">
        <is>
          <t>Software - Infrastructure</t>
        </is>
      </c>
      <c r="E68" s="43" t="n">
        <v>0</v>
      </c>
      <c r="F68" s="43" t="n">
        <v>1.9</v>
      </c>
      <c r="G68" s="43" t="n">
        <v>1.8</v>
      </c>
      <c r="H68" s="44" t="n">
        <v>0.765</v>
      </c>
      <c r="I68" s="44" t="n">
        <v>0.16</v>
      </c>
      <c r="J68" s="44" t="n">
        <v>0.152</v>
      </c>
      <c r="K68" s="44" t="n">
        <v>0.331</v>
      </c>
      <c r="L68" s="44" t="n">
        <v>2.184</v>
      </c>
    </row>
    <row r="69" hidden="1" ht="14" customHeight="1" s="215">
      <c r="A69" s="28" t="n"/>
      <c r="B69" s="41" t="inlineStr">
        <is>
          <t>PFG</t>
        </is>
      </c>
      <c r="C69" s="41" t="inlineStr">
        <is>
          <t>Principal Financial Group</t>
        </is>
      </c>
      <c r="D69" s="42" t="inlineStr">
        <is>
          <t>Insurance - Diversified</t>
        </is>
      </c>
      <c r="E69" s="43" t="n">
        <v>0.3</v>
      </c>
      <c r="F69" s="43" t="inlineStr">
        <is>
          <t xml:space="preserve">- </t>
        </is>
      </c>
      <c r="G69" s="43" t="inlineStr">
        <is>
          <t xml:space="preserve">- </t>
        </is>
      </c>
      <c r="H69" s="44" t="n">
        <v>0</v>
      </c>
      <c r="I69" s="44" t="n">
        <v>0</v>
      </c>
      <c r="J69" s="44" t="n">
        <v>0.08599999999999999</v>
      </c>
      <c r="K69" s="44" t="n">
        <v>0.331</v>
      </c>
      <c r="L69" s="44" t="n">
        <v>3.861</v>
      </c>
    </row>
    <row r="70" hidden="1" ht="28" customHeight="1" s="215">
      <c r="A70" s="28" t="n"/>
      <c r="B70" s="41" t="inlineStr">
        <is>
          <t>EA</t>
        </is>
      </c>
      <c r="C70" s="41" t="inlineStr">
        <is>
          <t>Electronic Arts</t>
        </is>
      </c>
      <c r="D70" s="42" t="inlineStr">
        <is>
          <t>Electronic Gaming &amp; Multimedia</t>
        </is>
      </c>
      <c r="E70" s="43" t="n">
        <v>0.2</v>
      </c>
      <c r="F70" s="43" t="n">
        <v>2.8</v>
      </c>
      <c r="G70" s="43" t="n">
        <v>2.8</v>
      </c>
      <c r="H70" s="44" t="n">
        <v>0.744</v>
      </c>
      <c r="I70" s="44" t="n">
        <v>0.234</v>
      </c>
      <c r="J70" s="44" t="n">
        <v>0.529</v>
      </c>
      <c r="K70" s="44" t="n">
        <v>0.326</v>
      </c>
      <c r="L70" s="44" t="n">
        <v>0.616</v>
      </c>
    </row>
    <row r="71" hidden="1" ht="14" customHeight="1" s="215">
      <c r="A71" s="28" t="n"/>
      <c r="B71" s="41" t="inlineStr">
        <is>
          <t>COG</t>
        </is>
      </c>
      <c r="C71" s="41" t="inlineStr">
        <is>
          <t>Cabot Oil &amp; Gas</t>
        </is>
      </c>
      <c r="D71" s="42" t="inlineStr">
        <is>
          <t>Oil &amp; Gas E&amp;P</t>
        </is>
      </c>
      <c r="E71" s="43" t="n">
        <v>0.6</v>
      </c>
      <c r="F71" s="43" t="n">
        <v>1.7</v>
      </c>
      <c r="G71" s="43" t="n">
        <v>1.5</v>
      </c>
      <c r="H71" s="44" t="n">
        <v>0.487</v>
      </c>
      <c r="I71" s="44" t="n">
        <v>0.423</v>
      </c>
      <c r="J71" s="44" t="n">
        <v>0.329</v>
      </c>
      <c r="K71" s="44" t="n">
        <v>0.314</v>
      </c>
      <c r="L71" s="44" t="n">
        <v>0.956</v>
      </c>
    </row>
    <row r="72" hidden="1" ht="14" customHeight="1" s="215">
      <c r="A72" s="28" t="n"/>
      <c r="B72" s="41" t="inlineStr">
        <is>
          <t>HBAN</t>
        </is>
      </c>
      <c r="C72" s="41" t="inlineStr">
        <is>
          <t>Huntington Bancshares</t>
        </is>
      </c>
      <c r="D72" s="42" t="inlineStr">
        <is>
          <t>Banks - Regional</t>
        </is>
      </c>
      <c r="E72" s="43" t="n">
        <v>1</v>
      </c>
      <c r="F72" s="43" t="inlineStr">
        <is>
          <t xml:space="preserve">- </t>
        </is>
      </c>
      <c r="G72" s="43" t="inlineStr">
        <is>
          <t xml:space="preserve">- </t>
        </is>
      </c>
      <c r="H72" s="44" t="n">
        <v>0</v>
      </c>
      <c r="I72" s="44" t="n">
        <v>0.417</v>
      </c>
      <c r="J72" s="44" t="n">
        <v>0.302</v>
      </c>
      <c r="K72" s="44" t="n">
        <v>0.313</v>
      </c>
      <c r="L72" s="44" t="n">
        <v>1.037</v>
      </c>
    </row>
    <row r="73" hidden="1" ht="14" customHeight="1" s="215">
      <c r="A73" s="28" t="n"/>
      <c r="B73" s="41" t="inlineStr">
        <is>
          <t>ORCL</t>
        </is>
      </c>
      <c r="C73" s="41" t="inlineStr">
        <is>
          <t>Oracle</t>
        </is>
      </c>
      <c r="D73" s="42" t="inlineStr">
        <is>
          <t>Software - Infrastructure</t>
        </is>
      </c>
      <c r="E73" s="43" t="n">
        <v>3.6</v>
      </c>
      <c r="F73" s="43" t="n">
        <v>2.1</v>
      </c>
      <c r="G73" s="43" t="n">
        <v>2.1</v>
      </c>
      <c r="H73" s="44" t="n">
        <v>0.798</v>
      </c>
      <c r="I73" s="44" t="n">
        <v>0.358</v>
      </c>
      <c r="J73" s="44" t="n">
        <v>0.271</v>
      </c>
      <c r="K73" s="44" t="n">
        <v>0.312</v>
      </c>
      <c r="L73" s="44" t="n">
        <v>1.153</v>
      </c>
    </row>
    <row r="74" hidden="1" ht="14" customHeight="1" s="215">
      <c r="A74" s="28" t="n"/>
      <c r="B74" s="41" t="inlineStr">
        <is>
          <t>PM</t>
        </is>
      </c>
      <c r="C74" s="41" t="inlineStr">
        <is>
          <t>Philip Morris Intl</t>
        </is>
      </c>
      <c r="D74" s="42" t="inlineStr">
        <is>
          <t>Tobacco</t>
        </is>
      </c>
      <c r="E74" s="43" t="inlineStr">
        <is>
          <t xml:space="preserve">- </t>
        </is>
      </c>
      <c r="F74" s="43" t="n">
        <v>1.1</v>
      </c>
      <c r="G74" s="43" t="n">
        <v>0.6</v>
      </c>
      <c r="H74" s="44" t="n">
        <v>0.647</v>
      </c>
      <c r="I74" s="44" t="n">
        <v>0.351</v>
      </c>
      <c r="J74" s="44" t="n">
        <v>0.242</v>
      </c>
      <c r="K74" s="44" t="n">
        <v>0.312</v>
      </c>
      <c r="L74" s="44" t="n">
        <v>1.291</v>
      </c>
    </row>
    <row r="75" hidden="1" ht="14" customHeight="1" s="215">
      <c r="A75" s="28" t="n"/>
      <c r="B75" s="41" t="inlineStr">
        <is>
          <t>XLNX</t>
        </is>
      </c>
      <c r="C75" s="41" t="inlineStr">
        <is>
          <t>Xilinx</t>
        </is>
      </c>
      <c r="D75" s="42" t="inlineStr">
        <is>
          <t>Semiconductors</t>
        </is>
      </c>
      <c r="E75" s="43" t="n">
        <v>0.5</v>
      </c>
      <c r="F75" s="43" t="n">
        <v>6.1</v>
      </c>
      <c r="G75" s="43" t="n">
        <v>5.4</v>
      </c>
      <c r="H75" s="44" t="n">
        <v>0.663</v>
      </c>
      <c r="I75" s="44" t="n">
        <v>0.267</v>
      </c>
      <c r="J75" s="44" t="n">
        <v>0.27</v>
      </c>
      <c r="K75" s="44" t="n">
        <v>0.312</v>
      </c>
      <c r="L75" s="44" t="n">
        <v>1.153</v>
      </c>
    </row>
    <row r="76" hidden="1" ht="14" customHeight="1" s="215">
      <c r="A76" s="28" t="n"/>
      <c r="B76" s="41" t="inlineStr">
        <is>
          <t>DRE</t>
        </is>
      </c>
      <c r="C76" s="41" t="inlineStr">
        <is>
          <t>Duke Realty</t>
        </is>
      </c>
      <c r="D76" s="42" t="inlineStr">
        <is>
          <t>REIT - Industrial</t>
        </is>
      </c>
      <c r="E76" s="43" t="n">
        <v>0.6</v>
      </c>
      <c r="F76" s="43" t="n">
        <v>4.2</v>
      </c>
      <c r="G76" s="43" t="n">
        <v>4.2</v>
      </c>
      <c r="H76" s="44" t="n">
        <v>0.676</v>
      </c>
      <c r="I76" s="44" t="n">
        <v>0.259</v>
      </c>
      <c r="J76" s="44" t="n">
        <v>0.444</v>
      </c>
      <c r="K76" s="44" t="n">
        <v>0.306</v>
      </c>
      <c r="L76" s="44" t="n">
        <v>0.6889999999999999</v>
      </c>
    </row>
    <row r="77" hidden="1" ht="14" customHeight="1" s="215">
      <c r="A77" s="28" t="n"/>
      <c r="B77" s="41" t="inlineStr">
        <is>
          <t>ABMD</t>
        </is>
      </c>
      <c r="C77" s="41" t="inlineStr">
        <is>
          <t>Abiomed</t>
        </is>
      </c>
      <c r="D77" s="42" t="inlineStr">
        <is>
          <t>Medical Devices</t>
        </is>
      </c>
      <c r="E77" s="43" t="n">
        <v>0</v>
      </c>
      <c r="F77" s="43" t="n">
        <v>5</v>
      </c>
      <c r="G77" s="43" t="n">
        <v>4.2</v>
      </c>
      <c r="H77" s="44" t="n">
        <v>0.826</v>
      </c>
      <c r="I77" s="44" t="n">
        <v>0.305</v>
      </c>
      <c r="J77" s="44" t="n">
        <v>0.291</v>
      </c>
      <c r="K77" s="44" t="n">
        <v>0.305</v>
      </c>
      <c r="L77" s="44" t="n">
        <v>1.05</v>
      </c>
    </row>
    <row r="78" hidden="1" ht="14" customHeight="1" s="215">
      <c r="A78" s="28" t="n"/>
      <c r="B78" s="41" t="inlineStr">
        <is>
          <t>SLG</t>
        </is>
      </c>
      <c r="C78" s="41" t="inlineStr">
        <is>
          <t>SL Green Realty</t>
        </is>
      </c>
      <c r="D78" s="42" t="inlineStr">
        <is>
          <t>REIT - Office</t>
        </is>
      </c>
      <c r="E78" s="43" t="n">
        <v>1</v>
      </c>
      <c r="F78" s="43" t="n">
        <v>3.7</v>
      </c>
      <c r="G78" s="43" t="n">
        <v>3.7</v>
      </c>
      <c r="H78" s="44" t="n">
        <v>0.63</v>
      </c>
      <c r="I78" s="44" t="n">
        <v>0.323</v>
      </c>
      <c r="J78" s="44" t="n">
        <v>0.228</v>
      </c>
      <c r="K78" s="44" t="n">
        <v>0.305</v>
      </c>
      <c r="L78" s="44" t="n">
        <v>1.339</v>
      </c>
    </row>
    <row r="79" hidden="1" ht="14" customHeight="1" s="215">
      <c r="A79" s="28" t="n"/>
      <c r="B79" s="41" t="inlineStr">
        <is>
          <t>PRU</t>
        </is>
      </c>
      <c r="C79" s="41" t="inlineStr">
        <is>
          <t>Prudential Financial</t>
        </is>
      </c>
      <c r="D79" s="42" t="inlineStr">
        <is>
          <t>Insurance - Life</t>
        </is>
      </c>
      <c r="E79" s="43" t="n">
        <v>0.4</v>
      </c>
      <c r="F79" s="43" t="inlineStr">
        <is>
          <t xml:space="preserve">- </t>
        </is>
      </c>
      <c r="G79" s="43" t="inlineStr">
        <is>
          <t xml:space="preserve">- </t>
        </is>
      </c>
      <c r="H79" s="44" t="n">
        <v>0</v>
      </c>
      <c r="I79" s="44" t="n">
        <v>0</v>
      </c>
      <c r="J79" s="44" t="n">
        <v>0.065</v>
      </c>
      <c r="K79" s="44" t="n">
        <v>0.304</v>
      </c>
      <c r="L79" s="44" t="n">
        <v>4.702</v>
      </c>
    </row>
    <row r="80" hidden="1" ht="14" customHeight="1" s="215">
      <c r="A80" s="28" t="n"/>
      <c r="B80" s="41" t="inlineStr">
        <is>
          <t>CMA</t>
        </is>
      </c>
      <c r="C80" s="41" t="inlineStr">
        <is>
          <t>Comerica</t>
        </is>
      </c>
      <c r="D80" s="42" t="inlineStr">
        <is>
          <t>Banks - Regional</t>
        </is>
      </c>
      <c r="E80" s="43" t="n">
        <v>1</v>
      </c>
      <c r="F80" s="43" t="inlineStr">
        <is>
          <t xml:space="preserve">- </t>
        </is>
      </c>
      <c r="G80" s="43" t="inlineStr">
        <is>
          <t xml:space="preserve">- </t>
        </is>
      </c>
      <c r="H80" s="44" t="n">
        <v>0</v>
      </c>
      <c r="I80" s="44" t="n">
        <v>0.479</v>
      </c>
      <c r="J80" s="44" t="n">
        <v>0.358</v>
      </c>
      <c r="K80" s="44" t="n">
        <v>0.303</v>
      </c>
      <c r="L80" s="44" t="n">
        <v>0.848</v>
      </c>
    </row>
    <row r="81" hidden="1" ht="14" customHeight="1" s="215">
      <c r="A81" s="28" t="n"/>
      <c r="B81" s="41" t="inlineStr">
        <is>
          <t>MSFT</t>
        </is>
      </c>
      <c r="C81" s="41" t="inlineStr">
        <is>
          <t>Microsoft</t>
        </is>
      </c>
      <c r="D81" s="42" t="inlineStr">
        <is>
          <t>Software - Infrastructure</t>
        </is>
      </c>
      <c r="E81" s="43" t="n">
        <v>0.7</v>
      </c>
      <c r="F81" s="43" t="n">
        <v>2.8</v>
      </c>
      <c r="G81" s="43" t="n">
        <v>2.8</v>
      </c>
      <c r="H81" s="44" t="n">
        <v>0.677</v>
      </c>
      <c r="I81" s="44" t="n">
        <v>0.368</v>
      </c>
      <c r="J81" s="44" t="n">
        <v>0.331</v>
      </c>
      <c r="K81" s="44" t="n">
        <v>0.302</v>
      </c>
      <c r="L81" s="44" t="n">
        <v>0.913</v>
      </c>
    </row>
    <row r="82" hidden="1" ht="14" customHeight="1" s="215">
      <c r="A82" s="28" t="n"/>
      <c r="B82" s="41" t="inlineStr">
        <is>
          <t>BKNG</t>
        </is>
      </c>
      <c r="C82" s="41" t="inlineStr">
        <is>
          <t>Booking Holdings</t>
        </is>
      </c>
      <c r="D82" s="42" t="inlineStr">
        <is>
          <t>Travel Services</t>
        </is>
      </c>
      <c r="E82" s="43" t="n">
        <v>1.5</v>
      </c>
      <c r="F82" s="43" t="n">
        <v>1.8</v>
      </c>
      <c r="G82" s="43" t="n">
        <v>1.8</v>
      </c>
      <c r="H82" s="44" t="n">
        <v>0</v>
      </c>
      <c r="I82" s="44" t="n">
        <v>0.356</v>
      </c>
      <c r="J82" s="44" t="n">
        <v>0.323</v>
      </c>
      <c r="K82" s="44" t="n">
        <v>0.301</v>
      </c>
      <c r="L82" s="44" t="n">
        <v>0.93</v>
      </c>
    </row>
    <row r="83" hidden="1" ht="14" customHeight="1" s="215">
      <c r="A83" s="28" t="n"/>
      <c r="B83" s="41" t="inlineStr">
        <is>
          <t>ANSS</t>
        </is>
      </c>
      <c r="C83" s="41" t="inlineStr">
        <is>
          <t>Ansys</t>
        </is>
      </c>
      <c r="D83" s="42" t="inlineStr">
        <is>
          <t>Software - Application</t>
        </is>
      </c>
      <c r="E83" s="43" t="n">
        <v>0.2</v>
      </c>
      <c r="F83" s="43" t="n">
        <v>2.2</v>
      </c>
      <c r="G83" s="43" t="n">
        <v>2.2</v>
      </c>
      <c r="H83" s="44" t="n">
        <v>0.89</v>
      </c>
      <c r="I83" s="44" t="n">
        <v>0.34</v>
      </c>
      <c r="J83" s="44" t="n">
        <v>0.298</v>
      </c>
      <c r="K83" s="44" t="n">
        <v>0.299</v>
      </c>
      <c r="L83" s="44" t="n">
        <v>1.003</v>
      </c>
    </row>
    <row r="84" hidden="1" ht="14" customHeight="1" s="215">
      <c r="A84" s="28" t="n"/>
      <c r="B84" s="41" t="inlineStr">
        <is>
          <t>FB</t>
        </is>
      </c>
      <c r="C84" s="41" t="inlineStr">
        <is>
          <t>Facebook</t>
        </is>
      </c>
      <c r="D84" s="42" t="inlineStr">
        <is>
          <t>Internet Content &amp; Information</t>
        </is>
      </c>
      <c r="E84" s="43" t="n">
        <v>0.1</v>
      </c>
      <c r="F84" s="43" t="n">
        <v>4.4</v>
      </c>
      <c r="G84" s="43" t="n">
        <v>4.4</v>
      </c>
      <c r="H84" s="44" t="n">
        <v>0.819</v>
      </c>
      <c r="I84" s="44" t="n">
        <v>0.34</v>
      </c>
      <c r="J84" s="44" t="n">
        <v>0.262</v>
      </c>
      <c r="K84" s="44" t="n">
        <v>0.299</v>
      </c>
      <c r="L84" s="44" t="n">
        <v>1.141</v>
      </c>
    </row>
    <row r="85" hidden="1" ht="14" customHeight="1" s="215">
      <c r="A85" s="28" t="n"/>
      <c r="B85" s="41" t="inlineStr">
        <is>
          <t>INTU</t>
        </is>
      </c>
      <c r="C85" s="41" t="inlineStr">
        <is>
          <t>Intuit</t>
        </is>
      </c>
      <c r="D85" s="42" t="inlineStr">
        <is>
          <t>Software - Application</t>
        </is>
      </c>
      <c r="E85" s="43" t="n">
        <v>0.2</v>
      </c>
      <c r="F85" s="43" t="n">
        <v>1.7</v>
      </c>
      <c r="G85" s="43" t="n">
        <v>1.7</v>
      </c>
      <c r="H85" s="44" t="n">
        <v>0.821</v>
      </c>
      <c r="I85" s="44" t="n">
        <v>0.264</v>
      </c>
      <c r="J85" s="44" t="n">
        <v>0.226</v>
      </c>
      <c r="K85" s="44" t="n">
        <v>0.299</v>
      </c>
      <c r="L85" s="44" t="n">
        <v>1.325</v>
      </c>
    </row>
    <row r="86" hidden="1" ht="14" customHeight="1" s="215">
      <c r="A86" s="28" t="n"/>
      <c r="B86" s="41" t="inlineStr">
        <is>
          <t>WELL</t>
        </is>
      </c>
      <c r="C86" s="41" t="inlineStr">
        <is>
          <t>Welltower</t>
        </is>
      </c>
      <c r="D86" s="42" t="inlineStr">
        <is>
          <t>REIT - Healthcare Facilities</t>
        </is>
      </c>
      <c r="E86" s="43" t="n">
        <v>1</v>
      </c>
      <c r="F86" s="43" t="n">
        <v>1.9</v>
      </c>
      <c r="G86" s="43" t="n">
        <v>1.9</v>
      </c>
      <c r="H86" s="44" t="n">
        <v>0.364</v>
      </c>
      <c r="I86" s="44" t="n">
        <v>0.134</v>
      </c>
      <c r="J86" s="44" t="n">
        <v>0.242</v>
      </c>
      <c r="K86" s="44" t="n">
        <v>0.299</v>
      </c>
      <c r="L86" s="44" t="n">
        <v>1.234</v>
      </c>
    </row>
    <row r="87" hidden="1" ht="14" customHeight="1" s="215">
      <c r="A87" s="28" t="n"/>
      <c r="B87" s="41" t="inlineStr">
        <is>
          <t>INCY</t>
        </is>
      </c>
      <c r="C87" s="41" t="inlineStr">
        <is>
          <t>Incyte</t>
        </is>
      </c>
      <c r="D87" s="42" t="inlineStr">
        <is>
          <t>Biotechnology</t>
        </is>
      </c>
      <c r="E87" s="43" t="n">
        <v>0</v>
      </c>
      <c r="F87" s="43" t="n">
        <v>4.8</v>
      </c>
      <c r="G87" s="43" t="n">
        <v>4.8</v>
      </c>
      <c r="H87" s="44" t="n">
        <v>0.947</v>
      </c>
      <c r="I87" s="44" t="n">
        <v>0.196</v>
      </c>
      <c r="J87" s="44" t="n">
        <v>0.207</v>
      </c>
      <c r="K87" s="44" t="n">
        <v>0.293</v>
      </c>
      <c r="L87" s="44" t="n">
        <v>1.416</v>
      </c>
    </row>
    <row r="88" hidden="1" ht="14" customHeight="1" s="215">
      <c r="A88" s="28" t="n"/>
      <c r="B88" s="41" t="inlineStr">
        <is>
          <t>GL</t>
        </is>
      </c>
      <c r="C88" s="41" t="inlineStr">
        <is>
          <t>Globe Life</t>
        </is>
      </c>
      <c r="D88" s="42" t="inlineStr">
        <is>
          <t>Insurance - Life</t>
        </is>
      </c>
      <c r="E88" s="43" t="n">
        <v>0.2</v>
      </c>
      <c r="F88" s="43" t="inlineStr">
        <is>
          <t xml:space="preserve">- </t>
        </is>
      </c>
      <c r="G88" s="43" t="inlineStr">
        <is>
          <t xml:space="preserve">- </t>
        </is>
      </c>
      <c r="H88" s="44" t="n">
        <v>0</v>
      </c>
      <c r="I88" s="44" t="n">
        <v>0</v>
      </c>
      <c r="J88" s="44" t="n">
        <v>0.168</v>
      </c>
      <c r="K88" s="44" t="n">
        <v>0.291</v>
      </c>
      <c r="L88" s="44" t="n">
        <v>1.732</v>
      </c>
    </row>
    <row r="89" hidden="1" ht="14" customHeight="1" s="215">
      <c r="A89" s="28" t="n"/>
      <c r="B89" s="41" t="inlineStr">
        <is>
          <t>CSCO</t>
        </is>
      </c>
      <c r="C89" s="41" t="inlineStr">
        <is>
          <t>Cisco Systems</t>
        </is>
      </c>
      <c r="D89" s="42" t="inlineStr">
        <is>
          <t>Communication Equipment</t>
        </is>
      </c>
      <c r="E89" s="43" t="n">
        <v>0.5</v>
      </c>
      <c r="F89" s="43" t="n">
        <v>1.8</v>
      </c>
      <c r="G89" s="43" t="n">
        <v>1.8</v>
      </c>
      <c r="H89" s="44" t="n">
        <v>0.64</v>
      </c>
      <c r="I89" s="44" t="n">
        <v>0.28</v>
      </c>
      <c r="J89" s="44" t="n">
        <v>0.214</v>
      </c>
      <c r="K89" s="44" t="n">
        <v>0.288</v>
      </c>
      <c r="L89" s="44" t="n">
        <v>1.342</v>
      </c>
    </row>
    <row r="90" hidden="1" ht="14" customHeight="1" s="215">
      <c r="A90" s="28" t="n"/>
      <c r="B90" s="41" t="inlineStr">
        <is>
          <t>QCOM</t>
        </is>
      </c>
      <c r="C90" s="41" t="inlineStr">
        <is>
          <t>Qualcomm</t>
        </is>
      </c>
      <c r="D90" s="42" t="inlineStr">
        <is>
          <t>Semiconductors</t>
        </is>
      </c>
      <c r="E90" s="43" t="n">
        <v>3.5</v>
      </c>
      <c r="F90" s="43" t="n">
        <v>1.8</v>
      </c>
      <c r="G90" s="43" t="n">
        <v>1.6</v>
      </c>
      <c r="H90" s="44" t="n">
        <v>0.653</v>
      </c>
      <c r="I90" s="44" t="n">
        <v>0.327</v>
      </c>
      <c r="J90" s="44" t="n">
        <v>0.174</v>
      </c>
      <c r="K90" s="44" t="n">
        <v>0.288</v>
      </c>
      <c r="L90" s="44" t="n">
        <v>1.659</v>
      </c>
    </row>
    <row r="91" hidden="1" ht="28" customHeight="1" s="215">
      <c r="A91" s="28" t="n"/>
      <c r="B91" s="41" t="inlineStr">
        <is>
          <t>TTWO</t>
        </is>
      </c>
      <c r="C91" s="41" t="inlineStr">
        <is>
          <t>Take-Two Interactive</t>
        </is>
      </c>
      <c r="D91" s="42" t="inlineStr">
        <is>
          <t>Electronic Gaming &amp; Multimedia</t>
        </is>
      </c>
      <c r="E91" s="43" t="n">
        <v>0.1</v>
      </c>
      <c r="F91" s="43" t="n">
        <v>1.6</v>
      </c>
      <c r="G91" s="43" t="n">
        <v>1.6</v>
      </c>
      <c r="H91" s="44" t="n">
        <v>0.51</v>
      </c>
      <c r="I91" s="44" t="n">
        <v>0.127</v>
      </c>
      <c r="J91" s="44" t="n">
        <v>0.118</v>
      </c>
      <c r="K91" s="44" t="n">
        <v>0.287</v>
      </c>
      <c r="L91" s="44" t="n">
        <v>2.429</v>
      </c>
    </row>
    <row r="92" hidden="1" ht="28" customHeight="1" s="215">
      <c r="A92" s="28" t="n"/>
      <c r="B92" s="41" t="inlineStr">
        <is>
          <t>PAYX</t>
        </is>
      </c>
      <c r="C92" s="41" t="inlineStr">
        <is>
          <t>Paychex</t>
        </is>
      </c>
      <c r="D92" s="42" t="inlineStr">
        <is>
          <t>Staffing &amp; Employment Services</t>
        </is>
      </c>
      <c r="E92" s="43" t="n">
        <v>0.4</v>
      </c>
      <c r="F92" s="43" t="n">
        <v>1.2</v>
      </c>
      <c r="G92" s="43" t="n">
        <v>1.2</v>
      </c>
      <c r="H92" s="44" t="n">
        <v>0.681</v>
      </c>
      <c r="I92" s="44" t="n">
        <v>0.359</v>
      </c>
      <c r="J92" s="44" t="n">
        <v>0.27</v>
      </c>
      <c r="K92" s="44" t="n">
        <v>0.286</v>
      </c>
      <c r="L92" s="44" t="n">
        <v>1.06</v>
      </c>
    </row>
    <row r="93" hidden="1" ht="14" customHeight="1" s="215">
      <c r="A93" s="28" t="n"/>
      <c r="B93" s="41" t="inlineStr">
        <is>
          <t>MCHP</t>
        </is>
      </c>
      <c r="C93" s="41" t="inlineStr">
        <is>
          <t>Microchip Technology</t>
        </is>
      </c>
      <c r="D93" s="42" t="inlineStr">
        <is>
          <t>Semiconductors</t>
        </is>
      </c>
      <c r="E93" s="43" t="n">
        <v>1.7</v>
      </c>
      <c r="F93" s="43" t="n">
        <v>0.9</v>
      </c>
      <c r="G93" s="43" t="n">
        <v>0.6</v>
      </c>
      <c r="H93" s="44" t="n">
        <v>0.616</v>
      </c>
      <c r="I93" s="44" t="n">
        <v>0.147</v>
      </c>
      <c r="J93" s="44" t="n">
        <v>0.122</v>
      </c>
      <c r="K93" s="44" t="n">
        <v>0.281</v>
      </c>
      <c r="L93" s="44" t="n">
        <v>2.295</v>
      </c>
    </row>
    <row r="94" hidden="1" ht="14" customHeight="1" s="215">
      <c r="A94" s="28" t="n"/>
      <c r="B94" s="41" t="inlineStr">
        <is>
          <t>VRSK</t>
        </is>
      </c>
      <c r="C94" s="41" t="inlineStr">
        <is>
          <t>Verisk Analytics</t>
        </is>
      </c>
      <c r="D94" s="42" t="inlineStr">
        <is>
          <t>Consulting Services</t>
        </is>
      </c>
      <c r="E94" s="43" t="n">
        <v>1.5</v>
      </c>
      <c r="F94" s="43" t="n">
        <v>0.5</v>
      </c>
      <c r="G94" s="43" t="n">
        <v>0.5</v>
      </c>
      <c r="H94" s="44" t="n">
        <v>0.625</v>
      </c>
      <c r="I94" s="44" t="n">
        <v>0.267</v>
      </c>
      <c r="J94" s="44" t="n">
        <v>0.172</v>
      </c>
      <c r="K94" s="44" t="n">
        <v>0.281</v>
      </c>
      <c r="L94" s="44" t="n">
        <v>1.634</v>
      </c>
    </row>
    <row r="95" hidden="1" ht="14" customHeight="1" s="215">
      <c r="A95" s="28" t="n"/>
      <c r="B95" s="41" t="inlineStr">
        <is>
          <t>CDNS</t>
        </is>
      </c>
      <c r="C95" s="41" t="inlineStr">
        <is>
          <t>Cadence Design Systems</t>
        </is>
      </c>
      <c r="D95" s="42" t="inlineStr">
        <is>
          <t>Software - Application</t>
        </is>
      </c>
      <c r="E95" s="43" t="n">
        <v>0.2</v>
      </c>
      <c r="F95" s="43" t="n">
        <v>1.7</v>
      </c>
      <c r="G95" s="43" t="n">
        <v>1.7</v>
      </c>
      <c r="H95" s="44" t="n">
        <v>0.886</v>
      </c>
      <c r="I95" s="44" t="n">
        <v>0.214</v>
      </c>
      <c r="J95" s="44" t="n">
        <v>0.426</v>
      </c>
      <c r="K95" s="44" t="n">
        <v>0.28</v>
      </c>
      <c r="L95" s="44" t="n">
        <v>0.658</v>
      </c>
    </row>
    <row r="96" hidden="1" ht="14" customHeight="1" s="215">
      <c r="A96" s="28" t="n"/>
      <c r="B96" s="41" t="inlineStr">
        <is>
          <t>DISCA</t>
        </is>
      </c>
      <c r="C96" s="41" t="inlineStr">
        <is>
          <t>Discovery</t>
        </is>
      </c>
      <c r="D96" s="42" t="inlineStr">
        <is>
          <t>Entertainment</t>
        </is>
      </c>
      <c r="E96" s="43" t="n">
        <v>1.6</v>
      </c>
      <c r="F96" s="43" t="n">
        <v>1.6</v>
      </c>
      <c r="G96" s="43" t="n">
        <v>1.6</v>
      </c>
      <c r="H96" s="44" t="n">
        <v>0.657</v>
      </c>
      <c r="I96" s="44" t="n">
        <v>0.286</v>
      </c>
      <c r="J96" s="44" t="n">
        <v>0.186</v>
      </c>
      <c r="K96" s="44" t="n">
        <v>0.28</v>
      </c>
      <c r="L96" s="44" t="n">
        <v>1.505</v>
      </c>
    </row>
    <row r="97" hidden="1" ht="14" customHeight="1" s="215">
      <c r="A97" s="28" t="n"/>
      <c r="B97" s="41" t="inlineStr">
        <is>
          <t>DISCK</t>
        </is>
      </c>
      <c r="C97" s="41" t="inlineStr">
        <is>
          <t>Discovery</t>
        </is>
      </c>
      <c r="D97" s="42" t="inlineStr">
        <is>
          <t>Entertainment</t>
        </is>
      </c>
      <c r="E97" s="43" t="n">
        <v>1.6</v>
      </c>
      <c r="F97" s="43" t="n">
        <v>1.6</v>
      </c>
      <c r="G97" s="43" t="n">
        <v>1.6</v>
      </c>
      <c r="H97" s="44" t="n">
        <v>0.657</v>
      </c>
      <c r="I97" s="44" t="n">
        <v>0.286</v>
      </c>
      <c r="J97" s="44" t="n">
        <v>0.186</v>
      </c>
      <c r="K97" s="44" t="n">
        <v>0.28</v>
      </c>
      <c r="L97" s="44" t="n">
        <v>1.505</v>
      </c>
    </row>
    <row r="98" hidden="1" ht="14" customHeight="1" s="215">
      <c r="A98" s="28" t="n"/>
      <c r="B98" s="41" t="inlineStr">
        <is>
          <t>BMY</t>
        </is>
      </c>
      <c r="C98" s="41" t="inlineStr">
        <is>
          <t>Bristol-Myers Squibb</t>
        </is>
      </c>
      <c r="D98" s="42" t="inlineStr">
        <is>
          <t>Drug Manufacturers - General</t>
        </is>
      </c>
      <c r="E98" s="43" t="n">
        <v>0.9</v>
      </c>
      <c r="F98" s="43" t="n">
        <v>1.6</v>
      </c>
      <c r="G98" s="43" t="n">
        <v>1.4</v>
      </c>
      <c r="H98" s="44" t="n">
        <v>0.6909999999999999</v>
      </c>
      <c r="I98" s="44" t="n">
        <v>0.226</v>
      </c>
      <c r="J98" s="44" t="n">
        <v>0.13</v>
      </c>
      <c r="K98" s="44" t="n">
        <v>0.277</v>
      </c>
      <c r="L98" s="44" t="n">
        <v>2.134</v>
      </c>
    </row>
    <row r="99" hidden="1" ht="14" customHeight="1" s="215">
      <c r="A99" s="28" t="n"/>
      <c r="B99" s="41" t="inlineStr">
        <is>
          <t>MCD</t>
        </is>
      </c>
      <c r="C99" s="41" t="inlineStr">
        <is>
          <t>McDonald's</t>
        </is>
      </c>
      <c r="D99" s="42" t="inlineStr">
        <is>
          <t>Restaurants</t>
        </is>
      </c>
      <c r="E99" s="43" t="inlineStr">
        <is>
          <t xml:space="preserve">- </t>
        </is>
      </c>
      <c r="F99" s="43" t="n">
        <v>1</v>
      </c>
      <c r="G99" s="43" t="n">
        <v>1</v>
      </c>
      <c r="H99" s="44" t="n">
        <v>0.528</v>
      </c>
      <c r="I99" s="44" t="n">
        <v>0.422</v>
      </c>
      <c r="J99" s="44" t="n">
        <v>0.286</v>
      </c>
      <c r="K99" s="44" t="n">
        <v>0.272</v>
      </c>
      <c r="L99" s="44" t="n">
        <v>0.949</v>
      </c>
    </row>
    <row r="100" hidden="1" ht="14" customHeight="1" s="215">
      <c r="A100" s="28" t="n"/>
      <c r="B100" s="41" t="inlineStr">
        <is>
          <t>CSX</t>
        </is>
      </c>
      <c r="C100" s="41" t="inlineStr">
        <is>
          <t>CSX</t>
        </is>
      </c>
      <c r="D100" s="42" t="inlineStr">
        <is>
          <t>Railroads</t>
        </is>
      </c>
      <c r="E100" s="43" t="n">
        <v>1.4</v>
      </c>
      <c r="F100" s="43" t="n">
        <v>1.5</v>
      </c>
      <c r="G100" s="43" t="n">
        <v>1.4</v>
      </c>
      <c r="H100" s="44" t="n">
        <v>0.408</v>
      </c>
      <c r="I100" s="44" t="n">
        <v>0.408</v>
      </c>
      <c r="J100" s="44" t="n">
        <v>0.279</v>
      </c>
      <c r="K100" s="44" t="n">
        <v>0.267</v>
      </c>
      <c r="L100" s="44" t="n">
        <v>0.958</v>
      </c>
    </row>
    <row r="101" hidden="1" ht="28" customHeight="1" s="215">
      <c r="A101" s="28" t="n"/>
      <c r="B101" s="41" t="inlineStr">
        <is>
          <t>ATVI</t>
        </is>
      </c>
      <c r="C101" s="41" t="inlineStr">
        <is>
          <t>Activision Blizzard</t>
        </is>
      </c>
      <c r="D101" s="42" t="inlineStr">
        <is>
          <t>Electronic Gaming &amp; Multimedia</t>
        </is>
      </c>
      <c r="E101" s="43" t="n">
        <v>0.2</v>
      </c>
      <c r="F101" s="43" t="n">
        <v>2.5</v>
      </c>
      <c r="G101" s="43" t="n">
        <v>2.5</v>
      </c>
      <c r="H101" s="44" t="n">
        <v>0.677</v>
      </c>
      <c r="I101" s="44" t="n">
        <v>0.267</v>
      </c>
      <c r="J101" s="44" t="n">
        <v>0.232</v>
      </c>
      <c r="K101" s="44" t="n">
        <v>0.265</v>
      </c>
      <c r="L101" s="44" t="n">
        <v>1.143</v>
      </c>
    </row>
    <row r="102" hidden="1" ht="28" customHeight="1" s="215">
      <c r="A102" s="28" t="n"/>
      <c r="B102" s="41" t="inlineStr">
        <is>
          <t>ISRG</t>
        </is>
      </c>
      <c r="C102" s="41" t="inlineStr">
        <is>
          <t>Intuitive Surgical</t>
        </is>
      </c>
      <c r="D102" s="42" t="inlineStr">
        <is>
          <t>Medical Instruments &amp; Supplies</t>
        </is>
      </c>
      <c r="E102" s="43" t="n">
        <v>0</v>
      </c>
      <c r="F102" s="43" t="n">
        <v>4.5</v>
      </c>
      <c r="G102" s="43" t="n">
        <v>4</v>
      </c>
      <c r="H102" s="44" t="n">
        <v>0.695</v>
      </c>
      <c r="I102" s="44" t="n">
        <v>0.307</v>
      </c>
      <c r="J102" s="44" t="n">
        <v>0.308</v>
      </c>
      <c r="K102" s="44" t="n">
        <v>0.262</v>
      </c>
      <c r="L102" s="44" t="n">
        <v>0.852</v>
      </c>
    </row>
    <row r="103" hidden="1" ht="14" customHeight="1" s="215">
      <c r="A103" s="28" t="n"/>
      <c r="B103" s="41" t="inlineStr">
        <is>
          <t>ROP</t>
        </is>
      </c>
      <c r="C103" s="41" t="inlineStr">
        <is>
          <t>Roper Technologies</t>
        </is>
      </c>
      <c r="D103" s="42" t="inlineStr">
        <is>
          <t>Specialty Industrial Machinery</t>
        </is>
      </c>
      <c r="E103" s="43" t="n">
        <v>0.6</v>
      </c>
      <c r="F103" s="43" t="n">
        <v>0.8</v>
      </c>
      <c r="G103" s="43" t="n">
        <v>0.8</v>
      </c>
      <c r="H103" s="44" t="n">
        <v>0.639</v>
      </c>
      <c r="I103" s="44" t="n">
        <v>0.279</v>
      </c>
      <c r="J103" s="44" t="n">
        <v>0.33</v>
      </c>
      <c r="K103" s="44" t="n">
        <v>0.261</v>
      </c>
      <c r="L103" s="44" t="n">
        <v>0.792</v>
      </c>
    </row>
    <row r="104" hidden="1" ht="14" customHeight="1" s="215">
      <c r="A104" s="28" t="n"/>
      <c r="B104" s="41" t="inlineStr">
        <is>
          <t>FFIV</t>
        </is>
      </c>
      <c r="C104" s="41" t="inlineStr">
        <is>
          <t>F5 Networks</t>
        </is>
      </c>
      <c r="D104" s="42" t="inlineStr">
        <is>
          <t>Software - Infrastructure</t>
        </is>
      </c>
      <c r="E104" s="43" t="n">
        <v>0.2</v>
      </c>
      <c r="F104" s="43" t="n">
        <v>1.5</v>
      </c>
      <c r="G104" s="43" t="n">
        <v>1.5</v>
      </c>
      <c r="H104" s="44" t="n">
        <v>0.842</v>
      </c>
      <c r="I104" s="44" t="n">
        <v>0.216</v>
      </c>
      <c r="J104" s="44" t="n">
        <v>0.174</v>
      </c>
      <c r="K104" s="44" t="n">
        <v>0.259</v>
      </c>
      <c r="L104" s="44" t="n">
        <v>1.491</v>
      </c>
    </row>
    <row r="105" hidden="1" ht="14" customHeight="1" s="215">
      <c r="A105" s="28" t="n"/>
      <c r="B105" s="41" t="inlineStr">
        <is>
          <t>NOW</t>
        </is>
      </c>
      <c r="C105" s="41" t="inlineStr">
        <is>
          <t>ServiceNow</t>
        </is>
      </c>
      <c r="D105" s="42" t="inlineStr">
        <is>
          <t>Software - Application</t>
        </is>
      </c>
      <c r="E105" s="43" t="n">
        <v>0.5</v>
      </c>
      <c r="F105" s="43" t="n">
        <v>1</v>
      </c>
      <c r="G105" s="43" t="n">
        <v>1</v>
      </c>
      <c r="H105" s="44" t="n">
        <v>0.77</v>
      </c>
      <c r="I105" s="44" t="n">
        <v>0.013</v>
      </c>
      <c r="J105" s="44" t="n">
        <v>0.183</v>
      </c>
      <c r="K105" s="44" t="n">
        <v>0.258</v>
      </c>
      <c r="L105" s="44" t="n">
        <v>1.411</v>
      </c>
    </row>
    <row r="106" hidden="1" ht="14" customHeight="1" s="215">
      <c r="A106" s="28" t="n"/>
      <c r="B106" s="41" t="inlineStr">
        <is>
          <t>REGN</t>
        </is>
      </c>
      <c r="C106" s="41" t="inlineStr">
        <is>
          <t>Regeneron Pharmaceuticals</t>
        </is>
      </c>
      <c r="D106" s="42" t="inlineStr">
        <is>
          <t>Biotechnology</t>
        </is>
      </c>
      <c r="E106" s="43" t="n">
        <v>0.1</v>
      </c>
      <c r="F106" s="43" t="n">
        <v>3.7</v>
      </c>
      <c r="G106" s="43" t="n">
        <v>3</v>
      </c>
      <c r="H106" s="44" t="n">
        <v>0.901</v>
      </c>
      <c r="I106" s="44" t="n">
        <v>0.281</v>
      </c>
      <c r="J106" s="44" t="n">
        <v>0.269</v>
      </c>
      <c r="K106" s="44" t="n">
        <v>0.252</v>
      </c>
      <c r="L106" s="44" t="n">
        <v>0.9370000000000001</v>
      </c>
    </row>
    <row r="107" hidden="1" ht="14" customHeight="1" s="215">
      <c r="A107" s="28" t="n"/>
      <c r="B107" s="41" t="inlineStr">
        <is>
          <t>ALGN</t>
        </is>
      </c>
      <c r="C107" s="41" t="inlineStr">
        <is>
          <t>Align Tech</t>
        </is>
      </c>
      <c r="D107" s="42" t="inlineStr">
        <is>
          <t>Medical Devices</t>
        </is>
      </c>
      <c r="E107" s="43" t="n">
        <v>0</v>
      </c>
      <c r="F107" s="43" t="n">
        <v>1.7</v>
      </c>
      <c r="G107" s="43" t="n">
        <v>1.6</v>
      </c>
      <c r="H107" s="44" t="n">
        <v>0.725</v>
      </c>
      <c r="I107" s="44" t="n">
        <v>0.214</v>
      </c>
      <c r="J107" s="44" t="n">
        <v>0.185</v>
      </c>
      <c r="K107" s="44" t="n">
        <v>0.249</v>
      </c>
      <c r="L107" s="44" t="n">
        <v>1.351</v>
      </c>
    </row>
    <row r="108" hidden="1" ht="14" customHeight="1" s="215">
      <c r="A108" s="28" t="n"/>
      <c r="B108" s="41" t="inlineStr">
        <is>
          <t>SWKS</t>
        </is>
      </c>
      <c r="C108" s="41" t="inlineStr">
        <is>
          <t>Skyworks Solutions</t>
        </is>
      </c>
      <c r="D108" s="42" t="inlineStr">
        <is>
          <t>Semiconductors</t>
        </is>
      </c>
      <c r="E108" s="43" t="n">
        <v>0</v>
      </c>
      <c r="F108" s="43" t="n">
        <v>7</v>
      </c>
      <c r="G108" s="43" t="n">
        <v>5.2</v>
      </c>
      <c r="H108" s="44" t="n">
        <v>0.473</v>
      </c>
      <c r="I108" s="44" t="n">
        <v>0.277</v>
      </c>
      <c r="J108" s="44" t="n">
        <v>0.25</v>
      </c>
      <c r="K108" s="44" t="n">
        <v>0.248</v>
      </c>
      <c r="L108" s="44" t="n">
        <v>0.99</v>
      </c>
    </row>
    <row r="109" hidden="1" ht="14" customHeight="1" s="215">
      <c r="A109" s="28" t="n"/>
      <c r="B109" s="41" t="inlineStr">
        <is>
          <t>NLOK</t>
        </is>
      </c>
      <c r="C109" s="41" t="inlineStr">
        <is>
          <t>NortonLifeLock</t>
        </is>
      </c>
      <c r="D109" s="42" t="inlineStr">
        <is>
          <t>Software - Infrastructure</t>
        </is>
      </c>
      <c r="E109" s="43" t="n">
        <v>0.5</v>
      </c>
      <c r="F109" s="43" t="n">
        <v>2.9</v>
      </c>
      <c r="G109" s="43" t="n">
        <v>2.7</v>
      </c>
      <c r="H109" s="44" t="n">
        <v>0.778</v>
      </c>
      <c r="I109" s="44" t="n">
        <v>0.152</v>
      </c>
      <c r="J109" s="44" t="n">
        <v>0.704</v>
      </c>
      <c r="K109" s="44" t="n">
        <v>0.246</v>
      </c>
      <c r="L109" s="44" t="n">
        <v>0.35</v>
      </c>
    </row>
    <row r="110" hidden="1" ht="14" customHeight="1" s="215">
      <c r="A110" s="28" t="n"/>
      <c r="B110" s="41" t="inlineStr">
        <is>
          <t>AFL</t>
        </is>
      </c>
      <c r="C110" s="41" t="inlineStr">
        <is>
          <t>Aflac</t>
        </is>
      </c>
      <c r="D110" s="42" t="inlineStr">
        <is>
          <t>Insurance - Life</t>
        </is>
      </c>
      <c r="E110" s="43" t="n">
        <v>0.2</v>
      </c>
      <c r="F110" s="43" t="inlineStr">
        <is>
          <t xml:space="preserve">- </t>
        </is>
      </c>
      <c r="G110" s="43" t="inlineStr">
        <is>
          <t xml:space="preserve">- </t>
        </is>
      </c>
      <c r="H110" s="44" t="n">
        <v>0</v>
      </c>
      <c r="I110" s="44" t="n">
        <v>0</v>
      </c>
      <c r="J110" s="44" t="n">
        <v>0.149</v>
      </c>
      <c r="K110" s="44" t="n">
        <v>0.245</v>
      </c>
      <c r="L110" s="44" t="n">
        <v>1.651</v>
      </c>
    </row>
    <row r="111" hidden="1" ht="14" customHeight="1" s="215">
      <c r="A111" s="28" t="n"/>
      <c r="B111" s="41" t="inlineStr">
        <is>
          <t>JNJ</t>
        </is>
      </c>
      <c r="C111" s="41" t="inlineStr">
        <is>
          <t>Johnson &amp; Johnson</t>
        </is>
      </c>
      <c r="D111" s="42" t="inlineStr">
        <is>
          <t>Drug Manufacturers - General</t>
        </is>
      </c>
      <c r="E111" s="43" t="n">
        <v>0.5</v>
      </c>
      <c r="F111" s="43" t="n">
        <v>1.3</v>
      </c>
      <c r="G111" s="43" t="n">
        <v>1</v>
      </c>
      <c r="H111" s="44" t="n">
        <v>0.664</v>
      </c>
      <c r="I111" s="44" t="n">
        <v>0.245</v>
      </c>
      <c r="J111" s="44" t="n">
        <v>0.184</v>
      </c>
      <c r="K111" s="44" t="n">
        <v>0.244</v>
      </c>
      <c r="L111" s="44" t="n">
        <v>1.323</v>
      </c>
    </row>
    <row r="112" hidden="1" ht="28" customHeight="1" s="215">
      <c r="A112" s="28" t="n"/>
      <c r="B112" s="41" t="inlineStr">
        <is>
          <t>LRCX</t>
        </is>
      </c>
      <c r="C112" s="41" t="inlineStr">
        <is>
          <t>Lam Research</t>
        </is>
      </c>
      <c r="D112" s="42" t="inlineStr">
        <is>
          <t>Semiconductor Equipment &amp; Materials</t>
        </is>
      </c>
      <c r="E112" s="43" t="n">
        <v>1</v>
      </c>
      <c r="F112" s="43" t="n">
        <v>3.3</v>
      </c>
      <c r="G112" s="43" t="n">
        <v>2.7</v>
      </c>
      <c r="H112" s="44" t="n">
        <v>0.452</v>
      </c>
      <c r="I112" s="44" t="n">
        <v>0.252</v>
      </c>
      <c r="J112" s="44" t="n">
        <v>0.217</v>
      </c>
      <c r="K112" s="44" t="n">
        <v>0.244</v>
      </c>
      <c r="L112" s="44" t="n">
        <v>1.127</v>
      </c>
    </row>
    <row r="113" hidden="1" ht="14" customHeight="1" s="215">
      <c r="A113" s="28" t="n"/>
      <c r="B113" s="41" t="inlineStr">
        <is>
          <t>QRVO</t>
        </is>
      </c>
      <c r="C113" s="41" t="inlineStr">
        <is>
          <t>Qorvo</t>
        </is>
      </c>
      <c r="D113" s="42" t="inlineStr">
        <is>
          <t>Semiconductors</t>
        </is>
      </c>
      <c r="E113" s="43" t="n">
        <v>0.4</v>
      </c>
      <c r="F113" s="43" t="n">
        <v>4.2</v>
      </c>
      <c r="G113" s="43" t="n">
        <v>3.2</v>
      </c>
      <c r="H113" s="44" t="n">
        <v>0.4</v>
      </c>
      <c r="I113" s="44" t="n">
        <v>0.123</v>
      </c>
      <c r="J113" s="44" t="n">
        <v>0.111</v>
      </c>
      <c r="K113" s="44" t="n">
        <v>0.241</v>
      </c>
      <c r="L113" s="44" t="n">
        <v>2.181</v>
      </c>
    </row>
    <row r="114" hidden="1" ht="14" customHeight="1" s="215">
      <c r="A114" s="28" t="n"/>
      <c r="B114" s="41" t="inlineStr">
        <is>
          <t>AAPL</t>
        </is>
      </c>
      <c r="C114" s="41" t="inlineStr">
        <is>
          <t>Apple</t>
        </is>
      </c>
      <c r="D114" s="42" t="inlineStr">
        <is>
          <t>Consumer Electronics</t>
        </is>
      </c>
      <c r="E114" s="43" t="n">
        <v>1.2</v>
      </c>
      <c r="F114" s="43" t="n">
        <v>1.6</v>
      </c>
      <c r="G114" s="43" t="n">
        <v>1.6</v>
      </c>
      <c r="H114" s="44" t="n">
        <v>0.38</v>
      </c>
      <c r="I114" s="44" t="n">
        <v>0.247</v>
      </c>
      <c r="J114" s="44" t="n">
        <v>0.215</v>
      </c>
      <c r="K114" s="44" t="n">
        <v>0.24</v>
      </c>
      <c r="L114" s="44" t="n">
        <v>1.115</v>
      </c>
    </row>
    <row r="115" hidden="1" ht="14" customHeight="1" s="215">
      <c r="A115" s="28" t="n"/>
      <c r="B115" s="41" t="inlineStr">
        <is>
          <t>CF</t>
        </is>
      </c>
      <c r="C115" s="41" t="inlineStr">
        <is>
          <t>CF Industries Holdings</t>
        </is>
      </c>
      <c r="D115" s="42" t="inlineStr">
        <is>
          <t>Agricultural Inputs</t>
        </is>
      </c>
      <c r="E115" s="43" t="n">
        <v>1.5</v>
      </c>
      <c r="F115" s="43" t="n">
        <v>1.5</v>
      </c>
      <c r="G115" s="43" t="n">
        <v>0.9</v>
      </c>
      <c r="H115" s="44" t="n">
        <v>0.256</v>
      </c>
      <c r="I115" s="44" t="n">
        <v>0.204</v>
      </c>
      <c r="J115" s="44" t="n">
        <v>0.108</v>
      </c>
      <c r="K115" s="44" t="n">
        <v>0.24</v>
      </c>
      <c r="L115" s="44" t="n">
        <v>2.231</v>
      </c>
    </row>
    <row r="116" hidden="1" ht="14" customHeight="1" s="215">
      <c r="A116" s="28" t="n"/>
      <c r="B116" s="41" t="inlineStr">
        <is>
          <t>MNST</t>
        </is>
      </c>
      <c r="C116" s="41" t="inlineStr">
        <is>
          <t>Monster Beverage</t>
        </is>
      </c>
      <c r="D116" s="42" t="inlineStr">
        <is>
          <t>Beverages - Non-Alcoholic</t>
        </is>
      </c>
      <c r="E116" s="43" t="n">
        <v>0</v>
      </c>
      <c r="F116" s="43" t="n">
        <v>3.5</v>
      </c>
      <c r="G116" s="43" t="n">
        <v>3</v>
      </c>
      <c r="H116" s="44" t="n">
        <v>0.6</v>
      </c>
      <c r="I116" s="44" t="n">
        <v>0.334</v>
      </c>
      <c r="J116" s="44" t="n">
        <v>0.264</v>
      </c>
      <c r="K116" s="44" t="n">
        <v>0.24</v>
      </c>
      <c r="L116" s="44" t="n">
        <v>0.911</v>
      </c>
    </row>
    <row r="117" hidden="1" ht="14" customHeight="1" s="215">
      <c r="A117" s="28" t="n"/>
      <c r="B117" s="41" t="inlineStr">
        <is>
          <t>EBAY</t>
        </is>
      </c>
      <c r="C117" s="41" t="inlineStr">
        <is>
          <t>eBay</t>
        </is>
      </c>
      <c r="D117" s="42" t="inlineStr">
        <is>
          <t>Internet Retail</t>
        </is>
      </c>
      <c r="E117" s="43" t="n">
        <v>2.9</v>
      </c>
      <c r="F117" s="43" t="n">
        <v>1.2</v>
      </c>
      <c r="G117" s="43" t="n">
        <v>1.2</v>
      </c>
      <c r="H117" s="44" t="n">
        <v>0.768</v>
      </c>
      <c r="I117" s="44" t="n">
        <v>0.215</v>
      </c>
      <c r="J117" s="44" t="n">
        <v>0.165</v>
      </c>
      <c r="K117" s="44" t="n">
        <v>0.238</v>
      </c>
      <c r="L117" s="44" t="n">
        <v>1.443</v>
      </c>
    </row>
    <row r="118" hidden="1" ht="14" customHeight="1" s="215">
      <c r="A118" s="28" t="n"/>
      <c r="B118" s="41" t="inlineStr">
        <is>
          <t>ILMN</t>
        </is>
      </c>
      <c r="C118" s="41" t="inlineStr">
        <is>
          <t>Illumina</t>
        </is>
      </c>
      <c r="D118" s="42" t="inlineStr">
        <is>
          <t>Diagnostics &amp; Research</t>
        </is>
      </c>
      <c r="E118" s="43" t="n">
        <v>0.4</v>
      </c>
      <c r="F118" s="43" t="n">
        <v>6.7</v>
      </c>
      <c r="G118" s="43" t="n">
        <v>6.1</v>
      </c>
      <c r="H118" s="44" t="n">
        <v>0.696</v>
      </c>
      <c r="I118" s="44" t="n">
        <v>0.278</v>
      </c>
      <c r="J118" s="44" t="n">
        <v>0.283</v>
      </c>
      <c r="K118" s="44" t="n">
        <v>0.238</v>
      </c>
      <c r="L118" s="44" t="n">
        <v>0.843</v>
      </c>
    </row>
    <row r="119" hidden="1" ht="14" customHeight="1" s="215">
      <c r="A119" s="28" t="n"/>
      <c r="B119" s="41" t="inlineStr">
        <is>
          <t>UNP</t>
        </is>
      </c>
      <c r="C119" s="41" t="inlineStr">
        <is>
          <t>Union Pacific</t>
        </is>
      </c>
      <c r="D119" s="42" t="inlineStr">
        <is>
          <t>Railroads</t>
        </is>
      </c>
      <c r="E119" s="43" t="n">
        <v>1.5</v>
      </c>
      <c r="F119" s="43" t="n">
        <v>0.8</v>
      </c>
      <c r="G119" s="43" t="n">
        <v>0.6</v>
      </c>
      <c r="H119" s="44" t="n">
        <v>0.443</v>
      </c>
      <c r="I119" s="44" t="n">
        <v>0.394</v>
      </c>
      <c r="J119" s="44" t="n">
        <v>0.273</v>
      </c>
      <c r="K119" s="44" t="n">
        <v>0.238</v>
      </c>
      <c r="L119" s="44" t="n">
        <v>0.871</v>
      </c>
    </row>
    <row r="120" hidden="1" ht="14" customHeight="1" s="215">
      <c r="A120" s="28" t="n"/>
      <c r="B120" s="41" t="inlineStr">
        <is>
          <t>CTXS</t>
        </is>
      </c>
      <c r="C120" s="41" t="inlineStr">
        <is>
          <t>Citrix Systems</t>
        </is>
      </c>
      <c r="D120" s="42" t="inlineStr">
        <is>
          <t>Software - Application</t>
        </is>
      </c>
      <c r="E120" s="43" t="n">
        <v>1.1</v>
      </c>
      <c r="F120" s="43" t="n">
        <v>0.8</v>
      </c>
      <c r="G120" s="43" t="n">
        <v>0.8</v>
      </c>
      <c r="H120" s="44" t="n">
        <v>0.846</v>
      </c>
      <c r="I120" s="44" t="n">
        <v>0.186</v>
      </c>
      <c r="J120" s="44" t="n">
        <v>0.227</v>
      </c>
      <c r="K120" s="44" t="n">
        <v>0.237</v>
      </c>
      <c r="L120" s="44" t="n">
        <v>1.042</v>
      </c>
    </row>
    <row r="121" hidden="1" ht="14" customHeight="1" s="215">
      <c r="A121" s="28" t="n"/>
      <c r="B121" s="41" t="inlineStr">
        <is>
          <t>FRC</t>
        </is>
      </c>
      <c r="C121" s="41" t="inlineStr">
        <is>
          <t>First Republic Bank</t>
        </is>
      </c>
      <c r="D121" s="42" t="inlineStr">
        <is>
          <t>Banks - Regional</t>
        </is>
      </c>
      <c r="E121" s="43" t="n">
        <v>1.4</v>
      </c>
      <c r="F121" s="43" t="inlineStr">
        <is>
          <t xml:space="preserve">- </t>
        </is>
      </c>
      <c r="G121" s="43" t="inlineStr">
        <is>
          <t xml:space="preserve">- </t>
        </is>
      </c>
      <c r="H121" s="44" t="n">
        <v>0</v>
      </c>
      <c r="I121" s="44" t="n">
        <v>0.367</v>
      </c>
      <c r="J121" s="44" t="n">
        <v>0.286</v>
      </c>
      <c r="K121" s="44" t="n">
        <v>0.237</v>
      </c>
      <c r="L121" s="44" t="n">
        <v>0.827</v>
      </c>
    </row>
    <row r="122" hidden="1" ht="14" customHeight="1" s="215">
      <c r="A122" s="28" t="n"/>
      <c r="B122" s="41" t="inlineStr">
        <is>
          <t>INTC</t>
        </is>
      </c>
      <c r="C122" s="41" t="inlineStr">
        <is>
          <t>Intel</t>
        </is>
      </c>
      <c r="D122" s="42" t="inlineStr">
        <is>
          <t>Semiconductors</t>
        </is>
      </c>
      <c r="E122" s="43" t="n">
        <v>0.4</v>
      </c>
      <c r="F122" s="43" t="n">
        <v>1.4</v>
      </c>
      <c r="G122" s="43" t="n">
        <v>1</v>
      </c>
      <c r="H122" s="44" t="n">
        <v>0.586</v>
      </c>
      <c r="I122" s="44" t="n">
        <v>0.312</v>
      </c>
      <c r="J122" s="44" t="n">
        <v>0.293</v>
      </c>
      <c r="K122" s="44" t="n">
        <v>0.237</v>
      </c>
      <c r="L122" s="44" t="n">
        <v>0.8080000000000001</v>
      </c>
    </row>
    <row r="123" hidden="1" ht="28" customHeight="1" s="215">
      <c r="A123" s="28" t="n"/>
      <c r="B123" s="41" t="inlineStr">
        <is>
          <t>KLAC</t>
        </is>
      </c>
      <c r="C123" s="41" t="inlineStr">
        <is>
          <t>KLA</t>
        </is>
      </c>
      <c r="D123" s="42" t="inlineStr">
        <is>
          <t>Semiconductor Equipment &amp; Materials</t>
        </is>
      </c>
      <c r="E123" s="43" t="n">
        <v>1.3</v>
      </c>
      <c r="F123" s="43" t="n">
        <v>2.6</v>
      </c>
      <c r="G123" s="43" t="n">
        <v>1.8</v>
      </c>
      <c r="H123" s="44" t="n">
        <v>0.5610000000000001</v>
      </c>
      <c r="I123" s="44" t="n">
        <v>0.263</v>
      </c>
      <c r="J123" s="44" t="n">
        <v>0.216</v>
      </c>
      <c r="K123" s="44" t="n">
        <v>0.233</v>
      </c>
      <c r="L123" s="44" t="n">
        <v>1.078</v>
      </c>
    </row>
    <row r="124" hidden="1" ht="14" customHeight="1" s="215">
      <c r="A124" s="28" t="n"/>
      <c r="B124" s="41" t="inlineStr">
        <is>
          <t>TROW</t>
        </is>
      </c>
      <c r="C124" s="41" t="inlineStr">
        <is>
          <t>T. Rowe Price Group</t>
        </is>
      </c>
      <c r="D124" s="42" t="inlineStr">
        <is>
          <t>Asset Management</t>
        </is>
      </c>
      <c r="E124" s="43" t="n">
        <v>0</v>
      </c>
      <c r="F124" s="43" t="n">
        <v>9.9</v>
      </c>
      <c r="G124" s="43" t="n">
        <v>9.9</v>
      </c>
      <c r="H124" s="44" t="n">
        <v>0.576</v>
      </c>
      <c r="I124" s="44" t="n">
        <v>0.425</v>
      </c>
      <c r="J124" s="44" t="n">
        <v>0.379</v>
      </c>
      <c r="K124" s="44" t="n">
        <v>0.233</v>
      </c>
      <c r="L124" s="44" t="n">
        <v>0.614</v>
      </c>
    </row>
    <row r="125" hidden="1" ht="14" customHeight="1" s="215">
      <c r="A125" s="28" t="n"/>
      <c r="B125" s="41" t="inlineStr">
        <is>
          <t>KO</t>
        </is>
      </c>
      <c r="C125" s="41" t="inlineStr">
        <is>
          <t>Coca-Cola</t>
        </is>
      </c>
      <c r="D125" s="42" t="inlineStr">
        <is>
          <t>Beverages - Non-Alcoholic</t>
        </is>
      </c>
      <c r="E125" s="43" t="n">
        <v>2.3</v>
      </c>
      <c r="F125" s="43" t="n">
        <v>0.8</v>
      </c>
      <c r="G125" s="43" t="n">
        <v>0.6</v>
      </c>
      <c r="H125" s="44" t="n">
        <v>0.611</v>
      </c>
      <c r="I125" s="44" t="n">
        <v>0.285</v>
      </c>
      <c r="J125" s="44" t="n">
        <v>0.244</v>
      </c>
      <c r="K125" s="44" t="n">
        <v>0.232</v>
      </c>
      <c r="L125" s="44" t="n">
        <v>0.949</v>
      </c>
    </row>
    <row r="126" hidden="1" ht="14" customHeight="1" s="215">
      <c r="A126" s="28" t="n"/>
      <c r="B126" s="41" t="inlineStr">
        <is>
          <t>VTR</t>
        </is>
      </c>
      <c r="C126" s="41" t="inlineStr">
        <is>
          <t>Ventas</t>
        </is>
      </c>
      <c r="D126" s="42" t="inlineStr">
        <is>
          <t>REIT - Healthcare Facilities</t>
        </is>
      </c>
      <c r="E126" s="43" t="n">
        <v>1.2</v>
      </c>
      <c r="F126" s="43" t="n">
        <v>0.4</v>
      </c>
      <c r="G126" s="43" t="n">
        <v>0.4</v>
      </c>
      <c r="H126" s="44" t="n">
        <v>0.531</v>
      </c>
      <c r="I126" s="44" t="n">
        <v>0.217</v>
      </c>
      <c r="J126" s="44" t="n">
        <v>0.112</v>
      </c>
      <c r="K126" s="44" t="n">
        <v>0.227</v>
      </c>
      <c r="L126" s="44" t="n">
        <v>2.025</v>
      </c>
    </row>
    <row r="127" hidden="1" ht="14" customHeight="1" s="215">
      <c r="A127" s="28" t="n"/>
      <c r="B127" s="41" t="inlineStr">
        <is>
          <t>RE</t>
        </is>
      </c>
      <c r="C127" s="41" t="inlineStr">
        <is>
          <t>Everest Re Group</t>
        </is>
      </c>
      <c r="D127" s="42" t="inlineStr">
        <is>
          <t>Insurance - Reinsurance</t>
        </is>
      </c>
      <c r="E127" s="43" t="n">
        <v>0.1</v>
      </c>
      <c r="F127" s="43" t="inlineStr">
        <is>
          <t xml:space="preserve">- </t>
        </is>
      </c>
      <c r="G127" s="43" t="inlineStr">
        <is>
          <t xml:space="preserve">- </t>
        </is>
      </c>
      <c r="H127" s="44" t="n">
        <v>0</v>
      </c>
      <c r="I127" s="44" t="n">
        <v>0</v>
      </c>
      <c r="J127" s="44" t="n">
        <v>0.123</v>
      </c>
      <c r="K127" s="44" t="n">
        <v>0.225</v>
      </c>
      <c r="L127" s="44" t="n">
        <v>1.835</v>
      </c>
    </row>
    <row r="128" hidden="1" ht="14" customHeight="1" s="215">
      <c r="A128" s="28" t="n"/>
      <c r="B128" s="41" t="inlineStr">
        <is>
          <t>CFG</t>
        </is>
      </c>
      <c r="C128" s="41" t="inlineStr">
        <is>
          <t>Citizens Financial Group</t>
        </is>
      </c>
      <c r="D128" s="42" t="inlineStr">
        <is>
          <t>Banks - Regional</t>
        </is>
      </c>
      <c r="E128" s="43" t="n">
        <v>0.6</v>
      </c>
      <c r="F128" s="43" t="inlineStr">
        <is>
          <t xml:space="preserve">- </t>
        </is>
      </c>
      <c r="G128" s="43" t="inlineStr">
        <is>
          <t xml:space="preserve">- </t>
        </is>
      </c>
      <c r="H128" s="44" t="n">
        <v>0</v>
      </c>
      <c r="I128" s="44" t="n">
        <v>0.492</v>
      </c>
      <c r="J128" s="44" t="n">
        <v>0.299</v>
      </c>
      <c r="K128" s="44" t="n">
        <v>0.222</v>
      </c>
      <c r="L128" s="44" t="n">
        <v>0.741</v>
      </c>
    </row>
    <row r="129" hidden="1" ht="14" customHeight="1" s="215">
      <c r="A129" s="28" t="n"/>
      <c r="B129" s="41" t="inlineStr">
        <is>
          <t>GPN</t>
        </is>
      </c>
      <c r="C129" s="41" t="inlineStr">
        <is>
          <t>Global Payments</t>
        </is>
      </c>
      <c r="D129" s="42" t="inlineStr">
        <is>
          <t>Specialty Business Services</t>
        </is>
      </c>
      <c r="E129" s="43" t="n">
        <v>0.4</v>
      </c>
      <c r="F129" s="43" t="n">
        <v>1.2</v>
      </c>
      <c r="G129" s="43" t="n">
        <v>1.2</v>
      </c>
      <c r="H129" s="44" t="n">
        <v>0.577</v>
      </c>
      <c r="I129" s="44" t="n">
        <v>0.161</v>
      </c>
      <c r="J129" s="44" t="n">
        <v>0.08699999999999999</v>
      </c>
      <c r="K129" s="44" t="n">
        <v>0.221</v>
      </c>
      <c r="L129" s="44" t="n">
        <v>2.527</v>
      </c>
    </row>
    <row r="130" hidden="1" ht="14" customHeight="1" s="215">
      <c r="A130" s="28" t="n"/>
      <c r="B130" s="41" t="inlineStr">
        <is>
          <t>TWTR</t>
        </is>
      </c>
      <c r="C130" s="41" t="inlineStr">
        <is>
          <t>Twitter</t>
        </is>
      </c>
      <c r="D130" s="42" t="inlineStr">
        <is>
          <t>Internet Content &amp; Information</t>
        </is>
      </c>
      <c r="E130" s="43" t="n">
        <v>0.4</v>
      </c>
      <c r="F130" s="43" t="n">
        <v>9.199999999999999</v>
      </c>
      <c r="G130" s="43" t="n">
        <v>9.1</v>
      </c>
      <c r="H130" s="44" t="n">
        <v>0.671</v>
      </c>
      <c r="I130" s="44" t="n">
        <v>0.106</v>
      </c>
      <c r="J130" s="44" t="n">
        <v>0.426</v>
      </c>
      <c r="K130" s="44" t="n">
        <v>0.219</v>
      </c>
      <c r="L130" s="44" t="n">
        <v>0.515</v>
      </c>
    </row>
    <row r="131" hidden="1" ht="14" customHeight="1" s="215">
      <c r="A131" s="28" t="n"/>
      <c r="B131" s="41" t="inlineStr">
        <is>
          <t>PYPL</t>
        </is>
      </c>
      <c r="C131" s="41" t="inlineStr">
        <is>
          <t>PayPal Holdings</t>
        </is>
      </c>
      <c r="D131" s="42" t="inlineStr">
        <is>
          <t>Credit Services</t>
        </is>
      </c>
      <c r="E131" s="43" t="n">
        <v>0.3</v>
      </c>
      <c r="F131" s="43" t="n">
        <v>1.4</v>
      </c>
      <c r="G131" s="43" t="n">
        <v>1.4</v>
      </c>
      <c r="H131" s="44" t="n">
        <v>0.449</v>
      </c>
      <c r="I131" s="44" t="n">
        <v>0.157</v>
      </c>
      <c r="J131" s="44" t="n">
        <v>0.138</v>
      </c>
      <c r="K131" s="44" t="n">
        <v>0.217</v>
      </c>
      <c r="L131" s="44" t="n">
        <v>1.573</v>
      </c>
    </row>
    <row r="132" hidden="1" ht="14" customHeight="1" s="215">
      <c r="A132" s="28" t="n"/>
      <c r="B132" s="41" t="inlineStr">
        <is>
          <t>CRM</t>
        </is>
      </c>
      <c r="C132" s="41" t="inlineStr">
        <is>
          <t>Salesforce</t>
        </is>
      </c>
      <c r="D132" s="42" t="inlineStr">
        <is>
          <t>Software - Application</t>
        </is>
      </c>
      <c r="E132" s="43" t="n">
        <v>0.2</v>
      </c>
      <c r="F132" s="43" t="n">
        <v>1.1</v>
      </c>
      <c r="G132" s="43" t="n">
        <v>1.1</v>
      </c>
      <c r="H132" s="44" t="n">
        <v>0.752</v>
      </c>
      <c r="I132" s="44" t="n">
        <v>0.027</v>
      </c>
      <c r="J132" s="44" t="n">
        <v>0.007</v>
      </c>
      <c r="K132" s="44" t="n">
        <v>0.214</v>
      </c>
      <c r="L132" s="44" t="n">
        <v>32.088</v>
      </c>
    </row>
    <row r="133" hidden="1" ht="14" customHeight="1" s="215">
      <c r="A133" s="28" t="n"/>
      <c r="B133" s="41" t="inlineStr">
        <is>
          <t>MDT</t>
        </is>
      </c>
      <c r="C133" s="41" t="inlineStr">
        <is>
          <t>Medtronic</t>
        </is>
      </c>
      <c r="D133" s="42" t="inlineStr">
        <is>
          <t>Medical Devices</t>
        </is>
      </c>
      <c r="E133" s="43" t="n">
        <v>0.5</v>
      </c>
      <c r="F133" s="43" t="n">
        <v>2.8</v>
      </c>
      <c r="G133" s="43" t="n">
        <v>2.3</v>
      </c>
      <c r="H133" s="44" t="n">
        <v>0.6899999999999999</v>
      </c>
      <c r="I133" s="44" t="n">
        <v>0.221</v>
      </c>
      <c r="J133" s="44" t="n">
        <v>0.171</v>
      </c>
      <c r="K133" s="44" t="n">
        <v>0.214</v>
      </c>
      <c r="L133" s="44" t="n">
        <v>1.251</v>
      </c>
    </row>
    <row r="134" hidden="1" ht="14" customHeight="1" s="215">
      <c r="A134" s="28" t="n"/>
      <c r="B134" s="41" t="inlineStr">
        <is>
          <t>MRK</t>
        </is>
      </c>
      <c r="C134" s="41" t="inlineStr">
        <is>
          <t>Merck &amp; Co</t>
        </is>
      </c>
      <c r="D134" s="42" t="inlineStr">
        <is>
          <t>Drug Manufacturers - General</t>
        </is>
      </c>
      <c r="E134" s="43" t="n">
        <v>1</v>
      </c>
      <c r="F134" s="43" t="n">
        <v>1.2</v>
      </c>
      <c r="G134" s="43" t="n">
        <v>1</v>
      </c>
      <c r="H134" s="44" t="n">
        <v>0.699</v>
      </c>
      <c r="I134" s="44" t="n">
        <v>0.261</v>
      </c>
      <c r="J134" s="44" t="n">
        <v>0.21</v>
      </c>
      <c r="K134" s="44" t="n">
        <v>0.214</v>
      </c>
      <c r="L134" s="44" t="n">
        <v>1.023</v>
      </c>
    </row>
    <row r="135" hidden="1" ht="14" customHeight="1" s="215">
      <c r="A135" s="28" t="n"/>
      <c r="B135" s="41" t="inlineStr">
        <is>
          <t>SNPS</t>
        </is>
      </c>
      <c r="C135" s="41" t="inlineStr">
        <is>
          <t>Synopsys</t>
        </is>
      </c>
      <c r="D135" s="42" t="inlineStr">
        <is>
          <t>Software - Infrastructure</t>
        </is>
      </c>
      <c r="E135" s="43" t="n">
        <v>0.2</v>
      </c>
      <c r="F135" s="43" t="n">
        <v>1</v>
      </c>
      <c r="G135" s="43" t="n">
        <v>0.9</v>
      </c>
      <c r="H135" s="44" t="n">
        <v>0.777</v>
      </c>
      <c r="I135" s="44" t="n">
        <v>0.153</v>
      </c>
      <c r="J135" s="44" t="n">
        <v>0.143</v>
      </c>
      <c r="K135" s="44" t="n">
        <v>0.214</v>
      </c>
      <c r="L135" s="44" t="n">
        <v>1.494</v>
      </c>
    </row>
    <row r="136" hidden="1" ht="14" customHeight="1" s="215">
      <c r="A136" s="28" t="n"/>
      <c r="B136" s="41" t="inlineStr">
        <is>
          <t>USB</t>
        </is>
      </c>
      <c r="C136" s="41" t="inlineStr">
        <is>
          <t>U.S. Bancorp</t>
        </is>
      </c>
      <c r="D136" s="42" t="inlineStr">
        <is>
          <t>Banks - Regional</t>
        </is>
      </c>
      <c r="E136" s="43" t="n">
        <v>1.2</v>
      </c>
      <c r="F136" s="43" t="inlineStr">
        <is>
          <t xml:space="preserve">- </t>
        </is>
      </c>
      <c r="G136" s="43" t="inlineStr">
        <is>
          <t xml:space="preserve">- </t>
        </is>
      </c>
      <c r="H136" s="44" t="n">
        <v>0</v>
      </c>
      <c r="I136" s="44" t="n">
        <v>0.441</v>
      </c>
      <c r="J136" s="44" t="n">
        <v>0.302</v>
      </c>
      <c r="K136" s="44" t="n">
        <v>0.213</v>
      </c>
      <c r="L136" s="44" t="n">
        <v>0.707</v>
      </c>
    </row>
    <row r="137" hidden="1" ht="28" customHeight="1" s="215">
      <c r="A137" s="28" t="n"/>
      <c r="B137" s="41" t="inlineStr">
        <is>
          <t>ZTS</t>
        </is>
      </c>
      <c r="C137" s="41" t="inlineStr">
        <is>
          <t>Zoetis</t>
        </is>
      </c>
      <c r="D137" s="42" t="inlineStr">
        <is>
          <t>Drug Manufacturers - Specialty &amp; Generic</t>
        </is>
      </c>
      <c r="E137" s="43" t="n">
        <v>2.4</v>
      </c>
      <c r="F137" s="43" t="n">
        <v>2.6</v>
      </c>
      <c r="G137" s="43" t="n">
        <v>1.9</v>
      </c>
      <c r="H137" s="44" t="n">
        <v>0.6820000000000001</v>
      </c>
      <c r="I137" s="44" t="n">
        <v>0.323</v>
      </c>
      <c r="J137" s="44" t="n">
        <v>0.24</v>
      </c>
      <c r="K137" s="44" t="n">
        <v>0.213</v>
      </c>
      <c r="L137" s="44" t="n">
        <v>0.889</v>
      </c>
    </row>
    <row r="138" hidden="1" ht="14" customHeight="1" s="215">
      <c r="A138" s="28" t="n"/>
      <c r="B138" s="41" t="inlineStr">
        <is>
          <t>EW</t>
        </is>
      </c>
      <c r="C138" s="41" t="inlineStr">
        <is>
          <t>Edwards Lifesciences</t>
        </is>
      </c>
      <c r="D138" s="42" t="inlineStr">
        <is>
          <t>Medical Devices</t>
        </is>
      </c>
      <c r="E138" s="43" t="n">
        <v>0.2</v>
      </c>
      <c r="F138" s="43" t="n">
        <v>3.3</v>
      </c>
      <c r="G138" s="43" t="n">
        <v>2.6</v>
      </c>
      <c r="H138" s="44" t="n">
        <v>0.744</v>
      </c>
      <c r="I138" s="44" t="n">
        <v>0.285</v>
      </c>
      <c r="J138" s="44" t="n">
        <v>0.241</v>
      </c>
      <c r="K138" s="44" t="n">
        <v>0.21</v>
      </c>
      <c r="L138" s="44" t="n">
        <v>0.872</v>
      </c>
    </row>
    <row r="139" hidden="1" ht="14" customHeight="1" s="215">
      <c r="A139" s="28" t="n"/>
      <c r="B139" s="41" t="inlineStr">
        <is>
          <t>ZION</t>
        </is>
      </c>
      <c r="C139" s="41" t="inlineStr">
        <is>
          <t>Zions Bancorp</t>
        </is>
      </c>
      <c r="D139" s="42" t="inlineStr">
        <is>
          <t>Banks - Regional</t>
        </is>
      </c>
      <c r="E139" s="43" t="n">
        <v>0.4</v>
      </c>
      <c r="F139" s="43" t="inlineStr">
        <is>
          <t xml:space="preserve">- </t>
        </is>
      </c>
      <c r="G139" s="43" t="inlineStr">
        <is>
          <t xml:space="preserve">- </t>
        </is>
      </c>
      <c r="H139" s="44" t="n">
        <v>0</v>
      </c>
      <c r="I139" s="44" t="n">
        <v>0.385</v>
      </c>
      <c r="J139" s="44" t="n">
        <v>0.288</v>
      </c>
      <c r="K139" s="44" t="n">
        <v>0.208</v>
      </c>
      <c r="L139" s="44" t="n">
        <v>0.723</v>
      </c>
    </row>
    <row r="140" hidden="1" ht="14" customHeight="1" s="215">
      <c r="A140" s="28" t="n"/>
      <c r="B140" s="41" t="inlineStr">
        <is>
          <t>FITB</t>
        </is>
      </c>
      <c r="C140" s="41" t="inlineStr">
        <is>
          <t>Fifth Third Bancorp</t>
        </is>
      </c>
      <c r="D140" s="42" t="inlineStr">
        <is>
          <t>Banks - Regional</t>
        </is>
      </c>
      <c r="E140" s="43" t="n">
        <v>0.7</v>
      </c>
      <c r="F140" s="43" t="inlineStr">
        <is>
          <t xml:space="preserve">- </t>
        </is>
      </c>
      <c r="G140" s="43" t="inlineStr">
        <is>
          <t xml:space="preserve">- </t>
        </is>
      </c>
      <c r="H140" s="44" t="n">
        <v>0</v>
      </c>
      <c r="I140" s="44" t="n">
        <v>0.376</v>
      </c>
      <c r="J140" s="44" t="n">
        <v>0.345</v>
      </c>
      <c r="K140" s="44" t="n">
        <v>0.205</v>
      </c>
      <c r="L140" s="44" t="n">
        <v>0.595</v>
      </c>
    </row>
    <row r="141" hidden="1" ht="28" customHeight="1" s="215">
      <c r="A141" s="28" t="n"/>
      <c r="B141" s="41" t="inlineStr">
        <is>
          <t>FISV</t>
        </is>
      </c>
      <c r="C141" s="41" t="inlineStr">
        <is>
          <t>Fiserv</t>
        </is>
      </c>
      <c r="D141" s="42" t="inlineStr">
        <is>
          <t>Information Technology Services</t>
        </is>
      </c>
      <c r="E141" s="43" t="n">
        <v>0.7</v>
      </c>
      <c r="F141" s="43" t="n">
        <v>1.1</v>
      </c>
      <c r="G141" s="43" t="n">
        <v>1.1</v>
      </c>
      <c r="H141" s="44" t="n">
        <v>0.479</v>
      </c>
      <c r="I141" s="44" t="n">
        <v>0.156</v>
      </c>
      <c r="J141" s="44" t="n">
        <v>0.08699999999999999</v>
      </c>
      <c r="K141" s="44" t="n">
        <v>0.204</v>
      </c>
      <c r="L141" s="44" t="n">
        <v>2.335</v>
      </c>
    </row>
    <row r="142" hidden="1" ht="14" customHeight="1" s="215">
      <c r="A142" s="28" t="n"/>
      <c r="B142" s="41" t="inlineStr">
        <is>
          <t>MSI</t>
        </is>
      </c>
      <c r="C142" s="41" t="inlineStr">
        <is>
          <t>Motorola Solutions</t>
        </is>
      </c>
      <c r="D142" s="42" t="inlineStr">
        <is>
          <t>Communication Equipment</t>
        </is>
      </c>
      <c r="E142" s="43" t="inlineStr">
        <is>
          <t xml:space="preserve">- </t>
        </is>
      </c>
      <c r="F142" s="43" t="n">
        <v>1.2</v>
      </c>
      <c r="G142" s="43" t="n">
        <v>1.1</v>
      </c>
      <c r="H142" s="44" t="n">
        <v>0.499</v>
      </c>
      <c r="I142" s="44" t="n">
        <v>0.217</v>
      </c>
      <c r="J142" s="44" t="n">
        <v>0.11</v>
      </c>
      <c r="K142" s="44" t="n">
        <v>0.201</v>
      </c>
      <c r="L142" s="44" t="n">
        <v>1.819</v>
      </c>
    </row>
    <row r="143" hidden="1" ht="14" customHeight="1" s="215">
      <c r="A143" s="28" t="n"/>
      <c r="B143" s="41" t="inlineStr">
        <is>
          <t>INFO</t>
        </is>
      </c>
      <c r="C143" s="41" t="inlineStr">
        <is>
          <t>IHS Markit</t>
        </is>
      </c>
      <c r="D143" s="42" t="inlineStr">
        <is>
          <t>Consulting Services</t>
        </is>
      </c>
      <c r="E143" s="43" t="n">
        <v>0.7</v>
      </c>
      <c r="F143" s="43" t="n">
        <v>0.7</v>
      </c>
      <c r="G143" s="43" t="n">
        <v>0.7</v>
      </c>
      <c r="H143" s="44" t="n">
        <v>0.624</v>
      </c>
      <c r="I143" s="44" t="n">
        <v>0.329</v>
      </c>
      <c r="J143" s="44" t="n">
        <v>0.197</v>
      </c>
      <c r="K143" s="44" t="n">
        <v>0.2</v>
      </c>
      <c r="L143" s="44" t="n">
        <v>1.014</v>
      </c>
    </row>
    <row r="144" hidden="1" ht="14" customHeight="1" s="215">
      <c r="A144" s="28" t="n"/>
      <c r="B144" s="41" t="inlineStr">
        <is>
          <t>YUM</t>
        </is>
      </c>
      <c r="C144" s="41" t="inlineStr">
        <is>
          <t>Yum Brands</t>
        </is>
      </c>
      <c r="D144" s="42" t="inlineStr">
        <is>
          <t>Restaurants</t>
        </is>
      </c>
      <c r="E144" s="43" t="inlineStr">
        <is>
          <t xml:space="preserve">- </t>
        </is>
      </c>
      <c r="F144" s="43" t="n">
        <v>1</v>
      </c>
      <c r="G144" s="43" t="n">
        <v>1</v>
      </c>
      <c r="H144" s="44" t="n">
        <v>0.779</v>
      </c>
      <c r="I144" s="44" t="n">
        <v>0.339</v>
      </c>
      <c r="J144" s="44" t="n">
        <v>0.231</v>
      </c>
      <c r="K144" s="44" t="n">
        <v>0.2</v>
      </c>
      <c r="L144" s="44" t="n">
        <v>0.864</v>
      </c>
    </row>
    <row r="145" hidden="1" ht="28" customHeight="1" s="215">
      <c r="A145" s="28" t="n"/>
      <c r="B145" s="41" t="inlineStr">
        <is>
          <t>AMAT</t>
        </is>
      </c>
      <c r="C145" s="41" t="inlineStr">
        <is>
          <t>Applied Materials</t>
        </is>
      </c>
      <c r="D145" s="42" t="inlineStr">
        <is>
          <t>Semiconductor Equipment &amp; Materials</t>
        </is>
      </c>
      <c r="E145" s="43" t="n">
        <v>0.6</v>
      </c>
      <c r="F145" s="43" t="n">
        <v>2.4</v>
      </c>
      <c r="G145" s="43" t="n">
        <v>1.6</v>
      </c>
      <c r="H145" s="44" t="n">
        <v>0.438</v>
      </c>
      <c r="I145" s="44" t="n">
        <v>0.232</v>
      </c>
      <c r="J145" s="44" t="n">
        <v>0.188</v>
      </c>
      <c r="K145" s="44" t="n">
        <v>0.199</v>
      </c>
      <c r="L145" s="44" t="n">
        <v>1.058</v>
      </c>
    </row>
    <row r="146" hidden="1" ht="14" customHeight="1" s="215">
      <c r="A146" s="28" t="n"/>
      <c r="B146" s="41" t="inlineStr">
        <is>
          <t>MET</t>
        </is>
      </c>
      <c r="C146" s="41" t="inlineStr">
        <is>
          <t>MetLife</t>
        </is>
      </c>
      <c r="D146" s="42" t="inlineStr">
        <is>
          <t>Insurance - Life</t>
        </is>
      </c>
      <c r="E146" s="43" t="n">
        <v>0.3</v>
      </c>
      <c r="F146" s="43" t="inlineStr">
        <is>
          <t xml:space="preserve">- </t>
        </is>
      </c>
      <c r="G146" s="43" t="inlineStr">
        <is>
          <t xml:space="preserve">- </t>
        </is>
      </c>
      <c r="H146" s="44" t="n">
        <v>0</v>
      </c>
      <c r="I146" s="44" t="n">
        <v>0</v>
      </c>
      <c r="J146" s="44" t="n">
        <v>0.08500000000000001</v>
      </c>
      <c r="K146" s="44" t="n">
        <v>0.199</v>
      </c>
      <c r="L146" s="44" t="n">
        <v>2.346</v>
      </c>
    </row>
    <row r="147" hidden="1" ht="14" customHeight="1" s="215">
      <c r="A147" s="28" t="n"/>
      <c r="B147" s="41" t="inlineStr">
        <is>
          <t>WAT</t>
        </is>
      </c>
      <c r="C147" s="41" t="inlineStr">
        <is>
          <t>Waters</t>
        </is>
      </c>
      <c r="D147" s="42" t="inlineStr">
        <is>
          <t>Diagnostics &amp; Research</t>
        </is>
      </c>
      <c r="E147" s="43" t="inlineStr">
        <is>
          <t xml:space="preserve">- </t>
        </is>
      </c>
      <c r="F147" s="43" t="n">
        <v>2.2</v>
      </c>
      <c r="G147" s="43" t="n">
        <v>1.7</v>
      </c>
      <c r="H147" s="44" t="n">
        <v>0.58</v>
      </c>
      <c r="I147" s="44" t="n">
        <v>0.295</v>
      </c>
      <c r="J147" s="44" t="n">
        <v>0.246</v>
      </c>
      <c r="K147" s="44" t="n">
        <v>0.198</v>
      </c>
      <c r="L147" s="44" t="n">
        <v>0.805</v>
      </c>
    </row>
    <row r="148" hidden="1" ht="14" customHeight="1" s="215">
      <c r="A148" s="28" t="n"/>
      <c r="B148" s="41" t="inlineStr">
        <is>
          <t>AME</t>
        </is>
      </c>
      <c r="C148" s="41" t="inlineStr">
        <is>
          <t>AMETEK</t>
        </is>
      </c>
      <c r="D148" s="42" t="inlineStr">
        <is>
          <t>Specialty Industrial Machinery</t>
        </is>
      </c>
      <c r="E148" s="43" t="n">
        <v>0.6</v>
      </c>
      <c r="F148" s="43" t="n">
        <v>1.4</v>
      </c>
      <c r="G148" s="43" t="n">
        <v>1</v>
      </c>
      <c r="H148" s="44" t="n">
        <v>0.347</v>
      </c>
      <c r="I148" s="44" t="n">
        <v>0.228</v>
      </c>
      <c r="J148" s="44" t="n">
        <v>0.167</v>
      </c>
      <c r="K148" s="44" t="n">
        <v>0.197</v>
      </c>
      <c r="L148" s="44" t="n">
        <v>1.178</v>
      </c>
    </row>
    <row r="149" hidden="1" ht="28" customHeight="1" s="215">
      <c r="A149" s="28" t="n"/>
      <c r="B149" s="41" t="inlineStr">
        <is>
          <t>NDAQ</t>
        </is>
      </c>
      <c r="C149" s="41" t="inlineStr">
        <is>
          <t>Nasdaq</t>
        </is>
      </c>
      <c r="D149" s="42" t="inlineStr">
        <is>
          <t>Financial Data &amp; Stock Exchanges</t>
        </is>
      </c>
      <c r="E149" s="43" t="n">
        <v>0.7</v>
      </c>
      <c r="F149" s="43" t="n">
        <v>1</v>
      </c>
      <c r="G149" s="43" t="n">
        <v>1</v>
      </c>
      <c r="H149" s="44" t="n">
        <v>0.595</v>
      </c>
      <c r="I149" s="44" t="n">
        <v>0.254</v>
      </c>
      <c r="J149" s="44" t="n">
        <v>0.181</v>
      </c>
      <c r="K149" s="44" t="n">
        <v>0.195</v>
      </c>
      <c r="L149" s="44" t="n">
        <v>1.077</v>
      </c>
    </row>
    <row r="150" hidden="1" ht="14" customHeight="1" s="215">
      <c r="A150" s="28" t="n"/>
      <c r="B150" s="41" t="inlineStr">
        <is>
          <t>PFE</t>
        </is>
      </c>
      <c r="C150" s="41" t="inlineStr">
        <is>
          <t>Pfizer</t>
        </is>
      </c>
      <c r="D150" s="42" t="inlineStr">
        <is>
          <t>Drug Manufacturers - General</t>
        </is>
      </c>
      <c r="E150" s="43" t="n">
        <v>0.8</v>
      </c>
      <c r="F150" s="43" t="n">
        <v>0.9</v>
      </c>
      <c r="G150" s="43" t="n">
        <v>0.7</v>
      </c>
      <c r="H150" s="44" t="n">
        <v>0.802</v>
      </c>
      <c r="I150" s="44" t="n">
        <v>0.268</v>
      </c>
      <c r="J150" s="44" t="n">
        <v>0.315</v>
      </c>
      <c r="K150" s="44" t="n">
        <v>0.194</v>
      </c>
      <c r="L150" s="44" t="n">
        <v>0.618</v>
      </c>
    </row>
    <row r="151" hidden="1" ht="14" customHeight="1" s="215">
      <c r="A151" s="28" t="n"/>
      <c r="B151" s="41" t="inlineStr">
        <is>
          <t>IEX</t>
        </is>
      </c>
      <c r="C151" s="41" t="inlineStr">
        <is>
          <t>IDEX</t>
        </is>
      </c>
      <c r="D151" s="42" t="inlineStr">
        <is>
          <t>Specialty Industrial Machinery</t>
        </is>
      </c>
      <c r="E151" s="43" t="n">
        <v>0.4</v>
      </c>
      <c r="F151" s="43" t="n">
        <v>3.5</v>
      </c>
      <c r="G151" s="43" t="n">
        <v>2.7</v>
      </c>
      <c r="H151" s="44" t="n">
        <v>0.451</v>
      </c>
      <c r="I151" s="44" t="n">
        <v>0.241</v>
      </c>
      <c r="J151" s="44" t="n">
        <v>0.171</v>
      </c>
      <c r="K151" s="44" t="n">
        <v>0.192</v>
      </c>
      <c r="L151" s="44" t="n">
        <v>1.126</v>
      </c>
    </row>
    <row r="152" hidden="1" ht="14" customHeight="1" s="215">
      <c r="A152" s="28" t="n"/>
      <c r="B152" s="41" t="inlineStr">
        <is>
          <t>ADS</t>
        </is>
      </c>
      <c r="C152" s="41" t="inlineStr">
        <is>
          <t>Alliance Data Systems</t>
        </is>
      </c>
      <c r="D152" s="42" t="inlineStr">
        <is>
          <t>Credit Services</t>
        </is>
      </c>
      <c r="E152" s="43" t="n">
        <v>6.6</v>
      </c>
      <c r="F152" s="43" t="n">
        <v>2</v>
      </c>
      <c r="G152" s="43" t="n">
        <v>2</v>
      </c>
      <c r="H152" s="44" t="n">
        <v>0.518</v>
      </c>
      <c r="I152" s="44" t="n">
        <v>0.247</v>
      </c>
      <c r="J152" s="44" t="n">
        <v>0.049</v>
      </c>
      <c r="K152" s="44" t="n">
        <v>0.19</v>
      </c>
      <c r="L152" s="44" t="n">
        <v>3.869</v>
      </c>
    </row>
    <row r="153" hidden="1" ht="14" customHeight="1" s="215">
      <c r="A153" s="28" t="n"/>
      <c r="B153" s="41" t="inlineStr">
        <is>
          <t>ITW</t>
        </is>
      </c>
      <c r="C153" s="41" t="inlineStr">
        <is>
          <t>Illinois Tool Works</t>
        </is>
      </c>
      <c r="D153" s="42" t="inlineStr">
        <is>
          <t>Specialty Industrial Machinery</t>
        </is>
      </c>
      <c r="E153" s="43" t="n">
        <v>2.6</v>
      </c>
      <c r="F153" s="43" t="n">
        <v>2.9</v>
      </c>
      <c r="G153" s="43" t="n">
        <v>2.4</v>
      </c>
      <c r="H153" s="44" t="n">
        <v>0.42</v>
      </c>
      <c r="I153" s="44" t="n">
        <v>0.241</v>
      </c>
      <c r="J153" s="44" t="n">
        <v>0.179</v>
      </c>
      <c r="K153" s="44" t="n">
        <v>0.19</v>
      </c>
      <c r="L153" s="44" t="n">
        <v>1.06</v>
      </c>
    </row>
    <row r="154" hidden="1" ht="28" customHeight="1" s="215">
      <c r="A154" s="28" t="n"/>
      <c r="B154" s="41" t="inlineStr">
        <is>
          <t>KEYS</t>
        </is>
      </c>
      <c r="C154" s="41" t="inlineStr">
        <is>
          <t>Keysight Technologies</t>
        </is>
      </c>
      <c r="D154" s="42" t="inlineStr">
        <is>
          <t>Scientific &amp; Technical Instruments</t>
        </is>
      </c>
      <c r="E154" s="43" t="n">
        <v>0.6</v>
      </c>
      <c r="F154" s="43" t="n">
        <v>3.4</v>
      </c>
      <c r="G154" s="43" t="n">
        <v>2.6</v>
      </c>
      <c r="H154" s="44" t="n">
        <v>0.595</v>
      </c>
      <c r="I154" s="44" t="n">
        <v>0.181</v>
      </c>
      <c r="J154" s="44" t="n">
        <v>0.153</v>
      </c>
      <c r="K154" s="44" t="n">
        <v>0.19</v>
      </c>
      <c r="L154" s="44" t="n">
        <v>1.245</v>
      </c>
    </row>
    <row r="155" hidden="1" ht="14" customHeight="1" s="215">
      <c r="A155" s="28" t="n"/>
      <c r="B155" s="41" t="inlineStr">
        <is>
          <t>KMI</t>
        </is>
      </c>
      <c r="C155" s="41" t="inlineStr">
        <is>
          <t>Kinder Morgan</t>
        </is>
      </c>
      <c r="D155" s="42" t="inlineStr">
        <is>
          <t>Oil &amp; Gas Midstream</t>
        </is>
      </c>
      <c r="E155" s="43" t="n">
        <v>1</v>
      </c>
      <c r="F155" s="43" t="n">
        <v>0.6</v>
      </c>
      <c r="G155" s="43" t="n">
        <v>0.5</v>
      </c>
      <c r="H155" s="44" t="n">
        <v>0.374</v>
      </c>
      <c r="I155" s="44" t="n">
        <v>0.298</v>
      </c>
      <c r="J155" s="44" t="n">
        <v>0.166</v>
      </c>
      <c r="K155" s="44" t="n">
        <v>0.19</v>
      </c>
      <c r="L155" s="44" t="n">
        <v>1.143</v>
      </c>
    </row>
    <row r="156" hidden="1" ht="14" customHeight="1" s="215">
      <c r="A156" s="28" t="n"/>
      <c r="B156" s="41" t="inlineStr">
        <is>
          <t>WMB</t>
        </is>
      </c>
      <c r="C156" s="41" t="inlineStr">
        <is>
          <t>Williams Companies</t>
        </is>
      </c>
      <c r="D156" s="42" t="inlineStr">
        <is>
          <t>Oil &amp; Gas Midstream</t>
        </is>
      </c>
      <c r="E156" s="43" t="n">
        <v>1.7</v>
      </c>
      <c r="F156" s="43" t="n">
        <v>0.4</v>
      </c>
      <c r="G156" s="43" t="n">
        <v>0.3</v>
      </c>
      <c r="H156" s="44" t="n">
        <v>0.539</v>
      </c>
      <c r="I156" s="44" t="n">
        <v>0.29</v>
      </c>
      <c r="J156" s="44" t="n">
        <v>0.104</v>
      </c>
      <c r="K156" s="44" t="n">
        <v>0.189</v>
      </c>
      <c r="L156" s="44" t="n">
        <v>1.817</v>
      </c>
    </row>
    <row r="157" hidden="1" ht="28" customHeight="1" s="215">
      <c r="A157" s="28" t="n"/>
      <c r="B157" s="41" t="inlineStr">
        <is>
          <t>STZ</t>
        </is>
      </c>
      <c r="C157" s="41" t="inlineStr">
        <is>
          <t>Constellation Brands</t>
        </is>
      </c>
      <c r="D157" s="42" t="inlineStr">
        <is>
          <t>Beverages - Wineries &amp; Distilleries</t>
        </is>
      </c>
      <c r="E157" s="43" t="n">
        <v>1.1</v>
      </c>
      <c r="F157" s="43" t="n">
        <v>1.4</v>
      </c>
      <c r="G157" s="43" t="n">
        <v>0.9</v>
      </c>
      <c r="H157" s="44" t="n">
        <v>0.497</v>
      </c>
      <c r="I157" s="44" t="n">
        <v>0.29</v>
      </c>
      <c r="J157" s="44" t="n">
        <v>0.098</v>
      </c>
      <c r="K157" s="44" t="n">
        <v>0.188</v>
      </c>
      <c r="L157" s="44" t="n">
        <v>1.925</v>
      </c>
    </row>
    <row r="158" hidden="1" ht="28" customHeight="1" s="215">
      <c r="A158" s="28" t="n"/>
      <c r="B158" s="41" t="inlineStr">
        <is>
          <t>CB</t>
        </is>
      </c>
      <c r="C158" s="41" t="inlineStr">
        <is>
          <t>Chubb</t>
        </is>
      </c>
      <c r="D158" s="42" t="inlineStr">
        <is>
          <t>Insurance - Property &amp; Casualty</t>
        </is>
      </c>
      <c r="E158" s="43" t="n">
        <v>0.3</v>
      </c>
      <c r="F158" s="43" t="inlineStr">
        <is>
          <t xml:space="preserve">- </t>
        </is>
      </c>
      <c r="G158" s="43" t="inlineStr">
        <is>
          <t xml:space="preserve">- </t>
        </is>
      </c>
      <c r="H158" s="44" t="n">
        <v>0</v>
      </c>
      <c r="I158" s="44" t="n">
        <v>0</v>
      </c>
      <c r="J158" s="44" t="n">
        <v>0.13</v>
      </c>
      <c r="K158" s="44" t="n">
        <v>0.186</v>
      </c>
      <c r="L158" s="44" t="n">
        <v>1.426</v>
      </c>
    </row>
    <row r="159" hidden="1" ht="14" customHeight="1" s="215">
      <c r="A159" s="28" t="n"/>
      <c r="B159" s="41" t="inlineStr">
        <is>
          <t>DHR</t>
        </is>
      </c>
      <c r="C159" s="41" t="inlineStr">
        <is>
          <t>Danaher</t>
        </is>
      </c>
      <c r="D159" s="42" t="inlineStr">
        <is>
          <t>Diagnostics &amp; Research</t>
        </is>
      </c>
      <c r="E159" s="43" t="n">
        <v>0.7</v>
      </c>
      <c r="F159" s="43" t="n">
        <v>5.2</v>
      </c>
      <c r="G159" s="43" t="n">
        <v>4.9</v>
      </c>
      <c r="H159" s="44" t="n">
        <v>0.5570000000000001</v>
      </c>
      <c r="I159" s="44" t="n">
        <v>0.183</v>
      </c>
      <c r="J159" s="44" t="n">
        <v>0.169</v>
      </c>
      <c r="K159" s="44" t="n">
        <v>0.186</v>
      </c>
      <c r="L159" s="44" t="n">
        <v>1.1</v>
      </c>
    </row>
    <row r="160" hidden="1" ht="28" customHeight="1" s="215">
      <c r="A160" s="28" t="n"/>
      <c r="B160" s="41" t="inlineStr">
        <is>
          <t>PG</t>
        </is>
      </c>
      <c r="C160" s="41" t="inlineStr">
        <is>
          <t>Procter &amp; Gamble</t>
        </is>
      </c>
      <c r="D160" s="42" t="inlineStr">
        <is>
          <t>Household &amp; Personal Products</t>
        </is>
      </c>
      <c r="E160" s="43" t="n">
        <v>0.6</v>
      </c>
      <c r="F160" s="43" t="n">
        <v>0.6</v>
      </c>
      <c r="G160" s="43" t="n">
        <v>0.4</v>
      </c>
      <c r="H160" s="44" t="n">
        <v>0.498</v>
      </c>
      <c r="I160" s="44" t="n">
        <v>0.218</v>
      </c>
      <c r="J160" s="44" t="n">
        <v>0.068</v>
      </c>
      <c r="K160" s="44" t="n">
        <v>0.186</v>
      </c>
      <c r="L160" s="44" t="n">
        <v>2.734</v>
      </c>
    </row>
    <row r="161" hidden="1" ht="14" customHeight="1" s="215">
      <c r="A161" s="28" t="n"/>
      <c r="B161" s="41" t="inlineStr">
        <is>
          <t>BLK</t>
        </is>
      </c>
      <c r="C161" s="41" t="inlineStr">
        <is>
          <t>BlackRock</t>
        </is>
      </c>
      <c r="D161" s="42" t="inlineStr">
        <is>
          <t>Asset Management</t>
        </is>
      </c>
      <c r="E161" s="43" t="n">
        <v>0.2</v>
      </c>
      <c r="F161" s="43" t="n">
        <v>6.9</v>
      </c>
      <c r="G161" s="43" t="n">
        <v>6.9</v>
      </c>
      <c r="H161" s="44" t="n">
        <v>0.51</v>
      </c>
      <c r="I161" s="44" t="n">
        <v>0.388</v>
      </c>
      <c r="J161" s="44" t="n">
        <v>0.308</v>
      </c>
      <c r="K161" s="44" t="n">
        <v>0.184</v>
      </c>
      <c r="L161" s="44" t="n">
        <v>0.597</v>
      </c>
    </row>
    <row r="162" hidden="1" ht="28" customHeight="1" s="215">
      <c r="A162" s="28" t="n"/>
      <c r="B162" s="41" t="inlineStr">
        <is>
          <t>CHD</t>
        </is>
      </c>
      <c r="C162" s="41" t="inlineStr">
        <is>
          <t>Church &amp; Dwight Co</t>
        </is>
      </c>
      <c r="D162" s="42" t="inlineStr">
        <is>
          <t>Household &amp; Personal Products</t>
        </is>
      </c>
      <c r="E162" s="43" t="n">
        <v>0.8</v>
      </c>
      <c r="F162" s="43" t="n">
        <v>0.9</v>
      </c>
      <c r="G162" s="43" t="n">
        <v>0.5</v>
      </c>
      <c r="H162" s="44" t="n">
        <v>0.455</v>
      </c>
      <c r="I162" s="44" t="n">
        <v>0.192</v>
      </c>
      <c r="J162" s="44" t="n">
        <v>0.141</v>
      </c>
      <c r="K162" s="44" t="n">
        <v>0.182</v>
      </c>
      <c r="L162" s="44" t="n">
        <v>1.291</v>
      </c>
    </row>
    <row r="163" hidden="1" ht="14" customHeight="1" s="215">
      <c r="A163" s="28" t="n"/>
      <c r="B163" s="41" t="inlineStr">
        <is>
          <t>HSY</t>
        </is>
      </c>
      <c r="C163" s="41" t="inlineStr">
        <is>
          <t>Hershey</t>
        </is>
      </c>
      <c r="D163" s="42" t="inlineStr">
        <is>
          <t>Confectioners</t>
        </is>
      </c>
      <c r="E163" s="43" t="n">
        <v>2.6</v>
      </c>
      <c r="F163" s="43" t="n">
        <v>1.1</v>
      </c>
      <c r="G163" s="43" t="n">
        <v>0.7</v>
      </c>
      <c r="H163" s="44" t="n">
        <v>0.454</v>
      </c>
      <c r="I163" s="44" t="n">
        <v>0.215</v>
      </c>
      <c r="J163" s="44" t="n">
        <v>0.144</v>
      </c>
      <c r="K163" s="44" t="n">
        <v>0.182</v>
      </c>
      <c r="L163" s="44" t="n">
        <v>1.263</v>
      </c>
    </row>
    <row r="164" hidden="1" ht="14" customHeight="1" s="215">
      <c r="A164" s="28" t="n"/>
      <c r="B164" s="41" t="inlineStr">
        <is>
          <t>KSU</t>
        </is>
      </c>
      <c r="C164" s="41" t="inlineStr">
        <is>
          <t>Kansas City Southern</t>
        </is>
      </c>
      <c r="D164" s="42" t="inlineStr">
        <is>
          <t>Railroads</t>
        </is>
      </c>
      <c r="E164" s="43" t="n">
        <v>0.8</v>
      </c>
      <c r="F164" s="43" t="n">
        <v>1.5</v>
      </c>
      <c r="G164" s="43" t="n">
        <v>1.1</v>
      </c>
      <c r="H164" s="44" t="n">
        <v>0.539</v>
      </c>
      <c r="I164" s="44" t="n">
        <v>0.399</v>
      </c>
      <c r="J164" s="44" t="n">
        <v>0.204</v>
      </c>
      <c r="K164" s="44" t="n">
        <v>0.181</v>
      </c>
      <c r="L164" s="44" t="n">
        <v>0.886</v>
      </c>
    </row>
    <row r="165" hidden="1" ht="14" customHeight="1" s="215">
      <c r="A165" s="28" t="n"/>
      <c r="B165" s="41" t="inlineStr">
        <is>
          <t>LNT</t>
        </is>
      </c>
      <c r="C165" s="41" t="inlineStr">
        <is>
          <t>Alliant Energy</t>
        </is>
      </c>
      <c r="D165" s="42" t="inlineStr">
        <is>
          <t>Utilities - Regulated Electric</t>
        </is>
      </c>
      <c r="E165" s="43" t="n">
        <v>1.3</v>
      </c>
      <c r="F165" s="43" t="n">
        <v>0.4</v>
      </c>
      <c r="G165" s="43" t="n">
        <v>0.3</v>
      </c>
      <c r="H165" s="44" t="n">
        <v>0.4</v>
      </c>
      <c r="I165" s="44" t="n">
        <v>0.214</v>
      </c>
      <c r="J165" s="44" t="n">
        <v>0.156</v>
      </c>
      <c r="K165" s="44" t="n">
        <v>0.181</v>
      </c>
      <c r="L165" s="44" t="n">
        <v>1.161</v>
      </c>
    </row>
    <row r="166" hidden="1" ht="28" customHeight="1" s="215">
      <c r="A166" s="28" t="n"/>
      <c r="B166" s="41" t="inlineStr">
        <is>
          <t>CL</t>
        </is>
      </c>
      <c r="C166" s="41" t="inlineStr">
        <is>
          <t>Colgate-Palmolive</t>
        </is>
      </c>
      <c r="D166" s="42" t="inlineStr">
        <is>
          <t>Household &amp; Personal Products</t>
        </is>
      </c>
      <c r="E166" s="43" t="n">
        <v>72.5</v>
      </c>
      <c r="F166" s="43" t="n">
        <v>1</v>
      </c>
      <c r="G166" s="43" t="n">
        <v>0.7</v>
      </c>
      <c r="H166" s="44" t="n">
        <v>0.594</v>
      </c>
      <c r="I166" s="44" t="n">
        <v>0.231</v>
      </c>
      <c r="J166" s="44" t="n">
        <v>0.151</v>
      </c>
      <c r="K166" s="44" t="n">
        <v>0.179</v>
      </c>
      <c r="L166" s="44" t="n">
        <v>1.185</v>
      </c>
    </row>
    <row r="167" hidden="1" ht="14" customHeight="1" s="215">
      <c r="A167" s="28" t="n"/>
      <c r="B167" s="41" t="inlineStr">
        <is>
          <t>TDG</t>
        </is>
      </c>
      <c r="C167" s="41" t="inlineStr">
        <is>
          <t>TransDigm Gr</t>
        </is>
      </c>
      <c r="D167" s="42" t="inlineStr">
        <is>
          <t>Aerospace &amp; Defense</t>
        </is>
      </c>
      <c r="E167" s="43" t="inlineStr">
        <is>
          <t xml:space="preserve">- </t>
        </is>
      </c>
      <c r="F167" s="43" t="n">
        <v>2</v>
      </c>
      <c r="G167" s="43" t="n">
        <v>1.6</v>
      </c>
      <c r="H167" s="44" t="n">
        <v>0.535</v>
      </c>
      <c r="I167" s="44" t="n">
        <v>0.376</v>
      </c>
      <c r="J167" s="44" t="n">
        <v>0.175</v>
      </c>
      <c r="K167" s="44" t="n">
        <v>0.179</v>
      </c>
      <c r="L167" s="44" t="n">
        <v>1.021</v>
      </c>
    </row>
    <row r="168" hidden="1" ht="28" customHeight="1" s="215">
      <c r="A168" s="28" t="n"/>
      <c r="B168" s="41" t="inlineStr">
        <is>
          <t>BF.B</t>
        </is>
      </c>
      <c r="C168" s="41" t="inlineStr">
        <is>
          <t>Brown-Forman</t>
        </is>
      </c>
      <c r="D168" s="42" t="inlineStr">
        <is>
          <t>Beverages - Wineries &amp; Distilleries</t>
        </is>
      </c>
      <c r="E168" s="43" t="n">
        <v>1.2</v>
      </c>
      <c r="F168" s="43" t="n">
        <v>4.5</v>
      </c>
      <c r="G168" s="43" t="n">
        <v>2</v>
      </c>
      <c r="H168" s="44" t="n">
        <v>0.634</v>
      </c>
      <c r="I168" s="44" t="n">
        <v>0.333</v>
      </c>
      <c r="J168" s="44" t="n">
        <v>0.253</v>
      </c>
      <c r="K168" s="44" t="n">
        <v>0.178</v>
      </c>
      <c r="L168" s="44" t="n">
        <v>0.706</v>
      </c>
    </row>
    <row r="169" hidden="1" ht="14" customHeight="1" s="215">
      <c r="A169" s="28" t="n"/>
      <c r="B169" s="41" t="inlineStr">
        <is>
          <t>GOOG</t>
        </is>
      </c>
      <c r="C169" s="41" t="inlineStr">
        <is>
          <t>Alphabet</t>
        </is>
      </c>
      <c r="D169" s="42" t="inlineStr">
        <is>
          <t>Internet Content &amp; Information</t>
        </is>
      </c>
      <c r="E169" s="43" t="n">
        <v>0.1</v>
      </c>
      <c r="F169" s="43" t="n">
        <v>3.4</v>
      </c>
      <c r="G169" s="43" t="n">
        <v>3.4</v>
      </c>
      <c r="H169" s="44" t="n">
        <v>0.556</v>
      </c>
      <c r="I169" s="44" t="n">
        <v>0.222</v>
      </c>
      <c r="J169" s="44" t="n">
        <v>0.213</v>
      </c>
      <c r="K169" s="44" t="n">
        <v>0.176</v>
      </c>
      <c r="L169" s="44" t="n">
        <v>0.826</v>
      </c>
    </row>
    <row r="170" hidden="1" ht="14" customHeight="1" s="215">
      <c r="A170" s="28" t="n"/>
      <c r="B170" s="41" t="inlineStr">
        <is>
          <t>GOOGL</t>
        </is>
      </c>
      <c r="C170" s="41" t="inlineStr">
        <is>
          <t>Alphabet</t>
        </is>
      </c>
      <c r="D170" s="42" t="inlineStr">
        <is>
          <t>Internet Content &amp; Information</t>
        </is>
      </c>
      <c r="E170" s="43" t="n">
        <v>0.1</v>
      </c>
      <c r="F170" s="43" t="n">
        <v>3.4</v>
      </c>
      <c r="G170" s="43" t="n">
        <v>3.4</v>
      </c>
      <c r="H170" s="44" t="n">
        <v>0.556</v>
      </c>
      <c r="I170" s="44" t="n">
        <v>0.222</v>
      </c>
      <c r="J170" s="44" t="n">
        <v>0.213</v>
      </c>
      <c r="K170" s="44" t="n">
        <v>0.176</v>
      </c>
      <c r="L170" s="44" t="n">
        <v>0.826</v>
      </c>
    </row>
    <row r="171" hidden="1" ht="14" customHeight="1" s="215">
      <c r="A171" s="28" t="n"/>
      <c r="B171" s="41" t="inlineStr">
        <is>
          <t>PAYC</t>
        </is>
      </c>
      <c r="C171" s="41" t="inlineStr">
        <is>
          <t>Paycom Software</t>
        </is>
      </c>
      <c r="D171" s="42" t="inlineStr">
        <is>
          <t>Software - Application</t>
        </is>
      </c>
      <c r="E171" s="43" t="n">
        <v>0.1</v>
      </c>
      <c r="F171" s="43" t="n">
        <v>1.1</v>
      </c>
      <c r="G171" s="43" t="n">
        <v>1.1</v>
      </c>
      <c r="H171" s="44" t="n">
        <v>0.851</v>
      </c>
      <c r="I171" s="44" t="n">
        <v>0.307</v>
      </c>
      <c r="J171" s="44" t="n">
        <v>0.245</v>
      </c>
      <c r="K171" s="44" t="n">
        <v>0.176</v>
      </c>
      <c r="L171" s="44" t="n">
        <v>0.72</v>
      </c>
    </row>
    <row r="172" hidden="1" ht="14" customHeight="1" s="215">
      <c r="A172" s="28" t="n"/>
      <c r="B172" s="41" t="inlineStr">
        <is>
          <t>AKAM</t>
        </is>
      </c>
      <c r="C172" s="41" t="inlineStr">
        <is>
          <t>Akamai Technologies</t>
        </is>
      </c>
      <c r="D172" s="42" t="inlineStr">
        <is>
          <t>Software - Infrastructure</t>
        </is>
      </c>
      <c r="E172" s="43" t="n">
        <v>0.7</v>
      </c>
      <c r="F172" s="43" t="n">
        <v>3.2</v>
      </c>
      <c r="G172" s="43" t="n">
        <v>3.2</v>
      </c>
      <c r="H172" s="44" t="n">
        <v>0.659</v>
      </c>
      <c r="I172" s="44" t="n">
        <v>0.2</v>
      </c>
      <c r="J172" s="44" t="n">
        <v>0.165</v>
      </c>
      <c r="K172" s="44" t="n">
        <v>0.173</v>
      </c>
      <c r="L172" s="44" t="n">
        <v>1.047</v>
      </c>
    </row>
    <row r="173" hidden="1" ht="14" customHeight="1" s="215">
      <c r="A173" s="28" t="n"/>
      <c r="B173" s="41" t="inlineStr">
        <is>
          <t>CE</t>
        </is>
      </c>
      <c r="C173" s="41" t="inlineStr">
        <is>
          <t>Celanese</t>
        </is>
      </c>
      <c r="D173" s="42" t="inlineStr">
        <is>
          <t>Chemicals</t>
        </is>
      </c>
      <c r="E173" s="43" t="n">
        <v>1.6</v>
      </c>
      <c r="F173" s="43" t="n">
        <v>1.6</v>
      </c>
      <c r="G173" s="43" t="n">
        <v>1</v>
      </c>
      <c r="H173" s="44" t="n">
        <v>0.255</v>
      </c>
      <c r="I173" s="44" t="n">
        <v>0.179</v>
      </c>
      <c r="J173" s="44" t="n">
        <v>0.135</v>
      </c>
      <c r="K173" s="44" t="n">
        <v>0.173</v>
      </c>
      <c r="L173" s="44" t="n">
        <v>1.283</v>
      </c>
    </row>
    <row r="174" hidden="1" ht="28" customHeight="1" s="215">
      <c r="A174" s="28" t="n"/>
      <c r="B174" s="41" t="inlineStr">
        <is>
          <t>FLIR</t>
        </is>
      </c>
      <c r="C174" s="41" t="inlineStr">
        <is>
          <t>FLIR Systems</t>
        </is>
      </c>
      <c r="D174" s="42" t="inlineStr">
        <is>
          <t>Scientific &amp; Technical Instruments</t>
        </is>
      </c>
      <c r="E174" s="43" t="n">
        <v>0.4</v>
      </c>
      <c r="F174" s="43" t="n">
        <v>2.7</v>
      </c>
      <c r="G174" s="43" t="n">
        <v>1.6</v>
      </c>
      <c r="H174" s="44" t="n">
        <v>0.492</v>
      </c>
      <c r="I174" s="44" t="n">
        <v>0.15</v>
      </c>
      <c r="J174" s="44" t="n">
        <v>0.09</v>
      </c>
      <c r="K174" s="44" t="n">
        <v>0.173</v>
      </c>
      <c r="L174" s="44" t="n">
        <v>1.916</v>
      </c>
    </row>
    <row r="175" hidden="1" ht="28" customHeight="1" s="215">
      <c r="A175" s="28" t="n"/>
      <c r="B175" s="41" t="inlineStr">
        <is>
          <t>JKHY</t>
        </is>
      </c>
      <c r="C175" s="41" t="inlineStr">
        <is>
          <t>Jack Henry &amp; Associates</t>
        </is>
      </c>
      <c r="D175" s="42" t="inlineStr">
        <is>
          <t>Information Technology Services</t>
        </is>
      </c>
      <c r="E175" s="43" t="n">
        <v>0</v>
      </c>
      <c r="F175" s="43" t="n">
        <v>1.3</v>
      </c>
      <c r="G175" s="43" t="n">
        <v>1.2</v>
      </c>
      <c r="H175" s="44" t="n">
        <v>0.405</v>
      </c>
      <c r="I175" s="44" t="n">
        <v>0.226</v>
      </c>
      <c r="J175" s="44" t="n">
        <v>0.173</v>
      </c>
      <c r="K175" s="44" t="n">
        <v>0.173</v>
      </c>
      <c r="L175" s="44" t="n">
        <v>0.999</v>
      </c>
    </row>
    <row r="176" hidden="1" ht="14" customHeight="1" s="215">
      <c r="A176" s="28" t="n"/>
      <c r="B176" s="41" t="inlineStr">
        <is>
          <t>AMP</t>
        </is>
      </c>
      <c r="C176" s="41" t="inlineStr">
        <is>
          <t>Ameriprise Financial</t>
        </is>
      </c>
      <c r="D176" s="42" t="inlineStr">
        <is>
          <t>Asset Management</t>
        </is>
      </c>
      <c r="E176" s="43" t="n">
        <v>0.9</v>
      </c>
      <c r="F176" s="43" t="inlineStr">
        <is>
          <t xml:space="preserve">- </t>
        </is>
      </c>
      <c r="G176" s="43" t="inlineStr">
        <is>
          <t xml:space="preserve">- </t>
        </is>
      </c>
      <c r="H176" s="44" t="n">
        <v>0</v>
      </c>
      <c r="I176" s="44" t="n">
        <v>0</v>
      </c>
      <c r="J176" s="44" t="n">
        <v>0.147</v>
      </c>
      <c r="K176" s="44" t="n">
        <v>0.172</v>
      </c>
      <c r="L176" s="44" t="n">
        <v>1.169</v>
      </c>
    </row>
    <row r="177" hidden="1" ht="28" customHeight="1" s="215">
      <c r="A177" s="28" t="n"/>
      <c r="B177" s="41" t="inlineStr">
        <is>
          <t>COO</t>
        </is>
      </c>
      <c r="C177" s="41" t="inlineStr">
        <is>
          <t>Cooper Companies</t>
        </is>
      </c>
      <c r="D177" s="42" t="inlineStr">
        <is>
          <t>Medical Instruments &amp; Supplies</t>
        </is>
      </c>
      <c r="E177" s="43" t="n">
        <v>0.6</v>
      </c>
      <c r="F177" s="43" t="n">
        <v>1.1</v>
      </c>
      <c r="G177" s="43" t="n">
        <v>0.6</v>
      </c>
      <c r="H177" s="44" t="n">
        <v>0.661</v>
      </c>
      <c r="I177" s="44" t="n">
        <v>0.198</v>
      </c>
      <c r="J177" s="44" t="n">
        <v>0.17</v>
      </c>
      <c r="K177" s="44" t="n">
        <v>0.171</v>
      </c>
      <c r="L177" s="44" t="n">
        <v>1.009</v>
      </c>
    </row>
    <row r="178" hidden="1" ht="14" customHeight="1" s="215">
      <c r="A178" s="28" t="n"/>
      <c r="B178" s="41" t="inlineStr">
        <is>
          <t>HP</t>
        </is>
      </c>
      <c r="C178" s="41" t="inlineStr">
        <is>
          <t>Helmerich &amp; Payne</t>
        </is>
      </c>
      <c r="D178" s="42" t="inlineStr">
        <is>
          <t>Oil &amp; Gas Drilling</t>
        </is>
      </c>
      <c r="E178" s="43" t="n">
        <v>0.1</v>
      </c>
      <c r="F178" s="43" t="n">
        <v>2.8</v>
      </c>
      <c r="G178" s="43" t="n">
        <v>2.4</v>
      </c>
      <c r="H178" s="44" t="n">
        <v>0.15</v>
      </c>
      <c r="I178" s="44" t="n">
        <v>0.068</v>
      </c>
      <c r="J178" s="44" t="n">
        <v>-0.008999999999999999</v>
      </c>
      <c r="K178" s="44" t="n">
        <v>0.169</v>
      </c>
      <c r="L178" s="43" t="inlineStr">
        <is>
          <t xml:space="preserve">- </t>
        </is>
      </c>
    </row>
    <row r="179" hidden="1" ht="14" customHeight="1" s="215">
      <c r="A179" s="28" t="n"/>
      <c r="B179" s="41" t="inlineStr">
        <is>
          <t>MTD</t>
        </is>
      </c>
      <c r="C179" s="41" t="inlineStr">
        <is>
          <t>Mettler-Toledo Intl</t>
        </is>
      </c>
      <c r="D179" s="42" t="inlineStr">
        <is>
          <t>Diagnostics &amp; Research</t>
        </is>
      </c>
      <c r="E179" s="43" t="n">
        <v>3.1</v>
      </c>
      <c r="F179" s="43" t="n">
        <v>1.5</v>
      </c>
      <c r="G179" s="43" t="n">
        <v>1.1</v>
      </c>
      <c r="H179" s="44" t="n">
        <v>0.579</v>
      </c>
      <c r="I179" s="44" t="n">
        <v>0.243</v>
      </c>
      <c r="J179" s="44" t="n">
        <v>0.187</v>
      </c>
      <c r="K179" s="44" t="n">
        <v>0.169</v>
      </c>
      <c r="L179" s="44" t="n">
        <v>0.904</v>
      </c>
    </row>
    <row r="180" hidden="1" ht="14" customHeight="1" s="215">
      <c r="A180" s="28" t="n"/>
      <c r="B180" s="41" t="inlineStr">
        <is>
          <t>MMM</t>
        </is>
      </c>
      <c r="C180" s="41" t="inlineStr">
        <is>
          <t>3M</t>
        </is>
      </c>
      <c r="D180" s="42" t="inlineStr">
        <is>
          <t>Specialty Industrial Machinery</t>
        </is>
      </c>
      <c r="E180" s="43" t="n">
        <v>2.1</v>
      </c>
      <c r="F180" s="43" t="n">
        <v>1.4</v>
      </c>
      <c r="G180" s="43" t="n">
        <v>1</v>
      </c>
      <c r="H180" s="44" t="n">
        <v>0.467</v>
      </c>
      <c r="I180" s="44" t="n">
        <v>0.189</v>
      </c>
      <c r="J180" s="44" t="n">
        <v>0.143</v>
      </c>
      <c r="K180" s="44" t="n">
        <v>0.168</v>
      </c>
      <c r="L180" s="44" t="n">
        <v>1.179</v>
      </c>
    </row>
    <row r="181" hidden="1" ht="14" customHeight="1" s="215">
      <c r="A181" s="28" t="n"/>
      <c r="B181" s="41" t="inlineStr">
        <is>
          <t>NTAP</t>
        </is>
      </c>
      <c r="C181" s="41" t="inlineStr">
        <is>
          <t>NetApp</t>
        </is>
      </c>
      <c r="D181" s="42" t="inlineStr">
        <is>
          <t>Computer Hardware</t>
        </is>
      </c>
      <c r="E181" s="43" t="n">
        <v>7.1</v>
      </c>
      <c r="F181" s="43" t="n">
        <v>1.2</v>
      </c>
      <c r="G181" s="43" t="n">
        <v>1.2</v>
      </c>
      <c r="H181" s="44" t="n">
        <v>0.662</v>
      </c>
      <c r="I181" s="44" t="n">
        <v>0.172</v>
      </c>
      <c r="J181" s="44" t="n">
        <v>0.181</v>
      </c>
      <c r="K181" s="44" t="n">
        <v>0.167</v>
      </c>
      <c r="L181" s="44" t="n">
        <v>0.924</v>
      </c>
    </row>
    <row r="182" hidden="1" ht="14" customHeight="1" s="215">
      <c r="A182" s="28" t="n"/>
      <c r="B182" s="41" t="inlineStr">
        <is>
          <t>HON</t>
        </is>
      </c>
      <c r="C182" s="41" t="inlineStr">
        <is>
          <t>Honeywell International</t>
        </is>
      </c>
      <c r="D182" s="42" t="inlineStr">
        <is>
          <t>Specialty Industrial Machinery</t>
        </is>
      </c>
      <c r="E182" s="43" t="n">
        <v>0.9</v>
      </c>
      <c r="F182" s="43" t="n">
        <v>1.3</v>
      </c>
      <c r="G182" s="43" t="n">
        <v>1.1</v>
      </c>
      <c r="H182" s="44" t="n">
        <v>0.337</v>
      </c>
      <c r="I182" s="44" t="n">
        <v>0.187</v>
      </c>
      <c r="J182" s="44" t="n">
        <v>0.167</v>
      </c>
      <c r="K182" s="44" t="n">
        <v>0.166</v>
      </c>
      <c r="L182" s="44" t="n">
        <v>0.989</v>
      </c>
    </row>
    <row r="183" hidden="1" ht="14" customHeight="1" s="215">
      <c r="A183" s="28" t="n"/>
      <c r="B183" s="41" t="inlineStr">
        <is>
          <t>NSC</t>
        </is>
      </c>
      <c r="C183" s="41" t="inlineStr">
        <is>
          <t>Norfolk Southern</t>
        </is>
      </c>
      <c r="D183" s="42" t="inlineStr">
        <is>
          <t>Railroads</t>
        </is>
      </c>
      <c r="E183" s="43" t="n">
        <v>0.8</v>
      </c>
      <c r="F183" s="43" t="n">
        <v>0.9</v>
      </c>
      <c r="G183" s="43" t="n">
        <v>0.8</v>
      </c>
      <c r="H183" s="44" t="n">
        <v>0.39</v>
      </c>
      <c r="I183" s="44" t="n">
        <v>0.37</v>
      </c>
      <c r="J183" s="44" t="n">
        <v>0.241</v>
      </c>
      <c r="K183" s="44" t="n">
        <v>0.166</v>
      </c>
      <c r="L183" s="44" t="n">
        <v>0.6889999999999999</v>
      </c>
    </row>
    <row r="184" hidden="1" ht="28" customHeight="1" s="215">
      <c r="A184" s="28" t="n"/>
      <c r="B184" s="41" t="inlineStr">
        <is>
          <t>TRV</t>
        </is>
      </c>
      <c r="C184" s="41" t="inlineStr">
        <is>
          <t>Travelers Companies</t>
        </is>
      </c>
      <c r="D184" s="42" t="inlineStr">
        <is>
          <t>Insurance - Property &amp; Casualty</t>
        </is>
      </c>
      <c r="E184" s="43" t="n">
        <v>0.3</v>
      </c>
      <c r="F184" s="43" t="inlineStr">
        <is>
          <t xml:space="preserve">- </t>
        </is>
      </c>
      <c r="G184" s="43" t="inlineStr">
        <is>
          <t xml:space="preserve">- </t>
        </is>
      </c>
      <c r="H184" s="44" t="n">
        <v>0</v>
      </c>
      <c r="I184" s="44" t="n">
        <v>0</v>
      </c>
      <c r="J184" s="44" t="n">
        <v>0.083</v>
      </c>
      <c r="K184" s="44" t="n">
        <v>0.166</v>
      </c>
      <c r="L184" s="44" t="n">
        <v>2.001</v>
      </c>
    </row>
    <row r="185" hidden="1" ht="14" customHeight="1" s="215">
      <c r="A185" s="28" t="n"/>
      <c r="B185" s="41" t="inlineStr">
        <is>
          <t>FOX</t>
        </is>
      </c>
      <c r="C185" s="41" t="inlineStr">
        <is>
          <t>Fox</t>
        </is>
      </c>
      <c r="D185" s="42" t="inlineStr">
        <is>
          <t>Broadcasting</t>
        </is>
      </c>
      <c r="E185" s="43" t="n">
        <v>0.7</v>
      </c>
      <c r="F185" s="43" t="n">
        <v>3.5</v>
      </c>
      <c r="G185" s="43" t="n">
        <v>2.6</v>
      </c>
      <c r="H185" s="44" t="n">
        <v>0</v>
      </c>
      <c r="I185" s="44" t="n">
        <v>0.195</v>
      </c>
      <c r="J185" s="44" t="n">
        <v>0.152</v>
      </c>
      <c r="K185" s="44" t="n">
        <v>0.165</v>
      </c>
      <c r="L185" s="44" t="n">
        <v>1.085</v>
      </c>
    </row>
    <row r="186" hidden="1" ht="14" customHeight="1" s="215">
      <c r="A186" s="28" t="n"/>
      <c r="B186" s="41" t="inlineStr">
        <is>
          <t>FOXA</t>
        </is>
      </c>
      <c r="C186" s="41" t="inlineStr">
        <is>
          <t>Fox</t>
        </is>
      </c>
      <c r="D186" s="42" t="inlineStr">
        <is>
          <t>Broadcasting</t>
        </is>
      </c>
      <c r="E186" s="43" t="n">
        <v>0.7</v>
      </c>
      <c r="F186" s="43" t="n">
        <v>3.5</v>
      </c>
      <c r="G186" s="43" t="n">
        <v>2.6</v>
      </c>
      <c r="H186" s="44" t="n">
        <v>0</v>
      </c>
      <c r="I186" s="44" t="n">
        <v>0.195</v>
      </c>
      <c r="J186" s="44" t="n">
        <v>0.152</v>
      </c>
      <c r="K186" s="44" t="n">
        <v>0.165</v>
      </c>
      <c r="L186" s="44" t="n">
        <v>1.085</v>
      </c>
    </row>
    <row r="187" hidden="1" ht="14" customHeight="1" s="215">
      <c r="A187" s="28" t="n"/>
      <c r="B187" s="41" t="inlineStr">
        <is>
          <t>IVZ</t>
        </is>
      </c>
      <c r="C187" s="41" t="inlineStr">
        <is>
          <t>Invesco</t>
        </is>
      </c>
      <c r="D187" s="42" t="inlineStr">
        <is>
          <t>Asset Management</t>
        </is>
      </c>
      <c r="E187" s="43" t="n">
        <v>0.6</v>
      </c>
      <c r="F187" s="43" t="n">
        <v>0.2</v>
      </c>
      <c r="G187" s="43" t="n">
        <v>0.2</v>
      </c>
      <c r="H187" s="44" t="n">
        <v>0.721</v>
      </c>
      <c r="I187" s="44" t="n">
        <v>0.243</v>
      </c>
      <c r="J187" s="44" t="n">
        <v>0.112</v>
      </c>
      <c r="K187" s="44" t="n">
        <v>0.165</v>
      </c>
      <c r="L187" s="44" t="n">
        <v>1.467</v>
      </c>
    </row>
    <row r="188" hidden="1" ht="28" customHeight="1" s="215">
      <c r="A188" s="28" t="n"/>
      <c r="B188" s="41" t="inlineStr">
        <is>
          <t>BDX</t>
        </is>
      </c>
      <c r="C188" s="41" t="inlineStr">
        <is>
          <t>Becton, Dickinson</t>
        </is>
      </c>
      <c r="D188" s="42" t="inlineStr">
        <is>
          <t>Medical Instruments &amp; Supplies</t>
        </is>
      </c>
      <c r="E188" s="43" t="n">
        <v>0.9</v>
      </c>
      <c r="F188" s="43" t="n">
        <v>1</v>
      </c>
      <c r="G188" s="43" t="n">
        <v>0.6</v>
      </c>
      <c r="H188" s="44" t="n">
        <v>0.478</v>
      </c>
      <c r="I188" s="44" t="n">
        <v>0.107</v>
      </c>
      <c r="J188" s="44" t="n">
        <v>0.053</v>
      </c>
      <c r="K188" s="44" t="n">
        <v>0.164</v>
      </c>
      <c r="L188" s="44" t="n">
        <v>3.085</v>
      </c>
    </row>
    <row r="189" hidden="1" ht="14" customHeight="1" s="215">
      <c r="A189" s="28" t="n"/>
      <c r="B189" s="41" t="inlineStr">
        <is>
          <t>HIG</t>
        </is>
      </c>
      <c r="C189" s="41" t="inlineStr">
        <is>
          <t>Hartford Finl Servs Gr</t>
        </is>
      </c>
      <c r="D189" s="42" t="inlineStr">
        <is>
          <t>Insurance - Diversified</t>
        </is>
      </c>
      <c r="E189" s="43" t="n">
        <v>0.3</v>
      </c>
      <c r="F189" s="43" t="inlineStr">
        <is>
          <t xml:space="preserve">- </t>
        </is>
      </c>
      <c r="G189" s="43" t="inlineStr">
        <is>
          <t xml:space="preserve">- </t>
        </is>
      </c>
      <c r="H189" s="44" t="n">
        <v>0</v>
      </c>
      <c r="I189" s="44" t="n">
        <v>0</v>
      </c>
      <c r="J189" s="44" t="n">
        <v>0.1</v>
      </c>
      <c r="K189" s="44" t="n">
        <v>0.164</v>
      </c>
      <c r="L189" s="44" t="n">
        <v>1.639</v>
      </c>
    </row>
    <row r="190" hidden="1" ht="14" customHeight="1" s="215">
      <c r="A190" s="28" t="n"/>
      <c r="B190" s="41" t="inlineStr">
        <is>
          <t>IP</t>
        </is>
      </c>
      <c r="C190" s="41" t="inlineStr">
        <is>
          <t>International Paper</t>
        </is>
      </c>
      <c r="D190" s="42" t="inlineStr">
        <is>
          <t>Packaging &amp; Containers</t>
        </is>
      </c>
      <c r="E190" s="43" t="n">
        <v>1.5</v>
      </c>
      <c r="F190" s="43" t="n">
        <v>0.8</v>
      </c>
      <c r="G190" s="43" t="n">
        <v>0.5</v>
      </c>
      <c r="H190" s="44" t="n">
        <v>0.318</v>
      </c>
      <c r="I190" s="44" t="n">
        <v>0.107</v>
      </c>
      <c r="J190" s="44" t="n">
        <v>0.055</v>
      </c>
      <c r="K190" s="44" t="n">
        <v>0.162</v>
      </c>
      <c r="L190" s="44" t="n">
        <v>2.966</v>
      </c>
    </row>
    <row r="191" hidden="1" ht="14" customHeight="1" s="215">
      <c r="A191" s="28" t="n"/>
      <c r="B191" s="41" t="inlineStr">
        <is>
          <t>T</t>
        </is>
      </c>
      <c r="C191" s="41" t="inlineStr">
        <is>
          <t>AT&amp;T</t>
        </is>
      </c>
      <c r="D191" s="42" t="inlineStr">
        <is>
          <t>Telecom Services</t>
        </is>
      </c>
      <c r="E191" s="43" t="n">
        <v>1</v>
      </c>
      <c r="F191" s="43" t="n">
        <v>0.8</v>
      </c>
      <c r="G191" s="43" t="n">
        <v>0.8</v>
      </c>
      <c r="H191" s="44" t="n">
        <v>0.536</v>
      </c>
      <c r="I191" s="44" t="n">
        <v>0.162</v>
      </c>
      <c r="J191" s="44" t="n">
        <v>0.077</v>
      </c>
      <c r="K191" s="44" t="n">
        <v>0.162</v>
      </c>
      <c r="L191" s="44" t="n">
        <v>2.111</v>
      </c>
    </row>
    <row r="192" hidden="1" ht="14" customHeight="1" s="215">
      <c r="A192" s="28" t="n"/>
      <c r="B192" s="41" t="inlineStr">
        <is>
          <t>ROK</t>
        </is>
      </c>
      <c r="C192" s="41" t="inlineStr">
        <is>
          <t>Rockwell Automation</t>
        </is>
      </c>
      <c r="D192" s="42" t="inlineStr">
        <is>
          <t>Specialty Industrial Machinery</t>
        </is>
      </c>
      <c r="E192" s="43" t="n">
        <v>3.7</v>
      </c>
      <c r="F192" s="43" t="n">
        <v>1.5</v>
      </c>
      <c r="G192" s="43" t="n">
        <v>1.2</v>
      </c>
      <c r="H192" s="44" t="n">
        <v>0.425</v>
      </c>
      <c r="I192" s="44" t="n">
        <v>0.194</v>
      </c>
      <c r="J192" s="44" t="n">
        <v>0.137</v>
      </c>
      <c r="K192" s="44" t="n">
        <v>0.16</v>
      </c>
      <c r="L192" s="44" t="n">
        <v>1.173</v>
      </c>
    </row>
    <row r="193" hidden="1" ht="28" customHeight="1" s="215">
      <c r="A193" s="28" t="n"/>
      <c r="B193" s="41" t="inlineStr">
        <is>
          <t>FTV</t>
        </is>
      </c>
      <c r="C193" s="41" t="inlineStr">
        <is>
          <t>Fortive</t>
        </is>
      </c>
      <c r="D193" s="42" t="inlineStr">
        <is>
          <t>Scientific &amp; Technical Instruments</t>
        </is>
      </c>
      <c r="E193" s="43" t="n">
        <v>0.9</v>
      </c>
      <c r="F193" s="43" t="n">
        <v>1.1</v>
      </c>
      <c r="G193" s="43" t="n">
        <v>0.9</v>
      </c>
      <c r="H193" s="44" t="n">
        <v>0.503</v>
      </c>
      <c r="I193" s="44" t="n">
        <v>0.137</v>
      </c>
      <c r="J193" s="44" t="n">
        <v>0.101</v>
      </c>
      <c r="K193" s="44" t="n">
        <v>0.159</v>
      </c>
      <c r="L193" s="44" t="n">
        <v>1.576</v>
      </c>
    </row>
    <row r="194" hidden="1" ht="28" customHeight="1" s="215">
      <c r="A194" s="28" t="n"/>
      <c r="B194" s="41" t="inlineStr">
        <is>
          <t>HOLX</t>
        </is>
      </c>
      <c r="C194" s="41" t="inlineStr">
        <is>
          <t>Hologic</t>
        </is>
      </c>
      <c r="D194" s="42" t="inlineStr">
        <is>
          <t>Medical Instruments &amp; Supplies</t>
        </is>
      </c>
      <c r="E194" s="43" t="n">
        <v>1.4</v>
      </c>
      <c r="F194" s="43" t="n">
        <v>1.6</v>
      </c>
      <c r="G194" s="43" t="n">
        <v>1.2</v>
      </c>
      <c r="H194" s="44" t="n">
        <v>0.349</v>
      </c>
      <c r="I194" s="44" t="n">
        <v>-0.003</v>
      </c>
      <c r="J194" s="44" t="n">
        <v>0.029</v>
      </c>
      <c r="K194" s="44" t="n">
        <v>0.159</v>
      </c>
      <c r="L194" s="44" t="n">
        <v>5.546</v>
      </c>
    </row>
    <row r="195" hidden="1" ht="14" customHeight="1" s="215">
      <c r="A195" s="28" t="n"/>
      <c r="B195" s="41" t="inlineStr">
        <is>
          <t>TMO</t>
        </is>
      </c>
      <c r="C195" s="41" t="inlineStr">
        <is>
          <t>Thermo Fisher Scientific</t>
        </is>
      </c>
      <c r="D195" s="42" t="inlineStr">
        <is>
          <t>Diagnostics &amp; Research</t>
        </is>
      </c>
      <c r="E195" s="43" t="n">
        <v>0.6</v>
      </c>
      <c r="F195" s="43" t="n">
        <v>1.9</v>
      </c>
      <c r="G195" s="43" t="n">
        <v>1.4</v>
      </c>
      <c r="H195" s="44" t="n">
        <v>0.444</v>
      </c>
      <c r="I195" s="44" t="n">
        <v>0.164</v>
      </c>
      <c r="J195" s="44" t="n">
        <v>0.145</v>
      </c>
      <c r="K195" s="44" t="n">
        <v>0.159</v>
      </c>
      <c r="L195" s="44" t="n">
        <v>1.1</v>
      </c>
    </row>
    <row r="196" hidden="1" ht="14" customHeight="1" s="215">
      <c r="A196" s="28" t="n"/>
      <c r="B196" s="41" t="inlineStr">
        <is>
          <t>LLY</t>
        </is>
      </c>
      <c r="C196" s="41" t="inlineStr">
        <is>
          <t>Eli Lilly</t>
        </is>
      </c>
      <c r="D196" s="42" t="inlineStr">
        <is>
          <t>Drug Manufacturers - General</t>
        </is>
      </c>
      <c r="E196" s="43" t="n">
        <v>6.1</v>
      </c>
      <c r="F196" s="43" t="n">
        <v>1.2</v>
      </c>
      <c r="G196" s="43" t="n">
        <v>0.9</v>
      </c>
      <c r="H196" s="44" t="n">
        <v>0.789</v>
      </c>
      <c r="I196" s="44" t="n">
        <v>0.269</v>
      </c>
      <c r="J196" s="44" t="n">
        <v>0.368</v>
      </c>
      <c r="K196" s="44" t="n">
        <v>0.158</v>
      </c>
      <c r="L196" s="44" t="n">
        <v>0.429</v>
      </c>
    </row>
    <row r="197" hidden="1" ht="28" customHeight="1" s="215">
      <c r="A197" s="28" t="n"/>
      <c r="B197" s="41" t="inlineStr">
        <is>
          <t>ADP</t>
        </is>
      </c>
      <c r="C197" s="41" t="inlineStr">
        <is>
          <t>Automatic Data Processing</t>
        </is>
      </c>
      <c r="D197" s="42" t="inlineStr">
        <is>
          <t>Staffing &amp; Employment Services</t>
        </is>
      </c>
      <c r="E197" s="43" t="n">
        <v>0.4</v>
      </c>
      <c r="F197" s="43" t="n">
        <v>1</v>
      </c>
      <c r="G197" s="43" t="n">
        <v>1</v>
      </c>
      <c r="H197" s="44" t="n">
        <v>0.43</v>
      </c>
      <c r="I197" s="44" t="n">
        <v>0.217</v>
      </c>
      <c r="J197" s="44" t="n">
        <v>0.169</v>
      </c>
      <c r="K197" s="44" t="n">
        <v>0.156</v>
      </c>
      <c r="L197" s="44" t="n">
        <v>0.921</v>
      </c>
    </row>
    <row r="198" hidden="1" ht="28" customHeight="1" s="215">
      <c r="A198" s="28" t="n"/>
      <c r="B198" s="41" t="inlineStr">
        <is>
          <t>FIS</t>
        </is>
      </c>
      <c r="C198" s="41" t="inlineStr">
        <is>
          <t>Fidelity National Info</t>
        </is>
      </c>
      <c r="D198" s="42" t="inlineStr">
        <is>
          <t>Information Technology Services</t>
        </is>
      </c>
      <c r="E198" s="43" t="n">
        <v>0.4</v>
      </c>
      <c r="F198" s="43" t="n">
        <v>0.8</v>
      </c>
      <c r="G198" s="43" t="n">
        <v>0.8</v>
      </c>
      <c r="H198" s="44" t="n">
        <v>0.361</v>
      </c>
      <c r="I198" s="44" t="n">
        <v>0.102</v>
      </c>
      <c r="J198" s="44" t="n">
        <v>0.029</v>
      </c>
      <c r="K198" s="44" t="n">
        <v>0.154</v>
      </c>
      <c r="L198" s="44" t="n">
        <v>5.405</v>
      </c>
    </row>
    <row r="199" hidden="1" ht="28" customHeight="1" s="215">
      <c r="A199" s="28" t="n"/>
      <c r="B199" s="41" t="inlineStr">
        <is>
          <t>GRMN</t>
        </is>
      </c>
      <c r="C199" s="41" t="inlineStr">
        <is>
          <t>Garmin</t>
        </is>
      </c>
      <c r="D199" s="42" t="inlineStr">
        <is>
          <t>Scientific &amp; Technical Instruments</t>
        </is>
      </c>
      <c r="E199" s="43" t="n">
        <v>0</v>
      </c>
      <c r="F199" s="43" t="n">
        <v>3</v>
      </c>
      <c r="G199" s="43" t="n">
        <v>2.2</v>
      </c>
      <c r="H199" s="44" t="n">
        <v>0.595</v>
      </c>
      <c r="I199" s="44" t="n">
        <v>0.252</v>
      </c>
      <c r="J199" s="44" t="n">
        <v>0.254</v>
      </c>
      <c r="K199" s="44" t="n">
        <v>0.154</v>
      </c>
      <c r="L199" s="44" t="n">
        <v>0.605</v>
      </c>
    </row>
    <row r="200" hidden="1" ht="28" customHeight="1" s="215">
      <c r="A200" s="28" t="n"/>
      <c r="B200" s="41" t="inlineStr">
        <is>
          <t>IBM</t>
        </is>
      </c>
      <c r="C200" s="41" t="inlineStr">
        <is>
          <t>IBM</t>
        </is>
      </c>
      <c r="D200" s="42" t="inlineStr">
        <is>
          <t>Information Technology Services</t>
        </is>
      </c>
      <c r="E200" s="43" t="n">
        <v>3.3</v>
      </c>
      <c r="F200" s="43" t="n">
        <v>1</v>
      </c>
      <c r="G200" s="43" t="n">
        <v>1</v>
      </c>
      <c r="H200" s="44" t="n">
        <v>0.473</v>
      </c>
      <c r="I200" s="44" t="n">
        <v>0.138</v>
      </c>
      <c r="J200" s="44" t="n">
        <v>0.123</v>
      </c>
      <c r="K200" s="44" t="n">
        <v>0.153</v>
      </c>
      <c r="L200" s="44" t="n">
        <v>1.248</v>
      </c>
    </row>
    <row r="201" hidden="1" ht="28" customHeight="1" s="215">
      <c r="A201" s="28" t="n"/>
      <c r="B201" s="41" t="inlineStr">
        <is>
          <t>PGR</t>
        </is>
      </c>
      <c r="C201" s="41" t="inlineStr">
        <is>
          <t>Progressive</t>
        </is>
      </c>
      <c r="D201" s="42" t="inlineStr">
        <is>
          <t>Insurance - Property &amp; Casualty</t>
        </is>
      </c>
      <c r="E201" s="43" t="n">
        <v>0.3</v>
      </c>
      <c r="F201" s="43" t="inlineStr">
        <is>
          <t xml:space="preserve">- </t>
        </is>
      </c>
      <c r="G201" s="43" t="inlineStr">
        <is>
          <t xml:space="preserve">- </t>
        </is>
      </c>
      <c r="H201" s="44" t="n">
        <v>0</v>
      </c>
      <c r="I201" s="44" t="n">
        <v>0</v>
      </c>
      <c r="J201" s="44" t="n">
        <v>0.102</v>
      </c>
      <c r="K201" s="44" t="n">
        <v>0.151</v>
      </c>
      <c r="L201" s="44" t="n">
        <v>1.483</v>
      </c>
    </row>
    <row r="202" hidden="1" ht="14" customHeight="1" s="215">
      <c r="A202" s="28" t="n"/>
      <c r="B202" s="41" t="inlineStr">
        <is>
          <t>ALLE</t>
        </is>
      </c>
      <c r="C202" s="41" t="inlineStr">
        <is>
          <t>Allegion</t>
        </is>
      </c>
      <c r="D202" s="42" t="inlineStr">
        <is>
          <t>Security &amp; Protection Services</t>
        </is>
      </c>
      <c r="E202" s="43" t="n">
        <v>1.9</v>
      </c>
      <c r="F202" s="43" t="n">
        <v>2</v>
      </c>
      <c r="G202" s="43" t="n">
        <v>1.4</v>
      </c>
      <c r="H202" s="44" t="n">
        <v>0.439</v>
      </c>
      <c r="I202" s="44" t="n">
        <v>0.198</v>
      </c>
      <c r="J202" s="44" t="n">
        <v>0.141</v>
      </c>
      <c r="K202" s="44" t="n">
        <v>0.15</v>
      </c>
      <c r="L202" s="44" t="n">
        <v>1.064</v>
      </c>
    </row>
    <row r="203" hidden="1" ht="28" customHeight="1" s="215">
      <c r="A203" s="28" t="n"/>
      <c r="B203" s="41" t="inlineStr">
        <is>
          <t>CINF</t>
        </is>
      </c>
      <c r="C203" s="41" t="inlineStr">
        <is>
          <t>Cincinnati Financial</t>
        </is>
      </c>
      <c r="D203" s="42" t="inlineStr">
        <is>
          <t>Insurance - Property &amp; Casualty</t>
        </is>
      </c>
      <c r="E203" s="43" t="n">
        <v>0.1</v>
      </c>
      <c r="F203" s="43" t="inlineStr">
        <is>
          <t xml:space="preserve">- </t>
        </is>
      </c>
      <c r="G203" s="43" t="inlineStr">
        <is>
          <t xml:space="preserve">- </t>
        </is>
      </c>
      <c r="H203" s="44" t="n">
        <v>0</v>
      </c>
      <c r="I203" s="44" t="n">
        <v>0</v>
      </c>
      <c r="J203" s="44" t="n">
        <v>0.251</v>
      </c>
      <c r="K203" s="44" t="n">
        <v>0.15</v>
      </c>
      <c r="L203" s="44" t="n">
        <v>0.598</v>
      </c>
    </row>
    <row r="204" hidden="1" ht="28" customHeight="1" s="215">
      <c r="A204" s="28" t="n"/>
      <c r="B204" s="41" t="inlineStr">
        <is>
          <t>RMD</t>
        </is>
      </c>
      <c r="C204" s="41" t="inlineStr">
        <is>
          <t>ResMed</t>
        </is>
      </c>
      <c r="D204" s="42" t="inlineStr">
        <is>
          <t>Medical Instruments &amp; Supplies</t>
        </is>
      </c>
      <c r="E204" s="43" t="n">
        <v>0.6</v>
      </c>
      <c r="F204" s="43" t="n">
        <v>2.6</v>
      </c>
      <c r="G204" s="43" t="n">
        <v>1.9</v>
      </c>
      <c r="H204" s="44" t="n">
        <v>0.59</v>
      </c>
      <c r="I204" s="44" t="n">
        <v>0.251</v>
      </c>
      <c r="J204" s="44" t="n">
        <v>0.163</v>
      </c>
      <c r="K204" s="44" t="n">
        <v>0.15</v>
      </c>
      <c r="L204" s="44" t="n">
        <v>0.92</v>
      </c>
    </row>
    <row r="205" hidden="1" ht="14" customHeight="1" s="215">
      <c r="A205" s="28" t="n"/>
      <c r="B205" s="41" t="inlineStr">
        <is>
          <t>GIS</t>
        </is>
      </c>
      <c r="C205" s="41" t="inlineStr">
        <is>
          <t>General Mills</t>
        </is>
      </c>
      <c r="D205" s="42" t="inlineStr">
        <is>
          <t>Packaged Foods</t>
        </is>
      </c>
      <c r="E205" s="43" t="n">
        <v>1.8</v>
      </c>
      <c r="F205" s="43" t="n">
        <v>0.6</v>
      </c>
      <c r="G205" s="43" t="n">
        <v>0.4</v>
      </c>
      <c r="H205" s="44" t="n">
        <v>0.347</v>
      </c>
      <c r="I205" s="44" t="n">
        <v>0.17</v>
      </c>
      <c r="J205" s="44" t="n">
        <v>0.127</v>
      </c>
      <c r="K205" s="44" t="n">
        <v>0.149</v>
      </c>
      <c r="L205" s="44" t="n">
        <v>1.176</v>
      </c>
    </row>
    <row r="206" hidden="1" ht="14" customHeight="1" s="215">
      <c r="A206" s="28" t="n"/>
      <c r="B206" s="41" t="inlineStr">
        <is>
          <t>WU</t>
        </is>
      </c>
      <c r="C206" s="41" t="inlineStr">
        <is>
          <t>The Western Union</t>
        </is>
      </c>
      <c r="D206" s="42" t="inlineStr">
        <is>
          <t>Credit Services</t>
        </is>
      </c>
      <c r="E206" s="43" t="inlineStr">
        <is>
          <t xml:space="preserve">- </t>
        </is>
      </c>
      <c r="F206" s="43" t="n">
        <v>1</v>
      </c>
      <c r="G206" s="43" t="n">
        <v>1</v>
      </c>
      <c r="H206" s="44" t="n">
        <v>0.417</v>
      </c>
      <c r="I206" s="44" t="n">
        <v>0.176</v>
      </c>
      <c r="J206" s="44" t="n">
        <v>0.201</v>
      </c>
      <c r="K206" s="44" t="n">
        <v>0.149</v>
      </c>
      <c r="L206" s="44" t="n">
        <v>0.741</v>
      </c>
    </row>
    <row r="207" hidden="1" ht="14" customHeight="1" s="215">
      <c r="A207" s="28" t="n"/>
      <c r="B207" s="41" t="inlineStr">
        <is>
          <t>AON</t>
        </is>
      </c>
      <c r="C207" s="41" t="inlineStr">
        <is>
          <t>Aon</t>
        </is>
      </c>
      <c r="D207" s="42" t="inlineStr">
        <is>
          <t>Insurance Brokers</t>
        </is>
      </c>
      <c r="E207" s="43" t="n">
        <v>2.5</v>
      </c>
      <c r="F207" s="43" t="n">
        <v>1.1</v>
      </c>
      <c r="G207" s="43" t="n">
        <v>1.1</v>
      </c>
      <c r="H207" s="44" t="n">
        <v>0.45</v>
      </c>
      <c r="I207" s="44" t="n">
        <v>0.196</v>
      </c>
      <c r="J207" s="44" t="n">
        <v>0.138</v>
      </c>
      <c r="K207" s="44" t="n">
        <v>0.148</v>
      </c>
      <c r="L207" s="44" t="n">
        <v>1.071</v>
      </c>
    </row>
    <row r="208" hidden="1" ht="14" customHeight="1" s="215">
      <c r="A208" s="28" t="n"/>
      <c r="B208" s="41" t="inlineStr">
        <is>
          <t>CTAS</t>
        </is>
      </c>
      <c r="C208" s="41" t="inlineStr">
        <is>
          <t>Cintas</t>
        </is>
      </c>
      <c r="D208" s="42" t="inlineStr">
        <is>
          <t>Specialty Business Services</t>
        </is>
      </c>
      <c r="E208" s="43" t="n">
        <v>0.9</v>
      </c>
      <c r="F208" s="43" t="n">
        <v>2.3</v>
      </c>
      <c r="G208" s="43" t="n">
        <v>2</v>
      </c>
      <c r="H208" s="44" t="n">
        <v>0.461</v>
      </c>
      <c r="I208" s="44" t="n">
        <v>0.175</v>
      </c>
      <c r="J208" s="44" t="n">
        <v>0.132</v>
      </c>
      <c r="K208" s="44" t="n">
        <v>0.148</v>
      </c>
      <c r="L208" s="44" t="n">
        <v>1.121</v>
      </c>
    </row>
    <row r="209" hidden="1" ht="14" customHeight="1" s="215">
      <c r="A209" s="28" t="n"/>
      <c r="B209" s="41" t="inlineStr">
        <is>
          <t>APH</t>
        </is>
      </c>
      <c r="C209" s="41" t="inlineStr">
        <is>
          <t>Amphenol</t>
        </is>
      </c>
      <c r="D209" s="42" t="inlineStr">
        <is>
          <t>Electronic Components</t>
        </is>
      </c>
      <c r="E209" s="43" t="n">
        <v>0.8</v>
      </c>
      <c r="F209" s="43" t="n">
        <v>2</v>
      </c>
      <c r="G209" s="43" t="n">
        <v>1.3</v>
      </c>
      <c r="H209" s="44" t="n">
        <v>0.318</v>
      </c>
      <c r="I209" s="44" t="n">
        <v>0.2</v>
      </c>
      <c r="J209" s="44" t="n">
        <v>0.14</v>
      </c>
      <c r="K209" s="44" t="n">
        <v>0.147</v>
      </c>
      <c r="L209" s="44" t="n">
        <v>1.046</v>
      </c>
    </row>
    <row r="210" hidden="1" ht="28" customHeight="1" s="215">
      <c r="A210" s="28" t="n"/>
      <c r="B210" s="41" t="inlineStr">
        <is>
          <t>IPGP</t>
        </is>
      </c>
      <c r="C210" s="41" t="inlineStr">
        <is>
          <t>IPG Photonics</t>
        </is>
      </c>
      <c r="D210" s="42" t="inlineStr">
        <is>
          <t>Semiconductor Equipment &amp; Materials</t>
        </is>
      </c>
      <c r="E210" s="43" t="n">
        <v>0</v>
      </c>
      <c r="F210" s="43" t="n">
        <v>9.9</v>
      </c>
      <c r="G210" s="43" t="n">
        <v>7.9</v>
      </c>
      <c r="H210" s="44" t="n">
        <v>0.461</v>
      </c>
      <c r="I210" s="44" t="n">
        <v>0.221</v>
      </c>
      <c r="J210" s="44" t="n">
        <v>0.137</v>
      </c>
      <c r="K210" s="44" t="n">
        <v>0.146</v>
      </c>
      <c r="L210" s="44" t="n">
        <v>1.066</v>
      </c>
    </row>
    <row r="211" hidden="1" ht="14" customHeight="1" s="215">
      <c r="A211" s="28" t="n"/>
      <c r="B211" s="41" t="inlineStr">
        <is>
          <t>NEM</t>
        </is>
      </c>
      <c r="C211" s="41" t="inlineStr">
        <is>
          <t>Newmont</t>
        </is>
      </c>
      <c r="D211" s="42" t="inlineStr">
        <is>
          <t>Gold</t>
        </is>
      </c>
      <c r="E211" s="43" t="n">
        <v>0.3</v>
      </c>
      <c r="F211" s="43" t="n">
        <v>2.6</v>
      </c>
      <c r="G211" s="43" t="n">
        <v>2.2</v>
      </c>
      <c r="H211" s="44" t="n">
        <v>0.265</v>
      </c>
      <c r="I211" s="44" t="n">
        <v>0.158</v>
      </c>
      <c r="J211" s="44" t="n">
        <v>0.29</v>
      </c>
      <c r="K211" s="44" t="n">
        <v>0.144</v>
      </c>
      <c r="L211" s="44" t="n">
        <v>0.495</v>
      </c>
    </row>
    <row r="212" hidden="1" ht="14" customHeight="1" s="215">
      <c r="A212" s="28" t="n"/>
      <c r="B212" s="41" t="inlineStr">
        <is>
          <t>ABT</t>
        </is>
      </c>
      <c r="C212" s="41" t="inlineStr">
        <is>
          <t>Abbott Laboratories</t>
        </is>
      </c>
      <c r="D212" s="42" t="inlineStr">
        <is>
          <t>Medical Devices</t>
        </is>
      </c>
      <c r="E212" s="43" t="n">
        <v>0.6</v>
      </c>
      <c r="F212" s="43" t="n">
        <v>1.4</v>
      </c>
      <c r="G212" s="43" t="n">
        <v>1</v>
      </c>
      <c r="H212" s="44" t="n">
        <v>0.585</v>
      </c>
      <c r="I212" s="44" t="n">
        <v>0.143</v>
      </c>
      <c r="J212" s="44" t="n">
        <v>0.116</v>
      </c>
      <c r="K212" s="44" t="n">
        <v>0.142</v>
      </c>
      <c r="L212" s="44" t="n">
        <v>1.225</v>
      </c>
    </row>
    <row r="213" hidden="1" ht="14" customHeight="1" s="215">
      <c r="A213" s="28" t="n"/>
      <c r="B213" s="41" t="inlineStr">
        <is>
          <t>SNA</t>
        </is>
      </c>
      <c r="C213" s="41" t="inlineStr">
        <is>
          <t>Snap-on</t>
        </is>
      </c>
      <c r="D213" s="42" t="inlineStr">
        <is>
          <t>Tools &amp; Accessories</t>
        </is>
      </c>
      <c r="E213" s="43" t="n">
        <v>0.4</v>
      </c>
      <c r="F213" s="43" t="n">
        <v>2.5</v>
      </c>
      <c r="G213" s="43" t="n">
        <v>1.7</v>
      </c>
      <c r="H213" s="44" t="n">
        <v>0.514</v>
      </c>
      <c r="I213" s="44" t="n">
        <v>0.236</v>
      </c>
      <c r="J213" s="44" t="n">
        <v>0.17</v>
      </c>
      <c r="K213" s="44" t="n">
        <v>0.141</v>
      </c>
      <c r="L213" s="44" t="n">
        <v>0.827</v>
      </c>
    </row>
    <row r="214" hidden="1" ht="14" customHeight="1" s="215">
      <c r="A214" s="28" t="n"/>
      <c r="B214" s="41" t="inlineStr">
        <is>
          <t>AJG</t>
        </is>
      </c>
      <c r="C214" s="41" t="inlineStr">
        <is>
          <t>Arthur J. Gallagher</t>
        </is>
      </c>
      <c r="D214" s="42" t="inlineStr">
        <is>
          <t>Insurance Brokers</t>
        </is>
      </c>
      <c r="E214" s="43" t="n">
        <v>1</v>
      </c>
      <c r="F214" s="43" t="n">
        <v>1</v>
      </c>
      <c r="G214" s="43" t="n">
        <v>1</v>
      </c>
      <c r="H214" s="44" t="n">
        <v>0.321</v>
      </c>
      <c r="I214" s="44" t="n">
        <v>0.104</v>
      </c>
      <c r="J214" s="44" t="n">
        <v>0.093</v>
      </c>
      <c r="K214" s="44" t="n">
        <v>0.14</v>
      </c>
      <c r="L214" s="44" t="n">
        <v>1.508</v>
      </c>
    </row>
    <row r="215" hidden="1" ht="14" customHeight="1" s="215">
      <c r="A215" s="28" t="n"/>
      <c r="B215" s="41" t="inlineStr">
        <is>
          <t>EMR</t>
        </is>
      </c>
      <c r="C215" s="41" t="inlineStr">
        <is>
          <t>Emerson Electric</t>
        </is>
      </c>
      <c r="D215" s="42" t="inlineStr">
        <is>
          <t>Specialty Industrial Machinery</t>
        </is>
      </c>
      <c r="E215" s="43" t="n">
        <v>0.7</v>
      </c>
      <c r="F215" s="43" t="n">
        <v>1.1</v>
      </c>
      <c r="G215" s="43" t="n">
        <v>0.8</v>
      </c>
      <c r="H215" s="44" t="n">
        <v>0.425</v>
      </c>
      <c r="I215" s="44" t="n">
        <v>0.167</v>
      </c>
      <c r="J215" s="44" t="n">
        <v>0.118</v>
      </c>
      <c r="K215" s="44" t="n">
        <v>0.14</v>
      </c>
      <c r="L215" s="44" t="n">
        <v>1.183</v>
      </c>
    </row>
    <row r="216" hidden="1" ht="14" customHeight="1" s="215">
      <c r="A216" s="28" t="n"/>
      <c r="B216" s="41" t="inlineStr">
        <is>
          <t>ROL</t>
        </is>
      </c>
      <c r="C216" s="41" t="inlineStr">
        <is>
          <t>Rollins</t>
        </is>
      </c>
      <c r="D216" s="42" t="inlineStr">
        <is>
          <t>Personal Services</t>
        </is>
      </c>
      <c r="E216" s="43" t="n">
        <v>0.6</v>
      </c>
      <c r="F216" s="43" t="n">
        <v>0.8</v>
      </c>
      <c r="G216" s="43" t="n">
        <v>0.7</v>
      </c>
      <c r="H216" s="44" t="n">
        <v>0.507</v>
      </c>
      <c r="I216" s="44" t="n">
        <v>0.158</v>
      </c>
      <c r="J216" s="44" t="n">
        <v>0.101</v>
      </c>
      <c r="K216" s="44" t="n">
        <v>0.14</v>
      </c>
      <c r="L216" s="44" t="n">
        <v>1.389</v>
      </c>
    </row>
    <row r="217" hidden="1" ht="28" customHeight="1" s="215">
      <c r="A217" s="28" t="n"/>
      <c r="B217" s="41" t="inlineStr">
        <is>
          <t>XRX</t>
        </is>
      </c>
      <c r="C217" s="41" t="inlineStr">
        <is>
          <t>Xerox Holdings</t>
        </is>
      </c>
      <c r="D217" s="42" t="inlineStr">
        <is>
          <t>Information Technology Services</t>
        </is>
      </c>
      <c r="E217" s="43" t="n">
        <v>0.8</v>
      </c>
      <c r="F217" s="43" t="n">
        <v>1.8</v>
      </c>
      <c r="G217" s="43" t="n">
        <v>1.6</v>
      </c>
      <c r="H217" s="44" t="n">
        <v>0.403</v>
      </c>
      <c r="I217" s="44" t="n">
        <v>0.125</v>
      </c>
      <c r="J217" s="44" t="n">
        <v>0.15</v>
      </c>
      <c r="K217" s="44" t="n">
        <v>0.14</v>
      </c>
      <c r="L217" s="44" t="n">
        <v>0.9340000000000001</v>
      </c>
    </row>
    <row r="218" hidden="1" ht="14" customHeight="1" s="215">
      <c r="A218" s="28" t="n"/>
      <c r="B218" s="41" t="inlineStr">
        <is>
          <t>ZBRA</t>
        </is>
      </c>
      <c r="C218" s="41" t="inlineStr">
        <is>
          <t>Zebra Technologies</t>
        </is>
      </c>
      <c r="D218" s="42" t="inlineStr">
        <is>
          <t>Communication Equipment</t>
        </is>
      </c>
      <c r="E218" s="43" t="n">
        <v>0.8</v>
      </c>
      <c r="F218" s="43" t="n">
        <v>0.9</v>
      </c>
      <c r="G218" s="43" t="n">
        <v>0.5</v>
      </c>
      <c r="H218" s="44" t="n">
        <v>0.468</v>
      </c>
      <c r="I218" s="44" t="n">
        <v>0.162</v>
      </c>
      <c r="J218" s="44" t="n">
        <v>0.121</v>
      </c>
      <c r="K218" s="44" t="n">
        <v>0.14</v>
      </c>
      <c r="L218" s="44" t="n">
        <v>1.156</v>
      </c>
    </row>
    <row r="219" hidden="1" ht="14" customHeight="1" s="215">
      <c r="A219" s="28" t="n"/>
      <c r="B219" s="41" t="inlineStr">
        <is>
          <t>TEL</t>
        </is>
      </c>
      <c r="C219" s="41" t="inlineStr">
        <is>
          <t>TE Connectivity</t>
        </is>
      </c>
      <c r="D219" s="42" t="inlineStr">
        <is>
          <t>Electronic Components</t>
        </is>
      </c>
      <c r="E219" s="43" t="n">
        <v>0.4</v>
      </c>
      <c r="F219" s="43" t="n">
        <v>1.6</v>
      </c>
      <c r="G219" s="43" t="n">
        <v>0.9</v>
      </c>
      <c r="H219" s="44" t="n">
        <v>0.325</v>
      </c>
      <c r="I219" s="44" t="n">
        <v>0.166</v>
      </c>
      <c r="J219" s="44" t="n">
        <v>0.12</v>
      </c>
      <c r="K219" s="44" t="n">
        <v>0.138</v>
      </c>
      <c r="L219" s="44" t="n">
        <v>1.146</v>
      </c>
    </row>
    <row r="220" hidden="1" ht="28" customHeight="1" s="215">
      <c r="A220" s="28" t="n"/>
      <c r="B220" s="41" t="inlineStr">
        <is>
          <t>WRB</t>
        </is>
      </c>
      <c r="C220" s="41" t="inlineStr">
        <is>
          <t>WR Berkley</t>
        </is>
      </c>
      <c r="D220" s="42" t="inlineStr">
        <is>
          <t>Insurance - Property &amp; Casualty</t>
        </is>
      </c>
      <c r="E220" s="43" t="n">
        <v>0.4</v>
      </c>
      <c r="F220" s="43" t="inlineStr">
        <is>
          <t xml:space="preserve">- </t>
        </is>
      </c>
      <c r="G220" s="43" t="inlineStr">
        <is>
          <t xml:space="preserve">- </t>
        </is>
      </c>
      <c r="H220" s="44" t="n">
        <v>0</v>
      </c>
      <c r="I220" s="44" t="n">
        <v>0</v>
      </c>
      <c r="J220" s="44" t="n">
        <v>0.08599999999999999</v>
      </c>
      <c r="K220" s="44" t="n">
        <v>0.138</v>
      </c>
      <c r="L220" s="44" t="n">
        <v>1.602</v>
      </c>
    </row>
    <row r="221" hidden="1" ht="14" customHeight="1" s="215">
      <c r="A221" s="28" t="n"/>
      <c r="B221" s="41" t="inlineStr">
        <is>
          <t>COP</t>
        </is>
      </c>
      <c r="C221" s="41" t="inlineStr">
        <is>
          <t>ConocoPhillips</t>
        </is>
      </c>
      <c r="D221" s="42" t="inlineStr">
        <is>
          <t>Oil &amp; Gas E&amp;P</t>
        </is>
      </c>
      <c r="E221" s="43" t="n">
        <v>0.4</v>
      </c>
      <c r="F221" s="43" t="n">
        <v>2.4</v>
      </c>
      <c r="G221" s="43" t="n">
        <v>2.3</v>
      </c>
      <c r="H221" s="44" t="n">
        <v>0.286</v>
      </c>
      <c r="I221" s="44" t="n">
        <v>0.223</v>
      </c>
      <c r="J221" s="44" t="n">
        <v>0.221</v>
      </c>
      <c r="K221" s="44" t="n">
        <v>0.137</v>
      </c>
      <c r="L221" s="44" t="n">
        <v>0.621</v>
      </c>
    </row>
    <row r="222" hidden="1" ht="14" customHeight="1" s="215">
      <c r="A222" s="28" t="n"/>
      <c r="B222" s="41" t="inlineStr">
        <is>
          <t>CTL</t>
        </is>
      </c>
      <c r="C222" s="41" t="inlineStr">
        <is>
          <t>CenturyLink</t>
        </is>
      </c>
      <c r="D222" s="42" t="inlineStr">
        <is>
          <t>Telecom Services</t>
        </is>
      </c>
      <c r="E222" s="43" t="n">
        <v>2.7</v>
      </c>
      <c r="F222" s="43" t="n">
        <v>0.7</v>
      </c>
      <c r="G222" s="43" t="n">
        <v>0.6</v>
      </c>
      <c r="H222" s="44" t="n">
        <v>0.55</v>
      </c>
      <c r="I222" s="44" t="n">
        <v>0.169</v>
      </c>
      <c r="J222" s="44" t="n">
        <v>-0.226</v>
      </c>
      <c r="K222" s="44" t="n">
        <v>0.137</v>
      </c>
      <c r="L222" s="43" t="inlineStr">
        <is>
          <t xml:space="preserve">- </t>
        </is>
      </c>
    </row>
    <row r="223" hidden="1" ht="14" customHeight="1" s="215">
      <c r="A223" s="28" t="n"/>
      <c r="B223" s="41" t="inlineStr">
        <is>
          <t>ETN</t>
        </is>
      </c>
      <c r="C223" s="41" t="inlineStr">
        <is>
          <t>Eaton Corp</t>
        </is>
      </c>
      <c r="D223" s="42" t="inlineStr">
        <is>
          <t>Specialty Industrial Machinery</t>
        </is>
      </c>
      <c r="E223" s="43" t="n">
        <v>0.5</v>
      </c>
      <c r="F223" s="43" t="n">
        <v>1.7</v>
      </c>
      <c r="G223" s="43" t="n">
        <v>1.2</v>
      </c>
      <c r="H223" s="44" t="n">
        <v>0.33</v>
      </c>
      <c r="I223" s="44" t="n">
        <v>0.134</v>
      </c>
      <c r="J223" s="44" t="n">
        <v>0.103</v>
      </c>
      <c r="K223" s="44" t="n">
        <v>0.135</v>
      </c>
      <c r="L223" s="44" t="n">
        <v>1.301</v>
      </c>
    </row>
    <row r="224" hidden="1" ht="28" customHeight="1" s="215">
      <c r="A224" s="28" t="n"/>
      <c r="B224" s="41" t="inlineStr">
        <is>
          <t>ACN</t>
        </is>
      </c>
      <c r="C224" s="41" t="inlineStr">
        <is>
          <t>Accenture</t>
        </is>
      </c>
      <c r="D224" s="42" t="inlineStr">
        <is>
          <t>Information Technology Services</t>
        </is>
      </c>
      <c r="E224" s="43" t="n">
        <v>0.2</v>
      </c>
      <c r="F224" s="43" t="n">
        <v>1.4</v>
      </c>
      <c r="G224" s="43" t="n">
        <v>1.4</v>
      </c>
      <c r="H224" s="44" t="n">
        <v>0.313</v>
      </c>
      <c r="I224" s="44" t="n">
        <v>0.147</v>
      </c>
      <c r="J224" s="44" t="n">
        <v>0.111</v>
      </c>
      <c r="K224" s="44" t="n">
        <v>0.133</v>
      </c>
      <c r="L224" s="44" t="n">
        <v>1.19</v>
      </c>
    </row>
    <row r="225" hidden="1" ht="28" customHeight="1" s="215">
      <c r="A225" s="28" t="n"/>
      <c r="B225" s="41" t="inlineStr">
        <is>
          <t>CLX</t>
        </is>
      </c>
      <c r="C225" s="41" t="inlineStr">
        <is>
          <t>Clorox</t>
        </is>
      </c>
      <c r="D225" s="42" t="inlineStr">
        <is>
          <t>Household &amp; Personal Products</t>
        </is>
      </c>
      <c r="E225" s="43" t="n">
        <v>5.7</v>
      </c>
      <c r="F225" s="43" t="n">
        <v>0.9</v>
      </c>
      <c r="G225" s="43" t="n">
        <v>0.5</v>
      </c>
      <c r="H225" s="44" t="n">
        <v>0.442</v>
      </c>
      <c r="I225" s="44" t="n">
        <v>0.179</v>
      </c>
      <c r="J225" s="44" t="n">
        <v>0.133</v>
      </c>
      <c r="K225" s="44" t="n">
        <v>0.133</v>
      </c>
      <c r="L225" s="44" t="n">
        <v>0.997</v>
      </c>
    </row>
    <row r="226" hidden="1" ht="14" customHeight="1" s="215">
      <c r="A226" s="28" t="n"/>
      <c r="B226" s="41" t="inlineStr">
        <is>
          <t>WM</t>
        </is>
      </c>
      <c r="C226" s="41" t="inlineStr">
        <is>
          <t>Waste Management</t>
        </is>
      </c>
      <c r="D226" s="42" t="inlineStr">
        <is>
          <t>Waste Management</t>
        </is>
      </c>
      <c r="E226" s="43" t="n">
        <v>1.9</v>
      </c>
      <c r="F226" s="43" t="n">
        <v>2</v>
      </c>
      <c r="G226" s="43" t="n">
        <v>1.9</v>
      </c>
      <c r="H226" s="44" t="n">
        <v>0.386</v>
      </c>
      <c r="I226" s="44" t="n">
        <v>0.178</v>
      </c>
      <c r="J226" s="44" t="n">
        <v>0.108</v>
      </c>
      <c r="K226" s="44" t="n">
        <v>0.133</v>
      </c>
      <c r="L226" s="44" t="n">
        <v>1.231</v>
      </c>
    </row>
    <row r="227" hidden="1" ht="14" customHeight="1" s="215">
      <c r="A227" s="28" t="n"/>
      <c r="B227" s="41" t="inlineStr">
        <is>
          <t>AOS</t>
        </is>
      </c>
      <c r="C227" s="41" t="inlineStr">
        <is>
          <t>A.O. Smith</t>
        </is>
      </c>
      <c r="D227" s="42" t="inlineStr">
        <is>
          <t>Specialty Industrial Machinery</t>
        </is>
      </c>
      <c r="E227" s="43" t="n">
        <v>0.2</v>
      </c>
      <c r="F227" s="43" t="n">
        <v>2</v>
      </c>
      <c r="G227" s="43" t="n">
        <v>1.6</v>
      </c>
      <c r="H227" s="44" t="n">
        <v>0.395</v>
      </c>
      <c r="I227" s="44" t="n">
        <v>0.156</v>
      </c>
      <c r="J227" s="44" t="n">
        <v>0.124</v>
      </c>
      <c r="K227" s="44" t="n">
        <v>0.132</v>
      </c>
      <c r="L227" s="44" t="n">
        <v>1.07</v>
      </c>
    </row>
    <row r="228" hidden="1" ht="14" customHeight="1" s="215">
      <c r="A228" s="28" t="n"/>
      <c r="B228" s="41" t="inlineStr">
        <is>
          <t>IPG</t>
        </is>
      </c>
      <c r="C228" s="41" t="inlineStr">
        <is>
          <t>Interpublic Gr of Cos</t>
        </is>
      </c>
      <c r="D228" s="42" t="inlineStr">
        <is>
          <t>Advertising Agencies</t>
        </is>
      </c>
      <c r="E228" s="43" t="n">
        <v>1.8</v>
      </c>
      <c r="F228" s="43" t="n">
        <v>0.9</v>
      </c>
      <c r="G228" s="43" t="n">
        <v>0.9</v>
      </c>
      <c r="H228" s="44" t="n">
        <v>0.147</v>
      </c>
      <c r="I228" s="44" t="n">
        <v>0.11</v>
      </c>
      <c r="J228" s="44" t="n">
        <v>0.065</v>
      </c>
      <c r="K228" s="44" t="n">
        <v>0.132</v>
      </c>
      <c r="L228" s="44" t="n">
        <v>2.036</v>
      </c>
    </row>
    <row r="229" hidden="1" ht="14" customHeight="1" s="215">
      <c r="A229" s="28" t="n"/>
      <c r="B229" s="41" t="inlineStr">
        <is>
          <t>LUV</t>
        </is>
      </c>
      <c r="C229" s="41" t="inlineStr">
        <is>
          <t>Southwest Airlines</t>
        </is>
      </c>
      <c r="D229" s="42" t="inlineStr">
        <is>
          <t>Airlines</t>
        </is>
      </c>
      <c r="E229" s="43" t="n">
        <v>0.4</v>
      </c>
      <c r="F229" s="43" t="n">
        <v>0.7</v>
      </c>
      <c r="G229" s="43" t="n">
        <v>0.6</v>
      </c>
      <c r="H229" s="44" t="n">
        <v>0.267</v>
      </c>
      <c r="I229" s="44" t="n">
        <v>0.132</v>
      </c>
      <c r="J229" s="44" t="n">
        <v>0.103</v>
      </c>
      <c r="K229" s="44" t="n">
        <v>0.132</v>
      </c>
      <c r="L229" s="44" t="n">
        <v>1.278</v>
      </c>
    </row>
    <row r="230" hidden="1" ht="14" customHeight="1" s="215">
      <c r="A230" s="28" t="n"/>
      <c r="B230" s="41" t="inlineStr">
        <is>
          <t>MKC</t>
        </is>
      </c>
      <c r="C230" s="41" t="inlineStr">
        <is>
          <t>McCormick &amp; Co</t>
        </is>
      </c>
      <c r="D230" s="42" t="inlineStr">
        <is>
          <t>Packaged Foods</t>
        </is>
      </c>
      <c r="E230" s="43" t="n">
        <v>1.3</v>
      </c>
      <c r="F230" s="43" t="n">
        <v>0.7</v>
      </c>
      <c r="G230" s="43" t="n">
        <v>0.3</v>
      </c>
      <c r="H230" s="44" t="n">
        <v>0.403</v>
      </c>
      <c r="I230" s="44" t="n">
        <v>0.183</v>
      </c>
      <c r="J230" s="44" t="n">
        <v>0.131</v>
      </c>
      <c r="K230" s="44" t="n">
        <v>0.132</v>
      </c>
      <c r="L230" s="44" t="n">
        <v>1.003</v>
      </c>
    </row>
    <row r="231" hidden="1" ht="14" customHeight="1" s="215">
      <c r="A231" s="28" t="n"/>
      <c r="B231" s="41" t="inlineStr">
        <is>
          <t>UNM</t>
        </is>
      </c>
      <c r="C231" s="41" t="inlineStr">
        <is>
          <t>Unum</t>
        </is>
      </c>
      <c r="D231" s="42" t="inlineStr">
        <is>
          <t>Insurance - Life</t>
        </is>
      </c>
      <c r="E231" s="43" t="n">
        <v>0.3</v>
      </c>
      <c r="F231" s="43" t="inlineStr">
        <is>
          <t xml:space="preserve">- </t>
        </is>
      </c>
      <c r="G231" s="43" t="inlineStr">
        <is>
          <t xml:space="preserve">- </t>
        </is>
      </c>
      <c r="H231" s="44" t="n">
        <v>0</v>
      </c>
      <c r="I231" s="44" t="n">
        <v>0</v>
      </c>
      <c r="J231" s="44" t="n">
        <v>0.092</v>
      </c>
      <c r="K231" s="44" t="n">
        <v>0.132</v>
      </c>
      <c r="L231" s="44" t="n">
        <v>1.442</v>
      </c>
    </row>
    <row r="232" hidden="1" ht="28" customHeight="1" s="215">
      <c r="A232" s="28" t="n"/>
      <c r="B232" s="41" t="inlineStr">
        <is>
          <t>TFX</t>
        </is>
      </c>
      <c r="C232" s="41" t="inlineStr">
        <is>
          <t>Teleflex</t>
        </is>
      </c>
      <c r="D232" s="42" t="inlineStr">
        <is>
          <t>Medical Instruments &amp; Supplies</t>
        </is>
      </c>
      <c r="E232" s="43" t="n">
        <v>0.7</v>
      </c>
      <c r="F232" s="43" t="n">
        <v>2.3</v>
      </c>
      <c r="G232" s="43" t="n">
        <v>1.5</v>
      </c>
      <c r="H232" s="44" t="n">
        <v>0.575</v>
      </c>
      <c r="I232" s="44" t="n">
        <v>0.171</v>
      </c>
      <c r="J232" s="44" t="n">
        <v>0.179</v>
      </c>
      <c r="K232" s="44" t="n">
        <v>0.131</v>
      </c>
      <c r="L232" s="44" t="n">
        <v>0.729</v>
      </c>
    </row>
    <row r="233" hidden="1" ht="14" customHeight="1" s="215">
      <c r="A233" s="28" t="n"/>
      <c r="B233" s="41" t="inlineStr">
        <is>
          <t>AIZ</t>
        </is>
      </c>
      <c r="C233" s="41" t="inlineStr">
        <is>
          <t>Assurant</t>
        </is>
      </c>
      <c r="D233" s="42" t="inlineStr">
        <is>
          <t>Insurance - Specialty</t>
        </is>
      </c>
      <c r="E233" s="43" t="n">
        <v>0.4</v>
      </c>
      <c r="F233" s="43" t="inlineStr">
        <is>
          <t xml:space="preserve">- </t>
        </is>
      </c>
      <c r="G233" s="43" t="inlineStr">
        <is>
          <t xml:space="preserve">- </t>
        </is>
      </c>
      <c r="H233" s="44" t="n">
        <v>0</v>
      </c>
      <c r="I233" s="44" t="n">
        <v>0</v>
      </c>
      <c r="J233" s="44" t="n">
        <v>0.038</v>
      </c>
      <c r="K233" s="44" t="n">
        <v>0.13</v>
      </c>
      <c r="L233" s="44" t="n">
        <v>3.447</v>
      </c>
    </row>
    <row r="234" hidden="1" ht="14" customHeight="1" s="215">
      <c r="A234" s="28" t="n"/>
      <c r="B234" s="41" t="inlineStr">
        <is>
          <t>HOG</t>
        </is>
      </c>
      <c r="C234" s="41" t="inlineStr">
        <is>
          <t>Harley-Davidson</t>
        </is>
      </c>
      <c r="D234" s="42" t="inlineStr">
        <is>
          <t>Recreational Vehicles</t>
        </is>
      </c>
      <c r="E234" s="43" t="n">
        <v>4.2</v>
      </c>
      <c r="F234" s="43" t="n">
        <v>1.3</v>
      </c>
      <c r="G234" s="43" t="n">
        <v>1.1</v>
      </c>
      <c r="H234" s="44" t="n">
        <v>0.359</v>
      </c>
      <c r="I234" s="44" t="n">
        <v>0.109</v>
      </c>
      <c r="J234" s="44" t="n">
        <v>0.079</v>
      </c>
      <c r="K234" s="44" t="n">
        <v>0.13</v>
      </c>
      <c r="L234" s="44" t="n">
        <v>1.643</v>
      </c>
    </row>
    <row r="235" hidden="1" ht="14" customHeight="1" s="215">
      <c r="A235" s="28" t="n"/>
      <c r="B235" s="41" t="inlineStr">
        <is>
          <t>VZ</t>
        </is>
      </c>
      <c r="C235" s="41" t="inlineStr">
        <is>
          <t>Verizon Communications</t>
        </is>
      </c>
      <c r="D235" s="42" t="inlineStr">
        <is>
          <t>Telecom Services</t>
        </is>
      </c>
      <c r="E235" s="43" t="n">
        <v>2.2</v>
      </c>
      <c r="F235" s="43" t="n">
        <v>0.8</v>
      </c>
      <c r="G235" s="43" t="n">
        <v>0.8</v>
      </c>
      <c r="H235" s="44" t="n">
        <v>0.585</v>
      </c>
      <c r="I235" s="44" t="n">
        <v>0.231</v>
      </c>
      <c r="J235" s="44" t="n">
        <v>0.146</v>
      </c>
      <c r="K235" s="44" t="n">
        <v>0.129</v>
      </c>
      <c r="L235" s="44" t="n">
        <v>0.882</v>
      </c>
    </row>
    <row r="236" hidden="1" ht="14" customHeight="1" s="215">
      <c r="A236" s="28" t="n"/>
      <c r="B236" s="41" t="inlineStr">
        <is>
          <t>BSX</t>
        </is>
      </c>
      <c r="C236" s="41" t="inlineStr">
        <is>
          <t>Boston Scientific</t>
        </is>
      </c>
      <c r="D236" s="42" t="inlineStr">
        <is>
          <t>Medical Devices</t>
        </is>
      </c>
      <c r="E236" s="43" t="n">
        <v>0.7</v>
      </c>
      <c r="F236" s="43" t="n">
        <v>1</v>
      </c>
      <c r="G236" s="43" t="n">
        <v>0.6</v>
      </c>
      <c r="H236" s="44" t="n">
        <v>0.71</v>
      </c>
      <c r="I236" s="44" t="n">
        <v>0.162</v>
      </c>
      <c r="J236" s="44" t="n">
        <v>0.441</v>
      </c>
      <c r="K236" s="44" t="n">
        <v>0.128</v>
      </c>
      <c r="L236" s="44" t="n">
        <v>0.291</v>
      </c>
    </row>
    <row r="237" hidden="1" ht="14" customHeight="1" s="215">
      <c r="A237" s="28" t="n"/>
      <c r="B237" s="41" t="inlineStr">
        <is>
          <t>EXPE</t>
        </is>
      </c>
      <c r="C237" s="41" t="inlineStr">
        <is>
          <t>Expedia Group</t>
        </is>
      </c>
      <c r="D237" s="42" t="inlineStr">
        <is>
          <t>Travel Services</t>
        </is>
      </c>
      <c r="E237" s="43" t="n">
        <v>1.4</v>
      </c>
      <c r="F237" s="43" t="n">
        <v>0.7</v>
      </c>
      <c r="G237" s="43" t="n">
        <v>0.7</v>
      </c>
      <c r="H237" s="44" t="n">
        <v>0.821</v>
      </c>
      <c r="I237" s="44" t="n">
        <v>0.078</v>
      </c>
      <c r="J237" s="44" t="n">
        <v>0.048</v>
      </c>
      <c r="K237" s="44" t="n">
        <v>0.128</v>
      </c>
      <c r="L237" s="44" t="n">
        <v>2.677</v>
      </c>
    </row>
    <row r="238" hidden="1" ht="14" customHeight="1" s="215">
      <c r="A238" s="28" t="n"/>
      <c r="B238" s="41" t="inlineStr">
        <is>
          <t>IDXX</t>
        </is>
      </c>
      <c r="C238" s="41" t="inlineStr">
        <is>
          <t>IDEXX Laboratories</t>
        </is>
      </c>
      <c r="D238" s="42" t="inlineStr">
        <is>
          <t>Diagnostics &amp; Research</t>
        </is>
      </c>
      <c r="E238" s="43" t="n">
        <v>6</v>
      </c>
      <c r="F238" s="43" t="n">
        <v>0.9</v>
      </c>
      <c r="G238" s="43" t="n">
        <v>0.7</v>
      </c>
      <c r="H238" s="44" t="n">
        <v>0.5669999999999999</v>
      </c>
      <c r="I238" s="44" t="n">
        <v>0.23</v>
      </c>
      <c r="J238" s="44" t="n">
        <v>0.178</v>
      </c>
      <c r="K238" s="44" t="n">
        <v>0.128</v>
      </c>
      <c r="L238" s="44" t="n">
        <v>0.719</v>
      </c>
    </row>
    <row r="239" hidden="1" ht="14" customHeight="1" s="215">
      <c r="A239" s="28" t="n"/>
      <c r="B239" s="41" t="inlineStr">
        <is>
          <t>LVS</t>
        </is>
      </c>
      <c r="C239" s="41" t="inlineStr">
        <is>
          <t>Las Vegas Sands</t>
        </is>
      </c>
      <c r="D239" s="42" t="inlineStr">
        <is>
          <t>Resorts &amp; Casinos</t>
        </is>
      </c>
      <c r="E239" s="43" t="n">
        <v>2.4</v>
      </c>
      <c r="F239" s="43" t="n">
        <v>1.7</v>
      </c>
      <c r="G239" s="43" t="n">
        <v>1.6</v>
      </c>
      <c r="H239" s="44" t="n">
        <v>0.503</v>
      </c>
      <c r="I239" s="44" t="n">
        <v>0.276</v>
      </c>
      <c r="J239" s="44" t="n">
        <v>0.197</v>
      </c>
      <c r="K239" s="44" t="n">
        <v>0.128</v>
      </c>
      <c r="L239" s="44" t="n">
        <v>0.652</v>
      </c>
    </row>
    <row r="240" hidden="1" ht="28" customHeight="1" s="215">
      <c r="A240" s="28" t="n"/>
      <c r="B240" s="41" t="inlineStr">
        <is>
          <t>XRAY</t>
        </is>
      </c>
      <c r="C240" s="41" t="inlineStr">
        <is>
          <t>Dentsply Sirona</t>
        </is>
      </c>
      <c r="D240" s="42" t="inlineStr">
        <is>
          <t>Medical Instruments &amp; Supplies</t>
        </is>
      </c>
      <c r="E240" s="43" t="n">
        <v>0.3</v>
      </c>
      <c r="F240" s="43" t="n">
        <v>2</v>
      </c>
      <c r="G240" s="43" t="n">
        <v>1.4</v>
      </c>
      <c r="H240" s="44" t="n">
        <v>0.537</v>
      </c>
      <c r="I240" s="44" t="n">
        <v>0.11</v>
      </c>
      <c r="J240" s="44" t="n">
        <v>0.066</v>
      </c>
      <c r="K240" s="44" t="n">
        <v>0.128</v>
      </c>
      <c r="L240" s="44" t="n">
        <v>1.953</v>
      </c>
    </row>
    <row r="241" hidden="1" ht="28" customHeight="1" s="215">
      <c r="A241" s="28" t="n"/>
      <c r="B241" s="41" t="inlineStr">
        <is>
          <t>CTSH</t>
        </is>
      </c>
      <c r="C241" s="41" t="inlineStr">
        <is>
          <t>Cognizant Tech Solns</t>
        </is>
      </c>
      <c r="D241" s="42" t="inlineStr">
        <is>
          <t>Information Technology Services</t>
        </is>
      </c>
      <c r="E241" s="43" t="n">
        <v>0.2</v>
      </c>
      <c r="F241" s="43" t="n">
        <v>2.6</v>
      </c>
      <c r="G241" s="43" t="n">
        <v>2.6</v>
      </c>
      <c r="H241" s="44" t="n">
        <v>0.366</v>
      </c>
      <c r="I241" s="44" t="n">
        <v>0.159</v>
      </c>
      <c r="J241" s="44" t="n">
        <v>0.11</v>
      </c>
      <c r="K241" s="44" t="n">
        <v>0.127</v>
      </c>
      <c r="L241" s="44" t="n">
        <v>1.152</v>
      </c>
    </row>
    <row r="242" hidden="1" ht="14" customHeight="1" s="215">
      <c r="A242" s="28" t="n"/>
      <c r="B242" s="41" t="inlineStr">
        <is>
          <t>HST</t>
        </is>
      </c>
      <c r="C242" s="41" t="inlineStr">
        <is>
          <t>Host Hotels &amp; Resorts</t>
        </is>
      </c>
      <c r="D242" s="42" t="inlineStr">
        <is>
          <t>REIT - Hotel &amp; Motel</t>
        </is>
      </c>
      <c r="E242" s="43" t="n">
        <v>0.6</v>
      </c>
      <c r="F242" s="43" t="n">
        <v>6.9</v>
      </c>
      <c r="G242" s="43" t="n">
        <v>6.9</v>
      </c>
      <c r="H242" s="44" t="n">
        <v>0.332</v>
      </c>
      <c r="I242" s="44" t="n">
        <v>0.145</v>
      </c>
      <c r="J242" s="44" t="n">
        <v>0.169</v>
      </c>
      <c r="K242" s="44" t="n">
        <v>0.127</v>
      </c>
      <c r="L242" s="44" t="n">
        <v>0.754</v>
      </c>
    </row>
    <row r="243" hidden="1" ht="14" customHeight="1" s="215">
      <c r="A243" s="28" t="n"/>
      <c r="B243" s="41" t="inlineStr">
        <is>
          <t>PH</t>
        </is>
      </c>
      <c r="C243" s="41" t="inlineStr">
        <is>
          <t>Parker Hannifin</t>
        </is>
      </c>
      <c r="D243" s="42" t="inlineStr">
        <is>
          <t>Specialty Industrial Machinery</t>
        </is>
      </c>
      <c r="E243" s="43" t="n">
        <v>1.5</v>
      </c>
      <c r="F243" s="43" t="n">
        <v>1.4</v>
      </c>
      <c r="G243" s="43" t="n">
        <v>0.9</v>
      </c>
      <c r="H243" s="44" t="n">
        <v>0.249</v>
      </c>
      <c r="I243" s="44" t="n">
        <v>0.133</v>
      </c>
      <c r="J243" s="44" t="n">
        <v>0.096</v>
      </c>
      <c r="K243" s="44" t="n">
        <v>0.126</v>
      </c>
      <c r="L243" s="44" t="n">
        <v>1.314</v>
      </c>
    </row>
    <row r="244" hidden="1" ht="14" customHeight="1" s="215">
      <c r="A244" s="28" t="n"/>
      <c r="B244" s="41" t="inlineStr">
        <is>
          <t>SJM</t>
        </is>
      </c>
      <c r="C244" s="41" t="inlineStr">
        <is>
          <t>JM Smucker</t>
        </is>
      </c>
      <c r="D244" s="42" t="inlineStr">
        <is>
          <t>Packaged Foods</t>
        </is>
      </c>
      <c r="E244" s="43" t="n">
        <v>0.7</v>
      </c>
      <c r="F244" s="43" t="n">
        <v>0.8</v>
      </c>
      <c r="G244" s="43" t="n">
        <v>0.3</v>
      </c>
      <c r="H244" s="44" t="n">
        <v>0.382</v>
      </c>
      <c r="I244" s="44" t="n">
        <v>0.158</v>
      </c>
      <c r="J244" s="44" t="n">
        <v>0.082</v>
      </c>
      <c r="K244" s="44" t="n">
        <v>0.126</v>
      </c>
      <c r="L244" s="44" t="n">
        <v>1.526</v>
      </c>
    </row>
    <row r="245" hidden="1" ht="14" customHeight="1" s="215">
      <c r="A245" s="28" t="n"/>
      <c r="B245" s="41" t="inlineStr">
        <is>
          <t>TAP</t>
        </is>
      </c>
      <c r="C245" s="41" t="inlineStr">
        <is>
          <t>Molson Coors Beverage</t>
        </is>
      </c>
      <c r="D245" s="42" t="inlineStr">
        <is>
          <t>Beverages - Brewers</t>
        </is>
      </c>
      <c r="E245" s="43" t="n">
        <v>0.7</v>
      </c>
      <c r="F245" s="43" t="n">
        <v>0.6</v>
      </c>
      <c r="G245" s="43" t="n">
        <v>0.4</v>
      </c>
      <c r="H245" s="44" t="n">
        <v>0.397</v>
      </c>
      <c r="I245" s="44" t="n">
        <v>0.14</v>
      </c>
      <c r="J245" s="44" t="n">
        <v>0.022</v>
      </c>
      <c r="K245" s="44" t="n">
        <v>0.126</v>
      </c>
      <c r="L245" s="44" t="n">
        <v>5.601</v>
      </c>
    </row>
    <row r="246" hidden="1" ht="14" customHeight="1" s="215">
      <c r="A246" s="28" t="n"/>
      <c r="B246" s="41" t="inlineStr">
        <is>
          <t>TFC</t>
        </is>
      </c>
      <c r="C246" s="41" t="inlineStr">
        <is>
          <t>Truist Financial</t>
        </is>
      </c>
      <c r="D246" s="42" t="inlineStr">
        <is>
          <t>Banks - Regional</t>
        </is>
      </c>
      <c r="E246" s="43" t="n">
        <v>0.8</v>
      </c>
      <c r="F246" s="43" t="inlineStr">
        <is>
          <t xml:space="preserve">- </t>
        </is>
      </c>
      <c r="G246" s="43" t="inlineStr">
        <is>
          <t xml:space="preserve">- </t>
        </is>
      </c>
      <c r="H246" s="44" t="n">
        <v>0</v>
      </c>
      <c r="I246" s="44" t="n">
        <v>0.401</v>
      </c>
      <c r="J246" s="44" t="n">
        <v>0.259</v>
      </c>
      <c r="K246" s="44" t="n">
        <v>0.126</v>
      </c>
      <c r="L246" s="44" t="n">
        <v>0.487</v>
      </c>
    </row>
    <row r="247" hidden="1" ht="28" customHeight="1" s="215">
      <c r="A247" s="28" t="n"/>
      <c r="B247" s="41" t="inlineStr">
        <is>
          <t>BAX</t>
        </is>
      </c>
      <c r="C247" s="41" t="inlineStr">
        <is>
          <t>Baxter International</t>
        </is>
      </c>
      <c r="D247" s="42" t="inlineStr">
        <is>
          <t>Medical Instruments &amp; Supplies</t>
        </is>
      </c>
      <c r="E247" s="43" t="n">
        <v>0.8</v>
      </c>
      <c r="F247" s="43" t="n">
        <v>2.3</v>
      </c>
      <c r="G247" s="43" t="n">
        <v>1.8</v>
      </c>
      <c r="H247" s="44" t="n">
        <v>0.42</v>
      </c>
      <c r="I247" s="44" t="n">
        <v>0.082</v>
      </c>
      <c r="J247" s="44" t="n">
        <v>0.091</v>
      </c>
      <c r="K247" s="44" t="n">
        <v>0.125</v>
      </c>
      <c r="L247" s="44" t="n">
        <v>1.382</v>
      </c>
    </row>
    <row r="248" ht="14" customHeight="1" s="215">
      <c r="A248" s="28" t="n"/>
      <c r="B248" s="41" t="inlineStr">
        <is>
          <t>HLT</t>
        </is>
      </c>
      <c r="C248" s="41" t="inlineStr">
        <is>
          <t>Hilton Worldwide Holdings</t>
        </is>
      </c>
      <c r="D248" s="42" t="inlineStr">
        <is>
          <t>Lodging</t>
        </is>
      </c>
      <c r="E248" s="43" t="inlineStr">
        <is>
          <t xml:space="preserve">- </t>
        </is>
      </c>
      <c r="F248" s="43" t="n">
        <v>0.7</v>
      </c>
      <c r="G248" s="43" t="n">
        <v>0.7</v>
      </c>
      <c r="H248" s="44" t="n">
        <v>0.867</v>
      </c>
      <c r="I248" s="44" t="n">
        <v>0.167</v>
      </c>
      <c r="J248" s="44" t="n">
        <v>0.093</v>
      </c>
      <c r="K248" s="44" t="n">
        <v>0.125</v>
      </c>
      <c r="L248" s="44" t="n">
        <v>1.333</v>
      </c>
    </row>
    <row r="249" hidden="1" ht="14" customHeight="1" s="215">
      <c r="A249" s="28" t="n"/>
      <c r="B249" s="41" t="inlineStr">
        <is>
          <t>IR</t>
        </is>
      </c>
      <c r="C249" s="41" t="inlineStr">
        <is>
          <t>Ingersoll Rand</t>
        </is>
      </c>
      <c r="D249" s="42" t="inlineStr">
        <is>
          <t>Specialty Industrial Machinery</t>
        </is>
      </c>
      <c r="E249" s="43" t="n">
        <v>0.9</v>
      </c>
      <c r="F249" s="43" t="n">
        <v>2.7</v>
      </c>
      <c r="G249" s="43" t="n">
        <v>1.8</v>
      </c>
      <c r="H249" s="44" t="n">
        <v>0.372</v>
      </c>
      <c r="I249" s="44" t="n">
        <v>0.142</v>
      </c>
      <c r="J249" s="44" t="n">
        <v>0.065</v>
      </c>
      <c r="K249" s="44" t="n">
        <v>0.123</v>
      </c>
      <c r="L249" s="44" t="n">
        <v>1.897</v>
      </c>
    </row>
    <row r="250" hidden="1" ht="28" customHeight="1" s="215">
      <c r="A250" s="28" t="n"/>
      <c r="B250" s="41" t="inlineStr">
        <is>
          <t>MYL</t>
        </is>
      </c>
      <c r="C250" s="41" t="inlineStr">
        <is>
          <t>Mylan</t>
        </is>
      </c>
      <c r="D250" s="42" t="inlineStr">
        <is>
          <t>Drug Manufacturers - Specialty &amp; Generic</t>
        </is>
      </c>
      <c r="E250" s="43" t="n">
        <v>1</v>
      </c>
      <c r="F250" s="43" t="n">
        <v>1.2</v>
      </c>
      <c r="G250" s="43" t="n">
        <v>0.7</v>
      </c>
      <c r="H250" s="44" t="n">
        <v>0.339</v>
      </c>
      <c r="I250" s="44" t="n">
        <v>0.061</v>
      </c>
      <c r="J250" s="44" t="n">
        <v>0.002</v>
      </c>
      <c r="K250" s="44" t="n">
        <v>0.123</v>
      </c>
      <c r="L250" s="44" t="n">
        <v>78.354</v>
      </c>
    </row>
    <row r="251" hidden="1" ht="28" customHeight="1" s="215">
      <c r="A251" s="28" t="n"/>
      <c r="B251" s="41" t="inlineStr">
        <is>
          <t>NRG</t>
        </is>
      </c>
      <c r="C251" s="41" t="inlineStr">
        <is>
          <t>NRG Energy</t>
        </is>
      </c>
      <c r="D251" s="42" t="inlineStr">
        <is>
          <t>Utilities - Independent Power Producers</t>
        </is>
      </c>
      <c r="E251" s="43" t="n">
        <v>3.9</v>
      </c>
      <c r="F251" s="43" t="n">
        <v>1.3</v>
      </c>
      <c r="G251" s="43" t="n">
        <v>1.2</v>
      </c>
      <c r="H251" s="44" t="n">
        <v>0.257</v>
      </c>
      <c r="I251" s="44" t="n">
        <v>0.134</v>
      </c>
      <c r="J251" s="44" t="n">
        <v>0.454</v>
      </c>
      <c r="K251" s="44" t="n">
        <v>0.123</v>
      </c>
      <c r="L251" s="44" t="n">
        <v>0.27</v>
      </c>
    </row>
    <row r="252" hidden="1" ht="14" customHeight="1" s="215">
      <c r="A252" s="28" t="n"/>
      <c r="B252" s="41" t="inlineStr">
        <is>
          <t>ODFL</t>
        </is>
      </c>
      <c r="C252" s="41" t="inlineStr">
        <is>
          <t>Old Dominion Freight</t>
        </is>
      </c>
      <c r="D252" s="42" t="inlineStr">
        <is>
          <t>Trucking</t>
        </is>
      </c>
      <c r="E252" s="43" t="n">
        <v>0</v>
      </c>
      <c r="F252" s="43" t="n">
        <v>2.4</v>
      </c>
      <c r="G252" s="43" t="n">
        <v>2.4</v>
      </c>
      <c r="H252" s="44" t="n">
        <v>0.4</v>
      </c>
      <c r="I252" s="44" t="n">
        <v>0.199</v>
      </c>
      <c r="J252" s="44" t="n">
        <v>0.15</v>
      </c>
      <c r="K252" s="44" t="n">
        <v>0.123</v>
      </c>
      <c r="L252" s="44" t="n">
        <v>0.8179999999999999</v>
      </c>
    </row>
    <row r="253" hidden="1" ht="14" customHeight="1" s="215">
      <c r="A253" s="28" t="n"/>
      <c r="B253" s="41" t="inlineStr">
        <is>
          <t>VMC</t>
        </is>
      </c>
      <c r="C253" s="41" t="inlineStr">
        <is>
          <t>Vulcan Materials</t>
        </is>
      </c>
      <c r="D253" s="42" t="inlineStr">
        <is>
          <t>Building Materials</t>
        </is>
      </c>
      <c r="E253" s="43" t="n">
        <v>0.6</v>
      </c>
      <c r="F253" s="43" t="n">
        <v>2.6</v>
      </c>
      <c r="G253" s="43" t="n">
        <v>1.7</v>
      </c>
      <c r="H253" s="44" t="n">
        <v>0.255</v>
      </c>
      <c r="I253" s="44" t="n">
        <v>0.174</v>
      </c>
      <c r="J253" s="44" t="n">
        <v>0.126</v>
      </c>
      <c r="K253" s="44" t="n">
        <v>0.123</v>
      </c>
      <c r="L253" s="44" t="n">
        <v>0.976</v>
      </c>
    </row>
    <row r="254" hidden="1" ht="14" customHeight="1" s="215">
      <c r="A254" s="28" t="n"/>
      <c r="B254" s="41" t="inlineStr">
        <is>
          <t>AZO</t>
        </is>
      </c>
      <c r="C254" s="41" t="inlineStr">
        <is>
          <t>AutoZone</t>
        </is>
      </c>
      <c r="D254" s="42" t="inlineStr">
        <is>
          <t>Specialty Retail</t>
        </is>
      </c>
      <c r="E254" s="43" t="inlineStr">
        <is>
          <t xml:space="preserve">- </t>
        </is>
      </c>
      <c r="F254" s="43" t="n">
        <v>0.9</v>
      </c>
      <c r="G254" s="43" t="n">
        <v>0.1</v>
      </c>
      <c r="H254" s="44" t="n">
        <v>0.537</v>
      </c>
      <c r="I254" s="44" t="n">
        <v>0.185</v>
      </c>
      <c r="J254" s="44" t="n">
        <v>0.134</v>
      </c>
      <c r="K254" s="44" t="n">
        <v>0.122</v>
      </c>
      <c r="L254" s="44" t="n">
        <v>0.908</v>
      </c>
    </row>
    <row r="255" hidden="1" ht="14" customHeight="1" s="215">
      <c r="A255" s="28" t="n"/>
      <c r="B255" s="41" t="inlineStr">
        <is>
          <t>MLM</t>
        </is>
      </c>
      <c r="C255" s="41" t="inlineStr">
        <is>
          <t>Martin Marietta Materials</t>
        </is>
      </c>
      <c r="D255" s="42" t="inlineStr">
        <is>
          <t>Building Materials</t>
        </is>
      </c>
      <c r="E255" s="43" t="n">
        <v>0.6</v>
      </c>
      <c r="F255" s="43" t="n">
        <v>1.7</v>
      </c>
      <c r="G255" s="43" t="n">
        <v>0.9</v>
      </c>
      <c r="H255" s="44" t="n">
        <v>0.25</v>
      </c>
      <c r="I255" s="44" t="n">
        <v>0.188</v>
      </c>
      <c r="J255" s="44" t="n">
        <v>0.13</v>
      </c>
      <c r="K255" s="44" t="n">
        <v>0.122</v>
      </c>
      <c r="L255" s="44" t="n">
        <v>0.9399999999999999</v>
      </c>
    </row>
    <row r="256" hidden="1" ht="14" customHeight="1" s="215">
      <c r="A256" s="28" t="n"/>
      <c r="B256" s="41" t="inlineStr">
        <is>
          <t>CMCSA</t>
        </is>
      </c>
      <c r="C256" s="41" t="inlineStr">
        <is>
          <t>Comcast</t>
        </is>
      </c>
      <c r="D256" s="42" t="inlineStr">
        <is>
          <t>Entertainment</t>
        </is>
      </c>
      <c r="E256" s="43" t="n">
        <v>1.2</v>
      </c>
      <c r="F256" s="43" t="n">
        <v>0.8</v>
      </c>
      <c r="G256" s="43" t="n">
        <v>0.8</v>
      </c>
      <c r="H256" s="44" t="n">
        <v>0.6840000000000001</v>
      </c>
      <c r="I256" s="44" t="n">
        <v>0.194</v>
      </c>
      <c r="J256" s="44" t="n">
        <v>0.12</v>
      </c>
      <c r="K256" s="44" t="n">
        <v>0.121</v>
      </c>
      <c r="L256" s="44" t="n">
        <v>1.013</v>
      </c>
    </row>
    <row r="257" hidden="1" ht="14" customHeight="1" s="215">
      <c r="A257" s="28" t="n"/>
      <c r="B257" s="41" t="inlineStr">
        <is>
          <t>OMC</t>
        </is>
      </c>
      <c r="C257" s="41" t="inlineStr">
        <is>
          <t>Omnicom Group</t>
        </is>
      </c>
      <c r="D257" s="42" t="inlineStr">
        <is>
          <t>Advertising Agencies</t>
        </is>
      </c>
      <c r="E257" s="43" t="n">
        <v>2.3</v>
      </c>
      <c r="F257" s="43" t="n">
        <v>0.9</v>
      </c>
      <c r="G257" s="43" t="n">
        <v>0.8</v>
      </c>
      <c r="H257" s="44" t="n">
        <v>0.185</v>
      </c>
      <c r="I257" s="44" t="n">
        <v>0.142</v>
      </c>
      <c r="J257" s="44" t="n">
        <v>0.09</v>
      </c>
      <c r="K257" s="44" t="n">
        <v>0.12</v>
      </c>
      <c r="L257" s="44" t="n">
        <v>1.335</v>
      </c>
    </row>
    <row r="258" hidden="1" ht="14" customHeight="1" s="215">
      <c r="A258" s="28" t="n"/>
      <c r="B258" s="41" t="inlineStr">
        <is>
          <t>MDLZ</t>
        </is>
      </c>
      <c r="C258" s="41" t="inlineStr">
        <is>
          <t>Mondelez International</t>
        </is>
      </c>
      <c r="D258" s="42" t="inlineStr">
        <is>
          <t>Confectioners</t>
        </is>
      </c>
      <c r="E258" s="43" t="n">
        <v>0.7</v>
      </c>
      <c r="F258" s="43" t="n">
        <v>0.5</v>
      </c>
      <c r="G258" s="43" t="n">
        <v>0.3</v>
      </c>
      <c r="H258" s="44" t="n">
        <v>0.4</v>
      </c>
      <c r="I258" s="44" t="n">
        <v>0.156</v>
      </c>
      <c r="J258" s="44" t="n">
        <v>0.15</v>
      </c>
      <c r="K258" s="44" t="n">
        <v>0.119</v>
      </c>
      <c r="L258" s="44" t="n">
        <v>0.792</v>
      </c>
    </row>
    <row r="259" hidden="1" ht="14" customHeight="1" s="215">
      <c r="A259" s="28" t="n"/>
      <c r="B259" s="41" t="inlineStr">
        <is>
          <t>MMC</t>
        </is>
      </c>
      <c r="C259" s="41" t="inlineStr">
        <is>
          <t>Marsh &amp; McLennan</t>
        </is>
      </c>
      <c r="D259" s="42" t="inlineStr">
        <is>
          <t>Insurance Brokers</t>
        </is>
      </c>
      <c r="E259" s="43" t="n">
        <v>1.8</v>
      </c>
      <c r="F259" s="43" t="n">
        <v>1.1</v>
      </c>
      <c r="G259" s="43" t="n">
        <v>1.1</v>
      </c>
      <c r="H259" s="44" t="n">
        <v>0</v>
      </c>
      <c r="I259" s="44" t="n">
        <v>0.16</v>
      </c>
      <c r="J259" s="44" t="n">
        <v>0.104</v>
      </c>
      <c r="K259" s="44" t="n">
        <v>0.119</v>
      </c>
      <c r="L259" s="44" t="n">
        <v>1.143</v>
      </c>
    </row>
    <row r="260" hidden="1" ht="14" customHeight="1" s="215">
      <c r="A260" s="28" t="n"/>
      <c r="B260" s="41" t="inlineStr">
        <is>
          <t>STX</t>
        </is>
      </c>
      <c r="C260" s="41" t="inlineStr">
        <is>
          <t>Seagate Technology</t>
        </is>
      </c>
      <c r="D260" s="42" t="inlineStr">
        <is>
          <t>Computer Hardware</t>
        </is>
      </c>
      <c r="E260" s="43" t="n">
        <v>2.3</v>
      </c>
      <c r="F260" s="43" t="n">
        <v>1.5</v>
      </c>
      <c r="G260" s="43" t="n">
        <v>1.1</v>
      </c>
      <c r="H260" s="44" t="n">
        <v>0.267</v>
      </c>
      <c r="I260" s="44" t="n">
        <v>0.12</v>
      </c>
      <c r="J260" s="44" t="n">
        <v>0.171</v>
      </c>
      <c r="K260" s="44" t="n">
        <v>0.119</v>
      </c>
      <c r="L260" s="44" t="n">
        <v>0.694</v>
      </c>
    </row>
    <row r="261" hidden="1" ht="14" customHeight="1" s="215">
      <c r="A261" s="28" t="n"/>
      <c r="B261" s="41" t="inlineStr">
        <is>
          <t>EMN</t>
        </is>
      </c>
      <c r="C261" s="41" t="inlineStr">
        <is>
          <t>Eastman Chemical</t>
        </is>
      </c>
      <c r="D261" s="42" t="inlineStr">
        <is>
          <t>Chemicals</t>
        </is>
      </c>
      <c r="E261" s="43" t="n">
        <v>1</v>
      </c>
      <c r="F261" s="43" t="n">
        <v>1.9</v>
      </c>
      <c r="G261" s="43" t="n">
        <v>0.9</v>
      </c>
      <c r="H261" s="44" t="n">
        <v>0.241</v>
      </c>
      <c r="I261" s="44" t="n">
        <v>0.141</v>
      </c>
      <c r="J261" s="44" t="n">
        <v>0.082</v>
      </c>
      <c r="K261" s="44" t="n">
        <v>0.118</v>
      </c>
      <c r="L261" s="44" t="n">
        <v>1.446</v>
      </c>
    </row>
    <row r="262" hidden="1" ht="14" customHeight="1" s="215">
      <c r="A262" s="28" t="n"/>
      <c r="B262" s="41" t="inlineStr">
        <is>
          <t>XYL</t>
        </is>
      </c>
      <c r="C262" s="41" t="inlineStr">
        <is>
          <t>Xylem</t>
        </is>
      </c>
      <c r="D262" s="42" t="inlineStr">
        <is>
          <t>Specialty Industrial Machinery</t>
        </is>
      </c>
      <c r="E262" s="43" t="n">
        <v>0.8</v>
      </c>
      <c r="F262" s="43" t="n">
        <v>1.6</v>
      </c>
      <c r="G262" s="43" t="n">
        <v>1.3</v>
      </c>
      <c r="H262" s="44" t="n">
        <v>0.39</v>
      </c>
      <c r="I262" s="44" t="n">
        <v>0.133</v>
      </c>
      <c r="J262" s="44" t="n">
        <v>0.077</v>
      </c>
      <c r="K262" s="44" t="n">
        <v>0.118</v>
      </c>
      <c r="L262" s="44" t="n">
        <v>1.541</v>
      </c>
    </row>
    <row r="263" hidden="1" ht="14" customHeight="1" s="215">
      <c r="A263" s="28" t="n"/>
      <c r="B263" s="41" t="inlineStr">
        <is>
          <t>ALK</t>
        </is>
      </c>
      <c r="C263" s="41" t="inlineStr">
        <is>
          <t>Alaska Air Group</t>
        </is>
      </c>
      <c r="D263" s="42" t="inlineStr">
        <is>
          <t>Airlines</t>
        </is>
      </c>
      <c r="E263" s="43" t="n">
        <v>0.7</v>
      </c>
      <c r="F263" s="43" t="n">
        <v>0.6</v>
      </c>
      <c r="G263" s="43" t="n">
        <v>0.6</v>
      </c>
      <c r="H263" s="44" t="n">
        <v>0.226</v>
      </c>
      <c r="I263" s="44" t="n">
        <v>0.127</v>
      </c>
      <c r="J263" s="44" t="n">
        <v>0.08799999999999999</v>
      </c>
      <c r="K263" s="44" t="n">
        <v>0.116</v>
      </c>
      <c r="L263" s="44" t="n">
        <v>1.314</v>
      </c>
    </row>
    <row r="264" hidden="1" ht="14" customHeight="1" s="215">
      <c r="A264" s="28" t="n"/>
      <c r="B264" s="41" t="inlineStr">
        <is>
          <t>DVA</t>
        </is>
      </c>
      <c r="C264" s="41" t="inlineStr">
        <is>
          <t>DaVita</t>
        </is>
      </c>
      <c r="D264" s="42" t="inlineStr">
        <is>
          <t>Medical Care Facilities</t>
        </is>
      </c>
      <c r="E264" s="43" t="n">
        <v>5.2</v>
      </c>
      <c r="F264" s="43" t="n">
        <v>1.6</v>
      </c>
      <c r="G264" s="43" t="n">
        <v>1.5</v>
      </c>
      <c r="H264" s="44" t="n">
        <v>0.305</v>
      </c>
      <c r="I264" s="44" t="n">
        <v>0.154</v>
      </c>
      <c r="J264" s="44" t="n">
        <v>0.07099999999999999</v>
      </c>
      <c r="K264" s="44" t="n">
        <v>0.116</v>
      </c>
      <c r="L264" s="44" t="n">
        <v>1.626</v>
      </c>
    </row>
    <row r="265" hidden="1" ht="14" customHeight="1" s="215">
      <c r="A265" s="28" t="n"/>
      <c r="B265" s="41" t="inlineStr">
        <is>
          <t>PKG</t>
        </is>
      </c>
      <c r="C265" s="41" t="inlineStr">
        <is>
          <t>Packaging Corp of America</t>
        </is>
      </c>
      <c r="D265" s="42" t="inlineStr">
        <is>
          <t>Packaging &amp; Containers</t>
        </is>
      </c>
      <c r="E265" s="43" t="n">
        <v>0.9</v>
      </c>
      <c r="F265" s="43" t="n">
        <v>3.4</v>
      </c>
      <c r="G265" s="43" t="n">
        <v>2.3</v>
      </c>
      <c r="H265" s="44" t="n">
        <v>0.236</v>
      </c>
      <c r="I265" s="44" t="n">
        <v>0.156</v>
      </c>
      <c r="J265" s="44" t="n">
        <v>0.1</v>
      </c>
      <c r="K265" s="44" t="n">
        <v>0.116</v>
      </c>
      <c r="L265" s="44" t="n">
        <v>1.164</v>
      </c>
    </row>
    <row r="266" hidden="1" ht="14" customHeight="1" s="215">
      <c r="A266" s="28" t="n"/>
      <c r="B266" s="41" t="inlineStr">
        <is>
          <t>CPB</t>
        </is>
      </c>
      <c r="C266" s="41" t="inlineStr">
        <is>
          <t>Campbell Soup</t>
        </is>
      </c>
      <c r="D266" s="42" t="inlineStr">
        <is>
          <t>Packaged Foods</t>
        </is>
      </c>
      <c r="E266" s="43" t="n">
        <v>2.3</v>
      </c>
      <c r="F266" s="43" t="n">
        <v>0.6</v>
      </c>
      <c r="G266" s="43" t="n">
        <v>0.3</v>
      </c>
      <c r="H266" s="44" t="n">
        <v>0.34</v>
      </c>
      <c r="I266" s="44" t="n">
        <v>0.141</v>
      </c>
      <c r="J266" s="44" t="n">
        <v>0.195</v>
      </c>
      <c r="K266" s="44" t="n">
        <v>0.115</v>
      </c>
      <c r="L266" s="44" t="n">
        <v>0.591</v>
      </c>
    </row>
    <row r="267" hidden="1" ht="14" customHeight="1" s="215">
      <c r="A267" s="28" t="n"/>
      <c r="B267" s="41" t="inlineStr">
        <is>
          <t>LW</t>
        </is>
      </c>
      <c r="C267" s="41" t="inlineStr">
        <is>
          <t>Lamb Weston Holdings</t>
        </is>
      </c>
      <c r="D267" s="42" t="inlineStr">
        <is>
          <t>Packaged Foods</t>
        </is>
      </c>
      <c r="E267" s="43" t="n">
        <v>8.4</v>
      </c>
      <c r="F267" s="43" t="n">
        <v>1.9</v>
      </c>
      <c r="G267" s="43" t="n">
        <v>0.8</v>
      </c>
      <c r="H267" s="44" t="n">
        <v>0.262</v>
      </c>
      <c r="I267" s="44" t="n">
        <v>0.171</v>
      </c>
      <c r="J267" s="44" t="n">
        <v>0.121</v>
      </c>
      <c r="K267" s="44" t="n">
        <v>0.115</v>
      </c>
      <c r="L267" s="44" t="n">
        <v>0.951</v>
      </c>
    </row>
    <row r="268" hidden="1" ht="14" customHeight="1" s="215">
      <c r="A268" s="28" t="n"/>
      <c r="B268" s="41" t="inlineStr">
        <is>
          <t>A</t>
        </is>
      </c>
      <c r="C268" s="41" t="inlineStr">
        <is>
          <t>Agilent Technologies</t>
        </is>
      </c>
      <c r="D268" s="42" t="inlineStr">
        <is>
          <t>Diagnostics &amp; Research</t>
        </is>
      </c>
      <c r="E268" s="43" t="n">
        <v>0.5</v>
      </c>
      <c r="F268" s="43" t="n">
        <v>1.6</v>
      </c>
      <c r="G268" s="43" t="n">
        <v>1.3</v>
      </c>
      <c r="H268" s="44" t="n">
        <v>0.539</v>
      </c>
      <c r="I268" s="44" t="n">
        <v>0.173</v>
      </c>
      <c r="J268" s="44" t="n">
        <v>0.146</v>
      </c>
      <c r="K268" s="44" t="n">
        <v>0.114</v>
      </c>
      <c r="L268" s="44" t="n">
        <v>0.78</v>
      </c>
    </row>
    <row r="269" hidden="1" ht="14" customHeight="1" s="215">
      <c r="A269" s="28" t="n"/>
      <c r="B269" s="41" t="inlineStr">
        <is>
          <t>NVR</t>
        </is>
      </c>
      <c r="C269" s="41" t="inlineStr">
        <is>
          <t>NVR</t>
        </is>
      </c>
      <c r="D269" s="42" t="inlineStr">
        <is>
          <t>Residential Construction</t>
        </is>
      </c>
      <c r="E269" s="43" t="n">
        <v>0.3</v>
      </c>
      <c r="F269" s="43" t="n">
        <v>4.5</v>
      </c>
      <c r="G269" s="43" t="n">
        <v>2.4</v>
      </c>
      <c r="H269" s="44" t="n">
        <v>0.209</v>
      </c>
      <c r="I269" s="44" t="n">
        <v>0.142</v>
      </c>
      <c r="J269" s="44" t="n">
        <v>0.119</v>
      </c>
      <c r="K269" s="44" t="n">
        <v>0.114</v>
      </c>
      <c r="L269" s="44" t="n">
        <v>0.958</v>
      </c>
    </row>
    <row r="270" hidden="1" ht="28" customHeight="1" s="215">
      <c r="A270" s="28" t="n"/>
      <c r="B270" s="41" t="inlineStr">
        <is>
          <t>SLB</t>
        </is>
      </c>
      <c r="C270" s="41" t="inlineStr">
        <is>
          <t>Schlumberger</t>
        </is>
      </c>
      <c r="D270" s="42" t="inlineStr">
        <is>
          <t>Oil &amp; Gas Equipment &amp; Services</t>
        </is>
      </c>
      <c r="E270" s="43" t="n">
        <v>0.6</v>
      </c>
      <c r="F270" s="43" t="n">
        <v>1.2</v>
      </c>
      <c r="G270" s="43" t="n">
        <v>0.9</v>
      </c>
      <c r="H270" s="44" t="n">
        <v>0.128</v>
      </c>
      <c r="I270" s="44" t="n">
        <v>0.092</v>
      </c>
      <c r="J270" s="44" t="n">
        <v>-0.312</v>
      </c>
      <c r="K270" s="44" t="n">
        <v>0.114</v>
      </c>
      <c r="L270" s="43" t="inlineStr">
        <is>
          <t xml:space="preserve">- </t>
        </is>
      </c>
    </row>
    <row r="271" hidden="1" ht="28" customHeight="1" s="215">
      <c r="A271" s="28" t="n"/>
      <c r="B271" s="41" t="inlineStr">
        <is>
          <t>STE</t>
        </is>
      </c>
      <c r="C271" s="41" t="inlineStr">
        <is>
          <t>Steris</t>
        </is>
      </c>
      <c r="D271" s="42" t="inlineStr">
        <is>
          <t>Medical Instruments &amp; Supplies</t>
        </is>
      </c>
      <c r="E271" s="43" t="n">
        <v>0.4</v>
      </c>
      <c r="F271" s="43" t="n">
        <v>2.3</v>
      </c>
      <c r="G271" s="43" t="n">
        <v>1.8</v>
      </c>
      <c r="H271" s="44" t="n">
        <v>0.434</v>
      </c>
      <c r="I271" s="44" t="n">
        <v>0.177</v>
      </c>
      <c r="J271" s="44" t="n">
        <v>0.132</v>
      </c>
      <c r="K271" s="44" t="n">
        <v>0.114</v>
      </c>
      <c r="L271" s="44" t="n">
        <v>0.864</v>
      </c>
    </row>
    <row r="272" hidden="1" ht="14" customHeight="1" s="215">
      <c r="A272" s="28" t="n"/>
      <c r="B272" s="41" t="inlineStr">
        <is>
          <t>KHC</t>
        </is>
      </c>
      <c r="C272" s="41" t="inlineStr">
        <is>
          <t>Kraft Heinz</t>
        </is>
      </c>
      <c r="D272" s="42" t="inlineStr">
        <is>
          <t>Packaged Foods</t>
        </is>
      </c>
      <c r="E272" s="43" t="n">
        <v>0.6</v>
      </c>
      <c r="F272" s="43" t="n">
        <v>1</v>
      </c>
      <c r="G272" s="43" t="n">
        <v>0.7</v>
      </c>
      <c r="H272" s="44" t="n">
        <v>0.326</v>
      </c>
      <c r="I272" s="44" t="n">
        <v>0.199</v>
      </c>
      <c r="J272" s="44" t="n">
        <v>0.078</v>
      </c>
      <c r="K272" s="44" t="n">
        <v>0.113</v>
      </c>
      <c r="L272" s="44" t="n">
        <v>1.451</v>
      </c>
    </row>
    <row r="273" hidden="1" ht="14" customHeight="1" s="215">
      <c r="A273" s="28" t="n"/>
      <c r="B273" s="41" t="inlineStr">
        <is>
          <t>SHW</t>
        </is>
      </c>
      <c r="C273" s="41" t="inlineStr">
        <is>
          <t>Sherwin-Williams</t>
        </is>
      </c>
      <c r="D273" s="42" t="inlineStr">
        <is>
          <t>Specialty Chemicals</t>
        </is>
      </c>
      <c r="E273" s="43" t="n">
        <v>2.5</v>
      </c>
      <c r="F273" s="43" t="n">
        <v>1</v>
      </c>
      <c r="G273" s="43" t="n">
        <v>0.6</v>
      </c>
      <c r="H273" s="44" t="n">
        <v>0.449</v>
      </c>
      <c r="I273" s="44" t="n">
        <v>0.136</v>
      </c>
      <c r="J273" s="44" t="n">
        <v>0.08599999999999999</v>
      </c>
      <c r="K273" s="44" t="n">
        <v>0.113</v>
      </c>
      <c r="L273" s="44" t="n">
        <v>1.304</v>
      </c>
    </row>
    <row r="274" hidden="1" ht="14" customHeight="1" s="215">
      <c r="A274" s="28" t="n"/>
      <c r="B274" s="41" t="inlineStr">
        <is>
          <t>CCI</t>
        </is>
      </c>
      <c r="C274" s="41" t="inlineStr">
        <is>
          <t>Crown Castle Intl</t>
        </is>
      </c>
      <c r="D274" s="42" t="inlineStr">
        <is>
          <t>REIT - Specialty</t>
        </is>
      </c>
      <c r="E274" s="43" t="n">
        <v>1.4</v>
      </c>
      <c r="F274" s="43" t="n">
        <v>0.9</v>
      </c>
      <c r="G274" s="43" t="n">
        <v>0.9</v>
      </c>
      <c r="H274" s="44" t="n">
        <v>0.655</v>
      </c>
      <c r="I274" s="44" t="n">
        <v>0.276</v>
      </c>
      <c r="J274" s="44" t="n">
        <v>0.149</v>
      </c>
      <c r="K274" s="44" t="n">
        <v>0.112</v>
      </c>
      <c r="L274" s="44" t="n">
        <v>0.753</v>
      </c>
    </row>
    <row r="275" hidden="1" ht="14" customHeight="1" s="215">
      <c r="A275" s="28" t="n"/>
      <c r="B275" s="41" t="inlineStr">
        <is>
          <t>FAST</t>
        </is>
      </c>
      <c r="C275" s="41" t="inlineStr">
        <is>
          <t>Fastenal</t>
        </is>
      </c>
      <c r="D275" s="42" t="inlineStr">
        <is>
          <t>Industrial Distribution</t>
        </is>
      </c>
      <c r="E275" s="43" t="n">
        <v>0.2</v>
      </c>
      <c r="F275" s="43" t="n">
        <v>4.5</v>
      </c>
      <c r="G275" s="43" t="n">
        <v>2</v>
      </c>
      <c r="H275" s="44" t="n">
        <v>0.472</v>
      </c>
      <c r="I275" s="44" t="n">
        <v>0.198</v>
      </c>
      <c r="J275" s="44" t="n">
        <v>0.148</v>
      </c>
      <c r="K275" s="44" t="n">
        <v>0.112</v>
      </c>
      <c r="L275" s="44" t="n">
        <v>0.754</v>
      </c>
    </row>
    <row r="276" hidden="1" ht="28" customHeight="1" s="215">
      <c r="A276" s="28" t="n"/>
      <c r="B276" s="41" t="inlineStr">
        <is>
          <t>LEG</t>
        </is>
      </c>
      <c r="C276" s="41" t="inlineStr">
        <is>
          <t>Leggett &amp; Platt</t>
        </is>
      </c>
      <c r="D276" s="42" t="inlineStr">
        <is>
          <t>Furnishings, Fixtures &amp; Appliances</t>
        </is>
      </c>
      <c r="E276" s="43" t="n">
        <v>1.7</v>
      </c>
      <c r="F276" s="43" t="n">
        <v>1.7</v>
      </c>
      <c r="G276" s="43" t="n">
        <v>1</v>
      </c>
      <c r="H276" s="44" t="n">
        <v>0.221</v>
      </c>
      <c r="I276" s="44" t="n">
        <v>0.109</v>
      </c>
      <c r="J276" s="44" t="n">
        <v>0.07000000000000001</v>
      </c>
      <c r="K276" s="44" t="n">
        <v>0.112</v>
      </c>
      <c r="L276" s="44" t="n">
        <v>1.585</v>
      </c>
    </row>
    <row r="277" hidden="1" ht="14" customHeight="1" s="215">
      <c r="A277" s="28" t="n"/>
      <c r="B277" s="41" t="inlineStr">
        <is>
          <t>PPG</t>
        </is>
      </c>
      <c r="C277" s="41" t="inlineStr">
        <is>
          <t>PPG Industries</t>
        </is>
      </c>
      <c r="D277" s="42" t="inlineStr">
        <is>
          <t>Specialty Chemicals</t>
        </is>
      </c>
      <c r="E277" s="43" t="n">
        <v>1.1</v>
      </c>
      <c r="F277" s="43" t="n">
        <v>1.4</v>
      </c>
      <c r="G277" s="43" t="n">
        <v>1</v>
      </c>
      <c r="H277" s="44" t="n">
        <v>0.429</v>
      </c>
      <c r="I277" s="44" t="n">
        <v>0.129</v>
      </c>
      <c r="J277" s="44" t="n">
        <v>0.082</v>
      </c>
      <c r="K277" s="44" t="n">
        <v>0.112</v>
      </c>
      <c r="L277" s="44" t="n">
        <v>1.36</v>
      </c>
    </row>
    <row r="278" hidden="1" ht="28" customHeight="1" s="215">
      <c r="A278" s="28" t="n"/>
      <c r="B278" s="41" t="inlineStr">
        <is>
          <t>EL</t>
        </is>
      </c>
      <c r="C278" s="41" t="inlineStr">
        <is>
          <t>Estee Lauder Cos</t>
        </is>
      </c>
      <c r="D278" s="42" t="inlineStr">
        <is>
          <t>Household &amp; Personal Products</t>
        </is>
      </c>
      <c r="E278" s="43" t="n">
        <v>1.7</v>
      </c>
      <c r="F278" s="43" t="n">
        <v>1.7</v>
      </c>
      <c r="G278" s="43" t="n">
        <v>1.3</v>
      </c>
      <c r="H278" s="44" t="n">
        <v>0.773</v>
      </c>
      <c r="I278" s="44" t="n">
        <v>0.185</v>
      </c>
      <c r="J278" s="44" t="n">
        <v>0.117</v>
      </c>
      <c r="K278" s="44" t="n">
        <v>0.111</v>
      </c>
      <c r="L278" s="44" t="n">
        <v>0.947</v>
      </c>
    </row>
    <row r="279" hidden="1" ht="14" customHeight="1" s="215">
      <c r="A279" s="28" t="n"/>
      <c r="B279" s="41" t="inlineStr">
        <is>
          <t>RSG</t>
        </is>
      </c>
      <c r="C279" s="41" t="inlineStr">
        <is>
          <t>Republic Services</t>
        </is>
      </c>
      <c r="D279" s="42" t="inlineStr">
        <is>
          <t>Waste Management</t>
        </is>
      </c>
      <c r="E279" s="43" t="n">
        <v>1.1</v>
      </c>
      <c r="F279" s="43" t="n">
        <v>0.5</v>
      </c>
      <c r="G279" s="43" t="n">
        <v>0.5</v>
      </c>
      <c r="H279" s="44" t="n">
        <v>0.388</v>
      </c>
      <c r="I279" s="44" t="n">
        <v>0.175</v>
      </c>
      <c r="J279" s="44" t="n">
        <v>0.104</v>
      </c>
      <c r="K279" s="44" t="n">
        <v>0.111</v>
      </c>
      <c r="L279" s="44" t="n">
        <v>1.067</v>
      </c>
    </row>
    <row r="280" hidden="1" ht="14" customHeight="1" s="215">
      <c r="A280" s="28" t="n"/>
      <c r="B280" s="41" t="inlineStr">
        <is>
          <t>HRB</t>
        </is>
      </c>
      <c r="C280" s="41" t="inlineStr">
        <is>
          <t>H&amp;R Block</t>
        </is>
      </c>
      <c r="D280" s="42" t="inlineStr">
        <is>
          <t>Personal Services</t>
        </is>
      </c>
      <c r="E280" s="43" t="inlineStr">
        <is>
          <t xml:space="preserve">- </t>
        </is>
      </c>
      <c r="F280" s="43" t="n">
        <v>1</v>
      </c>
      <c r="G280" s="43" t="n">
        <v>1</v>
      </c>
      <c r="H280" s="44" t="n">
        <v>0.423</v>
      </c>
      <c r="I280" s="44" t="n">
        <v>0.169</v>
      </c>
      <c r="J280" s="44" t="n">
        <v>0.124</v>
      </c>
      <c r="K280" s="44" t="n">
        <v>0.11</v>
      </c>
      <c r="L280" s="44" t="n">
        <v>0.893</v>
      </c>
    </row>
    <row r="281" hidden="1" ht="14" customHeight="1" s="215">
      <c r="A281" s="28" t="n"/>
      <c r="B281" s="41" t="inlineStr">
        <is>
          <t>DGX</t>
        </is>
      </c>
      <c r="C281" s="41" t="inlineStr">
        <is>
          <t>Quest Diagnostics</t>
        </is>
      </c>
      <c r="D281" s="42" t="inlineStr">
        <is>
          <t>Diagnostics &amp; Research</t>
        </is>
      </c>
      <c r="E281" s="43" t="n">
        <v>1</v>
      </c>
      <c r="F281" s="43" t="n">
        <v>1.3</v>
      </c>
      <c r="G281" s="43" t="n">
        <v>1.2</v>
      </c>
      <c r="H281" s="44" t="n">
        <v>0.348</v>
      </c>
      <c r="I281" s="44" t="n">
        <v>0.16</v>
      </c>
      <c r="J281" s="44" t="n">
        <v>0.111</v>
      </c>
      <c r="K281" s="44" t="n">
        <v>0.109</v>
      </c>
      <c r="L281" s="44" t="n">
        <v>0.979</v>
      </c>
    </row>
    <row r="282" hidden="1" ht="14" customHeight="1" s="215">
      <c r="A282" s="28" t="n"/>
      <c r="B282" s="41" t="inlineStr">
        <is>
          <t>ECL</t>
        </is>
      </c>
      <c r="C282" s="41" t="inlineStr">
        <is>
          <t>Ecolab</t>
        </is>
      </c>
      <c r="D282" s="42" t="inlineStr">
        <is>
          <t>Specialty Chemicals</t>
        </is>
      </c>
      <c r="E282" s="43" t="n">
        <v>0.8</v>
      </c>
      <c r="F282" s="43" t="n">
        <v>1.3</v>
      </c>
      <c r="G282" s="43" t="n">
        <v>0.9</v>
      </c>
      <c r="H282" s="44" t="n">
        <v>0.414</v>
      </c>
      <c r="I282" s="44" t="n">
        <v>0.15</v>
      </c>
      <c r="J282" s="44" t="n">
        <v>0.105</v>
      </c>
      <c r="K282" s="44" t="n">
        <v>0.109</v>
      </c>
      <c r="L282" s="44" t="n">
        <v>1.043</v>
      </c>
    </row>
    <row r="283" hidden="1" ht="14" customHeight="1" s="215">
      <c r="A283" s="28" t="n"/>
      <c r="B283" s="41" t="inlineStr">
        <is>
          <t>HAS</t>
        </is>
      </c>
      <c r="C283" s="41" t="inlineStr">
        <is>
          <t>Hasbro</t>
        </is>
      </c>
      <c r="D283" s="42" t="inlineStr">
        <is>
          <t>Leisure</t>
        </is>
      </c>
      <c r="E283" s="43" t="n">
        <v>1.4</v>
      </c>
      <c r="F283" s="43" t="n">
        <v>5.4</v>
      </c>
      <c r="G283" s="43" t="n">
        <v>5</v>
      </c>
      <c r="H283" s="44" t="n">
        <v>0.529</v>
      </c>
      <c r="I283" s="44" t="n">
        <v>0.139</v>
      </c>
      <c r="J283" s="44" t="n">
        <v>0.111</v>
      </c>
      <c r="K283" s="44" t="n">
        <v>0.109</v>
      </c>
      <c r="L283" s="44" t="n">
        <v>0.98</v>
      </c>
    </row>
    <row r="284" hidden="1" ht="14" customHeight="1" s="215">
      <c r="A284" s="28" t="n"/>
      <c r="B284" s="41" t="inlineStr">
        <is>
          <t>ULTA</t>
        </is>
      </c>
      <c r="C284" s="41" t="inlineStr">
        <is>
          <t>Ulta Beauty</t>
        </is>
      </c>
      <c r="D284" s="42" t="inlineStr">
        <is>
          <t>Specialty Retail</t>
        </is>
      </c>
      <c r="E284" s="43" t="n">
        <v>1</v>
      </c>
      <c r="F284" s="43" t="n">
        <v>1.8</v>
      </c>
      <c r="G284" s="43" t="n">
        <v>0.7</v>
      </c>
      <c r="H284" s="44" t="n">
        <v>0.362</v>
      </c>
      <c r="I284" s="44" t="n">
        <v>0.122</v>
      </c>
      <c r="J284" s="44" t="n">
        <v>0.095</v>
      </c>
      <c r="K284" s="44" t="n">
        <v>0.109</v>
      </c>
      <c r="L284" s="44" t="n">
        <v>1.138</v>
      </c>
    </row>
    <row r="285" hidden="1" ht="14" customHeight="1" s="215">
      <c r="A285" s="28" t="n"/>
      <c r="B285" s="41" t="inlineStr">
        <is>
          <t>ZBH</t>
        </is>
      </c>
      <c r="C285" s="41" t="inlineStr">
        <is>
          <t>Zimmer Biomet Holdings</t>
        </is>
      </c>
      <c r="D285" s="42" t="inlineStr">
        <is>
          <t>Medical Devices</t>
        </is>
      </c>
      <c r="E285" s="43" t="n">
        <v>0.7</v>
      </c>
      <c r="F285" s="43" t="n">
        <v>1.4</v>
      </c>
      <c r="G285" s="43" t="n">
        <v>0.7</v>
      </c>
      <c r="H285" s="44" t="n">
        <v>0.718</v>
      </c>
      <c r="I285" s="44" t="n">
        <v>0.159</v>
      </c>
      <c r="J285" s="44" t="n">
        <v>0.142</v>
      </c>
      <c r="K285" s="44" t="n">
        <v>0.109</v>
      </c>
      <c r="L285" s="44" t="n">
        <v>0.765</v>
      </c>
    </row>
    <row r="286" hidden="1" ht="14" customHeight="1" s="215">
      <c r="A286" s="28" t="n"/>
      <c r="B286" s="41" t="inlineStr">
        <is>
          <t>DOV</t>
        </is>
      </c>
      <c r="C286" s="41" t="inlineStr">
        <is>
          <t>Dover</t>
        </is>
      </c>
      <c r="D286" s="42" t="inlineStr">
        <is>
          <t>Specialty Industrial Machinery</t>
        </is>
      </c>
      <c r="E286" s="43" t="n">
        <v>1.1</v>
      </c>
      <c r="F286" s="43" t="n">
        <v>1.3</v>
      </c>
      <c r="G286" s="43" t="n">
        <v>0.9</v>
      </c>
      <c r="H286" s="44" t="n">
        <v>0.367</v>
      </c>
      <c r="I286" s="44" t="n">
        <v>0.143</v>
      </c>
      <c r="J286" s="44" t="n">
        <v>0.095</v>
      </c>
      <c r="K286" s="44" t="n">
        <v>0.108</v>
      </c>
      <c r="L286" s="44" t="n">
        <v>1.127</v>
      </c>
    </row>
    <row r="287" hidden="1" ht="14" customHeight="1" s="215">
      <c r="A287" s="28" t="n"/>
      <c r="B287" s="41" t="inlineStr">
        <is>
          <t>APD</t>
        </is>
      </c>
      <c r="C287" s="41" t="inlineStr">
        <is>
          <t>Air Products &amp; Chemicals</t>
        </is>
      </c>
      <c r="D287" s="42" t="inlineStr">
        <is>
          <t>Chemicals</t>
        </is>
      </c>
      <c r="E287" s="43" t="n">
        <v>0.3</v>
      </c>
      <c r="F287" s="43" t="n">
        <v>2.6</v>
      </c>
      <c r="G287" s="43" t="n">
        <v>2.4</v>
      </c>
      <c r="H287" s="44" t="n">
        <v>0.339</v>
      </c>
      <c r="I287" s="44" t="n">
        <v>0.251</v>
      </c>
      <c r="J287" s="44" t="n">
        <v>0.211</v>
      </c>
      <c r="K287" s="44" t="n">
        <v>0.107</v>
      </c>
      <c r="L287" s="44" t="n">
        <v>0.505</v>
      </c>
    </row>
    <row r="288" hidden="1" ht="28" customHeight="1" s="215">
      <c r="A288" s="28" t="n"/>
      <c r="B288" s="41" t="inlineStr">
        <is>
          <t>ALL</t>
        </is>
      </c>
      <c r="C288" s="41" t="inlineStr">
        <is>
          <t>Allstate</t>
        </is>
      </c>
      <c r="D288" s="42" t="inlineStr">
        <is>
          <t>Insurance - Property &amp; Casualty</t>
        </is>
      </c>
      <c r="E288" s="43" t="n">
        <v>0.3</v>
      </c>
      <c r="F288" s="43" t="inlineStr">
        <is>
          <t xml:space="preserve">- </t>
        </is>
      </c>
      <c r="G288" s="43" t="inlineStr">
        <is>
          <t xml:space="preserve">- </t>
        </is>
      </c>
      <c r="H288" s="44" t="n">
        <v>0</v>
      </c>
      <c r="I288" s="44" t="n">
        <v>0</v>
      </c>
      <c r="J288" s="44" t="n">
        <v>0.108</v>
      </c>
      <c r="K288" s="44" t="n">
        <v>0.106</v>
      </c>
      <c r="L288" s="44" t="n">
        <v>0.975</v>
      </c>
    </row>
    <row r="289" hidden="1" ht="28" customHeight="1" s="215">
      <c r="A289" s="28" t="n"/>
      <c r="B289" s="41" t="inlineStr">
        <is>
          <t>BR</t>
        </is>
      </c>
      <c r="C289" s="41" t="inlineStr">
        <is>
          <t>Broadridge Financial Soln</t>
        </is>
      </c>
      <c r="D289" s="42" t="inlineStr">
        <is>
          <t>Information Technology Services</t>
        </is>
      </c>
      <c r="E289" s="43" t="n">
        <v>1.9</v>
      </c>
      <c r="F289" s="43" t="n">
        <v>0.9</v>
      </c>
      <c r="G289" s="43" t="n">
        <v>0.9</v>
      </c>
      <c r="H289" s="44" t="n">
        <v>0.272</v>
      </c>
      <c r="I289" s="44" t="n">
        <v>0.131</v>
      </c>
      <c r="J289" s="44" t="n">
        <v>0.096</v>
      </c>
      <c r="K289" s="44" t="n">
        <v>0.106</v>
      </c>
      <c r="L289" s="44" t="n">
        <v>1.101</v>
      </c>
    </row>
    <row r="290" hidden="1" ht="14" customHeight="1" s="215">
      <c r="A290" s="28" t="n"/>
      <c r="B290" s="41" t="inlineStr">
        <is>
          <t>ORLY</t>
        </is>
      </c>
      <c r="C290" s="41" t="inlineStr">
        <is>
          <t>O'Reilly Automotive</t>
        </is>
      </c>
      <c r="D290" s="42" t="inlineStr">
        <is>
          <t>Specialty Retail</t>
        </is>
      </c>
      <c r="E290" s="43" t="n">
        <v>14.8</v>
      </c>
      <c r="F290" s="43" t="n">
        <v>0.9</v>
      </c>
      <c r="G290" s="43" t="n">
        <v>0.1</v>
      </c>
      <c r="H290" s="44" t="n">
        <v>0.532</v>
      </c>
      <c r="I290" s="44" t="n">
        <v>0.189</v>
      </c>
      <c r="J290" s="44" t="n">
        <v>0.137</v>
      </c>
      <c r="K290" s="44" t="n">
        <v>0.106</v>
      </c>
      <c r="L290" s="44" t="n">
        <v>0.776</v>
      </c>
    </row>
    <row r="291" hidden="1" ht="14" customHeight="1" s="215">
      <c r="A291" s="28" t="n"/>
      <c r="B291" s="41" t="inlineStr">
        <is>
          <t>PNR</t>
        </is>
      </c>
      <c r="C291" s="41" t="inlineStr">
        <is>
          <t>Pentair</t>
        </is>
      </c>
      <c r="D291" s="42" t="inlineStr">
        <is>
          <t>Specialty Industrial Machinery</t>
        </is>
      </c>
      <c r="E291" s="43" t="n">
        <v>0.6</v>
      </c>
      <c r="F291" s="43" t="n">
        <v>1.4</v>
      </c>
      <c r="G291" s="43" t="n">
        <v>0.9</v>
      </c>
      <c r="H291" s="44" t="n">
        <v>0.356</v>
      </c>
      <c r="I291" s="44" t="n">
        <v>0.147</v>
      </c>
      <c r="J291" s="44" t="n">
        <v>0.121</v>
      </c>
      <c r="K291" s="44" t="n">
        <v>0.105</v>
      </c>
      <c r="L291" s="44" t="n">
        <v>0.867</v>
      </c>
    </row>
    <row r="292" hidden="1" ht="14" customHeight="1" s="215">
      <c r="A292" s="28" t="n"/>
      <c r="B292" s="41" t="inlineStr">
        <is>
          <t>EOG</t>
        </is>
      </c>
      <c r="C292" s="41" t="inlineStr">
        <is>
          <t>EOG Resources</t>
        </is>
      </c>
      <c r="D292" s="42" t="inlineStr">
        <is>
          <t>Oil &amp; Gas E&amp;P</t>
        </is>
      </c>
      <c r="E292" s="43" t="n">
        <v>0.3</v>
      </c>
      <c r="F292" s="43" t="n">
        <v>1.2</v>
      </c>
      <c r="G292" s="43" t="n">
        <v>1</v>
      </c>
      <c r="H292" s="44" t="n">
        <v>0.673</v>
      </c>
      <c r="I292" s="44" t="n">
        <v>0.239</v>
      </c>
      <c r="J292" s="44" t="n">
        <v>0.16</v>
      </c>
      <c r="K292" s="44" t="n">
        <v>0.104</v>
      </c>
      <c r="L292" s="44" t="n">
        <v>0.649</v>
      </c>
    </row>
    <row r="293" hidden="1" ht="14" customHeight="1" s="215">
      <c r="A293" s="28" t="n"/>
      <c r="B293" s="41" t="inlineStr">
        <is>
          <t>SYK</t>
        </is>
      </c>
      <c r="C293" s="41" t="inlineStr">
        <is>
          <t>Stryker</t>
        </is>
      </c>
      <c r="D293" s="42" t="inlineStr">
        <is>
          <t>Medical Devices</t>
        </is>
      </c>
      <c r="E293" s="43" t="n">
        <v>0.9</v>
      </c>
      <c r="F293" s="43" t="n">
        <v>2.6</v>
      </c>
      <c r="G293" s="43" t="n">
        <v>1.8</v>
      </c>
      <c r="H293" s="44" t="n">
        <v>0.652</v>
      </c>
      <c r="I293" s="44" t="n">
        <v>0.196</v>
      </c>
      <c r="J293" s="44" t="n">
        <v>0.14</v>
      </c>
      <c r="K293" s="44" t="n">
        <v>0.104</v>
      </c>
      <c r="L293" s="44" t="n">
        <v>0.743</v>
      </c>
    </row>
    <row r="294" hidden="1" ht="14" customHeight="1" s="215">
      <c r="A294" s="28" t="n"/>
      <c r="B294" s="41" t="inlineStr">
        <is>
          <t>CMI</t>
        </is>
      </c>
      <c r="C294" s="41" t="inlineStr">
        <is>
          <t>Cummins</t>
        </is>
      </c>
      <c r="D294" s="42" t="inlineStr">
        <is>
          <t>Specialty Industrial Machinery</t>
        </is>
      </c>
      <c r="E294" s="43" t="n">
        <v>0.4</v>
      </c>
      <c r="F294" s="43" t="n">
        <v>1.5</v>
      </c>
      <c r="G294" s="43" t="n">
        <v>0.9</v>
      </c>
      <c r="H294" s="44" t="n">
        <v>0.254</v>
      </c>
      <c r="I294" s="44" t="n">
        <v>0.107</v>
      </c>
      <c r="J294" s="44" t="n">
        <v>0.096</v>
      </c>
      <c r="K294" s="44" t="n">
        <v>0.103</v>
      </c>
      <c r="L294" s="44" t="n">
        <v>1.073</v>
      </c>
    </row>
    <row r="295" hidden="1" ht="14" customHeight="1" s="215">
      <c r="A295" s="28" t="n"/>
      <c r="B295" s="41" t="inlineStr">
        <is>
          <t>HBI</t>
        </is>
      </c>
      <c r="C295" s="41" t="inlineStr">
        <is>
          <t>Hanesbrands</t>
        </is>
      </c>
      <c r="D295" s="42" t="inlineStr">
        <is>
          <t>Apparel Manufacturing</t>
        </is>
      </c>
      <c r="E295" s="43" t="n">
        <v>3.2</v>
      </c>
      <c r="F295" s="43" t="n">
        <v>1.8</v>
      </c>
      <c r="G295" s="43" t="n">
        <v>0.7</v>
      </c>
      <c r="H295" s="44" t="n">
        <v>0.39</v>
      </c>
      <c r="I295" s="44" t="n">
        <v>0.128</v>
      </c>
      <c r="J295" s="44" t="n">
        <v>0.08699999999999999</v>
      </c>
      <c r="K295" s="44" t="n">
        <v>0.103</v>
      </c>
      <c r="L295" s="44" t="n">
        <v>1.192</v>
      </c>
    </row>
    <row r="296" hidden="1" ht="14" customHeight="1" s="215">
      <c r="A296" s="28" t="n"/>
      <c r="B296" s="41" t="inlineStr">
        <is>
          <t>SBUX</t>
        </is>
      </c>
      <c r="C296" s="41" t="inlineStr">
        <is>
          <t>Starbucks</t>
        </is>
      </c>
      <c r="D296" s="42" t="inlineStr">
        <is>
          <t>Restaurants</t>
        </is>
      </c>
      <c r="E296" s="43" t="inlineStr">
        <is>
          <t xml:space="preserve">- </t>
        </is>
      </c>
      <c r="F296" s="43" t="n">
        <v>0.7</v>
      </c>
      <c r="G296" s="43" t="n">
        <v>0.5</v>
      </c>
      <c r="H296" s="44" t="n">
        <v>0.284</v>
      </c>
      <c r="I296" s="44" t="n">
        <v>0.151</v>
      </c>
      <c r="J296" s="44" t="n">
        <v>0.138</v>
      </c>
      <c r="K296" s="44" t="n">
        <v>0.103</v>
      </c>
      <c r="L296" s="44" t="n">
        <v>0.74</v>
      </c>
    </row>
    <row r="297" hidden="1" ht="14" customHeight="1" s="215">
      <c r="A297" s="28" t="n"/>
      <c r="B297" s="41" t="inlineStr">
        <is>
          <t>TT</t>
        </is>
      </c>
      <c r="C297" s="41" t="inlineStr">
        <is>
          <t>Trane Technologies</t>
        </is>
      </c>
      <c r="D297" s="42" t="inlineStr">
        <is>
          <t>Specialty Industrial Machinery</t>
        </is>
      </c>
      <c r="E297" s="43" t="n">
        <v>0.8</v>
      </c>
      <c r="F297" s="43" t="n">
        <v>1.3</v>
      </c>
      <c r="G297" s="43" t="n">
        <v>0.9</v>
      </c>
      <c r="H297" s="44" t="n">
        <v>0.31</v>
      </c>
      <c r="I297" s="44" t="n">
        <v>0.122</v>
      </c>
      <c r="J297" s="44" t="n">
        <v>0.08500000000000001</v>
      </c>
      <c r="K297" s="44" t="n">
        <v>0.102</v>
      </c>
      <c r="L297" s="44" t="n">
        <v>1.191</v>
      </c>
    </row>
    <row r="298" hidden="1" ht="14" customHeight="1" s="215">
      <c r="A298" s="28" t="n"/>
      <c r="B298" s="41" t="inlineStr">
        <is>
          <t>WAB</t>
        </is>
      </c>
      <c r="C298" s="41" t="inlineStr">
        <is>
          <t>Westinghouse Air Brake</t>
        </is>
      </c>
      <c r="D298" s="42" t="inlineStr">
        <is>
          <t>Railroads</t>
        </is>
      </c>
      <c r="E298" s="43" t="n">
        <v>0.4</v>
      </c>
      <c r="F298" s="43" t="n">
        <v>1.3</v>
      </c>
      <c r="G298" s="43" t="n">
        <v>0.7</v>
      </c>
      <c r="H298" s="44" t="n">
        <v>0.278</v>
      </c>
      <c r="I298" s="44" t="n">
        <v>0.081</v>
      </c>
      <c r="J298" s="44" t="n">
        <v>0.04</v>
      </c>
      <c r="K298" s="44" t="n">
        <v>0.102</v>
      </c>
      <c r="L298" s="44" t="n">
        <v>2.541</v>
      </c>
    </row>
    <row r="299" hidden="1" ht="14" customHeight="1" s="215">
      <c r="A299" s="28" t="n"/>
      <c r="B299" s="41" t="inlineStr">
        <is>
          <t>CHTR</t>
        </is>
      </c>
      <c r="C299" s="41" t="inlineStr">
        <is>
          <t>Charter Communications</t>
        </is>
      </c>
      <c r="D299" s="42" t="inlineStr">
        <is>
          <t>Entertainment</t>
        </is>
      </c>
      <c r="E299" s="43" t="n">
        <v>2.6</v>
      </c>
      <c r="F299" s="43" t="n">
        <v>0.5</v>
      </c>
      <c r="G299" s="43" t="n">
        <v>0.5</v>
      </c>
      <c r="H299" s="44" t="n">
        <v>0.362</v>
      </c>
      <c r="I299" s="44" t="n">
        <v>0.145</v>
      </c>
      <c r="J299" s="44" t="n">
        <v>0.037</v>
      </c>
      <c r="K299" s="44" t="n">
        <v>0.101</v>
      </c>
      <c r="L299" s="44" t="n">
        <v>2.764</v>
      </c>
    </row>
    <row r="300" hidden="1" ht="14" customHeight="1" s="215">
      <c r="A300" s="28" t="n"/>
      <c r="B300" s="41" t="inlineStr">
        <is>
          <t>LEN</t>
        </is>
      </c>
      <c r="C300" s="41" t="inlineStr">
        <is>
          <t>Lennar</t>
        </is>
      </c>
      <c r="D300" s="42" t="inlineStr">
        <is>
          <t>Residential Construction</t>
        </is>
      </c>
      <c r="E300" s="43" t="n">
        <v>0.6</v>
      </c>
      <c r="F300" s="43" t="n">
        <v>14.2</v>
      </c>
      <c r="G300" s="43" t="n">
        <v>1.8</v>
      </c>
      <c r="H300" s="44" t="n">
        <v>0.127</v>
      </c>
      <c r="I300" s="44" t="n">
        <v>0.112</v>
      </c>
      <c r="J300" s="44" t="n">
        <v>0.08799999999999999</v>
      </c>
      <c r="K300" s="44" t="n">
        <v>0.101</v>
      </c>
      <c r="L300" s="44" t="n">
        <v>1.152</v>
      </c>
    </row>
    <row r="301" hidden="1" ht="14" customHeight="1" s="215">
      <c r="A301" s="28" t="n"/>
      <c r="B301" s="41" t="inlineStr">
        <is>
          <t>OTIS</t>
        </is>
      </c>
      <c r="C301" s="41" t="inlineStr">
        <is>
          <t>Otis Worldwide</t>
        </is>
      </c>
      <c r="D301" s="42" t="inlineStr">
        <is>
          <t>Specialty Industrial Machinery</t>
        </is>
      </c>
      <c r="E301" s="43" t="n">
        <v>0.3</v>
      </c>
      <c r="F301" s="43" t="n">
        <v>1.1</v>
      </c>
      <c r="G301" s="43" t="n">
        <v>1</v>
      </c>
      <c r="H301" s="44" t="n">
        <v>0.292</v>
      </c>
      <c r="I301" s="44" t="n">
        <v>0.141</v>
      </c>
      <c r="J301" s="44" t="n">
        <v>0.08500000000000001</v>
      </c>
      <c r="K301" s="44" t="n">
        <v>0.101</v>
      </c>
      <c r="L301" s="44" t="n">
        <v>1.186</v>
      </c>
    </row>
    <row r="302" hidden="1" ht="14" customHeight="1" s="215">
      <c r="A302" s="28" t="n"/>
      <c r="B302" s="41" t="inlineStr">
        <is>
          <t>ROST</t>
        </is>
      </c>
      <c r="C302" s="41" t="inlineStr">
        <is>
          <t>Ross Stores</t>
        </is>
      </c>
      <c r="D302" s="42" t="inlineStr">
        <is>
          <t>Apparel Retail</t>
        </is>
      </c>
      <c r="E302" s="43" t="n">
        <v>1</v>
      </c>
      <c r="F302" s="43" t="n">
        <v>1.3</v>
      </c>
      <c r="G302" s="43" t="n">
        <v>0.6</v>
      </c>
      <c r="H302" s="44" t="n">
        <v>0.281</v>
      </c>
      <c r="I302" s="44" t="n">
        <v>0.134</v>
      </c>
      <c r="J302" s="44" t="n">
        <v>0.104</v>
      </c>
      <c r="K302" s="44" t="n">
        <v>0.101</v>
      </c>
      <c r="L302" s="44" t="n">
        <v>0.973</v>
      </c>
    </row>
    <row r="303" hidden="1" ht="14" customHeight="1" s="215">
      <c r="A303" s="28" t="n"/>
      <c r="B303" s="41" t="inlineStr">
        <is>
          <t>HD</t>
        </is>
      </c>
      <c r="C303" s="41" t="inlineStr">
        <is>
          <t>Home Depot</t>
        </is>
      </c>
      <c r="D303" s="42" t="inlineStr">
        <is>
          <t>Home Improvement Retail</t>
        </is>
      </c>
      <c r="E303" s="43" t="inlineStr">
        <is>
          <t xml:space="preserve">- </t>
        </is>
      </c>
      <c r="F303" s="43" t="n">
        <v>1.1</v>
      </c>
      <c r="G303" s="43" t="n">
        <v>0.3</v>
      </c>
      <c r="H303" s="44" t="n">
        <v>0.341</v>
      </c>
      <c r="I303" s="44" t="n">
        <v>0.144</v>
      </c>
      <c r="J303" s="44" t="n">
        <v>0.102</v>
      </c>
      <c r="K303" s="44" t="n">
        <v>0.1</v>
      </c>
      <c r="L303" s="44" t="n">
        <v>0.978</v>
      </c>
    </row>
    <row r="304" hidden="1" ht="14" customHeight="1" s="215">
      <c r="A304" s="28" t="n"/>
      <c r="B304" s="41" t="inlineStr">
        <is>
          <t>PHM</t>
        </is>
      </c>
      <c r="C304" s="41" t="inlineStr">
        <is>
          <t>PulteGroup</t>
        </is>
      </c>
      <c r="D304" s="42" t="inlineStr">
        <is>
          <t>Residential Construction</t>
        </is>
      </c>
      <c r="E304" s="43" t="n">
        <v>0.6</v>
      </c>
      <c r="F304" s="43" t="n">
        <v>6.7</v>
      </c>
      <c r="G304" s="43" t="n">
        <v>1.6</v>
      </c>
      <c r="H304" s="44" t="n">
        <v>0.235</v>
      </c>
      <c r="I304" s="44" t="n">
        <v>0.131</v>
      </c>
      <c r="J304" s="44" t="n">
        <v>0.1</v>
      </c>
      <c r="K304" s="44" t="n">
        <v>0.1</v>
      </c>
      <c r="L304" s="44" t="n">
        <v>1.004</v>
      </c>
    </row>
    <row r="305" hidden="1" ht="14" customHeight="1" s="215">
      <c r="A305" s="28" t="n"/>
      <c r="B305" s="41" t="inlineStr">
        <is>
          <t>RJF</t>
        </is>
      </c>
      <c r="C305" s="41" t="inlineStr">
        <is>
          <t>Raymond James Financial</t>
        </is>
      </c>
      <c r="D305" s="42" t="inlineStr">
        <is>
          <t>Capital Markets</t>
        </is>
      </c>
      <c r="E305" s="43" t="n">
        <v>0.4</v>
      </c>
      <c r="F305" s="43" t="inlineStr">
        <is>
          <t xml:space="preserve">- </t>
        </is>
      </c>
      <c r="G305" s="43" t="inlineStr">
        <is>
          <t xml:space="preserve">- </t>
        </is>
      </c>
      <c r="H305" s="44" t="n">
        <v>0</v>
      </c>
      <c r="I305" s="44" t="n">
        <v>0.182</v>
      </c>
      <c r="J305" s="44" t="n">
        <v>0.136</v>
      </c>
      <c r="K305" s="44" t="n">
        <v>0.1</v>
      </c>
      <c r="L305" s="44" t="n">
        <v>0.732</v>
      </c>
    </row>
    <row r="306" hidden="1" ht="28" customHeight="1" s="215">
      <c r="A306" s="28" t="n"/>
      <c r="B306" s="41" t="inlineStr">
        <is>
          <t>IT</t>
        </is>
      </c>
      <c r="C306" s="41" t="inlineStr">
        <is>
          <t>Gartner</t>
        </is>
      </c>
      <c r="D306" s="42" t="inlineStr">
        <is>
          <t>Information Technology Services</t>
        </is>
      </c>
      <c r="E306" s="43" t="n">
        <v>3.3</v>
      </c>
      <c r="F306" s="43" t="n">
        <v>0.7</v>
      </c>
      <c r="G306" s="43" t="n">
        <v>0.7</v>
      </c>
      <c r="H306" s="44" t="n">
        <v>0.635</v>
      </c>
      <c r="I306" s="44" t="n">
        <v>0.09</v>
      </c>
      <c r="J306" s="44" t="n">
        <v>0.055</v>
      </c>
      <c r="K306" s="44" t="n">
        <v>0.099</v>
      </c>
      <c r="L306" s="44" t="n">
        <v>1.789</v>
      </c>
    </row>
    <row r="307" hidden="1" ht="14" customHeight="1" s="215">
      <c r="A307" s="28" t="n"/>
      <c r="B307" s="41" t="inlineStr">
        <is>
          <t>PKI</t>
        </is>
      </c>
      <c r="C307" s="41" t="inlineStr">
        <is>
          <t>PerkinElmer</t>
        </is>
      </c>
      <c r="D307" s="42" t="inlineStr">
        <is>
          <t>Diagnostics &amp; Research</t>
        </is>
      </c>
      <c r="E307" s="43" t="n">
        <v>0.8</v>
      </c>
      <c r="F307" s="43" t="n">
        <v>1.8</v>
      </c>
      <c r="G307" s="43" t="n">
        <v>1.3</v>
      </c>
      <c r="H307" s="44" t="n">
        <v>0.484</v>
      </c>
      <c r="I307" s="44" t="n">
        <v>0.136</v>
      </c>
      <c r="J307" s="44" t="n">
        <v>0.079</v>
      </c>
      <c r="K307" s="44" t="n">
        <v>0.099</v>
      </c>
      <c r="L307" s="44" t="n">
        <v>1.254</v>
      </c>
    </row>
    <row r="308" hidden="1" ht="14" customHeight="1" s="215">
      <c r="A308" s="28" t="n"/>
      <c r="B308" s="41" t="inlineStr">
        <is>
          <t>LHX</t>
        </is>
      </c>
      <c r="C308" s="41" t="inlineStr">
        <is>
          <t>L3Harris Technologies</t>
        </is>
      </c>
      <c r="D308" s="42" t="inlineStr">
        <is>
          <t>Aerospace &amp; Defense</t>
        </is>
      </c>
      <c r="E308" s="43" t="n">
        <v>0.3</v>
      </c>
      <c r="F308" s="43" t="n">
        <v>1.5</v>
      </c>
      <c r="G308" s="43" t="n">
        <v>1.2</v>
      </c>
      <c r="H308" s="44" t="n">
        <v>0.309</v>
      </c>
      <c r="I308" s="44" t="n">
        <v>0.106</v>
      </c>
      <c r="J308" s="44" t="n">
        <v>0.12</v>
      </c>
      <c r="K308" s="44" t="n">
        <v>0.097</v>
      </c>
      <c r="L308" s="44" t="n">
        <v>0.803</v>
      </c>
    </row>
    <row r="309" hidden="1" ht="14" customHeight="1" s="215">
      <c r="A309" s="28" t="n"/>
      <c r="B309" s="41" t="inlineStr">
        <is>
          <t>LMT</t>
        </is>
      </c>
      <c r="C309" s="41" t="inlineStr">
        <is>
          <t>Lockheed Martin</t>
        </is>
      </c>
      <c r="D309" s="42" t="inlineStr">
        <is>
          <t>Aerospace &amp; Defense</t>
        </is>
      </c>
      <c r="E309" s="43" t="n">
        <v>4.1</v>
      </c>
      <c r="F309" s="43" t="n">
        <v>1.2</v>
      </c>
      <c r="G309" s="43" t="n">
        <v>1</v>
      </c>
      <c r="H309" s="44" t="n">
        <v>0.14</v>
      </c>
      <c r="I309" s="44" t="n">
        <v>0.143</v>
      </c>
      <c r="J309" s="44" t="n">
        <v>0.104</v>
      </c>
      <c r="K309" s="44" t="n">
        <v>0.097</v>
      </c>
      <c r="L309" s="44" t="n">
        <v>0.9370000000000001</v>
      </c>
    </row>
    <row r="310" hidden="1" ht="14" customHeight="1" s="215">
      <c r="A310" s="28" t="n"/>
      <c r="B310" s="41" t="inlineStr">
        <is>
          <t>MAS</t>
        </is>
      </c>
      <c r="C310" s="41" t="inlineStr">
        <is>
          <t>Masco</t>
        </is>
      </c>
      <c r="D310" s="42" t="inlineStr">
        <is>
          <t>Building Products &amp; Equipment</t>
        </is>
      </c>
      <c r="E310" s="43" t="inlineStr">
        <is>
          <t xml:space="preserve">- </t>
        </is>
      </c>
      <c r="F310" s="43" t="n">
        <v>1.8</v>
      </c>
      <c r="G310" s="43" t="n">
        <v>1.3</v>
      </c>
      <c r="H310" s="44" t="n">
        <v>0.347</v>
      </c>
      <c r="I310" s="44" t="n">
        <v>0.157</v>
      </c>
      <c r="J310" s="44" t="n">
        <v>0.134</v>
      </c>
      <c r="K310" s="44" t="n">
        <v>0.097</v>
      </c>
      <c r="L310" s="44" t="n">
        <v>0.73</v>
      </c>
    </row>
    <row r="311" hidden="1" ht="28" customHeight="1" s="215">
      <c r="A311" s="28" t="n"/>
      <c r="B311" s="41" t="inlineStr">
        <is>
          <t>DXC</t>
        </is>
      </c>
      <c r="C311" s="41" t="inlineStr">
        <is>
          <t>DXC Technology</t>
        </is>
      </c>
      <c r="D311" s="42" t="inlineStr">
        <is>
          <t>Information Technology Services</t>
        </is>
      </c>
      <c r="E311" s="43" t="n">
        <v>1.2</v>
      </c>
      <c r="F311" s="43" t="n">
        <v>0.9</v>
      </c>
      <c r="G311" s="43" t="n">
        <v>0.9</v>
      </c>
      <c r="H311" s="44" t="n">
        <v>0.253</v>
      </c>
      <c r="I311" s="44" t="n">
        <v>0.059</v>
      </c>
      <c r="J311" s="44" t="n">
        <v>-0.081</v>
      </c>
      <c r="K311" s="44" t="n">
        <v>0.096</v>
      </c>
      <c r="L311" s="43" t="inlineStr">
        <is>
          <t xml:space="preserve">- </t>
        </is>
      </c>
    </row>
    <row r="312" hidden="1" ht="14" customHeight="1" s="215">
      <c r="A312" s="28" t="n"/>
      <c r="B312" s="41" t="inlineStr">
        <is>
          <t>PBCT</t>
        </is>
      </c>
      <c r="C312" s="41" t="inlineStr">
        <is>
          <t>People's United Finl</t>
        </is>
      </c>
      <c r="D312" s="42" t="inlineStr">
        <is>
          <t>Banks - Regional</t>
        </is>
      </c>
      <c r="E312" s="43" t="n">
        <v>0.6</v>
      </c>
      <c r="F312" s="43" t="inlineStr">
        <is>
          <t xml:space="preserve">- </t>
        </is>
      </c>
      <c r="G312" s="43" t="inlineStr">
        <is>
          <t xml:space="preserve">- </t>
        </is>
      </c>
      <c r="H312" s="44" t="n">
        <v>0</v>
      </c>
      <c r="I312" s="44" t="n">
        <v>0.369</v>
      </c>
      <c r="J312" s="44" t="n">
        <v>0.282</v>
      </c>
      <c r="K312" s="44" t="n">
        <v>0.096</v>
      </c>
      <c r="L312" s="44" t="n">
        <v>0.338</v>
      </c>
    </row>
    <row r="313" hidden="1" ht="14" customHeight="1" s="215">
      <c r="A313" s="28" t="n"/>
      <c r="B313" s="41" t="inlineStr">
        <is>
          <t>CARR</t>
        </is>
      </c>
      <c r="C313" s="41" t="inlineStr">
        <is>
          <t>Carrier Global</t>
        </is>
      </c>
      <c r="D313" s="42" t="inlineStr">
        <is>
          <t>Building Products &amp; Equipment</t>
        </is>
      </c>
      <c r="E313" s="43" t="n">
        <v>0.1</v>
      </c>
      <c r="F313" s="43" t="n">
        <v>1.3</v>
      </c>
      <c r="G313" s="43" t="n">
        <v>1</v>
      </c>
      <c r="H313" s="44" t="n">
        <v>0.291</v>
      </c>
      <c r="I313" s="44" t="n">
        <v>0.121</v>
      </c>
      <c r="J313" s="44" t="n">
        <v>0.114</v>
      </c>
      <c r="K313" s="44" t="n">
        <v>0.095</v>
      </c>
      <c r="L313" s="44" t="n">
        <v>0.831</v>
      </c>
    </row>
    <row r="314" hidden="1" ht="14" customHeight="1" s="215">
      <c r="A314" s="28" t="n"/>
      <c r="B314" s="41" t="inlineStr">
        <is>
          <t>CVX</t>
        </is>
      </c>
      <c r="C314" s="41" t="inlineStr">
        <is>
          <t>Chevron</t>
        </is>
      </c>
      <c r="D314" s="42" t="inlineStr">
        <is>
          <t>Oil &amp; Gas Integrated</t>
        </is>
      </c>
      <c r="E314" s="43" t="n">
        <v>0.2</v>
      </c>
      <c r="F314" s="43" t="n">
        <v>1.1</v>
      </c>
      <c r="G314" s="43" t="n">
        <v>0.9</v>
      </c>
      <c r="H314" s="44" t="n">
        <v>0.217</v>
      </c>
      <c r="I314" s="44" t="n">
        <v>0</v>
      </c>
      <c r="J314" s="44" t="n">
        <v>0.02</v>
      </c>
      <c r="K314" s="44" t="n">
        <v>0.095</v>
      </c>
      <c r="L314" s="44" t="n">
        <v>4.668</v>
      </c>
    </row>
    <row r="315" hidden="1" ht="14" customHeight="1" s="215">
      <c r="A315" s="28" t="n"/>
      <c r="B315" s="41" t="inlineStr">
        <is>
          <t>CERN</t>
        </is>
      </c>
      <c r="C315" s="41" t="inlineStr">
        <is>
          <t>Cerner</t>
        </is>
      </c>
      <c r="D315" s="42" t="inlineStr">
        <is>
          <t>Health Information Services</t>
        </is>
      </c>
      <c r="E315" s="43" t="n">
        <v>0.2</v>
      </c>
      <c r="F315" s="43" t="n">
        <v>2</v>
      </c>
      <c r="G315" s="43" t="n">
        <v>2</v>
      </c>
      <c r="H315" s="44" t="n">
        <v>0.8120000000000001</v>
      </c>
      <c r="I315" s="44" t="n">
        <v>0.105</v>
      </c>
      <c r="J315" s="44" t="n">
        <v>0.093</v>
      </c>
      <c r="K315" s="44" t="n">
        <v>0.094</v>
      </c>
      <c r="L315" s="44" t="n">
        <v>1.01</v>
      </c>
    </row>
    <row r="316" hidden="1" ht="14" customHeight="1" s="215">
      <c r="A316" s="28" t="n"/>
      <c r="B316" s="41" t="inlineStr">
        <is>
          <t>JNPR</t>
        </is>
      </c>
      <c r="C316" s="41" t="inlineStr">
        <is>
          <t>Juniper Networks</t>
        </is>
      </c>
      <c r="D316" s="42" t="inlineStr">
        <is>
          <t>Communication Equipment</t>
        </is>
      </c>
      <c r="E316" s="43" t="n">
        <v>0.4</v>
      </c>
      <c r="F316" s="43" t="n">
        <v>2.1</v>
      </c>
      <c r="G316" s="43" t="n">
        <v>2</v>
      </c>
      <c r="H316" s="44" t="n">
        <v>0.589</v>
      </c>
      <c r="I316" s="44" t="n">
        <v>0.108</v>
      </c>
      <c r="J316" s="44" t="n">
        <v>0.078</v>
      </c>
      <c r="K316" s="44" t="n">
        <v>0.094</v>
      </c>
      <c r="L316" s="44" t="n">
        <v>1.203</v>
      </c>
    </row>
    <row r="317" hidden="1" ht="14" customHeight="1" s="215">
      <c r="A317" s="28" t="n"/>
      <c r="B317" s="41" t="inlineStr">
        <is>
          <t>NOC</t>
        </is>
      </c>
      <c r="C317" s="41" t="inlineStr">
        <is>
          <t>Northrop Grumman</t>
        </is>
      </c>
      <c r="D317" s="42" t="inlineStr">
        <is>
          <t>Aerospace &amp; Defense</t>
        </is>
      </c>
      <c r="E317" s="43" t="n">
        <v>1.6</v>
      </c>
      <c r="F317" s="43" t="n">
        <v>1.1</v>
      </c>
      <c r="G317" s="43" t="n">
        <v>1.1</v>
      </c>
      <c r="H317" s="44" t="n">
        <v>0.215</v>
      </c>
      <c r="I317" s="44" t="n">
        <v>0.117</v>
      </c>
      <c r="J317" s="44" t="n">
        <v>0.066</v>
      </c>
      <c r="K317" s="44" t="n">
        <v>0.092</v>
      </c>
      <c r="L317" s="44" t="n">
        <v>1.396</v>
      </c>
    </row>
    <row r="318" hidden="1" ht="14" customHeight="1" s="215">
      <c r="A318" s="28" t="n"/>
      <c r="B318" s="41" t="inlineStr">
        <is>
          <t>RL</t>
        </is>
      </c>
      <c r="C318" s="41" t="inlineStr">
        <is>
          <t>Ralph Lauren</t>
        </is>
      </c>
      <c r="D318" s="42" t="inlineStr">
        <is>
          <t>Apparel Manufacturing</t>
        </is>
      </c>
      <c r="E318" s="43" t="n">
        <v>0.9</v>
      </c>
      <c r="F318" s="43" t="n">
        <v>1.9</v>
      </c>
      <c r="G318" s="43" t="n">
        <v>1.4</v>
      </c>
      <c r="H318" s="44" t="n">
        <v>0.62</v>
      </c>
      <c r="I318" s="44" t="n">
        <v>0.12</v>
      </c>
      <c r="J318" s="44" t="n">
        <v>0.105</v>
      </c>
      <c r="K318" s="44" t="n">
        <v>0.092</v>
      </c>
      <c r="L318" s="44" t="n">
        <v>0.877</v>
      </c>
    </row>
    <row r="319" hidden="1" ht="14" customHeight="1" s="215">
      <c r="A319" s="28" t="n"/>
      <c r="B319" s="41" t="inlineStr">
        <is>
          <t>DISH</t>
        </is>
      </c>
      <c r="C319" s="41" t="inlineStr">
        <is>
          <t>DISH Network</t>
        </is>
      </c>
      <c r="D319" s="42" t="inlineStr">
        <is>
          <t>Entertainment</t>
        </is>
      </c>
      <c r="E319" s="43" t="n">
        <v>1.2</v>
      </c>
      <c r="F319" s="43" t="n">
        <v>0.9</v>
      </c>
      <c r="G319" s="43" t="n">
        <v>0.8</v>
      </c>
      <c r="H319" s="44" t="n">
        <v>0.258</v>
      </c>
      <c r="I319" s="44" t="n">
        <v>0.147</v>
      </c>
      <c r="J319" s="44" t="n">
        <v>0.109</v>
      </c>
      <c r="K319" s="44" t="n">
        <v>0.091</v>
      </c>
      <c r="L319" s="44" t="n">
        <v>0.833</v>
      </c>
    </row>
    <row r="320" hidden="1" ht="14" customHeight="1" s="215">
      <c r="A320" s="28" t="n"/>
      <c r="B320" s="41" t="inlineStr">
        <is>
          <t>LH</t>
        </is>
      </c>
      <c r="C320" s="41" t="inlineStr">
        <is>
          <t>Laboratory Corp</t>
        </is>
      </c>
      <c r="D320" s="42" t="inlineStr">
        <is>
          <t>Diagnostics &amp; Research</t>
        </is>
      </c>
      <c r="E320" s="43" t="n">
        <v>0.9</v>
      </c>
      <c r="F320" s="43" t="n">
        <v>1.1</v>
      </c>
      <c r="G320" s="43" t="n">
        <v>1</v>
      </c>
      <c r="H320" s="44" t="n">
        <v>0.282</v>
      </c>
      <c r="I320" s="44" t="n">
        <v>0.12</v>
      </c>
      <c r="J320" s="44" t="n">
        <v>0.07099999999999999</v>
      </c>
      <c r="K320" s="44" t="n">
        <v>0.091</v>
      </c>
      <c r="L320" s="44" t="n">
        <v>1.277</v>
      </c>
    </row>
    <row r="321" hidden="1" ht="28" customHeight="1" s="215">
      <c r="A321" s="28" t="n"/>
      <c r="B321" s="41" t="inlineStr">
        <is>
          <t>FBHS</t>
        </is>
      </c>
      <c r="C321" s="41" t="inlineStr">
        <is>
          <t>Fortune Brands Home</t>
        </is>
      </c>
      <c r="D321" s="42" t="inlineStr">
        <is>
          <t>Furnishings, Fixtures &amp; Appliances</t>
        </is>
      </c>
      <c r="E321" s="43" t="n">
        <v>1</v>
      </c>
      <c r="F321" s="43" t="n">
        <v>1.4</v>
      </c>
      <c r="G321" s="43" t="n">
        <v>0.8</v>
      </c>
      <c r="H321" s="44" t="n">
        <v>0.356</v>
      </c>
      <c r="I321" s="44" t="n">
        <v>0.126</v>
      </c>
      <c r="J321" s="44" t="n">
        <v>0.075</v>
      </c>
      <c r="K321" s="44" t="n">
        <v>0.09</v>
      </c>
      <c r="L321" s="44" t="n">
        <v>1.192</v>
      </c>
    </row>
    <row r="322" hidden="1" ht="14" customHeight="1" s="215">
      <c r="A322" s="28" t="n"/>
      <c r="B322" s="41" t="inlineStr">
        <is>
          <t>IFF</t>
        </is>
      </c>
      <c r="C322" s="41" t="inlineStr">
        <is>
          <t>Intl Flavors &amp; Fragrances</t>
        </is>
      </c>
      <c r="D322" s="42" t="inlineStr">
        <is>
          <t>Specialty Chemicals</t>
        </is>
      </c>
      <c r="E322" s="43" t="n">
        <v>0.7</v>
      </c>
      <c r="F322" s="43" t="n">
        <v>1.9</v>
      </c>
      <c r="G322" s="43" t="n">
        <v>1.2</v>
      </c>
      <c r="H322" s="44" t="n">
        <v>0.411</v>
      </c>
      <c r="I322" s="44" t="n">
        <v>0.136</v>
      </c>
      <c r="J322" s="44" t="n">
        <v>0.089</v>
      </c>
      <c r="K322" s="44" t="n">
        <v>0.09</v>
      </c>
      <c r="L322" s="44" t="n">
        <v>1.014</v>
      </c>
    </row>
    <row r="323" hidden="1" ht="14" customHeight="1" s="215">
      <c r="A323" s="28" t="n"/>
      <c r="B323" s="41" t="inlineStr">
        <is>
          <t>WY</t>
        </is>
      </c>
      <c r="C323" s="41" t="inlineStr">
        <is>
          <t>Weyerhaeuser</t>
        </is>
      </c>
      <c r="D323" s="42" t="inlineStr">
        <is>
          <t>REIT - Specialty</t>
        </is>
      </c>
      <c r="E323" s="43" t="n">
        <v>0.8</v>
      </c>
      <c r="F323" s="43" t="n">
        <v>1.6</v>
      </c>
      <c r="G323" s="43" t="n">
        <v>1.2</v>
      </c>
      <c r="H323" s="44" t="n">
        <v>0.174</v>
      </c>
      <c r="I323" s="44" t="n">
        <v>0.103</v>
      </c>
      <c r="J323" s="44" t="n">
        <v>-0.01</v>
      </c>
      <c r="K323" s="44" t="n">
        <v>0.09</v>
      </c>
      <c r="L323" s="43" t="inlineStr">
        <is>
          <t xml:space="preserve">- </t>
        </is>
      </c>
    </row>
    <row r="324" hidden="1" ht="14" customHeight="1" s="215">
      <c r="A324" s="28" t="n"/>
      <c r="B324" s="41" t="inlineStr">
        <is>
          <t>FMC</t>
        </is>
      </c>
      <c r="C324" s="41" t="inlineStr">
        <is>
          <t>FMC</t>
        </is>
      </c>
      <c r="D324" s="42" t="inlineStr">
        <is>
          <t>Agricultural Inputs</t>
        </is>
      </c>
      <c r="E324" s="43" t="n">
        <v>1.4</v>
      </c>
      <c r="F324" s="43" t="n">
        <v>1.5</v>
      </c>
      <c r="G324" s="43" t="n">
        <v>1.1</v>
      </c>
      <c r="H324" s="44" t="n">
        <v>0.452</v>
      </c>
      <c r="I324" s="44" t="n">
        <v>0.215</v>
      </c>
      <c r="J324" s="44" t="n">
        <v>0.103</v>
      </c>
      <c r="K324" s="44" t="n">
        <v>0.089</v>
      </c>
      <c r="L324" s="44" t="n">
        <v>0.871</v>
      </c>
    </row>
    <row r="325" hidden="1" ht="14" customHeight="1" s="215">
      <c r="A325" s="28" t="n"/>
      <c r="B325" s="41" t="inlineStr">
        <is>
          <t>LIN</t>
        </is>
      </c>
      <c r="C325" s="41" t="inlineStr">
        <is>
          <t>Linde</t>
        </is>
      </c>
      <c r="D325" s="42" t="inlineStr">
        <is>
          <t>Specialty Chemicals</t>
        </is>
      </c>
      <c r="E325" s="43" t="n">
        <v>0.3</v>
      </c>
      <c r="F325" s="43" t="n">
        <v>0.9</v>
      </c>
      <c r="G325" s="43" t="n">
        <v>0.7</v>
      </c>
      <c r="H325" s="44" t="n">
        <v>0.41</v>
      </c>
      <c r="I325" s="44" t="n">
        <v>0.099</v>
      </c>
      <c r="J325" s="44" t="n">
        <v>0.081</v>
      </c>
      <c r="K325" s="44" t="n">
        <v>0.089</v>
      </c>
      <c r="L325" s="44" t="n">
        <v>1.102</v>
      </c>
    </row>
    <row r="326" hidden="1" ht="14" customHeight="1" s="215">
      <c r="A326" s="28" t="n"/>
      <c r="B326" s="41" t="inlineStr">
        <is>
          <t>EXPD</t>
        </is>
      </c>
      <c r="C326" s="41" t="inlineStr">
        <is>
          <t>Expeditors International</t>
        </is>
      </c>
      <c r="D326" s="42" t="inlineStr">
        <is>
          <t>Integrated Freight &amp; Logistics</t>
        </is>
      </c>
      <c r="E326" s="43" t="n">
        <v>0.2</v>
      </c>
      <c r="F326" s="43" t="n">
        <v>2.4</v>
      </c>
      <c r="G326" s="43" t="n">
        <v>2.4</v>
      </c>
      <c r="H326" s="44" t="n">
        <v>0.122</v>
      </c>
      <c r="I326" s="44" t="n">
        <v>0.094</v>
      </c>
      <c r="J326" s="44" t="n">
        <v>0.07199999999999999</v>
      </c>
      <c r="K326" s="44" t="n">
        <v>0.08799999999999999</v>
      </c>
      <c r="L326" s="44" t="n">
        <v>1.22</v>
      </c>
    </row>
    <row r="327" hidden="1" ht="28" customHeight="1" s="215">
      <c r="A327" s="28" t="n"/>
      <c r="B327" s="41" t="inlineStr">
        <is>
          <t>MHK</t>
        </is>
      </c>
      <c r="C327" s="41" t="inlineStr">
        <is>
          <t>Mohawk Industries</t>
        </is>
      </c>
      <c r="D327" s="42" t="inlineStr">
        <is>
          <t>Furnishings, Fixtures &amp; Appliances</t>
        </is>
      </c>
      <c r="E327" s="43" t="n">
        <v>0.4</v>
      </c>
      <c r="F327" s="43" t="n">
        <v>1.6</v>
      </c>
      <c r="G327" s="43" t="n">
        <v>0.8</v>
      </c>
      <c r="H327" s="44" t="n">
        <v>0.269</v>
      </c>
      <c r="I327" s="44" t="n">
        <v>0.083</v>
      </c>
      <c r="J327" s="44" t="n">
        <v>0.075</v>
      </c>
      <c r="K327" s="44" t="n">
        <v>0.08799999999999999</v>
      </c>
      <c r="L327" s="44" t="n">
        <v>1.18</v>
      </c>
    </row>
    <row r="328" hidden="1" ht="14" customHeight="1" s="215">
      <c r="A328" s="28" t="n"/>
      <c r="B328" s="41" t="inlineStr">
        <is>
          <t>DOW</t>
        </is>
      </c>
      <c r="C328" s="41" t="inlineStr">
        <is>
          <t>Dow</t>
        </is>
      </c>
      <c r="D328" s="42" t="inlineStr">
        <is>
          <t>Chemicals</t>
        </is>
      </c>
      <c r="E328" s="43" t="n">
        <v>1.4</v>
      </c>
      <c r="F328" s="43" t="n">
        <v>1.6</v>
      </c>
      <c r="G328" s="43" t="n">
        <v>1</v>
      </c>
      <c r="H328" s="44" t="n">
        <v>0.161</v>
      </c>
      <c r="I328" s="44" t="n">
        <v>0.09</v>
      </c>
      <c r="J328" s="44" t="n">
        <v>-0.031</v>
      </c>
      <c r="K328" s="44" t="n">
        <v>0.08699999999999999</v>
      </c>
      <c r="L328" s="43" t="inlineStr">
        <is>
          <t xml:space="preserve">- </t>
        </is>
      </c>
    </row>
    <row r="329" hidden="1" ht="14" customHeight="1" s="215">
      <c r="A329" s="28" t="n"/>
      <c r="B329" s="41" t="inlineStr">
        <is>
          <t>DRI</t>
        </is>
      </c>
      <c r="C329" s="41" t="inlineStr">
        <is>
          <t>Darden Restaurants</t>
        </is>
      </c>
      <c r="D329" s="42" t="inlineStr">
        <is>
          <t>Restaurants</t>
        </is>
      </c>
      <c r="E329" s="43" t="n">
        <v>2.2</v>
      </c>
      <c r="F329" s="43" t="n">
        <v>0.4</v>
      </c>
      <c r="G329" s="43" t="n">
        <v>0.3</v>
      </c>
      <c r="H329" s="44" t="n">
        <v>0.217</v>
      </c>
      <c r="I329" s="44" t="n">
        <v>0.101</v>
      </c>
      <c r="J329" s="44" t="n">
        <v>0.073</v>
      </c>
      <c r="K329" s="44" t="n">
        <v>0.08699999999999999</v>
      </c>
      <c r="L329" s="44" t="n">
        <v>1.2</v>
      </c>
    </row>
    <row r="330" hidden="1" ht="14" customHeight="1" s="215">
      <c r="A330" s="28" t="n"/>
      <c r="B330" s="41" t="inlineStr">
        <is>
          <t>WLTW</t>
        </is>
      </c>
      <c r="C330" s="41" t="inlineStr">
        <is>
          <t>Willis Towers Watson</t>
        </is>
      </c>
      <c r="D330" s="42" t="inlineStr">
        <is>
          <t>Insurance Brokers</t>
        </is>
      </c>
      <c r="E330" s="43" t="n">
        <v>0.7</v>
      </c>
      <c r="F330" s="43" t="n">
        <v>1.1</v>
      </c>
      <c r="G330" s="43" t="n">
        <v>1.1</v>
      </c>
      <c r="H330" s="44" t="n">
        <v>0.419</v>
      </c>
      <c r="I330" s="44" t="n">
        <v>0.175</v>
      </c>
      <c r="J330" s="44" t="n">
        <v>0.115</v>
      </c>
      <c r="K330" s="44" t="n">
        <v>0.08699999999999999</v>
      </c>
      <c r="L330" s="44" t="n">
        <v>0.758</v>
      </c>
    </row>
    <row r="331" hidden="1" ht="14" customHeight="1" s="215">
      <c r="A331" s="28" t="n"/>
      <c r="B331" s="41" t="inlineStr">
        <is>
          <t>CAG</t>
        </is>
      </c>
      <c r="C331" s="41" t="inlineStr">
        <is>
          <t>Conagra Brands</t>
        </is>
      </c>
      <c r="D331" s="42" t="inlineStr">
        <is>
          <t>Packaged Foods</t>
        </is>
      </c>
      <c r="E331" s="43" t="n">
        <v>1.3</v>
      </c>
      <c r="F331" s="43" t="n">
        <v>0.9</v>
      </c>
      <c r="G331" s="43" t="n">
        <v>0.3</v>
      </c>
      <c r="H331" s="44" t="n">
        <v>0.275</v>
      </c>
      <c r="I331" s="44" t="n">
        <v>0.132</v>
      </c>
      <c r="J331" s="44" t="n">
        <v>0.074</v>
      </c>
      <c r="K331" s="44" t="n">
        <v>0.08599999999999999</v>
      </c>
      <c r="L331" s="44" t="n">
        <v>1.168</v>
      </c>
    </row>
    <row r="332" hidden="1" ht="14" customHeight="1" s="215">
      <c r="A332" s="28" t="n"/>
      <c r="B332" s="41" t="inlineStr">
        <is>
          <t>NLSN</t>
        </is>
      </c>
      <c r="C332" s="41" t="inlineStr">
        <is>
          <t>Nielsen Holdings</t>
        </is>
      </c>
      <c r="D332" s="42" t="inlineStr">
        <is>
          <t>Consulting Services</t>
        </is>
      </c>
      <c r="E332" s="43" t="n">
        <v>4</v>
      </c>
      <c r="F332" s="43" t="n">
        <v>0.8</v>
      </c>
      <c r="G332" s="43" t="n">
        <v>0.8</v>
      </c>
      <c r="H332" s="44" t="n">
        <v>0.5659999999999999</v>
      </c>
      <c r="I332" s="44" t="n">
        <v>0.153</v>
      </c>
      <c r="J332" s="44" t="n">
        <v>-0.065</v>
      </c>
      <c r="K332" s="44" t="n">
        <v>0.08599999999999999</v>
      </c>
      <c r="L332" s="43" t="inlineStr">
        <is>
          <t xml:space="preserve">- </t>
        </is>
      </c>
    </row>
    <row r="333" hidden="1" ht="28" customHeight="1" s="215">
      <c r="A333" s="28" t="n"/>
      <c r="B333" s="41" t="inlineStr">
        <is>
          <t>NWL</t>
        </is>
      </c>
      <c r="C333" s="41" t="inlineStr">
        <is>
          <t>Newell Brands</t>
        </is>
      </c>
      <c r="D333" s="42" t="inlineStr">
        <is>
          <t>Household &amp; Personal Products</t>
        </is>
      </c>
      <c r="E333" s="43" t="n">
        <v>1.3</v>
      </c>
      <c r="F333" s="43" t="n">
        <v>1.4</v>
      </c>
      <c r="G333" s="43" t="n">
        <v>0.8</v>
      </c>
      <c r="H333" s="44" t="n">
        <v>0.331</v>
      </c>
      <c r="I333" s="44" t="n">
        <v>0.073</v>
      </c>
      <c r="J333" s="44" t="n">
        <v>0.012</v>
      </c>
      <c r="K333" s="44" t="n">
        <v>0.08599999999999999</v>
      </c>
      <c r="L333" s="44" t="n">
        <v>6.98</v>
      </c>
    </row>
    <row r="334" hidden="1" ht="14" customHeight="1" s="215">
      <c r="A334" s="28" t="n"/>
      <c r="B334" s="41" t="inlineStr">
        <is>
          <t>BLL</t>
        </is>
      </c>
      <c r="C334" s="41" t="inlineStr">
        <is>
          <t>Ball</t>
        </is>
      </c>
      <c r="D334" s="42" t="inlineStr">
        <is>
          <t>Packaging &amp; Containers</t>
        </is>
      </c>
      <c r="E334" s="43" t="n">
        <v>2.7</v>
      </c>
      <c r="F334" s="43" t="n">
        <v>0.9</v>
      </c>
      <c r="G334" s="43" t="n">
        <v>0.7</v>
      </c>
      <c r="H334" s="44" t="n">
        <v>0.198</v>
      </c>
      <c r="I334" s="44" t="n">
        <v>0.103</v>
      </c>
      <c r="J334" s="44" t="n">
        <v>0.049</v>
      </c>
      <c r="K334" s="44" t="n">
        <v>0.08500000000000001</v>
      </c>
      <c r="L334" s="44" t="n">
        <v>1.716</v>
      </c>
    </row>
    <row r="335" hidden="1" ht="28" customHeight="1" s="215">
      <c r="A335" s="28" t="n"/>
      <c r="B335" s="41" t="inlineStr">
        <is>
          <t>VAR</t>
        </is>
      </c>
      <c r="C335" s="41" t="inlineStr">
        <is>
          <t>Varian Medical Systems</t>
        </is>
      </c>
      <c r="D335" s="42" t="inlineStr">
        <is>
          <t>Medical Instruments &amp; Supplies</t>
        </is>
      </c>
      <c r="E335" s="43" t="n">
        <v>0.3</v>
      </c>
      <c r="F335" s="43" t="n">
        <v>1.3</v>
      </c>
      <c r="G335" s="43" t="n">
        <v>1</v>
      </c>
      <c r="H335" s="44" t="n">
        <v>0.429</v>
      </c>
      <c r="I335" s="44" t="n">
        <v>0.153</v>
      </c>
      <c r="J335" s="44" t="n">
        <v>0.083</v>
      </c>
      <c r="K335" s="44" t="n">
        <v>0.08500000000000001</v>
      </c>
      <c r="L335" s="44" t="n">
        <v>1.018</v>
      </c>
    </row>
    <row r="336" hidden="1" ht="14" customHeight="1" s="215">
      <c r="A336" s="28" t="n"/>
      <c r="B336" s="41" t="inlineStr">
        <is>
          <t>JPM</t>
        </is>
      </c>
      <c r="C336" s="41" t="inlineStr">
        <is>
          <t>JPMorgan Chase</t>
        </is>
      </c>
      <c r="D336" s="42" t="inlineStr">
        <is>
          <t>Banks - Diversified</t>
        </is>
      </c>
      <c r="E336" s="43" t="n">
        <v>1.3</v>
      </c>
      <c r="F336" s="43" t="inlineStr">
        <is>
          <t xml:space="preserve">- </t>
        </is>
      </c>
      <c r="G336" s="43" t="inlineStr">
        <is>
          <t xml:space="preserve">- </t>
        </is>
      </c>
      <c r="H336" s="44" t="n">
        <v>0</v>
      </c>
      <c r="I336" s="44" t="n">
        <v>0.434</v>
      </c>
      <c r="J336" s="44" t="n">
        <v>0.315</v>
      </c>
      <c r="K336" s="44" t="n">
        <v>0.08400000000000001</v>
      </c>
      <c r="L336" s="44" t="n">
        <v>0.267</v>
      </c>
    </row>
    <row r="337" hidden="1" ht="28" customHeight="1" s="215">
      <c r="A337" s="28" t="n"/>
      <c r="B337" s="41" t="inlineStr">
        <is>
          <t>KMB</t>
        </is>
      </c>
      <c r="C337" s="41" t="inlineStr">
        <is>
          <t>Kimberly-Clark</t>
        </is>
      </c>
      <c r="D337" s="42" t="inlineStr">
        <is>
          <t>Household &amp; Personal Products</t>
        </is>
      </c>
      <c r="E337" s="43" t="inlineStr">
        <is>
          <t xml:space="preserve">- </t>
        </is>
      </c>
      <c r="F337" s="43" t="n">
        <v>0.7</v>
      </c>
      <c r="G337" s="43" t="n">
        <v>0.5</v>
      </c>
      <c r="H337" s="44" t="n">
        <v>0.327</v>
      </c>
      <c r="I337" s="44" t="n">
        <v>0.162</v>
      </c>
      <c r="J337" s="44" t="n">
        <v>0.117</v>
      </c>
      <c r="K337" s="44" t="n">
        <v>0.08400000000000001</v>
      </c>
      <c r="L337" s="44" t="n">
        <v>0.715</v>
      </c>
    </row>
    <row r="338" hidden="1" ht="14" customHeight="1" s="215">
      <c r="A338" s="28" t="n"/>
      <c r="B338" s="41" t="inlineStr">
        <is>
          <t>MGM</t>
        </is>
      </c>
      <c r="C338" s="41" t="inlineStr">
        <is>
          <t>MGM Resorts Intl</t>
        </is>
      </c>
      <c r="D338" s="42" t="inlineStr">
        <is>
          <t>Resorts &amp; Casinos</t>
        </is>
      </c>
      <c r="E338" s="43" t="n">
        <v>2</v>
      </c>
      <c r="F338" s="43" t="n">
        <v>1.3</v>
      </c>
      <c r="G338" s="43" t="n">
        <v>1.1</v>
      </c>
      <c r="H338" s="44" t="n">
        <v>0.411</v>
      </c>
      <c r="I338" s="44" t="n">
        <v>0.32</v>
      </c>
      <c r="J338" s="44" t="n">
        <v>0.161</v>
      </c>
      <c r="K338" s="44" t="n">
        <v>0.083</v>
      </c>
      <c r="L338" s="44" t="n">
        <v>0.519</v>
      </c>
    </row>
    <row r="339" hidden="1" ht="14" customHeight="1" s="215">
      <c r="A339" s="28" t="n"/>
      <c r="B339" s="41" t="inlineStr">
        <is>
          <t>NKE</t>
        </is>
      </c>
      <c r="C339" s="41" t="inlineStr">
        <is>
          <t>Nike</t>
        </is>
      </c>
      <c r="D339" s="42" t="inlineStr">
        <is>
          <t>Footwear &amp; Accessories</t>
        </is>
      </c>
      <c r="E339" s="43" t="n">
        <v>0.7</v>
      </c>
      <c r="F339" s="43" t="n">
        <v>1.9</v>
      </c>
      <c r="G339" s="43" t="n">
        <v>1.2</v>
      </c>
      <c r="H339" s="44" t="n">
        <v>0.449</v>
      </c>
      <c r="I339" s="44" t="n">
        <v>0.126</v>
      </c>
      <c r="J339" s="44" t="n">
        <v>0.105</v>
      </c>
      <c r="K339" s="44" t="n">
        <v>0.083</v>
      </c>
      <c r="L339" s="44" t="n">
        <v>0.793</v>
      </c>
    </row>
    <row r="340" hidden="1" ht="14" customHeight="1" s="215">
      <c r="A340" s="28" t="n"/>
      <c r="B340" s="41" t="inlineStr">
        <is>
          <t>CPRI</t>
        </is>
      </c>
      <c r="C340" s="41" t="inlineStr">
        <is>
          <t>Capri Holdings</t>
        </is>
      </c>
      <c r="D340" s="42" t="inlineStr">
        <is>
          <t>Apparel Manufacturing</t>
        </is>
      </c>
      <c r="E340" s="43" t="n">
        <v>1.6</v>
      </c>
      <c r="F340" s="43" t="n">
        <v>0.8</v>
      </c>
      <c r="G340" s="43" t="n">
        <v>0.4</v>
      </c>
      <c r="H340" s="44" t="n">
        <v>0.602</v>
      </c>
      <c r="I340" s="44" t="n">
        <v>0.127</v>
      </c>
      <c r="J340" s="44" t="n">
        <v>0.061</v>
      </c>
      <c r="K340" s="44" t="n">
        <v>0.082</v>
      </c>
      <c r="L340" s="44" t="n">
        <v>1.342</v>
      </c>
    </row>
    <row r="341" hidden="1" ht="14" customHeight="1" s="215">
      <c r="A341" s="28" t="n"/>
      <c r="B341" s="41" t="inlineStr">
        <is>
          <t>PEP</t>
        </is>
      </c>
      <c r="C341" s="41" t="inlineStr">
        <is>
          <t>PepsiCo</t>
        </is>
      </c>
      <c r="D341" s="42" t="inlineStr">
        <is>
          <t>Beverages - Non-Alcoholic</t>
        </is>
      </c>
      <c r="E341" s="43" t="n">
        <v>2.2</v>
      </c>
      <c r="F341" s="43" t="n">
        <v>0.9</v>
      </c>
      <c r="G341" s="43" t="n">
        <v>0.7</v>
      </c>
      <c r="H341" s="44" t="n">
        <v>0.551</v>
      </c>
      <c r="I341" s="44" t="n">
        <v>0.153</v>
      </c>
      <c r="J341" s="44" t="n">
        <v>0.109</v>
      </c>
      <c r="K341" s="44" t="n">
        <v>0.082</v>
      </c>
      <c r="L341" s="44" t="n">
        <v>0.752</v>
      </c>
    </row>
    <row r="342" hidden="1" ht="14" customHeight="1" s="215">
      <c r="A342" s="28" t="n"/>
      <c r="B342" s="41" t="inlineStr">
        <is>
          <t>RTX</t>
        </is>
      </c>
      <c r="C342" s="41" t="inlineStr">
        <is>
          <t>United Technologies</t>
        </is>
      </c>
      <c r="D342" s="42" t="inlineStr">
        <is>
          <t>Aerospace &amp; Defense</t>
        </is>
      </c>
      <c r="E342" s="43" t="n">
        <v>1.1</v>
      </c>
      <c r="F342" s="43" t="n">
        <v>1.1</v>
      </c>
      <c r="G342" s="43" t="n">
        <v>0.8</v>
      </c>
      <c r="H342" s="44" t="n">
        <v>0.259</v>
      </c>
      <c r="I342" s="44" t="n">
        <v>0.116</v>
      </c>
      <c r="J342" s="44" t="n">
        <v>0.07199999999999999</v>
      </c>
      <c r="K342" s="44" t="n">
        <v>0.082</v>
      </c>
      <c r="L342" s="44" t="n">
        <v>1.137</v>
      </c>
    </row>
    <row r="343" hidden="1" ht="14" customHeight="1" s="215">
      <c r="A343" s="28" t="n"/>
      <c r="B343" s="41" t="inlineStr">
        <is>
          <t>TIF</t>
        </is>
      </c>
      <c r="C343" s="41" t="inlineStr">
        <is>
          <t>Tiffany</t>
        </is>
      </c>
      <c r="D343" s="42" t="inlineStr">
        <is>
          <t>Luxury Goods</t>
        </is>
      </c>
      <c r="E343" s="43" t="n">
        <v>0.7</v>
      </c>
      <c r="F343" s="43" t="n">
        <v>4</v>
      </c>
      <c r="G343" s="43" t="n">
        <v>1.4</v>
      </c>
      <c r="H343" s="44" t="n">
        <v>0.624</v>
      </c>
      <c r="I343" s="44" t="n">
        <v>0.166</v>
      </c>
      <c r="J343" s="44" t="n">
        <v>0.122</v>
      </c>
      <c r="K343" s="44" t="n">
        <v>0.08</v>
      </c>
      <c r="L343" s="44" t="n">
        <v>0.654</v>
      </c>
    </row>
    <row r="344" hidden="1" ht="14" customHeight="1" s="215">
      <c r="A344" s="28" t="n"/>
      <c r="B344" s="41" t="inlineStr">
        <is>
          <t>TPR</t>
        </is>
      </c>
      <c r="C344" s="41" t="inlineStr">
        <is>
          <t>Tapestry</t>
        </is>
      </c>
      <c r="D344" s="42" t="inlineStr">
        <is>
          <t>Luxury Goods</t>
        </is>
      </c>
      <c r="E344" s="43" t="n">
        <v>1.2</v>
      </c>
      <c r="F344" s="43" t="n">
        <v>2</v>
      </c>
      <c r="G344" s="43" t="n">
        <v>1.4</v>
      </c>
      <c r="H344" s="44" t="n">
        <v>0.671</v>
      </c>
      <c r="I344" s="44" t="n">
        <v>0.115</v>
      </c>
      <c r="J344" s="44" t="n">
        <v>0.097</v>
      </c>
      <c r="K344" s="44" t="n">
        <v>0.08</v>
      </c>
      <c r="L344" s="44" t="n">
        <v>0.822</v>
      </c>
    </row>
    <row r="345" hidden="1" ht="28" customHeight="1" s="215">
      <c r="A345" s="28" t="n"/>
      <c r="B345" s="41" t="inlineStr">
        <is>
          <t>CAT</t>
        </is>
      </c>
      <c r="C345" s="41" t="inlineStr">
        <is>
          <t>Caterpillar</t>
        </is>
      </c>
      <c r="D345" s="42" t="inlineStr">
        <is>
          <t>Farm &amp; Heavy Construction Machinery</t>
        </is>
      </c>
      <c r="E345" s="43" t="n">
        <v>2.6</v>
      </c>
      <c r="F345" s="43" t="n">
        <v>1.5</v>
      </c>
      <c r="G345" s="43" t="n">
        <v>1.1</v>
      </c>
      <c r="H345" s="44" t="n">
        <v>0.305</v>
      </c>
      <c r="I345" s="44" t="n">
        <v>0.154</v>
      </c>
      <c r="J345" s="44" t="n">
        <v>0.113</v>
      </c>
      <c r="K345" s="44" t="n">
        <v>0.079</v>
      </c>
      <c r="L345" s="44" t="n">
        <v>0.702</v>
      </c>
    </row>
    <row r="346" hidden="1" ht="14" customHeight="1" s="215">
      <c r="A346" s="28" t="n"/>
      <c r="B346" s="41" t="inlineStr">
        <is>
          <t>WFC</t>
        </is>
      </c>
      <c r="C346" s="41" t="inlineStr">
        <is>
          <t>Wells Fargo</t>
        </is>
      </c>
      <c r="D346" s="42" t="inlineStr">
        <is>
          <t>Banks - Diversified</t>
        </is>
      </c>
      <c r="E346" s="43" t="n">
        <v>1.3</v>
      </c>
      <c r="F346" s="43" t="inlineStr">
        <is>
          <t xml:space="preserve">- </t>
        </is>
      </c>
      <c r="G346" s="43" t="inlineStr">
        <is>
          <t xml:space="preserve">- </t>
        </is>
      </c>
      <c r="H346" s="44" t="n">
        <v>0</v>
      </c>
      <c r="I346" s="44" t="n">
        <v>0.384</v>
      </c>
      <c r="J346" s="44" t="n">
        <v>0.238</v>
      </c>
      <c r="K346" s="44" t="n">
        <v>0.079</v>
      </c>
      <c r="L346" s="44" t="n">
        <v>0.331</v>
      </c>
    </row>
    <row r="347" hidden="1" ht="14" customHeight="1" s="215">
      <c r="A347" s="28" t="n"/>
      <c r="B347" s="41" t="inlineStr">
        <is>
          <t>AMZN</t>
        </is>
      </c>
      <c r="C347" s="41" t="inlineStr">
        <is>
          <t>Amazon</t>
        </is>
      </c>
      <c r="D347" s="42" t="inlineStr">
        <is>
          <t>Internet Retail</t>
        </is>
      </c>
      <c r="E347" s="43" t="n">
        <v>1</v>
      </c>
      <c r="F347" s="43" t="n">
        <v>1.1</v>
      </c>
      <c r="G347" s="43" t="n">
        <v>0.9</v>
      </c>
      <c r="H347" s="44" t="n">
        <v>0.266</v>
      </c>
      <c r="I347" s="44" t="n">
        <v>0.052</v>
      </c>
      <c r="J347" s="44" t="n">
        <v>0.041</v>
      </c>
      <c r="K347" s="44" t="n">
        <v>0.078</v>
      </c>
      <c r="L347" s="44" t="n">
        <v>1.9</v>
      </c>
    </row>
    <row r="348" hidden="1" ht="28" customHeight="1" s="215">
      <c r="A348" s="28" t="n"/>
      <c r="B348" s="41" t="inlineStr">
        <is>
          <t>LDOS</t>
        </is>
      </c>
      <c r="C348" s="41" t="inlineStr">
        <is>
          <t>Leidos Holdings</t>
        </is>
      </c>
      <c r="D348" s="42" t="inlineStr">
        <is>
          <t>Information Technology Services</t>
        </is>
      </c>
      <c r="E348" s="43" t="n">
        <v>1</v>
      </c>
      <c r="F348" s="43" t="n">
        <v>1.2</v>
      </c>
      <c r="G348" s="43" t="n">
        <v>1.2</v>
      </c>
      <c r="H348" s="44" t="n">
        <v>0.14</v>
      </c>
      <c r="I348" s="44" t="n">
        <v>0.078</v>
      </c>
      <c r="J348" s="44" t="n">
        <v>0.06</v>
      </c>
      <c r="K348" s="44" t="n">
        <v>0.078</v>
      </c>
      <c r="L348" s="44" t="n">
        <v>1.305</v>
      </c>
    </row>
    <row r="349" hidden="1" ht="14" customHeight="1" s="215">
      <c r="A349" s="28" t="n"/>
      <c r="B349" s="41" t="inlineStr">
        <is>
          <t>SWK</t>
        </is>
      </c>
      <c r="C349" s="41" t="inlineStr">
        <is>
          <t>Stanley Black &amp; Decker</t>
        </is>
      </c>
      <c r="D349" s="42" t="inlineStr">
        <is>
          <t>Tools &amp; Accessories</t>
        </is>
      </c>
      <c r="E349" s="43" t="n">
        <v>0.4</v>
      </c>
      <c r="F349" s="43" t="n">
        <v>1</v>
      </c>
      <c r="G349" s="43" t="n">
        <v>0.5</v>
      </c>
      <c r="H349" s="44" t="n">
        <v>0.333</v>
      </c>
      <c r="I349" s="44" t="n">
        <v>0.122</v>
      </c>
      <c r="J349" s="44" t="n">
        <v>0.066</v>
      </c>
      <c r="K349" s="44" t="n">
        <v>0.077</v>
      </c>
      <c r="L349" s="44" t="n">
        <v>1.164</v>
      </c>
    </row>
    <row r="350" hidden="1" ht="14" customHeight="1" s="215">
      <c r="A350" s="28" t="n"/>
      <c r="B350" s="41" t="inlineStr">
        <is>
          <t>IQV</t>
        </is>
      </c>
      <c r="C350" s="41" t="inlineStr">
        <is>
          <t>IQVIA Holdings</t>
        </is>
      </c>
      <c r="D350" s="42" t="inlineStr">
        <is>
          <t>Diagnostics &amp; Research</t>
        </is>
      </c>
      <c r="E350" s="43" t="n">
        <v>2</v>
      </c>
      <c r="F350" s="43" t="n">
        <v>1.1</v>
      </c>
      <c r="G350" s="43" t="n">
        <v>1.1</v>
      </c>
      <c r="H350" s="44" t="n">
        <v>0.342</v>
      </c>
      <c r="I350" s="44" t="n">
        <v>0.077</v>
      </c>
      <c r="J350" s="44" t="n">
        <v>0.017</v>
      </c>
      <c r="K350" s="44" t="n">
        <v>0.076</v>
      </c>
      <c r="L350" s="44" t="n">
        <v>4.437</v>
      </c>
    </row>
    <row r="351" hidden="1" ht="28" customHeight="1" s="215">
      <c r="A351" s="28" t="n"/>
      <c r="B351" s="41" t="inlineStr">
        <is>
          <t>RHI</t>
        </is>
      </c>
      <c r="C351" s="41" t="inlineStr">
        <is>
          <t>Robert Half International</t>
        </is>
      </c>
      <c r="D351" s="42" t="inlineStr">
        <is>
          <t>Staffing &amp; Employment Services</t>
        </is>
      </c>
      <c r="E351" s="43" t="n">
        <v>0.2</v>
      </c>
      <c r="F351" s="43" t="n">
        <v>1.7</v>
      </c>
      <c r="G351" s="43" t="n">
        <v>1.7</v>
      </c>
      <c r="H351" s="44" t="n">
        <v>0.417</v>
      </c>
      <c r="I351" s="44" t="n">
        <v>0.102</v>
      </c>
      <c r="J351" s="44" t="n">
        <v>0.075</v>
      </c>
      <c r="K351" s="44" t="n">
        <v>0.076</v>
      </c>
      <c r="L351" s="44" t="n">
        <v>1.012</v>
      </c>
    </row>
    <row r="352" hidden="1" ht="14" customHeight="1" s="215">
      <c r="A352" s="28" t="n"/>
      <c r="B352" s="41" t="inlineStr">
        <is>
          <t>HPQ</t>
        </is>
      </c>
      <c r="C352" s="41" t="inlineStr">
        <is>
          <t>HP</t>
        </is>
      </c>
      <c r="D352" s="42" t="inlineStr">
        <is>
          <t>Computer Hardware</t>
        </is>
      </c>
      <c r="E352" s="43" t="inlineStr">
        <is>
          <t xml:space="preserve">- </t>
        </is>
      </c>
      <c r="F352" s="43" t="n">
        <v>0.7</v>
      </c>
      <c r="G352" s="43" t="n">
        <v>0.5</v>
      </c>
      <c r="H352" s="44" t="n">
        <v>0.195</v>
      </c>
      <c r="I352" s="44" t="n">
        <v>0.074</v>
      </c>
      <c r="J352" s="44" t="n">
        <v>0.052</v>
      </c>
      <c r="K352" s="44" t="n">
        <v>0.075</v>
      </c>
      <c r="L352" s="44" t="n">
        <v>1.457</v>
      </c>
    </row>
    <row r="353" hidden="1" ht="14" customHeight="1" s="215">
      <c r="A353" s="28" t="n"/>
      <c r="B353" s="41" t="inlineStr">
        <is>
          <t>DAL</t>
        </is>
      </c>
      <c r="C353" s="41" t="inlineStr">
        <is>
          <t>Delta Air Lines</t>
        </is>
      </c>
      <c r="D353" s="42" t="inlineStr">
        <is>
          <t>Airlines</t>
        </is>
      </c>
      <c r="E353" s="43" t="n">
        <v>1.1</v>
      </c>
      <c r="F353" s="43" t="n">
        <v>0.4</v>
      </c>
      <c r="G353" s="43" t="n">
        <v>0.4</v>
      </c>
      <c r="H353" s="44" t="n">
        <v>0.221</v>
      </c>
      <c r="I353" s="44" t="n">
        <v>0.141</v>
      </c>
      <c r="J353" s="44" t="n">
        <v>0.102</v>
      </c>
      <c r="K353" s="44" t="n">
        <v>0.074</v>
      </c>
      <c r="L353" s="44" t="n">
        <v>0.732</v>
      </c>
    </row>
    <row r="354" hidden="1" ht="14" customHeight="1" s="215">
      <c r="A354" s="28" t="n"/>
      <c r="B354" s="41" t="inlineStr">
        <is>
          <t>GWW</t>
        </is>
      </c>
      <c r="C354" s="41" t="inlineStr">
        <is>
          <t>W.W. Grainger</t>
        </is>
      </c>
      <c r="D354" s="42" t="inlineStr">
        <is>
          <t>Industrial Distribution</t>
        </is>
      </c>
      <c r="E354" s="43" t="n">
        <v>1.2</v>
      </c>
      <c r="F354" s="43" t="n">
        <v>2.1</v>
      </c>
      <c r="G354" s="43" t="n">
        <v>1.1</v>
      </c>
      <c r="H354" s="44" t="n">
        <v>0.383</v>
      </c>
      <c r="I354" s="44" t="n">
        <v>0.11</v>
      </c>
      <c r="J354" s="44" t="n">
        <v>0.074</v>
      </c>
      <c r="K354" s="44" t="n">
        <v>0.07199999999999999</v>
      </c>
      <c r="L354" s="44" t="n">
        <v>0.976</v>
      </c>
    </row>
    <row r="355" hidden="1" ht="14" customHeight="1" s="215">
      <c r="A355" s="28" t="n"/>
      <c r="B355" s="41" t="inlineStr">
        <is>
          <t>HFC</t>
        </is>
      </c>
      <c r="C355" s="41" t="inlineStr">
        <is>
          <t>HollyFrontier</t>
        </is>
      </c>
      <c r="D355" s="42" t="inlineStr">
        <is>
          <t>Oil &amp; Gas Refining &amp; Marketing</t>
        </is>
      </c>
      <c r="E355" s="43" t="n">
        <v>0.5</v>
      </c>
      <c r="F355" s="43" t="n">
        <v>2</v>
      </c>
      <c r="G355" s="43" t="n">
        <v>1.1</v>
      </c>
      <c r="H355" s="44" t="n">
        <v>0.175</v>
      </c>
      <c r="I355" s="44" t="n">
        <v>0.075</v>
      </c>
      <c r="J355" s="44" t="n">
        <v>0.044</v>
      </c>
      <c r="K355" s="44" t="n">
        <v>0.07199999999999999</v>
      </c>
      <c r="L355" s="44" t="n">
        <v>1.64</v>
      </c>
    </row>
    <row r="356" hidden="1" ht="14" customHeight="1" s="215">
      <c r="A356" s="28" t="n"/>
      <c r="B356" s="41" t="inlineStr">
        <is>
          <t>TSCO</t>
        </is>
      </c>
      <c r="C356" s="41" t="inlineStr">
        <is>
          <t>Tractor Supply</t>
        </is>
      </c>
      <c r="D356" s="42" t="inlineStr">
        <is>
          <t>Specialty Retail</t>
        </is>
      </c>
      <c r="E356" s="43" t="n">
        <v>1.7</v>
      </c>
      <c r="F356" s="43" t="n">
        <v>1.4</v>
      </c>
      <c r="G356" s="43" t="n">
        <v>0.2</v>
      </c>
      <c r="H356" s="44" t="n">
        <v>0.344</v>
      </c>
      <c r="I356" s="44" t="n">
        <v>0.089</v>
      </c>
      <c r="J356" s="44" t="n">
        <v>0.068</v>
      </c>
      <c r="K356" s="44" t="n">
        <v>0.07199999999999999</v>
      </c>
      <c r="L356" s="44" t="n">
        <v>1.066</v>
      </c>
    </row>
    <row r="357" hidden="1" ht="14" customHeight="1" s="215">
      <c r="A357" s="28" t="n"/>
      <c r="B357" s="41" t="inlineStr">
        <is>
          <t>UA</t>
        </is>
      </c>
      <c r="C357" s="41" t="inlineStr">
        <is>
          <t>Under Armour</t>
        </is>
      </c>
      <c r="D357" s="42" t="inlineStr">
        <is>
          <t>Apparel Manufacturing</t>
        </is>
      </c>
      <c r="E357" s="43" t="n">
        <v>0.6</v>
      </c>
      <c r="F357" s="43" t="n">
        <v>1.9</v>
      </c>
      <c r="G357" s="43" t="n">
        <v>1.3</v>
      </c>
      <c r="H357" s="44" t="n">
        <v>0.469</v>
      </c>
      <c r="I357" s="44" t="n">
        <v>0.045</v>
      </c>
      <c r="J357" s="44" t="n">
        <v>0.018</v>
      </c>
      <c r="K357" s="44" t="n">
        <v>0.07099999999999999</v>
      </c>
      <c r="L357" s="44" t="n">
        <v>4.046</v>
      </c>
    </row>
    <row r="358" hidden="1" ht="14" customHeight="1" s="215">
      <c r="A358" s="28" t="n"/>
      <c r="B358" s="41" t="inlineStr">
        <is>
          <t>UAA</t>
        </is>
      </c>
      <c r="C358" s="41" t="inlineStr">
        <is>
          <t>Under Armour</t>
        </is>
      </c>
      <c r="D358" s="42" t="inlineStr">
        <is>
          <t>Apparel Manufacturing</t>
        </is>
      </c>
      <c r="E358" s="43" t="n">
        <v>0.6</v>
      </c>
      <c r="F358" s="43" t="n">
        <v>1.9</v>
      </c>
      <c r="G358" s="43" t="n">
        <v>1.3</v>
      </c>
      <c r="H358" s="44" t="n">
        <v>0.469</v>
      </c>
      <c r="I358" s="44" t="n">
        <v>0.045</v>
      </c>
      <c r="J358" s="44" t="n">
        <v>0.018</v>
      </c>
      <c r="K358" s="44" t="n">
        <v>0.07099999999999999</v>
      </c>
      <c r="L358" s="44" t="n">
        <v>4.046</v>
      </c>
    </row>
    <row r="359" hidden="1" ht="14" customHeight="1" s="215">
      <c r="A359" s="28" t="n"/>
      <c r="B359" s="41" t="inlineStr">
        <is>
          <t>URI</t>
        </is>
      </c>
      <c r="C359" s="41" t="inlineStr">
        <is>
          <t>United Rentals</t>
        </is>
      </c>
      <c r="D359" s="42" t="inlineStr">
        <is>
          <t>Rental &amp; Leasing Services</t>
        </is>
      </c>
      <c r="E359" s="43" t="n">
        <v>3.2</v>
      </c>
      <c r="F359" s="43" t="n">
        <v>0.8</v>
      </c>
      <c r="G359" s="43" t="n">
        <v>0.7</v>
      </c>
      <c r="H359" s="44" t="n">
        <v>0.393</v>
      </c>
      <c r="I359" s="44" t="n">
        <v>0.233</v>
      </c>
      <c r="J359" s="44" t="n">
        <v>0.126</v>
      </c>
      <c r="K359" s="44" t="n">
        <v>0.07099999999999999</v>
      </c>
      <c r="L359" s="44" t="n">
        <v>0.5639999999999999</v>
      </c>
    </row>
    <row r="360" hidden="1" ht="28" customHeight="1" s="215">
      <c r="A360" s="28" t="n"/>
      <c r="B360" s="41" t="inlineStr">
        <is>
          <t>AVY</t>
        </is>
      </c>
      <c r="C360" s="41" t="inlineStr">
        <is>
          <t>Avery Dennison</t>
        </is>
      </c>
      <c r="D360" s="42" t="inlineStr">
        <is>
          <t>Business Equipment &amp; Supplies</t>
        </is>
      </c>
      <c r="E360" s="43" t="n">
        <v>1.6</v>
      </c>
      <c r="F360" s="43" t="n">
        <v>1</v>
      </c>
      <c r="G360" s="43" t="n">
        <v>0.7</v>
      </c>
      <c r="H360" s="44" t="n">
        <v>0.269</v>
      </c>
      <c r="I360" s="44" t="n">
        <v>0.117</v>
      </c>
      <c r="J360" s="44" t="n">
        <v>0.044</v>
      </c>
      <c r="K360" s="44" t="n">
        <v>0.07000000000000001</v>
      </c>
      <c r="L360" s="44" t="n">
        <v>1.58</v>
      </c>
    </row>
    <row r="361" hidden="1" ht="14" customHeight="1" s="215">
      <c r="A361" s="28" t="n"/>
      <c r="B361" s="41" t="inlineStr">
        <is>
          <t>BRK.B</t>
        </is>
      </c>
      <c r="C361" s="41" t="inlineStr">
        <is>
          <t>Berkshire Hathaway</t>
        </is>
      </c>
      <c r="D361" s="42" t="inlineStr">
        <is>
          <t>Insurance - Diversified</t>
        </is>
      </c>
      <c r="E361" s="43" t="n">
        <v>0.2</v>
      </c>
      <c r="F361" s="43" t="inlineStr">
        <is>
          <t xml:space="preserve">- </t>
        </is>
      </c>
      <c r="G361" s="43" t="inlineStr">
        <is>
          <t xml:space="preserve">- </t>
        </is>
      </c>
      <c r="H361" s="44" t="n">
        <v>0</v>
      </c>
      <c r="I361" s="44" t="n">
        <v>0</v>
      </c>
      <c r="J361" s="44" t="n">
        <v>0.249</v>
      </c>
      <c r="K361" s="44" t="n">
        <v>0.07000000000000001</v>
      </c>
      <c r="L361" s="44" t="n">
        <v>0.28</v>
      </c>
    </row>
    <row r="362" hidden="1" ht="14" customHeight="1" s="215">
      <c r="A362" s="28" t="n"/>
      <c r="B362" s="41" t="inlineStr">
        <is>
          <t>HUM</t>
        </is>
      </c>
      <c r="C362" s="41" t="inlineStr">
        <is>
          <t>Humana</t>
        </is>
      </c>
      <c r="D362" s="42" t="inlineStr">
        <is>
          <t>Healthcare Plans</t>
        </is>
      </c>
      <c r="E362" s="43" t="n">
        <v>0.5</v>
      </c>
      <c r="F362" s="43" t="inlineStr">
        <is>
          <t xml:space="preserve">- </t>
        </is>
      </c>
      <c r="G362" s="43" t="inlineStr">
        <is>
          <t xml:space="preserve">- </t>
        </is>
      </c>
      <c r="H362" s="44" t="n">
        <v>0</v>
      </c>
      <c r="I362" s="44" t="n">
        <v>0</v>
      </c>
      <c r="J362" s="44" t="n">
        <v>0.042</v>
      </c>
      <c r="K362" s="44" t="n">
        <v>0.07000000000000001</v>
      </c>
      <c r="L362" s="44" t="n">
        <v>1.683</v>
      </c>
    </row>
    <row r="363" hidden="1" ht="14" customHeight="1" s="215">
      <c r="A363" s="28" t="n"/>
      <c r="B363" s="41" t="inlineStr">
        <is>
          <t>UHS</t>
        </is>
      </c>
      <c r="C363" s="41" t="inlineStr">
        <is>
          <t>Universal Health Services</t>
        </is>
      </c>
      <c r="D363" s="42" t="inlineStr">
        <is>
          <t>Medical Care Facilities</t>
        </is>
      </c>
      <c r="E363" s="43" t="n">
        <v>0.8</v>
      </c>
      <c r="F363" s="43" t="n">
        <v>1.2</v>
      </c>
      <c r="G363" s="43" t="n">
        <v>1.1</v>
      </c>
      <c r="H363" s="44" t="n">
        <v>0.399</v>
      </c>
      <c r="I363" s="44" t="n">
        <v>0.107</v>
      </c>
      <c r="J363" s="44" t="n">
        <v>0.07199999999999999</v>
      </c>
      <c r="K363" s="44" t="n">
        <v>0.07000000000000001</v>
      </c>
      <c r="L363" s="44" t="n">
        <v>0.978</v>
      </c>
    </row>
    <row r="364" hidden="1" ht="14" customHeight="1" s="215">
      <c r="A364" s="28" t="n"/>
      <c r="B364" s="41" t="inlineStr">
        <is>
          <t>CMG</t>
        </is>
      </c>
      <c r="C364" s="41" t="inlineStr">
        <is>
          <t>Chipotle Mexican Grill</t>
        </is>
      </c>
      <c r="D364" s="42" t="inlineStr">
        <is>
          <t>Restaurants</t>
        </is>
      </c>
      <c r="E364" s="43" t="n">
        <v>1.7</v>
      </c>
      <c r="F364" s="43" t="n">
        <v>1.6</v>
      </c>
      <c r="G364" s="43" t="n">
        <v>1.5</v>
      </c>
      <c r="H364" s="44" t="n">
        <v>0.205</v>
      </c>
      <c r="I364" s="44" t="n">
        <v>0.08400000000000001</v>
      </c>
      <c r="J364" s="44" t="n">
        <v>0.063</v>
      </c>
      <c r="K364" s="44" t="n">
        <v>0.06900000000000001</v>
      </c>
      <c r="L364" s="44" t="n">
        <v>1.105</v>
      </c>
    </row>
    <row r="365" hidden="1" ht="14" customHeight="1" s="215">
      <c r="A365" s="28" t="n"/>
      <c r="B365" s="41" t="inlineStr">
        <is>
          <t>PVH</t>
        </is>
      </c>
      <c r="C365" s="41" t="inlineStr">
        <is>
          <t>PVH</t>
        </is>
      </c>
      <c r="D365" s="42" t="inlineStr">
        <is>
          <t>Apparel Manufacturing</t>
        </is>
      </c>
      <c r="E365" s="43" t="n">
        <v>0.8</v>
      </c>
      <c r="F365" s="43" t="n">
        <v>1.4</v>
      </c>
      <c r="G365" s="43" t="n">
        <v>0.8</v>
      </c>
      <c r="H365" s="44" t="n">
        <v>0.544</v>
      </c>
      <c r="I365" s="44" t="n">
        <v>0.059</v>
      </c>
      <c r="J365" s="44" t="n">
        <v>0.042</v>
      </c>
      <c r="K365" s="44" t="n">
        <v>0.06900000000000001</v>
      </c>
      <c r="L365" s="44" t="n">
        <v>1.64</v>
      </c>
    </row>
    <row r="366" hidden="1" ht="14" customHeight="1" s="215">
      <c r="A366" s="28" t="n"/>
      <c r="B366" s="41" t="inlineStr">
        <is>
          <t>TJX</t>
        </is>
      </c>
      <c r="C366" s="41" t="inlineStr">
        <is>
          <t>TJX Companies</t>
        </is>
      </c>
      <c r="D366" s="42" t="inlineStr">
        <is>
          <t>Apparel Retail</t>
        </is>
      </c>
      <c r="E366" s="43" t="n">
        <v>1.9</v>
      </c>
      <c r="F366" s="43" t="n">
        <v>1.2</v>
      </c>
      <c r="G366" s="43" t="n">
        <v>0.6</v>
      </c>
      <c r="H366" s="44" t="n">
        <v>0.285</v>
      </c>
      <c r="I366" s="44" t="n">
        <v>0.106</v>
      </c>
      <c r="J366" s="44" t="n">
        <v>0.079</v>
      </c>
      <c r="K366" s="44" t="n">
        <v>0.06900000000000001</v>
      </c>
      <c r="L366" s="44" t="n">
        <v>0.877</v>
      </c>
    </row>
    <row r="367" hidden="1" ht="14" customHeight="1" s="215">
      <c r="A367" s="28" t="n"/>
      <c r="B367" s="41" t="inlineStr">
        <is>
          <t>UNH</t>
        </is>
      </c>
      <c r="C367" s="41" t="inlineStr">
        <is>
          <t>UnitedHealth Group</t>
        </is>
      </c>
      <c r="D367" s="42" t="inlineStr">
        <is>
          <t>Healthcare Plans</t>
        </is>
      </c>
      <c r="E367" s="43" t="n">
        <v>0.7</v>
      </c>
      <c r="F367" s="43" t="n">
        <v>0.7</v>
      </c>
      <c r="G367" s="43" t="n">
        <v>0.7</v>
      </c>
      <c r="H367" s="44" t="n">
        <v>0.232</v>
      </c>
      <c r="I367" s="44" t="n">
        <v>0.074</v>
      </c>
      <c r="J367" s="44" t="n">
        <v>0.058</v>
      </c>
      <c r="K367" s="44" t="n">
        <v>0.06900000000000001</v>
      </c>
      <c r="L367" s="44" t="n">
        <v>1.189</v>
      </c>
    </row>
    <row r="368" hidden="1" ht="14" customHeight="1" s="215">
      <c r="A368" s="28" t="n"/>
      <c r="B368" s="41" t="inlineStr">
        <is>
          <t>HCA</t>
        </is>
      </c>
      <c r="C368" s="41" t="inlineStr">
        <is>
          <t>HCA Healthcare</t>
        </is>
      </c>
      <c r="D368" s="42" t="inlineStr">
        <is>
          <t>Medical Care Facilities</t>
        </is>
      </c>
      <c r="E368" s="43" t="inlineStr">
        <is>
          <t xml:space="preserve">- </t>
        </is>
      </c>
      <c r="F368" s="43" t="n">
        <v>1.4</v>
      </c>
      <c r="G368" s="43" t="n">
        <v>1.2</v>
      </c>
      <c r="H368" s="44" t="n">
        <v>0.376</v>
      </c>
      <c r="I368" s="44" t="n">
        <v>0.141</v>
      </c>
      <c r="J368" s="44" t="n">
        <v>0.068</v>
      </c>
      <c r="K368" s="44" t="n">
        <v>0.068</v>
      </c>
      <c r="L368" s="44" t="n">
        <v>0.993</v>
      </c>
    </row>
    <row r="369" hidden="1" ht="14" customHeight="1" s="215">
      <c r="A369" s="28" t="n"/>
      <c r="B369" s="41" t="inlineStr">
        <is>
          <t>SEE</t>
        </is>
      </c>
      <c r="C369" s="41" t="inlineStr">
        <is>
          <t>Sealed Air</t>
        </is>
      </c>
      <c r="D369" s="42" t="inlineStr">
        <is>
          <t>Packaging &amp; Containers</t>
        </is>
      </c>
      <c r="E369" s="43" t="inlineStr">
        <is>
          <t xml:space="preserve">- </t>
        </is>
      </c>
      <c r="F369" s="43" t="n">
        <v>1.1</v>
      </c>
      <c r="G369" s="43" t="n">
        <v>0.7</v>
      </c>
      <c r="H369" s="44" t="n">
        <v>0.327</v>
      </c>
      <c r="I369" s="44" t="n">
        <v>0.129</v>
      </c>
      <c r="J369" s="44" t="n">
        <v>0.055</v>
      </c>
      <c r="K369" s="44" t="n">
        <v>0.068</v>
      </c>
      <c r="L369" s="44" t="n">
        <v>1.231</v>
      </c>
    </row>
    <row r="370" hidden="1" ht="14" customHeight="1" s="215">
      <c r="A370" s="28" t="n"/>
      <c r="B370" s="41" t="inlineStr">
        <is>
          <t>CPRT</t>
        </is>
      </c>
      <c r="C370" s="41" t="inlineStr">
        <is>
          <t>Copart</t>
        </is>
      </c>
      <c r="D370" s="42" t="inlineStr">
        <is>
          <t>Specialty Business Services</t>
        </is>
      </c>
      <c r="E370" s="43" t="n">
        <v>0.2</v>
      </c>
      <c r="F370" s="43" t="n">
        <v>2.1</v>
      </c>
      <c r="G370" s="43" t="n">
        <v>2.1</v>
      </c>
      <c r="H370" s="44" t="n">
        <v>0.453</v>
      </c>
      <c r="I370" s="44" t="n">
        <v>0.366</v>
      </c>
      <c r="J370" s="44" t="n">
        <v>0.329</v>
      </c>
      <c r="K370" s="44" t="n">
        <v>0.067</v>
      </c>
      <c r="L370" s="44" t="n">
        <v>0.202</v>
      </c>
    </row>
    <row r="371" hidden="1" ht="28" customHeight="1" s="215">
      <c r="A371" s="28" t="n"/>
      <c r="B371" s="41" t="inlineStr">
        <is>
          <t>COTY</t>
        </is>
      </c>
      <c r="C371" s="41" t="inlineStr">
        <is>
          <t>Coty</t>
        </is>
      </c>
      <c r="D371" s="42" t="inlineStr">
        <is>
          <t>Household &amp; Personal Products</t>
        </is>
      </c>
      <c r="E371" s="43" t="n">
        <v>1.8</v>
      </c>
      <c r="F371" s="43" t="n">
        <v>0.9</v>
      </c>
      <c r="G371" s="43" t="n">
        <v>0.6</v>
      </c>
      <c r="H371" s="44" t="n">
        <v>0.626</v>
      </c>
      <c r="I371" s="44" t="n">
        <v>0.058</v>
      </c>
      <c r="J371" s="44" t="n">
        <v>-0.335</v>
      </c>
      <c r="K371" s="44" t="n">
        <v>0.066</v>
      </c>
      <c r="L371" s="43" t="inlineStr">
        <is>
          <t xml:space="preserve">- </t>
        </is>
      </c>
    </row>
    <row r="372" hidden="1" ht="14" customHeight="1" s="215">
      <c r="A372" s="28" t="n"/>
      <c r="B372" s="41" t="inlineStr">
        <is>
          <t>LYB</t>
        </is>
      </c>
      <c r="C372" s="41" t="inlineStr">
        <is>
          <t>LyondellBasell Industries</t>
        </is>
      </c>
      <c r="D372" s="42" t="inlineStr">
        <is>
          <t>Specialty Chemicals</t>
        </is>
      </c>
      <c r="E372" s="43" t="n">
        <v>1.7</v>
      </c>
      <c r="F372" s="43" t="n">
        <v>1.8</v>
      </c>
      <c r="G372" s="43" t="n">
        <v>0.9</v>
      </c>
      <c r="H372" s="44" t="n">
        <v>0.156</v>
      </c>
      <c r="I372" s="44" t="n">
        <v>0.119</v>
      </c>
      <c r="J372" s="44" t="n">
        <v>0.098</v>
      </c>
      <c r="K372" s="44" t="n">
        <v>0.066</v>
      </c>
      <c r="L372" s="44" t="n">
        <v>0.674</v>
      </c>
    </row>
    <row r="373" hidden="1" ht="14" customHeight="1" s="215">
      <c r="A373" s="28" t="n"/>
      <c r="B373" s="41" t="inlineStr">
        <is>
          <t>F</t>
        </is>
      </c>
      <c r="C373" s="41" t="inlineStr">
        <is>
          <t>Ford Motor</t>
        </is>
      </c>
      <c r="D373" s="42" t="inlineStr">
        <is>
          <t>Auto Manufacturers</t>
        </is>
      </c>
      <c r="E373" s="43" t="n">
        <v>4.7</v>
      </c>
      <c r="F373" s="43" t="n">
        <v>1.2</v>
      </c>
      <c r="G373" s="43" t="n">
        <v>1.1</v>
      </c>
      <c r="H373" s="44" t="n">
        <v>0.136</v>
      </c>
      <c r="I373" s="44" t="n">
        <v>0.003</v>
      </c>
      <c r="J373" s="44" t="n">
        <v>0</v>
      </c>
      <c r="K373" s="44" t="n">
        <v>0.064</v>
      </c>
      <c r="L373" s="43" t="inlineStr">
        <is>
          <t xml:space="preserve">- </t>
        </is>
      </c>
    </row>
    <row r="374" hidden="1" ht="14" customHeight="1" s="215">
      <c r="A374" s="28" t="n"/>
      <c r="B374" s="41" t="inlineStr">
        <is>
          <t>HRL</t>
        </is>
      </c>
      <c r="C374" s="41" t="inlineStr">
        <is>
          <t>Hormel Foods</t>
        </is>
      </c>
      <c r="D374" s="42" t="inlineStr">
        <is>
          <t>Packaged Foods</t>
        </is>
      </c>
      <c r="E374" s="43" t="n">
        <v>0.1</v>
      </c>
      <c r="F374" s="43" t="n">
        <v>2.3</v>
      </c>
      <c r="G374" s="43" t="n">
        <v>1.3</v>
      </c>
      <c r="H374" s="44" t="n">
        <v>0.196</v>
      </c>
      <c r="I374" s="44" t="n">
        <v>0.119</v>
      </c>
      <c r="J374" s="44" t="n">
        <v>0.103</v>
      </c>
      <c r="K374" s="44" t="n">
        <v>0.064</v>
      </c>
      <c r="L374" s="44" t="n">
        <v>0.625</v>
      </c>
    </row>
    <row r="375" hidden="1" ht="14" customHeight="1" s="215">
      <c r="A375" s="28" t="n"/>
      <c r="B375" s="41" t="inlineStr">
        <is>
          <t>LKQ</t>
        </is>
      </c>
      <c r="C375" s="41" t="inlineStr">
        <is>
          <t>LKQ</t>
        </is>
      </c>
      <c r="D375" s="42" t="inlineStr">
        <is>
          <t>Auto Parts</t>
        </is>
      </c>
      <c r="E375" s="43" t="n">
        <v>1.1</v>
      </c>
      <c r="F375" s="43" t="n">
        <v>2.2</v>
      </c>
      <c r="G375" s="43" t="n">
        <v>0.9</v>
      </c>
      <c r="H375" s="44" t="n">
        <v>0.388</v>
      </c>
      <c r="I375" s="44" t="n">
        <v>0.078</v>
      </c>
      <c r="J375" s="44" t="n">
        <v>0.043</v>
      </c>
      <c r="K375" s="44" t="n">
        <v>0.064</v>
      </c>
      <c r="L375" s="44" t="n">
        <v>1.477</v>
      </c>
    </row>
    <row r="376" hidden="1" ht="14" customHeight="1" s="215">
      <c r="A376" s="28" t="n"/>
      <c r="B376" s="41" t="inlineStr">
        <is>
          <t>VFC</t>
        </is>
      </c>
      <c r="C376" s="41" t="inlineStr">
        <is>
          <t>VF</t>
        </is>
      </c>
      <c r="D376" s="42" t="inlineStr">
        <is>
          <t>Apparel Manufacturing</t>
        </is>
      </c>
      <c r="E376" s="43" t="n">
        <v>0.7</v>
      </c>
      <c r="F376" s="43" t="n">
        <v>2.1</v>
      </c>
      <c r="G376" s="43" t="n">
        <v>1.3</v>
      </c>
      <c r="H376" s="44" t="n">
        <v>0.533</v>
      </c>
      <c r="I376" s="44" t="n">
        <v>0.122</v>
      </c>
      <c r="J376" s="44" t="n">
        <v>0.106</v>
      </c>
      <c r="K376" s="44" t="n">
        <v>0.064</v>
      </c>
      <c r="L376" s="44" t="n">
        <v>0.598</v>
      </c>
    </row>
    <row r="377" hidden="1" ht="14" customHeight="1" s="215">
      <c r="A377" s="28" t="n"/>
      <c r="B377" s="41" t="inlineStr">
        <is>
          <t>FLS</t>
        </is>
      </c>
      <c r="C377" s="41" t="inlineStr">
        <is>
          <t>Flowserve</t>
        </is>
      </c>
      <c r="D377" s="42" t="inlineStr">
        <is>
          <t>Specialty Industrial Machinery</t>
        </is>
      </c>
      <c r="E377" s="43" t="n">
        <v>0.9</v>
      </c>
      <c r="F377" s="43" t="n">
        <v>2.3</v>
      </c>
      <c r="G377" s="43" t="n">
        <v>1.7</v>
      </c>
      <c r="H377" s="44" t="n">
        <v>0.328</v>
      </c>
      <c r="I377" s="44" t="n">
        <v>0.1</v>
      </c>
      <c r="J377" s="44" t="n">
        <v>0.064</v>
      </c>
      <c r="K377" s="44" t="n">
        <v>0.063</v>
      </c>
      <c r="L377" s="44" t="n">
        <v>0.977</v>
      </c>
    </row>
    <row r="378" hidden="1" ht="14" customHeight="1" s="215">
      <c r="A378" s="28" t="n"/>
      <c r="B378" s="41" t="inlineStr">
        <is>
          <t>LB</t>
        </is>
      </c>
      <c r="C378" s="41" t="inlineStr">
        <is>
          <t>L Brands</t>
        </is>
      </c>
      <c r="D378" s="42" t="inlineStr">
        <is>
          <t>Apparel Retail</t>
        </is>
      </c>
      <c r="E378" s="43" t="inlineStr">
        <is>
          <t xml:space="preserve">- </t>
        </is>
      </c>
      <c r="F378" s="43" t="n">
        <v>1.4</v>
      </c>
      <c r="G378" s="43" t="n">
        <v>0.8</v>
      </c>
      <c r="H378" s="44" t="n">
        <v>0.345</v>
      </c>
      <c r="I378" s="44" t="n">
        <v>0.076</v>
      </c>
      <c r="J378" s="44" t="n">
        <v>-0.029</v>
      </c>
      <c r="K378" s="44" t="n">
        <v>0.061</v>
      </c>
      <c r="L378" s="43" t="inlineStr">
        <is>
          <t xml:space="preserve">- </t>
        </is>
      </c>
    </row>
    <row r="379" hidden="1" ht="14" customHeight="1" s="215">
      <c r="A379" s="28" t="n"/>
      <c r="B379" s="41" t="inlineStr">
        <is>
          <t>RCL</t>
        </is>
      </c>
      <c r="C379" s="41" t="inlineStr">
        <is>
          <t>Royal Caribbean Cruises</t>
        </is>
      </c>
      <c r="D379" s="42" t="inlineStr">
        <is>
          <t>Travel Services</t>
        </is>
      </c>
      <c r="E379" s="43" t="n">
        <v>1</v>
      </c>
      <c r="F379" s="43" t="n">
        <v>0.2</v>
      </c>
      <c r="G379" s="43" t="n">
        <v>0.1</v>
      </c>
      <c r="H379" s="44" t="n">
        <v>0.447</v>
      </c>
      <c r="I379" s="44" t="n">
        <v>0.191</v>
      </c>
      <c r="J379" s="44" t="n">
        <v>0.172</v>
      </c>
      <c r="K379" s="44" t="n">
        <v>0.061</v>
      </c>
      <c r="L379" s="44" t="n">
        <v>0.356</v>
      </c>
    </row>
    <row r="380" hidden="1" ht="14" customHeight="1" s="215">
      <c r="A380" s="28" t="n"/>
      <c r="B380" s="41" t="inlineStr">
        <is>
          <t>APTV</t>
        </is>
      </c>
      <c r="C380" s="41" t="inlineStr">
        <is>
          <t>Aptiv</t>
        </is>
      </c>
      <c r="D380" s="42" t="inlineStr">
        <is>
          <t>Auto Parts</t>
        </is>
      </c>
      <c r="E380" s="43" t="n">
        <v>1.3</v>
      </c>
      <c r="F380" s="43" t="n">
        <v>1.3</v>
      </c>
      <c r="G380" s="43" t="n">
        <v>1</v>
      </c>
      <c r="H380" s="44" t="n">
        <v>0.184</v>
      </c>
      <c r="I380" s="44" t="n">
        <v>0.099</v>
      </c>
      <c r="J380" s="44" t="n">
        <v>0.06900000000000001</v>
      </c>
      <c r="K380" s="44" t="n">
        <v>0.06</v>
      </c>
      <c r="L380" s="44" t="n">
        <v>0.868</v>
      </c>
    </row>
    <row r="381" hidden="1" ht="14" customHeight="1" s="215">
      <c r="A381" s="28" t="n"/>
      <c r="B381" s="41" t="inlineStr">
        <is>
          <t>HSIC</t>
        </is>
      </c>
      <c r="C381" s="41" t="inlineStr">
        <is>
          <t>Henry Schein</t>
        </is>
      </c>
      <c r="D381" s="42" t="inlineStr">
        <is>
          <t>Medical Distribution</t>
        </is>
      </c>
      <c r="E381" s="43" t="n">
        <v>0.3</v>
      </c>
      <c r="F381" s="43" t="n">
        <v>1.6</v>
      </c>
      <c r="G381" s="43" t="n">
        <v>0.9</v>
      </c>
      <c r="H381" s="44" t="n">
        <v>0.309</v>
      </c>
      <c r="I381" s="44" t="n">
        <v>0.073</v>
      </c>
      <c r="J381" s="44" t="n">
        <v>0.07000000000000001</v>
      </c>
      <c r="K381" s="44" t="n">
        <v>0.059</v>
      </c>
      <c r="L381" s="44" t="n">
        <v>0.841</v>
      </c>
    </row>
    <row r="382" hidden="1" ht="14" customHeight="1" s="215">
      <c r="A382" s="28" t="n"/>
      <c r="B382" s="41" t="inlineStr">
        <is>
          <t>NUE</t>
        </is>
      </c>
      <c r="C382" s="41" t="inlineStr">
        <is>
          <t>Nucor</t>
        </is>
      </c>
      <c r="D382" s="42" t="inlineStr">
        <is>
          <t>Steel</t>
        </is>
      </c>
      <c r="E382" s="43" t="n">
        <v>0.4</v>
      </c>
      <c r="F382" s="43" t="n">
        <v>3.3</v>
      </c>
      <c r="G382" s="43" t="n">
        <v>1.8</v>
      </c>
      <c r="H382" s="44" t="n">
        <v>0.118</v>
      </c>
      <c r="I382" s="44" t="n">
        <v>0.08699999999999999</v>
      </c>
      <c r="J382" s="44" t="n">
        <v>0.056</v>
      </c>
      <c r="K382" s="44" t="n">
        <v>0.059</v>
      </c>
      <c r="L382" s="44" t="n">
        <v>1.054</v>
      </c>
    </row>
    <row r="383" hidden="1" ht="28" customHeight="1" s="215">
      <c r="A383" s="28" t="n"/>
      <c r="B383" s="41" t="inlineStr">
        <is>
          <t>NOV</t>
        </is>
      </c>
      <c r="C383" s="41" t="inlineStr">
        <is>
          <t>National Oilwell Varco</t>
        </is>
      </c>
      <c r="D383" s="42" t="inlineStr">
        <is>
          <t>Oil &amp; Gas Equipment &amp; Services</t>
        </is>
      </c>
      <c r="E383" s="43" t="n">
        <v>0.4</v>
      </c>
      <c r="F383" s="43" t="n">
        <v>2.7</v>
      </c>
      <c r="G383" s="43" t="n">
        <v>1.7</v>
      </c>
      <c r="H383" s="44" t="n">
        <v>0.099</v>
      </c>
      <c r="I383" s="44" t="n">
        <v>-0.054</v>
      </c>
      <c r="J383" s="44" t="n">
        <v>-0.726</v>
      </c>
      <c r="K383" s="44" t="n">
        <v>0.058</v>
      </c>
      <c r="L383" s="43" t="inlineStr">
        <is>
          <t xml:space="preserve">- </t>
        </is>
      </c>
    </row>
    <row r="384" hidden="1" ht="14" customHeight="1" s="215">
      <c r="A384" s="28" t="n"/>
      <c r="B384" s="41" t="inlineStr">
        <is>
          <t>DHI</t>
        </is>
      </c>
      <c r="C384" s="41" t="inlineStr">
        <is>
          <t>D.R. Horton</t>
        </is>
      </c>
      <c r="D384" s="42" t="inlineStr">
        <is>
          <t>Residential Construction</t>
        </is>
      </c>
      <c r="E384" s="43" t="n">
        <v>0.4</v>
      </c>
      <c r="F384" s="43" t="n">
        <v>10.1</v>
      </c>
      <c r="G384" s="43" t="n">
        <v>1.2</v>
      </c>
      <c r="H384" s="44" t="n">
        <v>0.223</v>
      </c>
      <c r="I384" s="44" t="n">
        <v>0.121</v>
      </c>
      <c r="J384" s="44" t="n">
        <v>0.098</v>
      </c>
      <c r="K384" s="44" t="n">
        <v>0.057</v>
      </c>
      <c r="L384" s="44" t="n">
        <v>0.589</v>
      </c>
    </row>
    <row r="385" hidden="1" ht="14" customHeight="1" s="215">
      <c r="A385" s="28" t="n"/>
      <c r="B385" s="41" t="inlineStr">
        <is>
          <t>WRK</t>
        </is>
      </c>
      <c r="C385" s="41" t="inlineStr">
        <is>
          <t>WestRock</t>
        </is>
      </c>
      <c r="D385" s="42" t="inlineStr">
        <is>
          <t>Packaging &amp; Containers</t>
        </is>
      </c>
      <c r="E385" s="43" t="n">
        <v>0.9</v>
      </c>
      <c r="F385" s="43" t="n">
        <v>1.4</v>
      </c>
      <c r="G385" s="43" t="n">
        <v>0.8</v>
      </c>
      <c r="H385" s="44" t="n">
        <v>0.206</v>
      </c>
      <c r="I385" s="44" t="n">
        <v>0.089</v>
      </c>
      <c r="J385" s="44" t="n">
        <v>0.047</v>
      </c>
      <c r="K385" s="44" t="n">
        <v>0.056</v>
      </c>
      <c r="L385" s="44" t="n">
        <v>1.185</v>
      </c>
    </row>
    <row r="386" hidden="1" ht="14" customHeight="1" s="215">
      <c r="A386" s="28" t="n"/>
      <c r="B386" s="41" t="inlineStr">
        <is>
          <t>CI</t>
        </is>
      </c>
      <c r="C386" s="41" t="inlineStr">
        <is>
          <t>Cigna</t>
        </is>
      </c>
      <c r="D386" s="42" t="inlineStr">
        <is>
          <t>Healthcare Plans</t>
        </is>
      </c>
      <c r="E386" s="43" t="n">
        <v>0.8</v>
      </c>
      <c r="F386" s="43" t="inlineStr">
        <is>
          <t xml:space="preserve">- </t>
        </is>
      </c>
      <c r="G386" s="43" t="inlineStr">
        <is>
          <t xml:space="preserve">- </t>
        </is>
      </c>
      <c r="H386" s="44" t="n">
        <v>0</v>
      </c>
      <c r="I386" s="44" t="n">
        <v>0</v>
      </c>
      <c r="J386" s="44" t="n">
        <v>0.033</v>
      </c>
      <c r="K386" s="44" t="n">
        <v>0.055</v>
      </c>
      <c r="L386" s="44" t="n">
        <v>1.646</v>
      </c>
    </row>
    <row r="387" hidden="1" ht="14" customHeight="1" s="215">
      <c r="A387" s="28" t="n"/>
      <c r="B387" s="41" t="inlineStr">
        <is>
          <t>FRT</t>
        </is>
      </c>
      <c r="C387" s="41" t="inlineStr">
        <is>
          <t>Federal Realty Investment</t>
        </is>
      </c>
      <c r="D387" s="42" t="inlineStr">
        <is>
          <t>REIT - Retail</t>
        </is>
      </c>
      <c r="E387" s="43" t="n">
        <v>1.4</v>
      </c>
      <c r="F387" s="43" t="n">
        <v>1.5</v>
      </c>
      <c r="G387" s="43" t="n">
        <v>1.5</v>
      </c>
      <c r="H387" s="44" t="n">
        <v>0.681</v>
      </c>
      <c r="I387" s="44" t="n">
        <v>0.379</v>
      </c>
      <c r="J387" s="44" t="n">
        <v>0.38</v>
      </c>
      <c r="K387" s="44" t="n">
        <v>0.055</v>
      </c>
      <c r="L387" s="44" t="n">
        <v>0.145</v>
      </c>
    </row>
    <row r="388" hidden="1" ht="14" customHeight="1" s="215">
      <c r="A388" s="28" t="n"/>
      <c r="B388" s="41" t="inlineStr">
        <is>
          <t>UAL</t>
        </is>
      </c>
      <c r="C388" s="41" t="inlineStr">
        <is>
          <t>United Airlines Holdings</t>
        </is>
      </c>
      <c r="D388" s="42" t="inlineStr">
        <is>
          <t>Airlines</t>
        </is>
      </c>
      <c r="E388" s="43" t="n">
        <v>1.8</v>
      </c>
      <c r="F388" s="43" t="n">
        <v>0.6</v>
      </c>
      <c r="G388" s="43" t="n">
        <v>0.5</v>
      </c>
      <c r="H388" s="44" t="n">
        <v>0.289</v>
      </c>
      <c r="I388" s="44" t="n">
        <v>0.106</v>
      </c>
      <c r="J388" s="44" t="n">
        <v>0.07000000000000001</v>
      </c>
      <c r="K388" s="44" t="n">
        <v>0.055</v>
      </c>
      <c r="L388" s="44" t="n">
        <v>0.79</v>
      </c>
    </row>
    <row r="389" hidden="1" ht="14" customHeight="1" s="215">
      <c r="A389" s="28" t="n"/>
      <c r="B389" s="41" t="inlineStr">
        <is>
          <t>BWA</t>
        </is>
      </c>
      <c r="C389" s="41" t="inlineStr">
        <is>
          <t>BorgWarner</t>
        </is>
      </c>
      <c r="D389" s="42" t="inlineStr">
        <is>
          <t>Auto Parts</t>
        </is>
      </c>
      <c r="E389" s="43" t="n">
        <v>0.4</v>
      </c>
      <c r="F389" s="43" t="n">
        <v>1.7</v>
      </c>
      <c r="G389" s="43" t="n">
        <v>1.2</v>
      </c>
      <c r="H389" s="44" t="n">
        <v>0.207</v>
      </c>
      <c r="I389" s="44" t="n">
        <v>0.121</v>
      </c>
      <c r="J389" s="44" t="n">
        <v>0.074</v>
      </c>
      <c r="K389" s="44" t="n">
        <v>0.053</v>
      </c>
      <c r="L389" s="44" t="n">
        <v>0.718</v>
      </c>
    </row>
    <row r="390" hidden="1" ht="14" customHeight="1" s="215">
      <c r="A390" s="28" t="n"/>
      <c r="B390" s="41" t="inlineStr">
        <is>
          <t>IRM</t>
        </is>
      </c>
      <c r="C390" s="41" t="inlineStr">
        <is>
          <t>Iron Mountain</t>
        </is>
      </c>
      <c r="D390" s="42" t="inlineStr">
        <is>
          <t>REIT - Specialty</t>
        </is>
      </c>
      <c r="E390" s="43" t="n">
        <v>6.1</v>
      </c>
      <c r="F390" s="43" t="n">
        <v>0.6</v>
      </c>
      <c r="G390" s="43" t="n">
        <v>0.6</v>
      </c>
      <c r="H390" s="44" t="n">
        <v>0.57</v>
      </c>
      <c r="I390" s="44" t="n">
        <v>0.188</v>
      </c>
      <c r="J390" s="44" t="n">
        <v>0.063</v>
      </c>
      <c r="K390" s="44" t="n">
        <v>0.053</v>
      </c>
      <c r="L390" s="44" t="n">
        <v>0.836</v>
      </c>
    </row>
    <row r="391" hidden="1" ht="14" customHeight="1" s="215">
      <c r="A391" s="28" t="n"/>
      <c r="B391" s="41" t="inlineStr">
        <is>
          <t>TGT</t>
        </is>
      </c>
      <c r="C391" s="41" t="inlineStr">
        <is>
          <t>Target</t>
        </is>
      </c>
      <c r="D391" s="42" t="inlineStr">
        <is>
          <t>Discount Stores</t>
        </is>
      </c>
      <c r="E391" s="43" t="n">
        <v>1.2</v>
      </c>
      <c r="F391" s="43" t="n">
        <v>0.9</v>
      </c>
      <c r="G391" s="43" t="n">
        <v>0.3</v>
      </c>
      <c r="H391" s="44" t="n">
        <v>0.298</v>
      </c>
      <c r="I391" s="44" t="n">
        <v>0.06</v>
      </c>
      <c r="J391" s="44" t="n">
        <v>0.042</v>
      </c>
      <c r="K391" s="44" t="n">
        <v>0.053</v>
      </c>
      <c r="L391" s="44" t="n">
        <v>1.26</v>
      </c>
    </row>
    <row r="392" hidden="1" ht="14" customHeight="1" s="215">
      <c r="A392" s="28" t="n"/>
      <c r="B392" s="41" t="inlineStr">
        <is>
          <t>DG</t>
        </is>
      </c>
      <c r="C392" s="41" t="inlineStr">
        <is>
          <t>Dollar General</t>
        </is>
      </c>
      <c r="D392" s="42" t="inlineStr">
        <is>
          <t>Discount Stores</t>
        </is>
      </c>
      <c r="E392" s="43" t="n">
        <v>1.8</v>
      </c>
      <c r="F392" s="43" t="n">
        <v>1.1</v>
      </c>
      <c r="G392" s="43" t="n">
        <v>0.1</v>
      </c>
      <c r="H392" s="44" t="n">
        <v>0.306</v>
      </c>
      <c r="I392" s="44" t="n">
        <v>0.083</v>
      </c>
      <c r="J392" s="44" t="n">
        <v>0.062</v>
      </c>
      <c r="K392" s="44" t="n">
        <v>0.052</v>
      </c>
      <c r="L392" s="44" t="n">
        <v>0.847</v>
      </c>
    </row>
    <row r="393" hidden="1" ht="14" customHeight="1" s="215">
      <c r="A393" s="28" t="n"/>
      <c r="B393" s="41" t="inlineStr">
        <is>
          <t>GD</t>
        </is>
      </c>
      <c r="C393" s="41" t="inlineStr">
        <is>
          <t>General Dynamics</t>
        </is>
      </c>
      <c r="D393" s="42" t="inlineStr">
        <is>
          <t>Aerospace &amp; Defense</t>
        </is>
      </c>
      <c r="E393" s="43" t="n">
        <v>1</v>
      </c>
      <c r="F393" s="43" t="n">
        <v>1.2</v>
      </c>
      <c r="G393" s="43" t="n">
        <v>0.8</v>
      </c>
      <c r="H393" s="44" t="n">
        <v>0.179</v>
      </c>
      <c r="I393" s="44" t="n">
        <v>0.118</v>
      </c>
      <c r="J393" s="44" t="n">
        <v>0.089</v>
      </c>
      <c r="K393" s="44" t="n">
        <v>0.052</v>
      </c>
      <c r="L393" s="44" t="n">
        <v>0.59</v>
      </c>
    </row>
    <row r="394" hidden="1" ht="28" customHeight="1" s="215">
      <c r="A394" s="28" t="n"/>
      <c r="B394" s="41" t="inlineStr">
        <is>
          <t>PRGO</t>
        </is>
      </c>
      <c r="C394" s="41" t="inlineStr">
        <is>
          <t>Perrigo</t>
        </is>
      </c>
      <c r="D394" s="42" t="inlineStr">
        <is>
          <t>Drug Manufacturers - Specialty &amp; Generic</t>
        </is>
      </c>
      <c r="E394" s="43" t="n">
        <v>0.6</v>
      </c>
      <c r="F394" s="43" t="n">
        <v>2.1</v>
      </c>
      <c r="G394" s="43" t="n">
        <v>1.3</v>
      </c>
      <c r="H394" s="44" t="n">
        <v>0.366</v>
      </c>
      <c r="I394" s="44" t="n">
        <v>0.08599999999999999</v>
      </c>
      <c r="J394" s="44" t="n">
        <v>0.03</v>
      </c>
      <c r="K394" s="44" t="n">
        <v>0.052</v>
      </c>
      <c r="L394" s="44" t="n">
        <v>1.723</v>
      </c>
    </row>
    <row r="395" hidden="1" ht="14" customHeight="1" s="215">
      <c r="A395" s="28" t="n"/>
      <c r="B395" s="41" t="inlineStr">
        <is>
          <t>TXT</t>
        </is>
      </c>
      <c r="C395" s="41" t="inlineStr">
        <is>
          <t>Textron</t>
        </is>
      </c>
      <c r="D395" s="42" t="inlineStr">
        <is>
          <t>Aerospace &amp; Defense</t>
        </is>
      </c>
      <c r="E395" s="43" t="n">
        <v>0.7</v>
      </c>
      <c r="F395" s="43" t="n">
        <v>2.1</v>
      </c>
      <c r="G395" s="43" t="n">
        <v>1</v>
      </c>
      <c r="H395" s="44" t="n">
        <v>0.163</v>
      </c>
      <c r="I395" s="44" t="n">
        <v>0.079</v>
      </c>
      <c r="J395" s="44" t="n">
        <v>0.06</v>
      </c>
      <c r="K395" s="44" t="n">
        <v>0.051</v>
      </c>
      <c r="L395" s="44" t="n">
        <v>0.851</v>
      </c>
    </row>
    <row r="396" hidden="1" ht="14" customHeight="1" s="215">
      <c r="A396" s="28" t="n"/>
      <c r="B396" s="41" t="inlineStr">
        <is>
          <t>CHRW</t>
        </is>
      </c>
      <c r="C396" s="41" t="inlineStr">
        <is>
          <t>C.H. Robinson Worldwide</t>
        </is>
      </c>
      <c r="D396" s="42" t="inlineStr">
        <is>
          <t>Integrated Freight &amp; Logistics</t>
        </is>
      </c>
      <c r="E396" s="43" t="n">
        <v>0.9</v>
      </c>
      <c r="F396" s="43" t="n">
        <v>1.7</v>
      </c>
      <c r="G396" s="43" t="n">
        <v>1.7</v>
      </c>
      <c r="H396" s="44" t="n">
        <v>0.08400000000000001</v>
      </c>
      <c r="I396" s="44" t="n">
        <v>0.052</v>
      </c>
      <c r="J396" s="44" t="n">
        <v>0.038</v>
      </c>
      <c r="K396" s="44" t="n">
        <v>0.05</v>
      </c>
      <c r="L396" s="44" t="n">
        <v>1.324</v>
      </c>
    </row>
    <row r="397" hidden="1" ht="14" customHeight="1" s="215">
      <c r="A397" s="28" t="n"/>
      <c r="B397" s="41" t="inlineStr">
        <is>
          <t>MAR</t>
        </is>
      </c>
      <c r="C397" s="41" t="inlineStr">
        <is>
          <t>Marriott Intl</t>
        </is>
      </c>
      <c r="D397" s="42" t="inlineStr">
        <is>
          <t>Lodging</t>
        </is>
      </c>
      <c r="E397" s="43" t="n">
        <v>16.8</v>
      </c>
      <c r="F397" s="43" t="n">
        <v>0.5</v>
      </c>
      <c r="G397" s="43" t="n">
        <v>0.5</v>
      </c>
      <c r="H397" s="44" t="n">
        <v>0.153</v>
      </c>
      <c r="I397" s="44" t="n">
        <v>0.092</v>
      </c>
      <c r="J397" s="44" t="n">
        <v>0.061</v>
      </c>
      <c r="K397" s="44" t="n">
        <v>0.05</v>
      </c>
      <c r="L397" s="44" t="n">
        <v>0.8179999999999999</v>
      </c>
    </row>
    <row r="398" hidden="1" ht="14" customHeight="1" s="215">
      <c r="A398" s="28" t="n"/>
      <c r="B398" s="41" t="inlineStr">
        <is>
          <t>ANTM</t>
        </is>
      </c>
      <c r="C398" s="41" t="inlineStr">
        <is>
          <t>Anthem</t>
        </is>
      </c>
      <c r="D398" s="42" t="inlineStr">
        <is>
          <t>Healthcare Plans</t>
        </is>
      </c>
      <c r="E398" s="43" t="n">
        <v>0.6</v>
      </c>
      <c r="F398" s="43" t="inlineStr">
        <is>
          <t xml:space="preserve">- </t>
        </is>
      </c>
      <c r="G398" s="43" t="inlineStr">
        <is>
          <t xml:space="preserve">- </t>
        </is>
      </c>
      <c r="H398" s="44" t="n">
        <v>0</v>
      </c>
      <c r="I398" s="44" t="n">
        <v>0</v>
      </c>
      <c r="J398" s="44" t="n">
        <v>0.046</v>
      </c>
      <c r="K398" s="44" t="n">
        <v>0.048</v>
      </c>
      <c r="L398" s="44" t="n">
        <v>1.039</v>
      </c>
    </row>
    <row r="399" hidden="1" ht="28" customHeight="1" s="215">
      <c r="A399" s="28" t="n"/>
      <c r="B399" s="41" t="inlineStr">
        <is>
          <t>L</t>
        </is>
      </c>
      <c r="C399" s="41" t="inlineStr">
        <is>
          <t>Loews</t>
        </is>
      </c>
      <c r="D399" s="42" t="inlineStr">
        <is>
          <t>Insurance - Property &amp; Casualty</t>
        </is>
      </c>
      <c r="E399" s="43" t="n">
        <v>0.6</v>
      </c>
      <c r="F399" s="43" t="inlineStr">
        <is>
          <t xml:space="preserve">- </t>
        </is>
      </c>
      <c r="G399" s="43" t="inlineStr">
        <is>
          <t xml:space="preserve">- </t>
        </is>
      </c>
      <c r="H399" s="44" t="n">
        <v>0</v>
      </c>
      <c r="I399" s="44" t="n">
        <v>0</v>
      </c>
      <c r="J399" s="44" t="n">
        <v>0.062</v>
      </c>
      <c r="K399" s="44" t="n">
        <v>0.048</v>
      </c>
      <c r="L399" s="44" t="n">
        <v>0.772</v>
      </c>
    </row>
    <row r="400" hidden="1" ht="28" customHeight="1" s="215">
      <c r="A400" s="28" t="n"/>
      <c r="B400" s="41" t="inlineStr">
        <is>
          <t>CDW</t>
        </is>
      </c>
      <c r="C400" s="41" t="inlineStr">
        <is>
          <t>CDW</t>
        </is>
      </c>
      <c r="D400" s="42" t="inlineStr">
        <is>
          <t>Information Technology Services</t>
        </is>
      </c>
      <c r="E400" s="43" t="n">
        <v>3.6</v>
      </c>
      <c r="F400" s="43" t="n">
        <v>1.2</v>
      </c>
      <c r="G400" s="43" t="n">
        <v>1.1</v>
      </c>
      <c r="H400" s="44" t="n">
        <v>0.169</v>
      </c>
      <c r="I400" s="44" t="n">
        <v>0.063</v>
      </c>
      <c r="J400" s="44" t="n">
        <v>0.041</v>
      </c>
      <c r="K400" s="44" t="n">
        <v>0.044</v>
      </c>
      <c r="L400" s="44" t="n">
        <v>1.069</v>
      </c>
    </row>
    <row r="401" hidden="1" ht="14" customHeight="1" s="215">
      <c r="A401" s="28" t="n"/>
      <c r="B401" s="41" t="inlineStr">
        <is>
          <t>EVRG</t>
        </is>
      </c>
      <c r="C401" s="41" t="inlineStr">
        <is>
          <t>Evergy</t>
        </is>
      </c>
      <c r="D401" s="42" t="inlineStr">
        <is>
          <t>Utilities - Regulated Electric</t>
        </is>
      </c>
      <c r="E401" s="43" t="n">
        <v>1.2</v>
      </c>
      <c r="F401" s="43" t="n">
        <v>0.6</v>
      </c>
      <c r="G401" s="43" t="n">
        <v>0.4</v>
      </c>
      <c r="H401" s="44" t="n">
        <v>0.469</v>
      </c>
      <c r="I401" s="44" t="n">
        <v>0.231</v>
      </c>
      <c r="J401" s="44" t="n">
        <v>0.131</v>
      </c>
      <c r="K401" s="44" t="n">
        <v>0.044</v>
      </c>
      <c r="L401" s="44" t="n">
        <v>0.337</v>
      </c>
    </row>
    <row r="402" hidden="1" ht="14" customHeight="1" s="215">
      <c r="A402" s="28" t="n"/>
      <c r="B402" s="41" t="inlineStr">
        <is>
          <t>K</t>
        </is>
      </c>
      <c r="C402" s="41" t="inlineStr">
        <is>
          <t>Kellogg</t>
        </is>
      </c>
      <c r="D402" s="42" t="inlineStr">
        <is>
          <t>Packaged Foods</t>
        </is>
      </c>
      <c r="E402" s="43" t="n">
        <v>3.1</v>
      </c>
      <c r="F402" s="43" t="n">
        <v>0.7</v>
      </c>
      <c r="G402" s="43" t="n">
        <v>0.5</v>
      </c>
      <c r="H402" s="44" t="n">
        <v>0.323</v>
      </c>
      <c r="I402" s="44" t="n">
        <v>0.103</v>
      </c>
      <c r="J402" s="44" t="n">
        <v>0.07099999999999999</v>
      </c>
      <c r="K402" s="44" t="n">
        <v>0.044</v>
      </c>
      <c r="L402" s="44" t="n">
        <v>0.626</v>
      </c>
    </row>
    <row r="403" hidden="1" ht="14" customHeight="1" s="215">
      <c r="A403" s="28" t="n"/>
      <c r="B403" s="41" t="inlineStr">
        <is>
          <t>AMD</t>
        </is>
      </c>
      <c r="C403" s="41" t="inlineStr">
        <is>
          <t>Advanced Micro Devices</t>
        </is>
      </c>
      <c r="D403" s="42" t="inlineStr">
        <is>
          <t>Semiconductors</t>
        </is>
      </c>
      <c r="E403" s="43" t="n">
        <v>0.3</v>
      </c>
      <c r="F403" s="43" t="n">
        <v>2</v>
      </c>
      <c r="G403" s="43" t="n">
        <v>1.5</v>
      </c>
      <c r="H403" s="44" t="n">
        <v>0.426</v>
      </c>
      <c r="I403" s="44" t="n">
        <v>0.094</v>
      </c>
      <c r="J403" s="44" t="n">
        <v>0.051</v>
      </c>
      <c r="K403" s="44" t="n">
        <v>0.043</v>
      </c>
      <c r="L403" s="44" t="n">
        <v>0.847</v>
      </c>
    </row>
    <row r="404" hidden="1" ht="14" customHeight="1" s="215">
      <c r="A404" s="28" t="n"/>
      <c r="B404" s="41" t="inlineStr">
        <is>
          <t>BBY</t>
        </is>
      </c>
      <c r="C404" s="41" t="inlineStr">
        <is>
          <t>Best Buy Co</t>
        </is>
      </c>
      <c r="D404" s="42" t="inlineStr">
        <is>
          <t>Specialty Retail</t>
        </is>
      </c>
      <c r="E404" s="43" t="n">
        <v>1.2</v>
      </c>
      <c r="F404" s="43" t="n">
        <v>1.1</v>
      </c>
      <c r="G404" s="43" t="n">
        <v>0.5</v>
      </c>
      <c r="H404" s="44" t="n">
        <v>0.23</v>
      </c>
      <c r="I404" s="44" t="n">
        <v>0.047</v>
      </c>
      <c r="J404" s="44" t="n">
        <v>0.035</v>
      </c>
      <c r="K404" s="44" t="n">
        <v>0.042</v>
      </c>
      <c r="L404" s="44" t="n">
        <v>1.193</v>
      </c>
    </row>
    <row r="405" hidden="1" ht="28" customHeight="1" s="215">
      <c r="A405" s="28" t="n"/>
      <c r="B405" s="41" t="inlineStr">
        <is>
          <t>HAL</t>
        </is>
      </c>
      <c r="C405" s="41" t="inlineStr">
        <is>
          <t>Halliburton</t>
        </is>
      </c>
      <c r="D405" s="42" t="inlineStr">
        <is>
          <t>Oil &amp; Gas Equipment &amp; Services</t>
        </is>
      </c>
      <c r="E405" s="43" t="n">
        <v>1.4</v>
      </c>
      <c r="F405" s="43" t="n">
        <v>2.3</v>
      </c>
      <c r="G405" s="43" t="n">
        <v>1.7</v>
      </c>
      <c r="H405" s="44" t="n">
        <v>0.102</v>
      </c>
      <c r="I405" s="44" t="n">
        <v>0.092</v>
      </c>
      <c r="J405" s="44" t="n">
        <v>-0.051</v>
      </c>
      <c r="K405" s="44" t="n">
        <v>0.042</v>
      </c>
      <c r="L405" s="43" t="inlineStr">
        <is>
          <t xml:space="preserve">- </t>
        </is>
      </c>
    </row>
    <row r="406" hidden="1" ht="14" customHeight="1" s="215">
      <c r="A406" s="28" t="n"/>
      <c r="B406" s="41" t="inlineStr">
        <is>
          <t>HII</t>
        </is>
      </c>
      <c r="C406" s="41" t="inlineStr">
        <is>
          <t>Huntington Ingalls Indus</t>
        </is>
      </c>
      <c r="D406" s="42" t="inlineStr">
        <is>
          <t>Aerospace &amp; Defense</t>
        </is>
      </c>
      <c r="E406" s="43" t="n">
        <v>0.9</v>
      </c>
      <c r="F406" s="43" t="n">
        <v>0.9</v>
      </c>
      <c r="G406" s="43" t="n">
        <v>0.8</v>
      </c>
      <c r="H406" s="44" t="n">
        <v>0.172</v>
      </c>
      <c r="I406" s="44" t="n">
        <v>0.08400000000000001</v>
      </c>
      <c r="J406" s="44" t="n">
        <v>0.062</v>
      </c>
      <c r="K406" s="44" t="n">
        <v>0.042</v>
      </c>
      <c r="L406" s="44" t="n">
        <v>0.681</v>
      </c>
    </row>
    <row r="407" hidden="1" ht="14" customHeight="1" s="215">
      <c r="A407" s="28" t="n"/>
      <c r="B407" s="41" t="inlineStr">
        <is>
          <t>AAP</t>
        </is>
      </c>
      <c r="C407" s="41" t="inlineStr">
        <is>
          <t>Advance Auto Parts</t>
        </is>
      </c>
      <c r="D407" s="42" t="inlineStr">
        <is>
          <t>Specialty Retail</t>
        </is>
      </c>
      <c r="E407" s="43" t="n">
        <v>0.8</v>
      </c>
      <c r="F407" s="43" t="n">
        <v>1.3</v>
      </c>
      <c r="G407" s="43" t="n">
        <v>0.3</v>
      </c>
      <c r="H407" s="44" t="n">
        <v>0.438</v>
      </c>
      <c r="I407" s="44" t="n">
        <v>0.07000000000000001</v>
      </c>
      <c r="J407" s="44" t="n">
        <v>0.05</v>
      </c>
      <c r="K407" s="44" t="n">
        <v>0.041</v>
      </c>
      <c r="L407" s="44" t="n">
        <v>0.8120000000000001</v>
      </c>
    </row>
    <row r="408" hidden="1" ht="14" customHeight="1" s="215">
      <c r="A408" s="28" t="n"/>
      <c r="B408" s="41" t="inlineStr">
        <is>
          <t>CVS</t>
        </is>
      </c>
      <c r="C408" s="41" t="inlineStr">
        <is>
          <t>CVS Health</t>
        </is>
      </c>
      <c r="D408" s="42" t="inlineStr">
        <is>
          <t>Healthcare Plans</t>
        </is>
      </c>
      <c r="E408" s="43" t="n">
        <v>1.4</v>
      </c>
      <c r="F408" s="43" t="n">
        <v>0.9</v>
      </c>
      <c r="G408" s="43" t="n">
        <v>0.6</v>
      </c>
      <c r="H408" s="44" t="n">
        <v>0.179</v>
      </c>
      <c r="I408" s="44" t="n">
        <v>0.049</v>
      </c>
      <c r="J408" s="44" t="n">
        <v>0.026</v>
      </c>
      <c r="K408" s="44" t="n">
        <v>0.041</v>
      </c>
      <c r="L408" s="44" t="n">
        <v>1.573</v>
      </c>
    </row>
    <row r="409" hidden="1" ht="14" customHeight="1" s="215">
      <c r="A409" s="28" t="n"/>
      <c r="B409" s="41" t="inlineStr">
        <is>
          <t>KSS</t>
        </is>
      </c>
      <c r="C409" s="41" t="inlineStr">
        <is>
          <t>Kohl's</t>
        </is>
      </c>
      <c r="D409" s="42" t="inlineStr">
        <is>
          <t>Department Stores</t>
        </is>
      </c>
      <c r="E409" s="43" t="n">
        <v>1.1</v>
      </c>
      <c r="F409" s="43" t="n">
        <v>1.7</v>
      </c>
      <c r="G409" s="43" t="n">
        <v>0.4</v>
      </c>
      <c r="H409" s="44" t="n">
        <v>0.392</v>
      </c>
      <c r="I409" s="44" t="n">
        <v>0.061</v>
      </c>
      <c r="J409" s="44" t="n">
        <v>0.035</v>
      </c>
      <c r="K409" s="44" t="n">
        <v>0.041</v>
      </c>
      <c r="L409" s="44" t="n">
        <v>1.169</v>
      </c>
    </row>
    <row r="410" hidden="1" ht="14" customHeight="1" s="215">
      <c r="A410" s="28" t="n"/>
      <c r="B410" s="41" t="inlineStr">
        <is>
          <t>MRO</t>
        </is>
      </c>
      <c r="C410" s="41" t="inlineStr">
        <is>
          <t>Marathon Oil</t>
        </is>
      </c>
      <c r="D410" s="42" t="inlineStr">
        <is>
          <t>Oil &amp; Gas E&amp;P</t>
        </is>
      </c>
      <c r="E410" s="43" t="n">
        <v>0.5</v>
      </c>
      <c r="F410" s="43" t="n">
        <v>1.2</v>
      </c>
      <c r="G410" s="43" t="n">
        <v>1.2</v>
      </c>
      <c r="H410" s="44" t="n">
        <v>0.257</v>
      </c>
      <c r="I410" s="44" t="n">
        <v>0.106</v>
      </c>
      <c r="J410" s="44" t="n">
        <v>0.096</v>
      </c>
      <c r="K410" s="44" t="n">
        <v>0.041</v>
      </c>
      <c r="L410" s="44" t="n">
        <v>0.431</v>
      </c>
    </row>
    <row r="411" hidden="1" ht="14" customHeight="1" s="215">
      <c r="A411" s="28" t="n"/>
      <c r="B411" s="41" t="inlineStr">
        <is>
          <t>CBRE</t>
        </is>
      </c>
      <c r="C411" s="41" t="inlineStr">
        <is>
          <t>CBRE Group</t>
        </is>
      </c>
      <c r="D411" s="42" t="inlineStr">
        <is>
          <t>Real Estate Services</t>
        </is>
      </c>
      <c r="E411" s="43" t="n">
        <v>0.6</v>
      </c>
      <c r="F411" s="43" t="n">
        <v>1.2</v>
      </c>
      <c r="G411" s="43" t="n">
        <v>1.2</v>
      </c>
      <c r="H411" s="44" t="n">
        <v>0.218</v>
      </c>
      <c r="I411" s="44" t="n">
        <v>0.056</v>
      </c>
      <c r="J411" s="44" t="n">
        <v>0.054</v>
      </c>
      <c r="K411" s="44" t="n">
        <v>0.04</v>
      </c>
      <c r="L411" s="44" t="n">
        <v>0.745</v>
      </c>
    </row>
    <row r="412" hidden="1" ht="28" customHeight="1" s="215">
      <c r="A412" s="28" t="n"/>
      <c r="B412" s="41" t="inlineStr">
        <is>
          <t>BKR</t>
        </is>
      </c>
      <c r="C412" s="41" t="inlineStr">
        <is>
          <t>Baker Hughes</t>
        </is>
      </c>
      <c r="D412" s="42" t="inlineStr">
        <is>
          <t>Oil &amp; Gas Equipment &amp; Services</t>
        </is>
      </c>
      <c r="E412" s="43" t="n">
        <v>0.3</v>
      </c>
      <c r="F412" s="43" t="n">
        <v>1.5</v>
      </c>
      <c r="G412" s="43" t="n">
        <v>1.1</v>
      </c>
      <c r="H412" s="44" t="n">
        <v>0.186</v>
      </c>
      <c r="I412" s="44" t="n">
        <v>0.067</v>
      </c>
      <c r="J412" s="44" t="n">
        <v>0.005</v>
      </c>
      <c r="K412" s="44" t="n">
        <v>0.038</v>
      </c>
      <c r="L412" s="44" t="n">
        <v>7.165</v>
      </c>
    </row>
    <row r="413" hidden="1" ht="14" customHeight="1" s="215">
      <c r="A413" s="28" t="n"/>
      <c r="B413" s="41" t="inlineStr">
        <is>
          <t>LOW</t>
        </is>
      </c>
      <c r="C413" s="41" t="inlineStr">
        <is>
          <t>Lowe's Companies</t>
        </is>
      </c>
      <c r="D413" s="42" t="inlineStr">
        <is>
          <t>Home Improvement Retail</t>
        </is>
      </c>
      <c r="E413" s="43" t="n">
        <v>12</v>
      </c>
      <c r="F413" s="43" t="n">
        <v>1</v>
      </c>
      <c r="G413" s="43" t="n">
        <v>0.1</v>
      </c>
      <c r="H413" s="44" t="n">
        <v>0.318</v>
      </c>
      <c r="I413" s="44" t="n">
        <v>0.08799999999999999</v>
      </c>
      <c r="J413" s="44" t="n">
        <v>0.059</v>
      </c>
      <c r="K413" s="44" t="n">
        <v>0.038</v>
      </c>
      <c r="L413" s="44" t="n">
        <v>0.647</v>
      </c>
    </row>
    <row r="414" hidden="1" ht="14" customHeight="1" s="215">
      <c r="A414" s="28" t="n"/>
      <c r="B414" s="41" t="inlineStr">
        <is>
          <t>WBA</t>
        </is>
      </c>
      <c r="C414" s="41" t="inlineStr">
        <is>
          <t>Walgreens Boots Alliance</t>
        </is>
      </c>
      <c r="D414" s="42" t="inlineStr">
        <is>
          <t>Pharmaceutical Retailers</t>
        </is>
      </c>
      <c r="E414" s="43" t="n">
        <v>1.7</v>
      </c>
      <c r="F414" s="43" t="n">
        <v>0.7</v>
      </c>
      <c r="G414" s="43" t="n">
        <v>0.3</v>
      </c>
      <c r="H414" s="44" t="n">
        <v>0.212</v>
      </c>
      <c r="I414" s="44" t="n">
        <v>0.031</v>
      </c>
      <c r="J414" s="44" t="n">
        <v>0.025</v>
      </c>
      <c r="K414" s="44" t="n">
        <v>0.038</v>
      </c>
      <c r="L414" s="44" t="n">
        <v>1.508</v>
      </c>
    </row>
    <row r="415" hidden="1" ht="14" customHeight="1" s="215">
      <c r="A415" s="28" t="n"/>
      <c r="B415" s="41" t="inlineStr">
        <is>
          <t>OXY</t>
        </is>
      </c>
      <c r="C415" s="41" t="inlineStr">
        <is>
          <t>Occidental Petroleum</t>
        </is>
      </c>
      <c r="D415" s="42" t="inlineStr">
        <is>
          <t>Oil &amp; Gas E&amp;P</t>
        </is>
      </c>
      <c r="E415" s="43" t="n">
        <v>1.2</v>
      </c>
      <c r="F415" s="43" t="n">
        <v>1.3</v>
      </c>
      <c r="G415" s="43" t="n">
        <v>1.2</v>
      </c>
      <c r="H415" s="44" t="n">
        <v>0.325</v>
      </c>
      <c r="I415" s="44" t="n">
        <v>0.138</v>
      </c>
      <c r="J415" s="44" t="n">
        <v>-0.034</v>
      </c>
      <c r="K415" s="44" t="n">
        <v>0.037</v>
      </c>
      <c r="L415" s="43" t="inlineStr">
        <is>
          <t xml:space="preserve">- </t>
        </is>
      </c>
    </row>
    <row r="416" hidden="1" ht="28" customHeight="1" s="215">
      <c r="A416" s="28" t="n"/>
      <c r="B416" s="41" t="inlineStr">
        <is>
          <t>WHR</t>
        </is>
      </c>
      <c r="C416" s="41" t="inlineStr">
        <is>
          <t>Whirlpool</t>
        </is>
      </c>
      <c r="D416" s="42" t="inlineStr">
        <is>
          <t>Furnishings, Fixtures &amp; Appliances</t>
        </is>
      </c>
      <c r="E416" s="43" t="n">
        <v>1.8</v>
      </c>
      <c r="F416" s="43" t="n">
        <v>0.9</v>
      </c>
      <c r="G416" s="43" t="n">
        <v>0.6</v>
      </c>
      <c r="H416" s="44" t="n">
        <v>0.173</v>
      </c>
      <c r="I416" s="44" t="n">
        <v>0.065</v>
      </c>
      <c r="J416" s="44" t="n">
        <v>0.058</v>
      </c>
      <c r="K416" s="44" t="n">
        <v>0.037</v>
      </c>
      <c r="L416" s="44" t="n">
        <v>0.637</v>
      </c>
    </row>
    <row r="417" hidden="1" ht="14" customHeight="1" s="215">
      <c r="A417" s="28" t="n"/>
      <c r="B417" s="41" t="inlineStr">
        <is>
          <t>DLTR</t>
        </is>
      </c>
      <c r="C417" s="41" t="inlineStr">
        <is>
          <t>Dollar Tree</t>
        </is>
      </c>
      <c r="D417" s="42" t="inlineStr">
        <is>
          <t>Discount Stores</t>
        </is>
      </c>
      <c r="E417" s="43" t="n">
        <v>1.7</v>
      </c>
      <c r="F417" s="43" t="n">
        <v>1.2</v>
      </c>
      <c r="G417" s="43" t="n">
        <v>0.2</v>
      </c>
      <c r="H417" s="44" t="n">
        <v>0.298</v>
      </c>
      <c r="I417" s="44" t="n">
        <v>0.067</v>
      </c>
      <c r="J417" s="44" t="n">
        <v>0.035</v>
      </c>
      <c r="K417" s="44" t="n">
        <v>0.035</v>
      </c>
      <c r="L417" s="44" t="n">
        <v>1.002</v>
      </c>
    </row>
    <row r="418" hidden="1" ht="14" customHeight="1" s="215">
      <c r="A418" s="28" t="n"/>
      <c r="B418" s="41" t="inlineStr">
        <is>
          <t>JCI</t>
        </is>
      </c>
      <c r="C418" s="41" t="inlineStr">
        <is>
          <t>Johnson Controls Intl</t>
        </is>
      </c>
      <c r="D418" s="42" t="inlineStr">
        <is>
          <t>Engineering &amp; Construction</t>
        </is>
      </c>
      <c r="E418" s="43" t="n">
        <v>0.4</v>
      </c>
      <c r="F418" s="43" t="n">
        <v>1.2</v>
      </c>
      <c r="G418" s="43" t="n">
        <v>1</v>
      </c>
      <c r="H418" s="44" t="n">
        <v>0.323</v>
      </c>
      <c r="I418" s="44" t="n">
        <v>0.064</v>
      </c>
      <c r="J418" s="44" t="n">
        <v>0.229</v>
      </c>
      <c r="K418" s="44" t="n">
        <v>0.035</v>
      </c>
      <c r="L418" s="44" t="n">
        <v>0.152</v>
      </c>
    </row>
    <row r="419" hidden="1" ht="28" customHeight="1" s="215">
      <c r="A419" s="28" t="n"/>
      <c r="B419" s="41" t="inlineStr">
        <is>
          <t>PCAR</t>
        </is>
      </c>
      <c r="C419" s="41" t="inlineStr">
        <is>
          <t>PACCAR</t>
        </is>
      </c>
      <c r="D419" s="42" t="inlineStr">
        <is>
          <t>Farm &amp; Heavy Construction Machinery</t>
        </is>
      </c>
      <c r="E419" s="43" t="n">
        <v>1.2</v>
      </c>
      <c r="F419" s="43" t="n">
        <v>2.4</v>
      </c>
      <c r="G419" s="43" t="n">
        <v>2.3</v>
      </c>
      <c r="H419" s="44" t="n">
        <v>0.157</v>
      </c>
      <c r="I419" s="44" t="n">
        <v>0.116</v>
      </c>
      <c r="J419" s="44" t="n">
        <v>0.093</v>
      </c>
      <c r="K419" s="44" t="n">
        <v>0.035</v>
      </c>
      <c r="L419" s="44" t="n">
        <v>0.377</v>
      </c>
    </row>
    <row r="420" hidden="1" ht="14" customHeight="1" s="215">
      <c r="A420" s="28" t="n"/>
      <c r="B420" s="41" t="inlineStr">
        <is>
          <t>MPC</t>
        </is>
      </c>
      <c r="C420" s="41" t="inlineStr">
        <is>
          <t>Marathon Petroleum</t>
        </is>
      </c>
      <c r="D420" s="42" t="inlineStr">
        <is>
          <t>Oil &amp; Gas Refining &amp; Marketing</t>
        </is>
      </c>
      <c r="E420" s="43" t="n">
        <v>0.9</v>
      </c>
      <c r="F420" s="43" t="n">
        <v>1.3</v>
      </c>
      <c r="G420" s="43" t="n">
        <v>0.6</v>
      </c>
      <c r="H420" s="44" t="n">
        <v>0.111</v>
      </c>
      <c r="I420" s="44" t="n">
        <v>0.049</v>
      </c>
      <c r="J420" s="44" t="n">
        <v>0.022</v>
      </c>
      <c r="K420" s="44" t="n">
        <v>0.033</v>
      </c>
      <c r="L420" s="44" t="n">
        <v>1.536</v>
      </c>
    </row>
    <row r="421" hidden="1" ht="14" customHeight="1" s="215">
      <c r="A421" s="28" t="n"/>
      <c r="B421" s="41" t="inlineStr">
        <is>
          <t>VLO</t>
        </is>
      </c>
      <c r="C421" s="41" t="inlineStr">
        <is>
          <t>Valero Energy</t>
        </is>
      </c>
      <c r="D421" s="42" t="inlineStr">
        <is>
          <t>Oil &amp; Gas Refining &amp; Marketing</t>
        </is>
      </c>
      <c r="E421" s="43" t="n">
        <v>0.5</v>
      </c>
      <c r="F421" s="43" t="n">
        <v>1.4</v>
      </c>
      <c r="G421" s="43" t="n">
        <v>0.9</v>
      </c>
      <c r="H421" s="44" t="n">
        <v>0.044</v>
      </c>
      <c r="I421" s="44" t="n">
        <v>0.036</v>
      </c>
      <c r="J421" s="44" t="n">
        <v>0.023</v>
      </c>
      <c r="K421" s="44" t="n">
        <v>0.033</v>
      </c>
      <c r="L421" s="44" t="n">
        <v>1.457</v>
      </c>
    </row>
    <row r="422" hidden="1" ht="14" customHeight="1" s="215">
      <c r="A422" s="28" t="n"/>
      <c r="B422" s="41" t="inlineStr">
        <is>
          <t>CCL</t>
        </is>
      </c>
      <c r="C422" s="41" t="inlineStr">
        <is>
          <t>Carnival</t>
        </is>
      </c>
      <c r="D422" s="42" t="inlineStr">
        <is>
          <t>Travel Services</t>
        </is>
      </c>
      <c r="E422" s="43" t="n">
        <v>0.6</v>
      </c>
      <c r="F422" s="43" t="n">
        <v>0.3</v>
      </c>
      <c r="G422" s="43" t="n">
        <v>0.2</v>
      </c>
      <c r="H422" s="44" t="n">
        <v>0.365</v>
      </c>
      <c r="I422" s="44" t="n">
        <v>0.139</v>
      </c>
      <c r="J422" s="44" t="n">
        <v>0.089</v>
      </c>
      <c r="K422" s="44" t="n">
        <v>0.031</v>
      </c>
      <c r="L422" s="44" t="n">
        <v>0.347</v>
      </c>
    </row>
    <row r="423" hidden="1" ht="14" customHeight="1" s="215">
      <c r="A423" s="28" t="n"/>
      <c r="B423" s="41" t="inlineStr">
        <is>
          <t>GPC</t>
        </is>
      </c>
      <c r="C423" s="41" t="inlineStr">
        <is>
          <t>Genuine Parts</t>
        </is>
      </c>
      <c r="D423" s="42" t="inlineStr">
        <is>
          <t>Specialty Retail</t>
        </is>
      </c>
      <c r="E423" s="43" t="n">
        <v>1.2</v>
      </c>
      <c r="F423" s="43" t="n">
        <v>1.2</v>
      </c>
      <c r="G423" s="43" t="n">
        <v>0.6</v>
      </c>
      <c r="H423" s="44" t="n">
        <v>0.326</v>
      </c>
      <c r="I423" s="44" t="n">
        <v>0.057</v>
      </c>
      <c r="J423" s="44" t="n">
        <v>0.032</v>
      </c>
      <c r="K423" s="44" t="n">
        <v>0.031</v>
      </c>
      <c r="L423" s="44" t="n">
        <v>0.966</v>
      </c>
    </row>
    <row r="424" hidden="1" ht="14" customHeight="1" s="215">
      <c r="A424" s="28" t="n"/>
      <c r="B424" s="41" t="inlineStr">
        <is>
          <t>TSN</t>
        </is>
      </c>
      <c r="C424" s="41" t="inlineStr">
        <is>
          <t>Tyson Foods</t>
        </is>
      </c>
      <c r="D424" s="42" t="inlineStr">
        <is>
          <t>Farm Products</t>
        </is>
      </c>
      <c r="E424" s="43" t="n">
        <v>0.8</v>
      </c>
      <c r="F424" s="43" t="n">
        <v>1.3</v>
      </c>
      <c r="G424" s="43" t="n">
        <v>0.5</v>
      </c>
      <c r="H424" s="44" t="n">
        <v>0.119</v>
      </c>
      <c r="I424" s="44" t="n">
        <v>0.066</v>
      </c>
      <c r="J424" s="44" t="n">
        <v>0.047</v>
      </c>
      <c r="K424" s="44" t="n">
        <v>0.031</v>
      </c>
      <c r="L424" s="44" t="n">
        <v>0.646</v>
      </c>
    </row>
    <row r="425" hidden="1" ht="14" customHeight="1" s="215">
      <c r="A425" s="28" t="n"/>
      <c r="B425" s="41" t="inlineStr">
        <is>
          <t>VIAC</t>
        </is>
      </c>
      <c r="C425" s="41" t="inlineStr">
        <is>
          <t>ViacomCBS</t>
        </is>
      </c>
      <c r="D425" s="42" t="inlineStr">
        <is>
          <t>Entertainment</t>
        </is>
      </c>
      <c r="E425" s="43" t="n">
        <v>1.6</v>
      </c>
      <c r="F425" s="43" t="n">
        <v>1.3</v>
      </c>
      <c r="G425" s="43" t="n">
        <v>1</v>
      </c>
      <c r="H425" s="44" t="n">
        <v>0.381</v>
      </c>
      <c r="I425" s="44" t="n">
        <v>0.162</v>
      </c>
      <c r="J425" s="44" t="n">
        <v>0.117</v>
      </c>
      <c r="K425" s="44" t="n">
        <v>0.031</v>
      </c>
      <c r="L425" s="44" t="n">
        <v>0.265</v>
      </c>
    </row>
    <row r="426" hidden="1" ht="28" customHeight="1" s="215">
      <c r="A426" s="28" t="n"/>
      <c r="B426" s="41" t="inlineStr">
        <is>
          <t>FTI</t>
        </is>
      </c>
      <c r="C426" s="41" t="inlineStr">
        <is>
          <t>TechnipFMC</t>
        </is>
      </c>
      <c r="D426" s="42" t="inlineStr">
        <is>
          <t>Oil &amp; Gas Equipment &amp; Services</t>
        </is>
      </c>
      <c r="E426" s="43" t="n">
        <v>0.7</v>
      </c>
      <c r="F426" s="43" t="n">
        <v>1.2</v>
      </c>
      <c r="G426" s="43" t="n">
        <v>1</v>
      </c>
      <c r="H426" s="44" t="n">
        <v>0.183</v>
      </c>
      <c r="I426" s="44" t="n">
        <v>0.08</v>
      </c>
      <c r="J426" s="44" t="n">
        <v>-0.182</v>
      </c>
      <c r="K426" s="44" t="n">
        <v>0.03</v>
      </c>
      <c r="L426" s="43" t="inlineStr">
        <is>
          <t xml:space="preserve">- </t>
        </is>
      </c>
    </row>
    <row r="427" hidden="1" ht="14" customHeight="1" s="215">
      <c r="A427" s="28" t="n"/>
      <c r="B427" s="41" t="inlineStr">
        <is>
          <t>HPE</t>
        </is>
      </c>
      <c r="C427" s="41" t="inlineStr">
        <is>
          <t>Hewlett Packard</t>
        </is>
      </c>
      <c r="D427" s="42" t="inlineStr">
        <is>
          <t>Communication Equipment</t>
        </is>
      </c>
      <c r="E427" s="43" t="n">
        <v>0.8</v>
      </c>
      <c r="F427" s="43" t="n">
        <v>0.8</v>
      </c>
      <c r="G427" s="43" t="n">
        <v>0.7</v>
      </c>
      <c r="H427" s="44" t="n">
        <v>0.331</v>
      </c>
      <c r="I427" s="44" t="n">
        <v>0.08599999999999999</v>
      </c>
      <c r="J427" s="44" t="n">
        <v>0.042</v>
      </c>
      <c r="K427" s="44" t="n">
        <v>0.03</v>
      </c>
      <c r="L427" s="44" t="n">
        <v>0.701</v>
      </c>
    </row>
    <row r="428" hidden="1" ht="14" customHeight="1" s="215">
      <c r="A428" s="28" t="n"/>
      <c r="B428" s="41" t="inlineStr">
        <is>
          <t>UPS</t>
        </is>
      </c>
      <c r="C428" s="41" t="inlineStr">
        <is>
          <t>United Parcel Service</t>
        </is>
      </c>
      <c r="D428" s="42" t="inlineStr">
        <is>
          <t>Integrated Freight &amp; Logistics</t>
        </is>
      </c>
      <c r="E428" s="43" t="n">
        <v>8.6</v>
      </c>
      <c r="F428" s="43" t="n">
        <v>1.1</v>
      </c>
      <c r="G428" s="43" t="n">
        <v>1.1</v>
      </c>
      <c r="H428" s="44" t="n">
        <v>0.185</v>
      </c>
      <c r="I428" s="44" t="n">
        <v>0.106</v>
      </c>
      <c r="J428" s="44" t="n">
        <v>0.06</v>
      </c>
      <c r="K428" s="44" t="n">
        <v>0.03</v>
      </c>
      <c r="L428" s="44" t="n">
        <v>0.507</v>
      </c>
    </row>
    <row r="429" hidden="1" ht="14" customHeight="1" s="215">
      <c r="A429" s="28" t="n"/>
      <c r="B429" s="41" t="inlineStr">
        <is>
          <t>WMT</t>
        </is>
      </c>
      <c r="C429" s="41" t="inlineStr">
        <is>
          <t>Walmart</t>
        </is>
      </c>
      <c r="D429" s="42" t="inlineStr">
        <is>
          <t>Discount Stores</t>
        </is>
      </c>
      <c r="E429" s="43" t="n">
        <v>1</v>
      </c>
      <c r="F429" s="43" t="n">
        <v>0.8</v>
      </c>
      <c r="G429" s="43" t="n">
        <v>0.2</v>
      </c>
      <c r="H429" s="44" t="n">
        <v>0.247</v>
      </c>
      <c r="I429" s="44" t="n">
        <v>0.039</v>
      </c>
      <c r="J429" s="44" t="n">
        <v>0.028</v>
      </c>
      <c r="K429" s="44" t="n">
        <v>0.028</v>
      </c>
      <c r="L429" s="44" t="n">
        <v>0.983</v>
      </c>
    </row>
    <row r="430" hidden="1" ht="14" customHeight="1" s="215">
      <c r="A430" s="28" t="n"/>
      <c r="B430" s="41" t="inlineStr">
        <is>
          <t>JBHT</t>
        </is>
      </c>
      <c r="C430" s="41" t="inlineStr">
        <is>
          <t>JB Hunt Transport Servs</t>
        </is>
      </c>
      <c r="D430" s="42" t="inlineStr">
        <is>
          <t>Integrated Freight &amp; Logistics</t>
        </is>
      </c>
      <c r="E430" s="43" t="n">
        <v>0.6</v>
      </c>
      <c r="F430" s="43" t="n">
        <v>1.4</v>
      </c>
      <c r="G430" s="43" t="n">
        <v>1.4</v>
      </c>
      <c r="H430" s="44" t="n">
        <v>0.179</v>
      </c>
      <c r="I430" s="44" t="n">
        <v>0.08</v>
      </c>
      <c r="J430" s="44" t="n">
        <v>0.056</v>
      </c>
      <c r="K430" s="44" t="n">
        <v>0.027</v>
      </c>
      <c r="L430" s="44" t="n">
        <v>0.479</v>
      </c>
    </row>
    <row r="431" hidden="1" ht="14" customHeight="1" s="215">
      <c r="A431" s="28" t="n"/>
      <c r="B431" s="41" t="inlineStr">
        <is>
          <t>MU</t>
        </is>
      </c>
      <c r="C431" s="41" t="inlineStr">
        <is>
          <t>Micron Technology</t>
        </is>
      </c>
      <c r="D431" s="42" t="inlineStr">
        <is>
          <t>Semiconductors</t>
        </is>
      </c>
      <c r="E431" s="43" t="n">
        <v>0.2</v>
      </c>
      <c r="F431" s="43" t="n">
        <v>2.7</v>
      </c>
      <c r="G431" s="43" t="n">
        <v>1.9</v>
      </c>
      <c r="H431" s="44" t="n">
        <v>0.303</v>
      </c>
      <c r="I431" s="44" t="n">
        <v>0.135</v>
      </c>
      <c r="J431" s="44" t="n">
        <v>0.117</v>
      </c>
      <c r="K431" s="44" t="n">
        <v>0.027</v>
      </c>
      <c r="L431" s="44" t="n">
        <v>0.229</v>
      </c>
    </row>
    <row r="432" hidden="1" ht="14" customHeight="1" s="215">
      <c r="A432" s="28" t="n"/>
      <c r="B432" s="41" t="inlineStr">
        <is>
          <t>NCLH</t>
        </is>
      </c>
      <c r="C432" s="41" t="inlineStr">
        <is>
          <t>Norwegian Cruise Line</t>
        </is>
      </c>
      <c r="D432" s="42" t="inlineStr">
        <is>
          <t>Travel Services</t>
        </is>
      </c>
      <c r="E432" s="43" t="n">
        <v>1</v>
      </c>
      <c r="F432" s="43" t="n">
        <v>0.2</v>
      </c>
      <c r="G432" s="43" t="n">
        <v>0.2</v>
      </c>
      <c r="H432" s="44" t="n">
        <v>0.433</v>
      </c>
      <c r="I432" s="44" t="n">
        <v>0.183</v>
      </c>
      <c r="J432" s="44" t="n">
        <v>0.145</v>
      </c>
      <c r="K432" s="44" t="n">
        <v>0.027</v>
      </c>
      <c r="L432" s="44" t="n">
        <v>0.185</v>
      </c>
    </row>
    <row r="433" hidden="1" ht="14" customHeight="1" s="215">
      <c r="A433" s="28" t="n"/>
      <c r="B433" s="41" t="inlineStr">
        <is>
          <t>COST</t>
        </is>
      </c>
      <c r="C433" s="41" t="inlineStr">
        <is>
          <t>Costco Wholesale</t>
        </is>
      </c>
      <c r="D433" s="42" t="inlineStr">
        <is>
          <t>Discount Stores</t>
        </is>
      </c>
      <c r="E433" s="43" t="n">
        <v>0.5</v>
      </c>
      <c r="F433" s="43" t="n">
        <v>1</v>
      </c>
      <c r="G433" s="43" t="n">
        <v>0.5</v>
      </c>
      <c r="H433" s="44" t="n">
        <v>0.13</v>
      </c>
      <c r="I433" s="44" t="n">
        <v>0.031</v>
      </c>
      <c r="J433" s="44" t="n">
        <v>0.024</v>
      </c>
      <c r="K433" s="44" t="n">
        <v>0.026</v>
      </c>
      <c r="L433" s="44" t="n">
        <v>1.106</v>
      </c>
    </row>
    <row r="434" hidden="1" ht="28" customHeight="1" s="215">
      <c r="A434" s="28" t="n"/>
      <c r="B434" s="41" t="inlineStr">
        <is>
          <t>DE</t>
        </is>
      </c>
      <c r="C434" s="41" t="inlineStr">
        <is>
          <t>Deere</t>
        </is>
      </c>
      <c r="D434" s="42" t="inlineStr">
        <is>
          <t>Farm &amp; Heavy Construction Machinery</t>
        </is>
      </c>
      <c r="E434" s="43" t="n">
        <v>3.8</v>
      </c>
      <c r="F434" s="43" t="n">
        <v>2.1</v>
      </c>
      <c r="G434" s="43" t="n">
        <v>1.8</v>
      </c>
      <c r="H434" s="44" t="n">
        <v>0.271</v>
      </c>
      <c r="I434" s="44" t="n">
        <v>0.102</v>
      </c>
      <c r="J434" s="44" t="n">
        <v>0.08500000000000001</v>
      </c>
      <c r="K434" s="44" t="n">
        <v>0.026</v>
      </c>
      <c r="L434" s="44" t="n">
        <v>0.308</v>
      </c>
    </row>
    <row r="435" hidden="1" ht="14" customHeight="1" s="215">
      <c r="A435" s="28" t="n"/>
      <c r="B435" s="41" t="inlineStr">
        <is>
          <t>GE</t>
        </is>
      </c>
      <c r="C435" s="41" t="inlineStr">
        <is>
          <t>General Electric</t>
        </is>
      </c>
      <c r="D435" s="42" t="inlineStr">
        <is>
          <t>Specialty Industrial Machinery</t>
        </is>
      </c>
      <c r="E435" s="43" t="n">
        <v>3.3</v>
      </c>
      <c r="F435" s="43" t="n">
        <v>1.8</v>
      </c>
      <c r="G435" s="43" t="n">
        <v>1.6</v>
      </c>
      <c r="H435" s="44" t="n">
        <v>0.233</v>
      </c>
      <c r="I435" s="44" t="n">
        <v>0.055</v>
      </c>
      <c r="J435" s="44" t="n">
        <v>-0.049</v>
      </c>
      <c r="K435" s="44" t="n">
        <v>0.026</v>
      </c>
      <c r="L435" s="43" t="inlineStr">
        <is>
          <t xml:space="preserve">- </t>
        </is>
      </c>
    </row>
    <row r="436" hidden="1" ht="14" customHeight="1" s="215">
      <c r="A436" s="28" t="n"/>
      <c r="B436" s="41" t="inlineStr">
        <is>
          <t>GPS</t>
        </is>
      </c>
      <c r="C436" s="41" t="inlineStr">
        <is>
          <t>Gap</t>
        </is>
      </c>
      <c r="D436" s="42" t="inlineStr">
        <is>
          <t>Apparel Retail</t>
        </is>
      </c>
      <c r="E436" s="43" t="n">
        <v>2.3</v>
      </c>
      <c r="F436" s="43" t="n">
        <v>1.4</v>
      </c>
      <c r="G436" s="43" t="n">
        <v>0.7</v>
      </c>
      <c r="H436" s="44" t="n">
        <v>0.374</v>
      </c>
      <c r="I436" s="44" t="n">
        <v>0.035</v>
      </c>
      <c r="J436" s="44" t="n">
        <v>0.021</v>
      </c>
      <c r="K436" s="44" t="n">
        <v>0.024</v>
      </c>
      <c r="L436" s="44" t="n">
        <v>1.111</v>
      </c>
    </row>
    <row r="437" hidden="1" ht="14" customHeight="1" s="215">
      <c r="A437" s="28" t="n"/>
      <c r="B437" s="41" t="inlineStr">
        <is>
          <t>PWR</t>
        </is>
      </c>
      <c r="C437" s="41" t="inlineStr">
        <is>
          <t>Quanta Services</t>
        </is>
      </c>
      <c r="D437" s="42" t="inlineStr">
        <is>
          <t>Engineering &amp; Construction</t>
        </is>
      </c>
      <c r="E437" s="43" t="n">
        <v>0.4</v>
      </c>
      <c r="F437" s="43" t="n">
        <v>1.7</v>
      </c>
      <c r="G437" s="43" t="n">
        <v>1.7</v>
      </c>
      <c r="H437" s="44" t="n">
        <v>0.132</v>
      </c>
      <c r="I437" s="44" t="n">
        <v>0.048</v>
      </c>
      <c r="J437" s="44" t="n">
        <v>0.033</v>
      </c>
      <c r="K437" s="44" t="n">
        <v>0.023</v>
      </c>
      <c r="L437" s="44" t="n">
        <v>0.6830000000000001</v>
      </c>
    </row>
    <row r="438" hidden="1" ht="14" customHeight="1" s="215">
      <c r="A438" s="28" t="n"/>
      <c r="B438" s="41" t="inlineStr">
        <is>
          <t>SYY</t>
        </is>
      </c>
      <c r="C438" s="41" t="inlineStr">
        <is>
          <t>Sysco</t>
        </is>
      </c>
      <c r="D438" s="42" t="inlineStr">
        <is>
          <t>Food Distribution</t>
        </is>
      </c>
      <c r="E438" s="43" t="n">
        <v>3.8</v>
      </c>
      <c r="F438" s="43" t="n">
        <v>1.3</v>
      </c>
      <c r="G438" s="43" t="n">
        <v>0.7</v>
      </c>
      <c r="H438" s="44" t="n">
        <v>0.19</v>
      </c>
      <c r="I438" s="44" t="n">
        <v>0.041</v>
      </c>
      <c r="J438" s="44" t="n">
        <v>0.03</v>
      </c>
      <c r="K438" s="44" t="n">
        <v>0.023</v>
      </c>
      <c r="L438" s="44" t="n">
        <v>0.766</v>
      </c>
    </row>
    <row r="439" hidden="1" ht="14" customHeight="1" s="215">
      <c r="A439" s="28" t="n"/>
      <c r="B439" s="41" t="inlineStr">
        <is>
          <t>AMCR</t>
        </is>
      </c>
      <c r="C439" s="41" t="inlineStr">
        <is>
          <t>Amcor</t>
        </is>
      </c>
      <c r="D439" s="42" t="inlineStr">
        <is>
          <t>Packaging &amp; Containers</t>
        </is>
      </c>
      <c r="E439" s="43" t="n">
        <v>1.3</v>
      </c>
      <c r="F439" s="43" t="n">
        <v>1.2</v>
      </c>
      <c r="G439" s="43" t="n">
        <v>0.7</v>
      </c>
      <c r="H439" s="44" t="n">
        <v>0.188</v>
      </c>
      <c r="I439" s="44" t="n">
        <v>0.074</v>
      </c>
      <c r="J439" s="44" t="n">
        <v>0.041</v>
      </c>
      <c r="K439" s="44" t="n">
        <v>0.022</v>
      </c>
      <c r="L439" s="44" t="n">
        <v>0.538</v>
      </c>
    </row>
    <row r="440" hidden="1" ht="14" customHeight="1" s="215">
      <c r="A440" s="28" t="n"/>
      <c r="B440" s="41" t="inlineStr">
        <is>
          <t>NWSA</t>
        </is>
      </c>
      <c r="C440" s="41" t="inlineStr">
        <is>
          <t>News</t>
        </is>
      </c>
      <c r="D440" s="42" t="inlineStr">
        <is>
          <t>Broadcasting</t>
        </is>
      </c>
      <c r="E440" s="43" t="n">
        <v>0.3</v>
      </c>
      <c r="F440" s="43" t="n">
        <v>1.4</v>
      </c>
      <c r="G440" s="43" t="n">
        <v>1.2</v>
      </c>
      <c r="H440" s="44" t="n">
        <v>0</v>
      </c>
      <c r="I440" s="44" t="n">
        <v>0.045</v>
      </c>
      <c r="J440" s="44" t="n">
        <v>-0.019</v>
      </c>
      <c r="K440" s="44" t="n">
        <v>0.022</v>
      </c>
      <c r="L440" s="43" t="inlineStr">
        <is>
          <t xml:space="preserve">- </t>
        </is>
      </c>
    </row>
    <row r="441" hidden="1" ht="14" customHeight="1" s="215">
      <c r="A441" s="28" t="n"/>
      <c r="B441" s="41" t="inlineStr">
        <is>
          <t>XOM</t>
        </is>
      </c>
      <c r="C441" s="41" t="inlineStr">
        <is>
          <t>Exxon Mobil</t>
        </is>
      </c>
      <c r="D441" s="42" t="inlineStr">
        <is>
          <t>Oil &amp; Gas Integrated</t>
        </is>
      </c>
      <c r="E441" s="43" t="n">
        <v>0.2</v>
      </c>
      <c r="F441" s="43" t="n">
        <v>0.8</v>
      </c>
      <c r="G441" s="43" t="n">
        <v>0.5</v>
      </c>
      <c r="H441" s="44" t="n">
        <v>0.219</v>
      </c>
      <c r="I441" s="44" t="n">
        <v>0.05</v>
      </c>
      <c r="J441" s="44" t="n">
        <v>0.056</v>
      </c>
      <c r="K441" s="44" t="n">
        <v>0.021</v>
      </c>
      <c r="L441" s="44" t="n">
        <v>0.366</v>
      </c>
    </row>
    <row r="442" hidden="1" ht="14" customHeight="1" s="215">
      <c r="A442" s="28" t="n"/>
      <c r="B442" s="41" t="inlineStr">
        <is>
          <t>JWN</t>
        </is>
      </c>
      <c r="C442" s="41" t="inlineStr">
        <is>
          <t>Nordstrom</t>
        </is>
      </c>
      <c r="D442" s="42" t="inlineStr">
        <is>
          <t>Department Stores</t>
        </is>
      </c>
      <c r="E442" s="43" t="n">
        <v>4.9</v>
      </c>
      <c r="F442" s="43" t="n">
        <v>0.9</v>
      </c>
      <c r="G442" s="43" t="n">
        <v>0.4</v>
      </c>
      <c r="H442" s="44" t="n">
        <v>0.36</v>
      </c>
      <c r="I442" s="44" t="n">
        <v>0.051</v>
      </c>
      <c r="J442" s="44" t="n">
        <v>0.032</v>
      </c>
      <c r="K442" s="44" t="n">
        <v>0.02</v>
      </c>
      <c r="L442" s="44" t="n">
        <v>0.627</v>
      </c>
    </row>
    <row r="443" hidden="1" ht="14" customHeight="1" s="215">
      <c r="A443" s="28" t="n"/>
      <c r="B443" s="41" t="inlineStr">
        <is>
          <t>DVN</t>
        </is>
      </c>
      <c r="C443" s="41" t="inlineStr">
        <is>
          <t>Devon Energy</t>
        </is>
      </c>
      <c r="D443" s="42" t="inlineStr">
        <is>
          <t>Oil &amp; Gas E&amp;P</t>
        </is>
      </c>
      <c r="E443" s="43" t="n">
        <v>0.8</v>
      </c>
      <c r="F443" s="43" t="n">
        <v>2</v>
      </c>
      <c r="G443" s="43" t="n">
        <v>2</v>
      </c>
      <c r="H443" s="44" t="n">
        <v>0.553</v>
      </c>
      <c r="I443" s="44" t="n">
        <v>0.031</v>
      </c>
      <c r="J443" s="44" t="n">
        <v>-0.053</v>
      </c>
      <c r="K443" s="44" t="n">
        <v>0.014</v>
      </c>
      <c r="L443" s="43" t="inlineStr">
        <is>
          <t xml:space="preserve">- </t>
        </is>
      </c>
    </row>
    <row r="444" hidden="1" ht="14" customHeight="1" s="215">
      <c r="A444" s="28" t="n"/>
      <c r="B444" s="41" t="inlineStr">
        <is>
          <t>PXD</t>
        </is>
      </c>
      <c r="C444" s="41" t="inlineStr">
        <is>
          <t>Pioneer Natural Resources</t>
        </is>
      </c>
      <c r="D444" s="42" t="inlineStr">
        <is>
          <t>Oil &amp; Gas E&amp;P</t>
        </is>
      </c>
      <c r="E444" s="43" t="n">
        <v>0.2</v>
      </c>
      <c r="F444" s="43" t="n">
        <v>0.9</v>
      </c>
      <c r="G444" s="43" t="n">
        <v>0.8</v>
      </c>
      <c r="H444" s="44" t="n">
        <v>0.239</v>
      </c>
      <c r="I444" s="44" t="n">
        <v>0.188</v>
      </c>
      <c r="J444" s="44" t="n">
        <v>0.077</v>
      </c>
      <c r="K444" s="44" t="n">
        <v>0.014</v>
      </c>
      <c r="L444" s="44" t="n">
        <v>0.18</v>
      </c>
    </row>
    <row r="445" hidden="1" ht="14" customHeight="1" s="215">
      <c r="A445" s="28" t="n"/>
      <c r="B445" s="41" t="inlineStr">
        <is>
          <t>D</t>
        </is>
      </c>
      <c r="C445" s="41" t="inlineStr">
        <is>
          <t>Dominion Energy</t>
        </is>
      </c>
      <c r="D445" s="42" t="inlineStr">
        <is>
          <t>Utilities - Diversified</t>
        </is>
      </c>
      <c r="E445" s="43" t="n">
        <v>1.2</v>
      </c>
      <c r="F445" s="43" t="n">
        <v>0.6</v>
      </c>
      <c r="G445" s="43" t="n">
        <v>0.4</v>
      </c>
      <c r="H445" s="44" t="n">
        <v>0.459</v>
      </c>
      <c r="I445" s="44" t="n">
        <v>0.236</v>
      </c>
      <c r="J445" s="44" t="n">
        <v>0.08500000000000001</v>
      </c>
      <c r="K445" s="44" t="n">
        <v>0.013</v>
      </c>
      <c r="L445" s="44" t="n">
        <v>0.156</v>
      </c>
    </row>
    <row r="446" hidden="1" ht="14" customHeight="1" s="215">
      <c r="A446" s="28" t="n"/>
      <c r="B446" s="41" t="inlineStr">
        <is>
          <t>MCK</t>
        </is>
      </c>
      <c r="C446" s="41" t="inlineStr">
        <is>
          <t>McKesson</t>
        </is>
      </c>
      <c r="D446" s="42" t="inlineStr">
        <is>
          <t>Medical Distribution</t>
        </is>
      </c>
      <c r="E446" s="43" t="n">
        <v>1.9</v>
      </c>
      <c r="F446" s="43" t="n">
        <v>1</v>
      </c>
      <c r="G446" s="43" t="n">
        <v>0.6</v>
      </c>
      <c r="H446" s="44" t="n">
        <v>0.053</v>
      </c>
      <c r="I446" s="44" t="n">
        <v>0.012</v>
      </c>
      <c r="J446" s="44" t="n">
        <v>-0.004</v>
      </c>
      <c r="K446" s="44" t="n">
        <v>0.013</v>
      </c>
      <c r="L446" s="43" t="inlineStr">
        <is>
          <t xml:space="preserve">- </t>
        </is>
      </c>
    </row>
    <row r="447" hidden="1" ht="14" customHeight="1" s="215">
      <c r="A447" s="28" t="n"/>
      <c r="B447" s="41" t="inlineStr">
        <is>
          <t>WDC</t>
        </is>
      </c>
      <c r="C447" s="41" t="inlineStr">
        <is>
          <t>Western Digital</t>
        </is>
      </c>
      <c r="D447" s="42" t="inlineStr">
        <is>
          <t>Computer Hardware</t>
        </is>
      </c>
      <c r="E447" s="43" t="n">
        <v>1.1</v>
      </c>
      <c r="F447" s="43" t="n">
        <v>1.9</v>
      </c>
      <c r="G447" s="43" t="n">
        <v>1.2</v>
      </c>
      <c r="H447" s="44" t="n">
        <v>0.176</v>
      </c>
      <c r="I447" s="44" t="n">
        <v>-0.047</v>
      </c>
      <c r="J447" s="44" t="n">
        <v>-0.076</v>
      </c>
      <c r="K447" s="44" t="n">
        <v>0.013</v>
      </c>
      <c r="L447" s="43" t="inlineStr">
        <is>
          <t xml:space="preserve">- </t>
        </is>
      </c>
    </row>
    <row r="448" hidden="1" ht="14" customHeight="1" s="215">
      <c r="A448" s="28" t="n"/>
      <c r="B448" s="41" t="inlineStr">
        <is>
          <t>KR</t>
        </is>
      </c>
      <c r="C448" s="41" t="inlineStr">
        <is>
          <t>Kroger</t>
        </is>
      </c>
      <c r="D448" s="42" t="inlineStr">
        <is>
          <t>Grocery Stores</t>
        </is>
      </c>
      <c r="E448" s="43" t="n">
        <v>2.5</v>
      </c>
      <c r="F448" s="43" t="n">
        <v>0.8</v>
      </c>
      <c r="G448" s="43" t="n">
        <v>0.3</v>
      </c>
      <c r="H448" s="44" t="n">
        <v>0.221</v>
      </c>
      <c r="I448" s="44" t="n">
        <v>0.018</v>
      </c>
      <c r="J448" s="44" t="n">
        <v>0.014</v>
      </c>
      <c r="K448" s="44" t="n">
        <v>0.012</v>
      </c>
      <c r="L448" s="44" t="n">
        <v>0.913</v>
      </c>
    </row>
    <row r="449" hidden="1" ht="14" customHeight="1" s="215">
      <c r="A449" s="28" t="n"/>
      <c r="B449" s="41" t="inlineStr">
        <is>
          <t>CAH</t>
        </is>
      </c>
      <c r="C449" s="41" t="inlineStr">
        <is>
          <t>Cardinal Health</t>
        </is>
      </c>
      <c r="D449" s="42" t="inlineStr">
        <is>
          <t>Medical Distribution</t>
        </is>
      </c>
      <c r="E449" s="43" t="n">
        <v>7.9</v>
      </c>
      <c r="F449" s="43" t="n">
        <v>1</v>
      </c>
      <c r="G449" s="43" t="n">
        <v>0.5</v>
      </c>
      <c r="H449" s="44" t="n">
        <v>0.046</v>
      </c>
      <c r="I449" s="44" t="n">
        <v>0.012</v>
      </c>
      <c r="J449" s="44" t="n">
        <v>-0.028</v>
      </c>
      <c r="K449" s="44" t="n">
        <v>0.011</v>
      </c>
      <c r="L449" s="43" t="inlineStr">
        <is>
          <t xml:space="preserve">- </t>
        </is>
      </c>
    </row>
    <row r="450" hidden="1" ht="14" customHeight="1" s="215">
      <c r="A450" s="28" t="n"/>
      <c r="B450" s="41" t="inlineStr">
        <is>
          <t>CNC</t>
        </is>
      </c>
      <c r="C450" s="41" t="inlineStr">
        <is>
          <t>Centene</t>
        </is>
      </c>
      <c r="D450" s="42" t="inlineStr">
        <is>
          <t>Healthcare Plans</t>
        </is>
      </c>
      <c r="E450" s="43" t="n">
        <v>1.1</v>
      </c>
      <c r="F450" s="43" t="n">
        <v>1.6</v>
      </c>
      <c r="G450" s="43" t="n">
        <v>1.6</v>
      </c>
      <c r="H450" s="44" t="n">
        <v>0.118</v>
      </c>
      <c r="I450" s="44" t="n">
        <v>0.027</v>
      </c>
      <c r="J450" s="44" t="n">
        <v>0.018</v>
      </c>
      <c r="K450" s="44" t="n">
        <v>0.01</v>
      </c>
      <c r="L450" s="44" t="n">
        <v>0.542</v>
      </c>
    </row>
    <row r="451" hidden="1" ht="14" customHeight="1" s="215">
      <c r="A451" s="28" t="n"/>
      <c r="B451" s="41" t="inlineStr">
        <is>
          <t>PEG</t>
        </is>
      </c>
      <c r="C451" s="41" t="inlineStr">
        <is>
          <t>Public Service Enterprise</t>
        </is>
      </c>
      <c r="D451" s="42" t="inlineStr">
        <is>
          <t>Utilities - Diversified</t>
        </is>
      </c>
      <c r="E451" s="43" t="n">
        <v>1.1</v>
      </c>
      <c r="F451" s="43" t="n">
        <v>0.6</v>
      </c>
      <c r="G451" s="43" t="n">
        <v>0.5</v>
      </c>
      <c r="H451" s="44" t="n">
        <v>0.356</v>
      </c>
      <c r="I451" s="44" t="n">
        <v>0.232</v>
      </c>
      <c r="J451" s="44" t="n">
        <v>0.167</v>
      </c>
      <c r="K451" s="44" t="n">
        <v>0.01</v>
      </c>
      <c r="L451" s="44" t="n">
        <v>0.059</v>
      </c>
    </row>
    <row r="452" hidden="1" ht="14" customHeight="1" s="215">
      <c r="A452" s="28" t="n"/>
      <c r="B452" s="41" t="inlineStr">
        <is>
          <t>ABC</t>
        </is>
      </c>
      <c r="C452" s="41" t="inlineStr">
        <is>
          <t>AmerisourceBergen</t>
        </is>
      </c>
      <c r="D452" s="42" t="inlineStr">
        <is>
          <t>Medical Distribution</t>
        </is>
      </c>
      <c r="E452" s="43" t="n">
        <v>1.4</v>
      </c>
      <c r="F452" s="43" t="n">
        <v>1</v>
      </c>
      <c r="G452" s="43" t="n">
        <v>0.6</v>
      </c>
      <c r="H452" s="44" t="n">
        <v>0.028</v>
      </c>
      <c r="I452" s="44" t="n">
        <v>0.011</v>
      </c>
      <c r="J452" s="44" t="n">
        <v>0.004</v>
      </c>
      <c r="K452" s="44" t="n">
        <v>0.008999999999999999</v>
      </c>
      <c r="L452" s="44" t="n">
        <v>2.601</v>
      </c>
    </row>
    <row r="453" hidden="1" ht="14" customHeight="1" s="215">
      <c r="A453" s="28" t="n"/>
      <c r="B453" s="41" t="inlineStr">
        <is>
          <t>PSX</t>
        </is>
      </c>
      <c r="C453" s="41" t="inlineStr">
        <is>
          <t>Phillips 66</t>
        </is>
      </c>
      <c r="D453" s="42" t="inlineStr">
        <is>
          <t>Oil &amp; Gas Refining &amp; Marketing</t>
        </is>
      </c>
      <c r="E453" s="43" t="n">
        <v>0.5</v>
      </c>
      <c r="F453" s="43" t="n">
        <v>1.2</v>
      </c>
      <c r="G453" s="43" t="n">
        <v>0.9</v>
      </c>
      <c r="H453" s="44" t="n">
        <v>0.11</v>
      </c>
      <c r="I453" s="44" t="n">
        <v>0.031</v>
      </c>
      <c r="J453" s="44" t="n">
        <v>0.029</v>
      </c>
      <c r="K453" s="44" t="n">
        <v>0.008999999999999999</v>
      </c>
      <c r="L453" s="44" t="n">
        <v>0.327</v>
      </c>
    </row>
    <row r="454" hidden="1" ht="14" customHeight="1" s="215">
      <c r="A454" s="28" t="n"/>
      <c r="B454" s="41" t="inlineStr">
        <is>
          <t>WEC</t>
        </is>
      </c>
      <c r="C454" s="41" t="inlineStr">
        <is>
          <t>WEC Energy Gr</t>
        </is>
      </c>
      <c r="D454" s="42" t="inlineStr">
        <is>
          <t>Utilities - Regulated Electric</t>
        </is>
      </c>
      <c r="E454" s="43" t="n">
        <v>1.3</v>
      </c>
      <c r="F454" s="43" t="n">
        <v>0.7</v>
      </c>
      <c r="G454" s="43" t="n">
        <v>0.5</v>
      </c>
      <c r="H454" s="44" t="n">
        <v>0.354</v>
      </c>
      <c r="I454" s="44" t="n">
        <v>0.203</v>
      </c>
      <c r="J454" s="44" t="n">
        <v>0.151</v>
      </c>
      <c r="K454" s="44" t="n">
        <v>0.008999999999999999</v>
      </c>
      <c r="L454" s="44" t="n">
        <v>0.061</v>
      </c>
    </row>
    <row r="455" hidden="1" ht="14" customHeight="1" s="215">
      <c r="A455" s="28" t="n"/>
      <c r="B455" s="41" t="inlineStr">
        <is>
          <t>LYV</t>
        </is>
      </c>
      <c r="C455" s="41" t="inlineStr">
        <is>
          <t>Live Nation Entertainment</t>
        </is>
      </c>
      <c r="D455" s="42" t="inlineStr">
        <is>
          <t>Entertainment</t>
        </is>
      </c>
      <c r="E455" s="43" t="n">
        <v>4.2</v>
      </c>
      <c r="F455" s="43" t="n">
        <v>1</v>
      </c>
      <c r="G455" s="43" t="n">
        <v>1</v>
      </c>
      <c r="H455" s="44" t="n">
        <v>0.266</v>
      </c>
      <c r="I455" s="44" t="n">
        <v>0.028</v>
      </c>
      <c r="J455" s="44" t="n">
        <v>0.008999999999999999</v>
      </c>
      <c r="K455" s="44" t="n">
        <v>0.008</v>
      </c>
      <c r="L455" s="44" t="n">
        <v>0.88</v>
      </c>
    </row>
    <row r="456" hidden="1" ht="14" customHeight="1" s="215">
      <c r="A456" s="28" t="n"/>
      <c r="B456" s="41" t="inlineStr">
        <is>
          <t>GLW</t>
        </is>
      </c>
      <c r="C456" s="41" t="inlineStr">
        <is>
          <t>Corning</t>
        </is>
      </c>
      <c r="D456" s="42" t="inlineStr">
        <is>
          <t>Electronic Components</t>
        </is>
      </c>
      <c r="E456" s="43" t="n">
        <v>0.6</v>
      </c>
      <c r="F456" s="43" t="n">
        <v>2.1</v>
      </c>
      <c r="G456" s="43" t="n">
        <v>1.5</v>
      </c>
      <c r="H456" s="44" t="n">
        <v>0.35</v>
      </c>
      <c r="I456" s="44" t="n">
        <v>0.113</v>
      </c>
      <c r="J456" s="44" t="n">
        <v>0.082</v>
      </c>
      <c r="K456" s="44" t="n">
        <v>0.006</v>
      </c>
      <c r="L456" s="44" t="n">
        <v>0.073</v>
      </c>
    </row>
    <row r="457" hidden="1" ht="14" customHeight="1" s="215">
      <c r="A457" s="28" t="n"/>
      <c r="B457" s="41" t="inlineStr">
        <is>
          <t>AES</t>
        </is>
      </c>
      <c r="C457" s="41" t="inlineStr">
        <is>
          <t>AES</t>
        </is>
      </c>
      <c r="D457" s="42" t="inlineStr">
        <is>
          <t>Utilities - Diversified</t>
        </is>
      </c>
      <c r="E457" s="43" t="n">
        <v>6.7</v>
      </c>
      <c r="F457" s="43" t="n">
        <v>1</v>
      </c>
      <c r="G457" s="43" t="n">
        <v>0.9</v>
      </c>
      <c r="H457" s="44" t="n">
        <v>0.231</v>
      </c>
      <c r="I457" s="44" t="n">
        <v>0.211</v>
      </c>
      <c r="J457" s="44" t="n">
        <v>0.029</v>
      </c>
      <c r="K457" s="44" t="n">
        <v>0.005</v>
      </c>
      <c r="L457" s="44" t="n">
        <v>0.178</v>
      </c>
    </row>
    <row r="458" hidden="1" ht="14" customHeight="1" s="215">
      <c r="A458" s="28" t="n"/>
      <c r="B458" s="41" t="inlineStr">
        <is>
          <t>DIS</t>
        </is>
      </c>
      <c r="C458" s="41" t="inlineStr">
        <is>
          <t>Walt Disney</t>
        </is>
      </c>
      <c r="D458" s="42" t="inlineStr">
        <is>
          <t>Entertainment</t>
        </is>
      </c>
      <c r="E458" s="43" t="n">
        <v>0.5</v>
      </c>
      <c r="F458" s="43" t="n">
        <v>0.8</v>
      </c>
      <c r="G458" s="43" t="n">
        <v>0.7</v>
      </c>
      <c r="H458" s="44" t="n">
        <v>0.387</v>
      </c>
      <c r="I458" s="44" t="n">
        <v>0.149</v>
      </c>
      <c r="J458" s="44" t="n">
        <v>0.136</v>
      </c>
      <c r="K458" s="44" t="n">
        <v>0.005</v>
      </c>
      <c r="L458" s="44" t="n">
        <v>0.037</v>
      </c>
    </row>
    <row r="459" hidden="1" ht="14" customHeight="1" s="215">
      <c r="A459" s="28" t="n"/>
      <c r="B459" s="41" t="inlineStr">
        <is>
          <t>CTVA</t>
        </is>
      </c>
      <c r="C459" s="41" t="inlineStr">
        <is>
          <t>Corteva</t>
        </is>
      </c>
      <c r="D459" s="42" t="inlineStr">
        <is>
          <t>Agricultural Inputs</t>
        </is>
      </c>
      <c r="E459" s="43" t="n">
        <v>0</v>
      </c>
      <c r="F459" s="43" t="n">
        <v>1.6</v>
      </c>
      <c r="G459" s="43" t="n">
        <v>1</v>
      </c>
      <c r="H459" s="44" t="n">
        <v>0.367</v>
      </c>
      <c r="I459" s="44" t="n">
        <v>0.065</v>
      </c>
      <c r="J459" s="44" t="n">
        <v>-0.063</v>
      </c>
      <c r="K459" s="44" t="n">
        <v>0</v>
      </c>
      <c r="L459" s="43" t="inlineStr">
        <is>
          <t xml:space="preserve">- </t>
        </is>
      </c>
    </row>
    <row r="460" hidden="1" ht="14" customHeight="1" s="215">
      <c r="A460" s="28" t="n"/>
      <c r="B460" s="41" t="inlineStr">
        <is>
          <t>AAL</t>
        </is>
      </c>
      <c r="C460" s="41" t="inlineStr">
        <is>
          <t>American Airlines Group</t>
        </is>
      </c>
      <c r="D460" s="42" t="inlineStr">
        <is>
          <t>Airlines</t>
        </is>
      </c>
      <c r="E460" s="43" t="inlineStr">
        <is>
          <t xml:space="preserve">- </t>
        </is>
      </c>
      <c r="F460" s="43" t="n">
        <v>0.5</v>
      </c>
      <c r="G460" s="43" t="n">
        <v>0.4</v>
      </c>
      <c r="H460" s="44" t="n">
        <v>0.236</v>
      </c>
      <c r="I460" s="44" t="n">
        <v>0.081</v>
      </c>
      <c r="J460" s="44" t="n">
        <v>0.037</v>
      </c>
      <c r="K460" s="44" t="n">
        <v>-0.01</v>
      </c>
      <c r="L460" s="44" t="n">
        <v>-0.279</v>
      </c>
    </row>
    <row r="461" hidden="1" ht="14" customHeight="1" s="215">
      <c r="A461" s="28" t="n"/>
      <c r="B461" s="41" t="inlineStr">
        <is>
          <t>HWM</t>
        </is>
      </c>
      <c r="C461" s="41" t="inlineStr">
        <is>
          <t>Howmet Aerospace</t>
        </is>
      </c>
      <c r="D461" s="42" t="inlineStr">
        <is>
          <t>Specialty Industrial Machinery</t>
        </is>
      </c>
      <c r="E461" s="43" t="n">
        <v>1.4</v>
      </c>
      <c r="F461" s="43" t="n">
        <v>1.4</v>
      </c>
      <c r="G461" s="43" t="n">
        <v>0.8</v>
      </c>
      <c r="H461" s="44" t="n">
        <v>0.209</v>
      </c>
      <c r="I461" s="44" t="n">
        <v>0.117</v>
      </c>
      <c r="J461" s="44" t="n">
        <v>0.033</v>
      </c>
      <c r="K461" s="44" t="n">
        <v>-0.011</v>
      </c>
      <c r="L461" s="44" t="n">
        <v>-0.349</v>
      </c>
    </row>
    <row r="462" hidden="1" ht="14" customHeight="1" s="215">
      <c r="A462" s="28" t="n"/>
      <c r="B462" s="41" t="inlineStr">
        <is>
          <t>TMUS</t>
        </is>
      </c>
      <c r="C462" s="41" t="inlineStr">
        <is>
          <t>T-Mobile US</t>
        </is>
      </c>
      <c r="D462" s="42" t="inlineStr">
        <is>
          <t>Telecom Services</t>
        </is>
      </c>
      <c r="E462" s="43" t="n">
        <v>0.9</v>
      </c>
      <c r="F462" s="43" t="n">
        <v>0.7</v>
      </c>
      <c r="G462" s="43" t="n">
        <v>0.7</v>
      </c>
      <c r="H462" s="44" t="n">
        <v>0.588</v>
      </c>
      <c r="I462" s="44" t="n">
        <v>0.127</v>
      </c>
      <c r="J462" s="44" t="n">
        <v>0.077</v>
      </c>
      <c r="K462" s="44" t="n">
        <v>-0.011</v>
      </c>
      <c r="L462" s="44" t="n">
        <v>-0.146</v>
      </c>
    </row>
    <row r="463" hidden="1" ht="14" customHeight="1" s="215">
      <c r="A463" s="28" t="n"/>
      <c r="B463" s="41" t="inlineStr">
        <is>
          <t>FDX</t>
        </is>
      </c>
      <c r="C463" s="41" t="inlineStr">
        <is>
          <t>FedEx</t>
        </is>
      </c>
      <c r="D463" s="42" t="inlineStr">
        <is>
          <t>Integrated Freight &amp; Logistics</t>
        </is>
      </c>
      <c r="E463" s="43" t="n">
        <v>1.8</v>
      </c>
      <c r="F463" s="43" t="n">
        <v>1.2</v>
      </c>
      <c r="G463" s="43" t="n">
        <v>1.1</v>
      </c>
      <c r="H463" s="44" t="n">
        <v>0.202</v>
      </c>
      <c r="I463" s="44" t="n">
        <v>0.052</v>
      </c>
      <c r="J463" s="44" t="n">
        <v>-0.005</v>
      </c>
      <c r="K463" s="44" t="n">
        <v>-0.012</v>
      </c>
      <c r="L463" s="43" t="inlineStr">
        <is>
          <t xml:space="preserve">- </t>
        </is>
      </c>
    </row>
    <row r="464" hidden="1" ht="14" customHeight="1" s="215">
      <c r="A464" s="28" t="n"/>
      <c r="B464" s="41" t="inlineStr">
        <is>
          <t>APA</t>
        </is>
      </c>
      <c r="C464" s="41" t="inlineStr">
        <is>
          <t>Apache</t>
        </is>
      </c>
      <c r="D464" s="42" t="inlineStr">
        <is>
          <t>Oil &amp; Gas E&amp;P</t>
        </is>
      </c>
      <c r="E464" s="43" t="n">
        <v>2.7</v>
      </c>
      <c r="F464" s="43" t="n">
        <v>1.1</v>
      </c>
      <c r="G464" s="43" t="n">
        <v>0.8</v>
      </c>
      <c r="H464" s="44" t="n">
        <v>0.298</v>
      </c>
      <c r="I464" s="44" t="n">
        <v>0.064</v>
      </c>
      <c r="J464" s="44" t="n">
        <v>-0.5629999999999999</v>
      </c>
      <c r="K464" s="44" t="n">
        <v>-0.013</v>
      </c>
      <c r="L464" s="43" t="inlineStr">
        <is>
          <t xml:space="preserve">- </t>
        </is>
      </c>
    </row>
    <row r="465" hidden="1" ht="14" customHeight="1" s="215">
      <c r="A465" s="28" t="n"/>
      <c r="B465" s="41" t="inlineStr">
        <is>
          <t>FE</t>
        </is>
      </c>
      <c r="C465" s="41" t="inlineStr">
        <is>
          <t>FirstEnergy</t>
        </is>
      </c>
      <c r="D465" s="42" t="inlineStr">
        <is>
          <t>Utilities - Diversified</t>
        </is>
      </c>
      <c r="E465" s="43" t="n">
        <v>3</v>
      </c>
      <c r="F465" s="43" t="n">
        <v>0.5</v>
      </c>
      <c r="G465" s="43" t="n">
        <v>0.4</v>
      </c>
      <c r="H465" s="44" t="n">
        <v>0.6899999999999999</v>
      </c>
      <c r="I465" s="44" t="n">
        <v>0.166</v>
      </c>
      <c r="J465" s="44" t="n">
        <v>0.082</v>
      </c>
      <c r="K465" s="44" t="n">
        <v>-0.015</v>
      </c>
      <c r="L465" s="44" t="n">
        <v>-0.184</v>
      </c>
    </row>
    <row r="466" hidden="1" ht="14" customHeight="1" s="215">
      <c r="A466" s="28" t="n"/>
      <c r="B466" s="41" t="inlineStr">
        <is>
          <t>EQIX</t>
        </is>
      </c>
      <c r="C466" s="41" t="inlineStr">
        <is>
          <t>Equinix</t>
        </is>
      </c>
      <c r="D466" s="42" t="inlineStr">
        <is>
          <t>REIT - Specialty</t>
        </is>
      </c>
      <c r="E466" s="43" t="n">
        <v>1.5</v>
      </c>
      <c r="F466" s="43" t="n">
        <v>1.3</v>
      </c>
      <c r="G466" s="43" t="n">
        <v>1.3</v>
      </c>
      <c r="H466" s="44" t="n">
        <v>0.495</v>
      </c>
      <c r="I466" s="44" t="n">
        <v>0.21</v>
      </c>
      <c r="J466" s="44" t="n">
        <v>0.091</v>
      </c>
      <c r="K466" s="44" t="n">
        <v>-0.016</v>
      </c>
      <c r="L466" s="44" t="n">
        <v>-0.178</v>
      </c>
    </row>
    <row r="467" hidden="1" ht="14" customHeight="1" s="215">
      <c r="A467" s="28" t="n"/>
      <c r="B467" s="41" t="inlineStr">
        <is>
          <t>EXC</t>
        </is>
      </c>
      <c r="C467" s="41" t="inlineStr">
        <is>
          <t>Exelon</t>
        </is>
      </c>
      <c r="D467" s="42" t="inlineStr">
        <is>
          <t>Utilities - Diversified</t>
        </is>
      </c>
      <c r="E467" s="43" t="n">
        <v>1.2</v>
      </c>
      <c r="F467" s="43" t="n">
        <v>0.9</v>
      </c>
      <c r="G467" s="43" t="n">
        <v>0.7</v>
      </c>
      <c r="H467" s="44" t="n">
        <v>0.3</v>
      </c>
      <c r="I467" s="44" t="n">
        <v>0.126</v>
      </c>
      <c r="J467" s="44" t="n">
        <v>0.08500000000000001</v>
      </c>
      <c r="K467" s="44" t="n">
        <v>-0.016</v>
      </c>
      <c r="L467" s="44" t="n">
        <v>-0.191</v>
      </c>
    </row>
    <row r="468" hidden="1" ht="14" customHeight="1" s="215">
      <c r="A468" s="28" t="n"/>
      <c r="B468" s="41" t="inlineStr">
        <is>
          <t>AIG</t>
        </is>
      </c>
      <c r="C468" s="41" t="inlineStr">
        <is>
          <t>American Intl Gr</t>
        </is>
      </c>
      <c r="D468" s="42" t="inlineStr">
        <is>
          <t>Insurance - Diversified</t>
        </is>
      </c>
      <c r="E468" s="43" t="n">
        <v>0.5</v>
      </c>
      <c r="F468" s="43" t="inlineStr">
        <is>
          <t xml:space="preserve">- </t>
        </is>
      </c>
      <c r="G468" s="43" t="inlineStr">
        <is>
          <t xml:space="preserve">- </t>
        </is>
      </c>
      <c r="H468" s="44" t="n">
        <v>0</v>
      </c>
      <c r="I468" s="44" t="n">
        <v>0</v>
      </c>
      <c r="J468" s="44" t="n">
        <v>0.067</v>
      </c>
      <c r="K468" s="44" t="n">
        <v>-0.018</v>
      </c>
      <c r="L468" s="44" t="n">
        <v>-0.267</v>
      </c>
    </row>
    <row r="469" hidden="1" ht="14" customHeight="1" s="215">
      <c r="A469" s="28" t="n"/>
      <c r="B469" s="41" t="inlineStr">
        <is>
          <t>MOS</t>
        </is>
      </c>
      <c r="C469" s="41" t="inlineStr">
        <is>
          <t>Mosaic</t>
        </is>
      </c>
      <c r="D469" s="42" t="inlineStr">
        <is>
          <t>Agricultural Inputs</t>
        </is>
      </c>
      <c r="E469" s="43" t="n">
        <v>0.5</v>
      </c>
      <c r="F469" s="43" t="n">
        <v>1.4</v>
      </c>
      <c r="G469" s="43" t="n">
        <v>0.6</v>
      </c>
      <c r="H469" s="44" t="n">
        <v>0.1</v>
      </c>
      <c r="I469" s="44" t="n">
        <v>0.041</v>
      </c>
      <c r="J469" s="44" t="n">
        <v>-0.122</v>
      </c>
      <c r="K469" s="44" t="n">
        <v>-0.018</v>
      </c>
      <c r="L469" s="43" t="inlineStr">
        <is>
          <t xml:space="preserve">- </t>
        </is>
      </c>
    </row>
    <row r="470" hidden="1" ht="14" customHeight="1" s="215">
      <c r="A470" s="28" t="n"/>
      <c r="B470" s="41" t="inlineStr">
        <is>
          <t>KMX</t>
        </is>
      </c>
      <c r="C470" s="41" t="inlineStr">
        <is>
          <t>CarMax</t>
        </is>
      </c>
      <c r="D470" s="42" t="inlineStr">
        <is>
          <t>Auto &amp; Truck Dealerships</t>
        </is>
      </c>
      <c r="E470" s="43" t="n">
        <v>4.2</v>
      </c>
      <c r="F470" s="43" t="n">
        <v>2.4</v>
      </c>
      <c r="G470" s="43" t="n">
        <v>0.5</v>
      </c>
      <c r="H470" s="44" t="n">
        <v>0.135</v>
      </c>
      <c r="I470" s="44" t="n">
        <v>0.039</v>
      </c>
      <c r="J470" s="44" t="n">
        <v>0.044</v>
      </c>
      <c r="K470" s="44" t="n">
        <v>-0.019</v>
      </c>
      <c r="L470" s="44" t="n">
        <v>-0.441</v>
      </c>
    </row>
    <row r="471" hidden="1" ht="14" customHeight="1" s="215">
      <c r="A471" s="28" t="n"/>
      <c r="B471" s="41" t="inlineStr">
        <is>
          <t>AIV</t>
        </is>
      </c>
      <c r="C471" s="41" t="inlineStr">
        <is>
          <t>Apartment Inv &amp; Mgmt</t>
        </is>
      </c>
      <c r="D471" s="42" t="inlineStr">
        <is>
          <t>REIT - Residential</t>
        </is>
      </c>
      <c r="E471" s="43" t="n">
        <v>2.5</v>
      </c>
      <c r="F471" s="43" t="n">
        <v>0.7</v>
      </c>
      <c r="G471" s="43" t="n">
        <v>0.7</v>
      </c>
      <c r="H471" s="44" t="n">
        <v>0.66</v>
      </c>
      <c r="I471" s="44" t="n">
        <v>0.171</v>
      </c>
      <c r="J471" s="44" t="n">
        <v>0.511</v>
      </c>
      <c r="K471" s="44" t="n">
        <v>-0.021</v>
      </c>
      <c r="L471" s="44" t="n">
        <v>-0.041</v>
      </c>
    </row>
    <row r="472" hidden="1" ht="14" customHeight="1" s="215">
      <c r="A472" s="28" t="n"/>
      <c r="B472" s="41" t="inlineStr">
        <is>
          <t>EFX</t>
        </is>
      </c>
      <c r="C472" s="41" t="inlineStr">
        <is>
          <t>Equifax</t>
        </is>
      </c>
      <c r="D472" s="42" t="inlineStr">
        <is>
          <t>Consulting Services</t>
        </is>
      </c>
      <c r="E472" s="43" t="n">
        <v>1.3</v>
      </c>
      <c r="F472" s="43" t="n">
        <v>0.9</v>
      </c>
      <c r="G472" s="43" t="n">
        <v>0.9</v>
      </c>
      <c r="H472" s="44" t="n">
        <v>0.5659999999999999</v>
      </c>
      <c r="I472" s="44" t="n">
        <v>-0.089</v>
      </c>
      <c r="J472" s="44" t="n">
        <v>-0.108</v>
      </c>
      <c r="K472" s="44" t="n">
        <v>-0.024</v>
      </c>
      <c r="L472" s="43" t="inlineStr">
        <is>
          <t xml:space="preserve">- </t>
        </is>
      </c>
    </row>
    <row r="473" hidden="1" ht="14" customHeight="1" s="215">
      <c r="A473" s="28" t="n"/>
      <c r="B473" s="41" t="inlineStr">
        <is>
          <t>WYNN</t>
        </is>
      </c>
      <c r="C473" s="41" t="inlineStr">
        <is>
          <t>Wynn Resorts</t>
        </is>
      </c>
      <c r="D473" s="42" t="inlineStr">
        <is>
          <t>Resorts &amp; Casinos</t>
        </is>
      </c>
      <c r="E473" s="43" t="n">
        <v>6.1</v>
      </c>
      <c r="F473" s="43" t="n">
        <v>1.4</v>
      </c>
      <c r="G473" s="43" t="n">
        <v>1.3</v>
      </c>
      <c r="H473" s="44" t="n">
        <v>0.385</v>
      </c>
      <c r="I473" s="44" t="n">
        <v>0.136</v>
      </c>
      <c r="J473" s="44" t="n">
        <v>0.018</v>
      </c>
      <c r="K473" s="44" t="n">
        <v>-0.025</v>
      </c>
      <c r="L473" s="44" t="n">
        <v>-1.403</v>
      </c>
    </row>
    <row r="474" hidden="1" ht="14" customHeight="1" s="215">
      <c r="A474" s="28" t="n"/>
      <c r="B474" s="41" t="inlineStr">
        <is>
          <t>ED</t>
        </is>
      </c>
      <c r="C474" s="41" t="inlineStr">
        <is>
          <t>Consolidated Edison</t>
        </is>
      </c>
      <c r="D474" s="42" t="inlineStr">
        <is>
          <t>Utilities - Regulated Electric</t>
        </is>
      </c>
      <c r="E474" s="43" t="n">
        <v>1.3</v>
      </c>
      <c r="F474" s="43" t="n">
        <v>0.7</v>
      </c>
      <c r="G474" s="43" t="n">
        <v>0.6</v>
      </c>
      <c r="H474" s="44" t="n">
        <v>0.532</v>
      </c>
      <c r="I474" s="44" t="n">
        <v>0.21</v>
      </c>
      <c r="J474" s="44" t="n">
        <v>0.104</v>
      </c>
      <c r="K474" s="44" t="n">
        <v>-0.026</v>
      </c>
      <c r="L474" s="44" t="n">
        <v>-0.251</v>
      </c>
    </row>
    <row r="475" hidden="1" ht="14" customHeight="1" s="215">
      <c r="A475" s="28" t="n"/>
      <c r="B475" s="41" t="inlineStr">
        <is>
          <t>DTE</t>
        </is>
      </c>
      <c r="C475" s="41" t="inlineStr">
        <is>
          <t>DTE Energy</t>
        </is>
      </c>
      <c r="D475" s="42" t="inlineStr">
        <is>
          <t>Utilities - Regulated Electric</t>
        </is>
      </c>
      <c r="E475" s="43" t="n">
        <v>1.5</v>
      </c>
      <c r="F475" s="43" t="n">
        <v>0.8</v>
      </c>
      <c r="G475" s="43" t="n">
        <v>0.6</v>
      </c>
      <c r="H475" s="44" t="n">
        <v>0.268</v>
      </c>
      <c r="I475" s="44" t="n">
        <v>0.136</v>
      </c>
      <c r="J475" s="44" t="n">
        <v>0.092</v>
      </c>
      <c r="K475" s="44" t="n">
        <v>-0.028</v>
      </c>
      <c r="L475" s="44" t="n">
        <v>-0.305</v>
      </c>
    </row>
    <row r="476" hidden="1" ht="14" customHeight="1" s="215">
      <c r="A476" s="28" t="n"/>
      <c r="B476" s="41" t="inlineStr">
        <is>
          <t>J</t>
        </is>
      </c>
      <c r="C476" s="41" t="inlineStr">
        <is>
          <t>Jacobs Engineering Group</t>
        </is>
      </c>
      <c r="D476" s="42" t="inlineStr">
        <is>
          <t>Engineering &amp; Construction</t>
        </is>
      </c>
      <c r="E476" s="43" t="n">
        <v>0.3</v>
      </c>
      <c r="F476" s="43" t="n">
        <v>1.6</v>
      </c>
      <c r="G476" s="43" t="n">
        <v>1.5</v>
      </c>
      <c r="H476" s="44" t="n">
        <v>0.196</v>
      </c>
      <c r="I476" s="44" t="n">
        <v>0.034</v>
      </c>
      <c r="J476" s="44" t="n">
        <v>0.076</v>
      </c>
      <c r="K476" s="44" t="n">
        <v>-0.033</v>
      </c>
      <c r="L476" s="44" t="n">
        <v>-0.431</v>
      </c>
    </row>
    <row r="477" hidden="1" ht="14" customHeight="1" s="215">
      <c r="A477" s="28" t="n"/>
      <c r="B477" s="41" t="inlineStr">
        <is>
          <t>ALB</t>
        </is>
      </c>
      <c r="C477" s="41" t="inlineStr">
        <is>
          <t>Albemarle</t>
        </is>
      </c>
      <c r="D477" s="42" t="inlineStr">
        <is>
          <t>Specialty Chemicals</t>
        </is>
      </c>
      <c r="E477" s="43" t="n">
        <v>0.8</v>
      </c>
      <c r="F477" s="43" t="n">
        <v>1.6</v>
      </c>
      <c r="G477" s="43" t="n">
        <v>1</v>
      </c>
      <c r="H477" s="44" t="n">
        <v>0.351</v>
      </c>
      <c r="I477" s="44" t="n">
        <v>0.186</v>
      </c>
      <c r="J477" s="44" t="n">
        <v>0.148</v>
      </c>
      <c r="K477" s="44" t="n">
        <v>-0.035</v>
      </c>
      <c r="L477" s="44" t="n">
        <v>-0.238</v>
      </c>
    </row>
    <row r="478" hidden="1" ht="14" customHeight="1" s="215">
      <c r="A478" s="28" t="n"/>
      <c r="B478" s="41" t="inlineStr">
        <is>
          <t>DD</t>
        </is>
      </c>
      <c r="C478" s="41" t="inlineStr">
        <is>
          <t>DuPont de Nemours</t>
        </is>
      </c>
      <c r="D478" s="42" t="inlineStr">
        <is>
          <t>Chemicals</t>
        </is>
      </c>
      <c r="E478" s="43" t="n">
        <v>0.4</v>
      </c>
      <c r="F478" s="43" t="n">
        <v>1.2</v>
      </c>
      <c r="G478" s="43" t="n">
        <v>0.7</v>
      </c>
      <c r="H478" s="44" t="n">
        <v>0.297</v>
      </c>
      <c r="I478" s="44" t="n">
        <v>0.121</v>
      </c>
      <c r="J478" s="44" t="n">
        <v>0.014</v>
      </c>
      <c r="K478" s="44" t="n">
        <v>-0.035</v>
      </c>
      <c r="L478" s="44" t="n">
        <v>-2.569</v>
      </c>
    </row>
    <row r="479" hidden="1" ht="14" customHeight="1" s="215">
      <c r="A479" s="28" t="n"/>
      <c r="B479" s="41" t="inlineStr">
        <is>
          <t>NI</t>
        </is>
      </c>
      <c r="C479" s="41" t="inlineStr">
        <is>
          <t>NiSource</t>
        </is>
      </c>
      <c r="D479" s="42" t="inlineStr">
        <is>
          <t>Utilities - Regulated Gas</t>
        </is>
      </c>
      <c r="E479" s="43" t="n">
        <v>1.6</v>
      </c>
      <c r="F479" s="43" t="n">
        <v>0.5</v>
      </c>
      <c r="G479" s="43" t="n">
        <v>0.4</v>
      </c>
      <c r="H479" s="44" t="n">
        <v>0.447</v>
      </c>
      <c r="I479" s="44" t="n">
        <v>0.251</v>
      </c>
      <c r="J479" s="44" t="n">
        <v>0.073</v>
      </c>
      <c r="K479" s="44" t="n">
        <v>-0.043</v>
      </c>
      <c r="L479" s="44" t="n">
        <v>-0.592</v>
      </c>
    </row>
    <row r="480" hidden="1" ht="14" customHeight="1" s="215">
      <c r="A480" s="28" t="n"/>
      <c r="B480" s="41" t="inlineStr">
        <is>
          <t>AEE</t>
        </is>
      </c>
      <c r="C480" s="41" t="inlineStr">
        <is>
          <t>Ameren</t>
        </is>
      </c>
      <c r="D480" s="42" t="inlineStr">
        <is>
          <t>Utilities - Regulated Electric</t>
        </is>
      </c>
      <c r="E480" s="43" t="n">
        <v>1.2</v>
      </c>
      <c r="F480" s="43" t="n">
        <v>0.6</v>
      </c>
      <c r="G480" s="43" t="n">
        <v>0.4</v>
      </c>
      <c r="H480" s="44" t="n">
        <v>0.465</v>
      </c>
      <c r="I480" s="44" t="n">
        <v>0.215</v>
      </c>
      <c r="J480" s="44" t="n">
        <v>0.14</v>
      </c>
      <c r="K480" s="44" t="n">
        <v>-0.045</v>
      </c>
      <c r="L480" s="44" t="n">
        <v>-0.322</v>
      </c>
    </row>
    <row r="481" hidden="1" ht="14" customHeight="1" s="215">
      <c r="A481" s="28" t="n"/>
      <c r="B481" s="41" t="inlineStr">
        <is>
          <t>BEN</t>
        </is>
      </c>
      <c r="C481" s="41" t="inlineStr">
        <is>
          <t>Franklin Resources</t>
        </is>
      </c>
      <c r="D481" s="42" t="inlineStr">
        <is>
          <t>Asset Management</t>
        </is>
      </c>
      <c r="E481" s="43" t="n">
        <v>0.1</v>
      </c>
      <c r="F481" s="43" t="n">
        <v>5.3</v>
      </c>
      <c r="G481" s="43" t="n">
        <v>5.3</v>
      </c>
      <c r="H481" s="44" t="n">
        <v>0.405</v>
      </c>
      <c r="I481" s="44" t="n">
        <v>0.266</v>
      </c>
      <c r="J481" s="44" t="n">
        <v>0.22</v>
      </c>
      <c r="K481" s="44" t="n">
        <v>-0.046</v>
      </c>
      <c r="L481" s="44" t="n">
        <v>-0.208</v>
      </c>
    </row>
    <row r="482" hidden="1" ht="14" customHeight="1" s="215">
      <c r="A482" s="28" t="n"/>
      <c r="B482" s="41" t="inlineStr">
        <is>
          <t>SRE</t>
        </is>
      </c>
      <c r="C482" s="41" t="inlineStr">
        <is>
          <t>Sempra Energy</t>
        </is>
      </c>
      <c r="D482" s="42" t="inlineStr">
        <is>
          <t>Utilities - Diversified</t>
        </is>
      </c>
      <c r="E482" s="43" t="n">
        <v>1.3</v>
      </c>
      <c r="F482" s="43" t="n">
        <v>0.4</v>
      </c>
      <c r="G482" s="43" t="n">
        <v>0.3</v>
      </c>
      <c r="H482" s="44" t="n">
        <v>0.434</v>
      </c>
      <c r="I482" s="44" t="n">
        <v>0.243</v>
      </c>
      <c r="J482" s="44" t="n">
        <v>0.203</v>
      </c>
      <c r="K482" s="44" t="n">
        <v>-0.059</v>
      </c>
      <c r="L482" s="44" t="n">
        <v>-0.288</v>
      </c>
    </row>
    <row r="483" hidden="1" ht="14" customHeight="1" s="215">
      <c r="A483" s="28" t="n"/>
      <c r="B483" s="41" t="inlineStr">
        <is>
          <t>BA</t>
        </is>
      </c>
      <c r="C483" s="41" t="inlineStr">
        <is>
          <t>Boeing</t>
        </is>
      </c>
      <c r="D483" s="42" t="inlineStr">
        <is>
          <t>Aerospace &amp; Defense</t>
        </is>
      </c>
      <c r="E483" s="43" t="inlineStr">
        <is>
          <t xml:space="preserve">- </t>
        </is>
      </c>
      <c r="F483" s="43" t="n">
        <v>1.1</v>
      </c>
      <c r="G483" s="43" t="n">
        <v>0.3</v>
      </c>
      <c r="H483" s="44" t="n">
        <v>0.057</v>
      </c>
      <c r="I483" s="44" t="n">
        <v>-0.036</v>
      </c>
      <c r="J483" s="44" t="n">
        <v>-0.01</v>
      </c>
      <c r="K483" s="44" t="n">
        <v>-0.06</v>
      </c>
      <c r="L483" s="43" t="inlineStr">
        <is>
          <t xml:space="preserve">- </t>
        </is>
      </c>
    </row>
    <row r="484" hidden="1" ht="14" customHeight="1" s="215">
      <c r="A484" s="28" t="n"/>
      <c r="B484" s="41" t="inlineStr">
        <is>
          <t>GM</t>
        </is>
      </c>
      <c r="C484" s="41" t="inlineStr">
        <is>
          <t>General Motors</t>
        </is>
      </c>
      <c r="D484" s="42" t="inlineStr">
        <is>
          <t>Auto Manufacturers</t>
        </is>
      </c>
      <c r="E484" s="43" t="n">
        <v>2.5</v>
      </c>
      <c r="F484" s="43" t="n">
        <v>0.9</v>
      </c>
      <c r="G484" s="43" t="n">
        <v>0.8</v>
      </c>
      <c r="H484" s="44" t="n">
        <v>0.102</v>
      </c>
      <c r="I484" s="44" t="n">
        <v>0.04</v>
      </c>
      <c r="J484" s="44" t="n">
        <v>0.049</v>
      </c>
      <c r="K484" s="44" t="n">
        <v>-0.064</v>
      </c>
      <c r="L484" s="44" t="n">
        <v>-1.313</v>
      </c>
    </row>
    <row r="485" hidden="1" ht="14" customHeight="1" s="215">
      <c r="A485" s="28" t="n"/>
      <c r="B485" s="41" t="inlineStr">
        <is>
          <t>BK</t>
        </is>
      </c>
      <c r="C485" s="41" t="inlineStr">
        <is>
          <t>Bank of New York Mellon</t>
        </is>
      </c>
      <c r="D485" s="42" t="inlineStr">
        <is>
          <t>Asset Management</t>
        </is>
      </c>
      <c r="E485" s="43" t="n">
        <v>0.8</v>
      </c>
      <c r="F485" s="43" t="inlineStr">
        <is>
          <t xml:space="preserve">- </t>
        </is>
      </c>
      <c r="G485" s="43" t="inlineStr">
        <is>
          <t xml:space="preserve">- </t>
        </is>
      </c>
      <c r="H485" s="44" t="n">
        <v>0</v>
      </c>
      <c r="I485" s="44" t="n">
        <v>0.344</v>
      </c>
      <c r="J485" s="44" t="n">
        <v>0.277</v>
      </c>
      <c r="K485" s="44" t="n">
        <v>-0.067</v>
      </c>
      <c r="L485" s="44" t="n">
        <v>-0.241</v>
      </c>
    </row>
    <row r="486" hidden="1" ht="14" customHeight="1" s="215">
      <c r="A486" s="28" t="n"/>
      <c r="B486" s="41" t="inlineStr">
        <is>
          <t>CMS</t>
        </is>
      </c>
      <c r="C486" s="41" t="inlineStr">
        <is>
          <t>CMS Energy</t>
        </is>
      </c>
      <c r="D486" s="42" t="inlineStr">
        <is>
          <t>Utilities - Regulated Electric</t>
        </is>
      </c>
      <c r="E486" s="43" t="n">
        <v>2.6</v>
      </c>
      <c r="F486" s="43" t="n">
        <v>0.9</v>
      </c>
      <c r="G486" s="43" t="n">
        <v>0.6</v>
      </c>
      <c r="H486" s="44" t="n">
        <v>0.375</v>
      </c>
      <c r="I486" s="44" t="n">
        <v>0.181</v>
      </c>
      <c r="J486" s="44" t="n">
        <v>0.099</v>
      </c>
      <c r="K486" s="44" t="n">
        <v>-0.067</v>
      </c>
      <c r="L486" s="44" t="n">
        <v>-0.672</v>
      </c>
    </row>
    <row r="487" hidden="1" ht="14" customHeight="1" s="215">
      <c r="A487" s="28" t="n"/>
      <c r="B487" s="41" t="inlineStr">
        <is>
          <t>PNW</t>
        </is>
      </c>
      <c r="C487" s="41" t="inlineStr">
        <is>
          <t>Pinnacle West Capital</t>
        </is>
      </c>
      <c r="D487" s="42" t="inlineStr">
        <is>
          <t>Utilities - Regulated Electric</t>
        </is>
      </c>
      <c r="E487" s="43" t="n">
        <v>1.1</v>
      </c>
      <c r="F487" s="43" t="n">
        <v>0.5</v>
      </c>
      <c r="G487" s="43" t="n">
        <v>0.3</v>
      </c>
      <c r="H487" s="44" t="n">
        <v>0.429</v>
      </c>
      <c r="I487" s="44" t="n">
        <v>0.195</v>
      </c>
      <c r="J487" s="44" t="n">
        <v>0.156</v>
      </c>
      <c r="K487" s="44" t="n">
        <v>-0.067</v>
      </c>
      <c r="L487" s="44" t="n">
        <v>-0.43</v>
      </c>
    </row>
    <row r="488" hidden="1" ht="14" customHeight="1" s="215">
      <c r="A488" s="28" t="n"/>
      <c r="B488" s="41" t="inlineStr">
        <is>
          <t>CNP</t>
        </is>
      </c>
      <c r="C488" s="41" t="inlineStr">
        <is>
          <t>CenterPoint Energy</t>
        </is>
      </c>
      <c r="D488" s="42" t="inlineStr">
        <is>
          <t>Utilities - Regulated Gas</t>
        </is>
      </c>
      <c r="E488" s="43" t="n">
        <v>1.8</v>
      </c>
      <c r="F488" s="43" t="n">
        <v>1</v>
      </c>
      <c r="G488" s="43" t="n">
        <v>0.8</v>
      </c>
      <c r="H488" s="44" t="n">
        <v>0.248</v>
      </c>
      <c r="I488" s="44" t="n">
        <v>0.104</v>
      </c>
      <c r="J488" s="44" t="n">
        <v>0.065</v>
      </c>
      <c r="K488" s="44" t="n">
        <v>-0.07000000000000001</v>
      </c>
      <c r="L488" s="44" t="n">
        <v>-1.093</v>
      </c>
    </row>
    <row r="489" hidden="1" ht="14" customHeight="1" s="215">
      <c r="A489" s="28" t="n"/>
      <c r="B489" s="41" t="inlineStr">
        <is>
          <t>FCX</t>
        </is>
      </c>
      <c r="C489" s="41" t="inlineStr">
        <is>
          <t>Freeport-McMoRan</t>
        </is>
      </c>
      <c r="D489" s="42" t="inlineStr">
        <is>
          <t>Copper</t>
        </is>
      </c>
      <c r="E489" s="43" t="n">
        <v>1.1</v>
      </c>
      <c r="F489" s="43" t="n">
        <v>2.5</v>
      </c>
      <c r="G489" s="43" t="n">
        <v>1.2</v>
      </c>
      <c r="H489" s="44" t="n">
        <v>0.09</v>
      </c>
      <c r="I489" s="44" t="n">
        <v>0.047</v>
      </c>
      <c r="J489" s="44" t="n">
        <v>-0.017</v>
      </c>
      <c r="K489" s="44" t="n">
        <v>-0.082</v>
      </c>
      <c r="L489" s="43" t="inlineStr">
        <is>
          <t xml:space="preserve">- </t>
        </is>
      </c>
    </row>
    <row r="490" hidden="1" ht="14" customHeight="1" s="215">
      <c r="A490" s="28" t="n"/>
      <c r="B490" s="41" t="inlineStr">
        <is>
          <t>SO</t>
        </is>
      </c>
      <c r="C490" s="41" t="inlineStr">
        <is>
          <t>Southern</t>
        </is>
      </c>
      <c r="D490" s="42" t="inlineStr">
        <is>
          <t>Utilities - Regulated Electric</t>
        </is>
      </c>
      <c r="E490" s="43" t="n">
        <v>1.8</v>
      </c>
      <c r="F490" s="43" t="n">
        <v>0.8</v>
      </c>
      <c r="G490" s="43" t="n">
        <v>0.6</v>
      </c>
      <c r="H490" s="44" t="n">
        <v>0.448</v>
      </c>
      <c r="I490" s="44" t="n">
        <v>0.248</v>
      </c>
      <c r="J490" s="44" t="n">
        <v>0.22</v>
      </c>
      <c r="K490" s="44" t="n">
        <v>-0.082</v>
      </c>
      <c r="L490" s="44" t="n">
        <v>-0.372</v>
      </c>
    </row>
    <row r="491" hidden="1" ht="14" customHeight="1" s="215">
      <c r="A491" s="28" t="n"/>
      <c r="B491" s="41" t="inlineStr">
        <is>
          <t>PPL</t>
        </is>
      </c>
      <c r="C491" s="41" t="inlineStr">
        <is>
          <t>PPL</t>
        </is>
      </c>
      <c r="D491" s="42" t="inlineStr">
        <is>
          <t>Utilities - Regulated Electric</t>
        </is>
      </c>
      <c r="E491" s="43" t="n">
        <v>1.8</v>
      </c>
      <c r="F491" s="43" t="n">
        <v>0.6</v>
      </c>
      <c r="G491" s="43" t="n">
        <v>0.5</v>
      </c>
      <c r="H491" s="44" t="n">
        <v>0.5600000000000001</v>
      </c>
      <c r="I491" s="44" t="n">
        <v>0.365</v>
      </c>
      <c r="J491" s="44" t="n">
        <v>0.225</v>
      </c>
      <c r="K491" s="44" t="n">
        <v>-0.08400000000000001</v>
      </c>
      <c r="L491" s="44" t="n">
        <v>-0.374</v>
      </c>
    </row>
    <row r="492" hidden="1" ht="14" customHeight="1" s="215">
      <c r="A492" s="28" t="n"/>
      <c r="B492" s="41" t="inlineStr">
        <is>
          <t>XEL</t>
        </is>
      </c>
      <c r="C492" s="41" t="inlineStr">
        <is>
          <t>Xcel Energy</t>
        </is>
      </c>
      <c r="D492" s="42" t="inlineStr">
        <is>
          <t>Utilities - Regulated Electric</t>
        </is>
      </c>
      <c r="E492" s="43" t="n">
        <v>1.5</v>
      </c>
      <c r="F492" s="43" t="n">
        <v>0.7</v>
      </c>
      <c r="G492" s="43" t="n">
        <v>0.6</v>
      </c>
      <c r="H492" s="44" t="n">
        <v>0.41</v>
      </c>
      <c r="I492" s="44" t="n">
        <v>0.183</v>
      </c>
      <c r="J492" s="44" t="n">
        <v>0.119</v>
      </c>
      <c r="K492" s="44" t="n">
        <v>-0.08400000000000001</v>
      </c>
      <c r="L492" s="44" t="n">
        <v>-0.707</v>
      </c>
    </row>
    <row r="493" hidden="1" ht="14" customHeight="1" s="215">
      <c r="A493" s="28" t="n"/>
      <c r="B493" s="41" t="inlineStr">
        <is>
          <t>CXO</t>
        </is>
      </c>
      <c r="C493" s="41" t="inlineStr">
        <is>
          <t>Concho Resources</t>
        </is>
      </c>
      <c r="D493" s="42" t="inlineStr">
        <is>
          <t>Oil &amp; Gas E&amp;P</t>
        </is>
      </c>
      <c r="E493" s="43" t="n">
        <v>0.2</v>
      </c>
      <c r="F493" s="43" t="n">
        <v>0.9</v>
      </c>
      <c r="G493" s="43" t="n">
        <v>0.9</v>
      </c>
      <c r="H493" s="44" t="n">
        <v>0.34</v>
      </c>
      <c r="I493" s="44" t="n">
        <v>0.199</v>
      </c>
      <c r="J493" s="44" t="n">
        <v>-0.148</v>
      </c>
      <c r="K493" s="44" t="n">
        <v>-0.08599999999999999</v>
      </c>
      <c r="L493" s="43" t="inlineStr">
        <is>
          <t xml:space="preserve">- </t>
        </is>
      </c>
    </row>
    <row r="494" hidden="1" ht="14" customHeight="1" s="215">
      <c r="A494" s="28" t="n"/>
      <c r="B494" s="41" t="inlineStr">
        <is>
          <t>ADM</t>
        </is>
      </c>
      <c r="C494" s="41" t="inlineStr">
        <is>
          <t>Archer-Daniels Midland</t>
        </is>
      </c>
      <c r="D494" s="42" t="inlineStr">
        <is>
          <t>Farm Products</t>
        </is>
      </c>
      <c r="E494" s="43" t="n">
        <v>0.5</v>
      </c>
      <c r="F494" s="43" t="n">
        <v>1.6</v>
      </c>
      <c r="G494" s="43" t="n">
        <v>0.9</v>
      </c>
      <c r="H494" s="44" t="n">
        <v>0.064</v>
      </c>
      <c r="I494" s="44" t="n">
        <v>0.026</v>
      </c>
      <c r="J494" s="44" t="n">
        <v>0.021</v>
      </c>
      <c r="K494" s="44" t="n">
        <v>-0.097</v>
      </c>
      <c r="L494" s="44" t="n">
        <v>-4.516</v>
      </c>
    </row>
    <row r="495" hidden="1" ht="14" customHeight="1" s="215">
      <c r="A495" s="28" t="n"/>
      <c r="B495" s="41" t="inlineStr">
        <is>
          <t>AWK</t>
        </is>
      </c>
      <c r="C495" s="41" t="inlineStr">
        <is>
          <t>American Water Works Co</t>
        </is>
      </c>
      <c r="D495" s="42" t="inlineStr">
        <is>
          <t>Utilities - Regulated Water</t>
        </is>
      </c>
      <c r="E495" s="43" t="n">
        <v>1.6</v>
      </c>
      <c r="F495" s="43" t="n">
        <v>0.6</v>
      </c>
      <c r="G495" s="43" t="n">
        <v>0.6</v>
      </c>
      <c r="H495" s="44" t="n">
        <v>0.573</v>
      </c>
      <c r="I495" s="44" t="n">
        <v>0.334</v>
      </c>
      <c r="J495" s="44" t="n">
        <v>0.172</v>
      </c>
      <c r="K495" s="44" t="n">
        <v>-0.103</v>
      </c>
      <c r="L495" s="44" t="n">
        <v>-0.596</v>
      </c>
    </row>
    <row r="496" hidden="1" ht="14" customHeight="1" s="215">
      <c r="A496" s="28" t="n"/>
      <c r="B496" s="41" t="inlineStr">
        <is>
          <t>ES</t>
        </is>
      </c>
      <c r="C496" s="41" t="inlineStr">
        <is>
          <t>Eversource Energy</t>
        </is>
      </c>
      <c r="D496" s="42" t="inlineStr">
        <is>
          <t>Utilities - Regulated Electric</t>
        </is>
      </c>
      <c r="E496" s="43" t="n">
        <v>1.2</v>
      </c>
      <c r="F496" s="43" t="n">
        <v>0.7</v>
      </c>
      <c r="G496" s="43" t="n">
        <v>0.6</v>
      </c>
      <c r="H496" s="44" t="n">
        <v>0.484</v>
      </c>
      <c r="I496" s="44" t="n">
        <v>0.215</v>
      </c>
      <c r="J496" s="44" t="n">
        <v>0.106</v>
      </c>
      <c r="K496" s="44" t="n">
        <v>-0.106</v>
      </c>
      <c r="L496" s="44" t="n">
        <v>-0.995</v>
      </c>
    </row>
    <row r="497" hidden="1" ht="14" customHeight="1" s="215">
      <c r="A497" s="28" t="n"/>
      <c r="B497" s="41" t="inlineStr">
        <is>
          <t>DUK</t>
        </is>
      </c>
      <c r="C497" s="41" t="inlineStr">
        <is>
          <t>Duke Energy</t>
        </is>
      </c>
      <c r="D497" s="42" t="inlineStr">
        <is>
          <t>Utilities - Regulated Electric</t>
        </is>
      </c>
      <c r="E497" s="43" t="n">
        <v>1.3</v>
      </c>
      <c r="F497" s="43" t="n">
        <v>0.6</v>
      </c>
      <c r="G497" s="43" t="n">
        <v>0.4</v>
      </c>
      <c r="H497" s="44" t="n">
        <v>0.461</v>
      </c>
      <c r="I497" s="44" t="n">
        <v>0.228</v>
      </c>
      <c r="J497" s="44" t="n">
        <v>0.15</v>
      </c>
      <c r="K497" s="44" t="n">
        <v>-0.115</v>
      </c>
      <c r="L497" s="44" t="n">
        <v>-0.77</v>
      </c>
    </row>
    <row r="498" hidden="1" ht="14" customHeight="1" s="215">
      <c r="A498" s="28" t="n"/>
      <c r="B498" s="41" t="inlineStr">
        <is>
          <t>NBL</t>
        </is>
      </c>
      <c r="C498" s="41" t="inlineStr">
        <is>
          <t>Noble Energy</t>
        </is>
      </c>
      <c r="D498" s="42" t="inlineStr">
        <is>
          <t>Oil &amp; Gas E&amp;P</t>
        </is>
      </c>
      <c r="E498" s="43" t="n">
        <v>0.9</v>
      </c>
      <c r="F498" s="43" t="n">
        <v>0.7</v>
      </c>
      <c r="G498" s="43" t="n">
        <v>0.7</v>
      </c>
      <c r="H498" s="44" t="n">
        <v>0.149</v>
      </c>
      <c r="I498" s="44" t="n">
        <v>-0.02</v>
      </c>
      <c r="J498" s="44" t="n">
        <v>-0.342</v>
      </c>
      <c r="K498" s="44" t="n">
        <v>-0.118</v>
      </c>
      <c r="L498" s="43" t="inlineStr">
        <is>
          <t xml:space="preserve">- </t>
        </is>
      </c>
    </row>
    <row r="499" hidden="1" ht="14" customHeight="1" s="215">
      <c r="A499" s="28" t="n"/>
      <c r="B499" s="41" t="inlineStr">
        <is>
          <t>AEP</t>
        </is>
      </c>
      <c r="C499" s="41" t="inlineStr">
        <is>
          <t>American Electric Power</t>
        </is>
      </c>
      <c r="D499" s="42" t="inlineStr">
        <is>
          <t>Utilities - Regulated Electric</t>
        </is>
      </c>
      <c r="E499" s="43" t="n">
        <v>1.6</v>
      </c>
      <c r="F499" s="43" t="n">
        <v>0.4</v>
      </c>
      <c r="G499" s="43" t="n">
        <v>0.3</v>
      </c>
      <c r="H499" s="44" t="n">
        <v>0.418</v>
      </c>
      <c r="I499" s="44" t="n">
        <v>0.176</v>
      </c>
      <c r="J499" s="44" t="n">
        <v>0.123</v>
      </c>
      <c r="K499" s="44" t="n">
        <v>-0.119</v>
      </c>
      <c r="L499" s="44" t="n">
        <v>-0.97</v>
      </c>
    </row>
    <row r="500" hidden="1" ht="14" customHeight="1" s="215">
      <c r="A500" s="28" t="n"/>
      <c r="B500" s="41" t="inlineStr">
        <is>
          <t>NEE</t>
        </is>
      </c>
      <c r="C500" s="41" t="inlineStr">
        <is>
          <t>NextEra Energy</t>
        </is>
      </c>
      <c r="D500" s="42" t="inlineStr">
        <is>
          <t>Utilities - Regulated Electric</t>
        </is>
      </c>
      <c r="E500" s="43" t="n">
        <v>1.2</v>
      </c>
      <c r="F500" s="43" t="n">
        <v>0.5</v>
      </c>
      <c r="G500" s="43" t="n">
        <v>0.4</v>
      </c>
      <c r="H500" s="44" t="n">
        <v>0.583</v>
      </c>
      <c r="I500" s="44" t="n">
        <v>0.264</v>
      </c>
      <c r="J500" s="44" t="n">
        <v>0.197</v>
      </c>
      <c r="K500" s="44" t="n">
        <v>-0.144</v>
      </c>
      <c r="L500" s="44" t="n">
        <v>-0.731</v>
      </c>
    </row>
    <row r="501" hidden="1" ht="14" customHeight="1" s="215">
      <c r="A501" s="28" t="n"/>
      <c r="B501" s="41" t="inlineStr">
        <is>
          <t>LNC</t>
        </is>
      </c>
      <c r="C501" s="41" t="inlineStr">
        <is>
          <t>Lincoln National</t>
        </is>
      </c>
      <c r="D501" s="42" t="inlineStr">
        <is>
          <t>Insurance - Life</t>
        </is>
      </c>
      <c r="E501" s="43" t="n">
        <v>0.3</v>
      </c>
      <c r="F501" s="43" t="inlineStr">
        <is>
          <t xml:space="preserve">- </t>
        </is>
      </c>
      <c r="G501" s="43" t="inlineStr">
        <is>
          <t xml:space="preserve">- </t>
        </is>
      </c>
      <c r="H501" s="44" t="n">
        <v>0</v>
      </c>
      <c r="I501" s="44" t="n">
        <v>0</v>
      </c>
      <c r="J501" s="44" t="n">
        <v>0.051</v>
      </c>
      <c r="K501" s="44" t="n">
        <v>-0.154</v>
      </c>
      <c r="L501" s="44" t="n">
        <v>-3.003</v>
      </c>
    </row>
    <row r="502" hidden="1" ht="14" customHeight="1" s="215">
      <c r="A502" s="28" t="n"/>
      <c r="B502" s="41" t="inlineStr">
        <is>
          <t>NFLX</t>
        </is>
      </c>
      <c r="C502" s="41" t="inlineStr">
        <is>
          <t>Netflix</t>
        </is>
      </c>
      <c r="D502" s="42" t="inlineStr">
        <is>
          <t>Entertainment</t>
        </is>
      </c>
      <c r="E502" s="43" t="n">
        <v>2</v>
      </c>
      <c r="F502" s="43" t="n">
        <v>0.9</v>
      </c>
      <c r="G502" s="43" t="n">
        <v>0.9</v>
      </c>
      <c r="H502" s="44" t="n">
        <v>0.383</v>
      </c>
      <c r="I502" s="44" t="n">
        <v>0.13</v>
      </c>
      <c r="J502" s="44" t="n">
        <v>0.093</v>
      </c>
      <c r="K502" s="44" t="n">
        <v>-0.156</v>
      </c>
      <c r="L502" s="44" t="n">
        <v>-1.685</v>
      </c>
    </row>
    <row r="503" hidden="1" ht="14" customHeight="1" s="215">
      <c r="A503" s="28" t="n"/>
      <c r="B503" s="41" t="inlineStr">
        <is>
          <t>ETR</t>
        </is>
      </c>
      <c r="C503" s="41" t="inlineStr">
        <is>
          <t>Entergy</t>
        </is>
      </c>
      <c r="D503" s="42" t="inlineStr">
        <is>
          <t>Utilities - Diversified</t>
        </is>
      </c>
      <c r="E503" s="43" t="n">
        <v>1.9</v>
      </c>
      <c r="F503" s="43" t="n">
        <v>0.5</v>
      </c>
      <c r="G503" s="43" t="n">
        <v>0.4</v>
      </c>
      <c r="H503" s="44" t="n">
        <v>0.384</v>
      </c>
      <c r="I503" s="44" t="n">
        <v>0.155</v>
      </c>
      <c r="J503" s="44" t="n">
        <v>0.116</v>
      </c>
      <c r="K503" s="44" t="n">
        <v>-0.167</v>
      </c>
      <c r="L503" s="44" t="n">
        <v>-1.438</v>
      </c>
    </row>
    <row r="504" hidden="1" ht="14" customHeight="1" s="215">
      <c r="A504" s="28" t="n"/>
      <c r="B504" s="41" t="inlineStr">
        <is>
          <t>HES</t>
        </is>
      </c>
      <c r="C504" s="41" t="inlineStr">
        <is>
          <t>Hess</t>
        </is>
      </c>
      <c r="D504" s="42" t="inlineStr">
        <is>
          <t>Oil &amp; Gas E&amp;P</t>
        </is>
      </c>
      <c r="E504" s="43" t="n">
        <v>0.9</v>
      </c>
      <c r="F504" s="43" t="n">
        <v>1.3</v>
      </c>
      <c r="G504" s="43" t="n">
        <v>1.1</v>
      </c>
      <c r="H504" s="44" t="n">
        <v>0.187</v>
      </c>
      <c r="I504" s="44" t="n">
        <v>0.09</v>
      </c>
      <c r="J504" s="44" t="n">
        <v>-0.064</v>
      </c>
      <c r="K504" s="44" t="n">
        <v>-0.182</v>
      </c>
      <c r="L504" s="43" t="inlineStr">
        <is>
          <t xml:space="preserve">- </t>
        </is>
      </c>
    </row>
    <row r="505" hidden="1" ht="14" customHeight="1" s="215">
      <c r="A505" s="28" t="n"/>
      <c r="B505" s="41" t="inlineStr">
        <is>
          <t>OKE</t>
        </is>
      </c>
      <c r="C505" s="41" t="inlineStr">
        <is>
          <t>ONEOK</t>
        </is>
      </c>
      <c r="D505" s="42" t="inlineStr">
        <is>
          <t>Oil &amp; Gas Midstream</t>
        </is>
      </c>
      <c r="E505" s="43" t="n">
        <v>2.1</v>
      </c>
      <c r="F505" s="43" t="n">
        <v>0.7</v>
      </c>
      <c r="G505" s="43" t="n">
        <v>0.4</v>
      </c>
      <c r="H505" s="44" t="n">
        <v>0.286</v>
      </c>
      <c r="I505" s="44" t="n">
        <v>0.189</v>
      </c>
      <c r="J505" s="44" t="n">
        <v>0.126</v>
      </c>
      <c r="K505" s="44" t="n">
        <v>-0.187</v>
      </c>
      <c r="L505" s="44" t="n">
        <v>-1.486</v>
      </c>
    </row>
    <row r="506" hidden="1" ht="14" customHeight="1" s="215">
      <c r="A506" s="28" t="n"/>
      <c r="B506" s="41" t="inlineStr">
        <is>
          <t>C</t>
        </is>
      </c>
      <c r="C506" s="41" t="inlineStr">
        <is>
          <t>Citigroup</t>
        </is>
      </c>
      <c r="D506" s="42" t="inlineStr">
        <is>
          <t>Banks - Diversified</t>
        </is>
      </c>
      <c r="E506" s="43" t="n">
        <v>1.5</v>
      </c>
      <c r="F506" s="43" t="inlineStr">
        <is>
          <t xml:space="preserve">- </t>
        </is>
      </c>
      <c r="G506" s="43" t="inlineStr">
        <is>
          <t xml:space="preserve">- </t>
        </is>
      </c>
      <c r="H506" s="44" t="n">
        <v>0</v>
      </c>
      <c r="I506" s="44" t="n">
        <v>0.435</v>
      </c>
      <c r="J506" s="44" t="n">
        <v>0.261</v>
      </c>
      <c r="K506" s="44" t="n">
        <v>-0.224</v>
      </c>
      <c r="L506" s="44" t="n">
        <v>-0.859</v>
      </c>
    </row>
    <row r="507" hidden="1" ht="14" customHeight="1" s="215">
      <c r="A507" s="28" t="n"/>
      <c r="B507" s="41" t="inlineStr">
        <is>
          <t>FANG</t>
        </is>
      </c>
      <c r="C507" s="41" t="inlineStr">
        <is>
          <t>Diamondback Energy</t>
        </is>
      </c>
      <c r="D507" s="42" t="inlineStr">
        <is>
          <t>Oil &amp; Gas E&amp;P</t>
        </is>
      </c>
      <c r="E507" s="43" t="n">
        <v>0.4</v>
      </c>
      <c r="F507" s="43" t="n">
        <v>0.7</v>
      </c>
      <c r="G507" s="43" t="n">
        <v>0.7</v>
      </c>
      <c r="H507" s="44" t="n">
        <v>0.426</v>
      </c>
      <c r="I507" s="44" t="n">
        <v>0.375</v>
      </c>
      <c r="J507" s="44" t="n">
        <v>0.061</v>
      </c>
      <c r="K507" s="44" t="n">
        <v>-0.242</v>
      </c>
      <c r="L507" s="44" t="n">
        <v>-3.965</v>
      </c>
    </row>
    <row r="508" hidden="1" ht="14" customHeight="1" s="215">
      <c r="A508" s="28" t="n"/>
      <c r="B508" s="41" t="inlineStr">
        <is>
          <t>ATO</t>
        </is>
      </c>
      <c r="C508" s="41" t="inlineStr">
        <is>
          <t>Atmos Energy</t>
        </is>
      </c>
      <c r="D508" s="42" t="inlineStr">
        <is>
          <t>Utilities - Regulated Gas</t>
        </is>
      </c>
      <c r="E508" s="43" t="n">
        <v>0.7</v>
      </c>
      <c r="F508" s="43" t="n">
        <v>1</v>
      </c>
      <c r="G508" s="43" t="n">
        <v>0.8</v>
      </c>
      <c r="H508" s="44" t="n">
        <v>0.722</v>
      </c>
      <c r="I508" s="44" t="n">
        <v>0.263</v>
      </c>
      <c r="J508" s="44" t="n">
        <v>0.183</v>
      </c>
      <c r="K508" s="44" t="n">
        <v>-0.291</v>
      </c>
      <c r="L508" s="44" t="n">
        <v>-1.589</v>
      </c>
    </row>
    <row r="509" hidden="1" ht="14" customHeight="1" s="215">
      <c r="A509" s="28" t="n"/>
      <c r="B509" s="45" t="inlineStr">
        <is>
          <t>EIX</t>
        </is>
      </c>
      <c r="C509" s="45" t="inlineStr">
        <is>
          <t>Edison Intl</t>
        </is>
      </c>
      <c r="D509" s="46" t="inlineStr">
        <is>
          <t>Utilities - Regulated Electric</t>
        </is>
      </c>
      <c r="E509" s="47" t="n">
        <v>1.5</v>
      </c>
      <c r="F509" s="47" t="n">
        <v>0.6</v>
      </c>
      <c r="G509" s="47" t="n">
        <v>0.6</v>
      </c>
      <c r="H509" s="48" t="n">
        <v>0.364</v>
      </c>
      <c r="I509" s="48" t="n">
        <v>0.192</v>
      </c>
      <c r="J509" s="48" t="n">
        <v>0.114</v>
      </c>
      <c r="K509" s="48" t="n">
        <v>-0.421</v>
      </c>
      <c r="L509" s="48" t="n">
        <v>-3.698</v>
      </c>
    </row>
    <row r="510" ht="13" customHeight="1" s="215">
      <c r="B510" s="224" t="n"/>
      <c r="C510" s="224" t="n"/>
      <c r="D510" s="33" t="n"/>
      <c r="E510" s="34" t="n"/>
      <c r="F510" s="34" t="n"/>
      <c r="G510" s="34" t="n"/>
      <c r="H510" s="34" t="n"/>
      <c r="I510" s="34" t="n"/>
      <c r="J510" s="34" t="n"/>
      <c r="K510" s="34" t="n"/>
      <c r="L510" s="34" t="n"/>
    </row>
    <row r="511" ht="13" customHeight="1" s="215">
      <c r="B511" s="224" t="n"/>
      <c r="C511" s="224" t="n"/>
      <c r="D511" s="33" t="n"/>
      <c r="E511" s="34" t="n"/>
      <c r="F511" s="34" t="n"/>
      <c r="G511" s="34" t="n"/>
      <c r="H511" s="34" t="n"/>
      <c r="I511" s="34" t="n"/>
      <c r="J511" s="34" t="n"/>
      <c r="K511" s="34" t="n"/>
      <c r="L511" s="34" t="n"/>
    </row>
    <row r="512" ht="13" customHeight="1" s="215">
      <c r="B512" s="224" t="n"/>
      <c r="C512" s="224" t="n"/>
      <c r="D512" s="33" t="n"/>
      <c r="E512" s="34" t="n"/>
      <c r="F512" s="34" t="n"/>
      <c r="G512" s="34" t="n"/>
      <c r="H512" s="34" t="n"/>
      <c r="I512" s="34" t="n"/>
      <c r="J512" s="34" t="n"/>
      <c r="K512" s="34" t="n"/>
      <c r="L512" s="34" t="n"/>
    </row>
    <row r="513" ht="13" customHeight="1" s="215">
      <c r="B513" s="224" t="n"/>
      <c r="C513" s="224" t="n"/>
      <c r="D513" s="33" t="n"/>
      <c r="E513" s="34" t="n"/>
      <c r="F513" s="34" t="n"/>
      <c r="G513" s="34" t="n"/>
      <c r="H513" s="34" t="n"/>
      <c r="I513" s="34" t="n"/>
      <c r="J513" s="34" t="n"/>
      <c r="K513" s="34" t="n"/>
      <c r="L513" s="34" t="n"/>
    </row>
    <row r="514" ht="13" customHeight="1" s="215">
      <c r="B514" s="224" t="n"/>
      <c r="C514" s="224" t="n"/>
      <c r="D514" s="33" t="n"/>
      <c r="E514" s="34" t="n"/>
      <c r="F514" s="34" t="n"/>
      <c r="G514" s="34" t="n"/>
      <c r="H514" s="34" t="n"/>
      <c r="I514" s="34" t="n"/>
      <c r="J514" s="34" t="n"/>
      <c r="K514" s="34" t="n"/>
      <c r="L514" s="34" t="n"/>
    </row>
    <row r="515" ht="13" customHeight="1" s="215">
      <c r="B515" s="224" t="n"/>
      <c r="C515" s="224" t="n"/>
      <c r="D515" s="33" t="n"/>
      <c r="E515" s="34" t="n"/>
      <c r="F515" s="34" t="n"/>
      <c r="G515" s="34" t="n"/>
      <c r="H515" s="34" t="n"/>
      <c r="I515" s="34" t="n"/>
      <c r="J515" s="34" t="n"/>
      <c r="K515" s="34" t="n"/>
      <c r="L515" s="34" t="n"/>
    </row>
    <row r="516" ht="13" customHeight="1" s="215">
      <c r="B516" s="224" t="n"/>
      <c r="C516" s="224" t="n"/>
      <c r="D516" s="33" t="n"/>
      <c r="E516" s="34" t="n"/>
      <c r="F516" s="34" t="n"/>
      <c r="G516" s="34" t="n"/>
      <c r="H516" s="34" t="n"/>
      <c r="I516" s="34" t="n"/>
      <c r="J516" s="34" t="n"/>
      <c r="K516" s="34" t="n"/>
      <c r="L516" s="34" t="n"/>
    </row>
    <row r="517" ht="13" customHeight="1" s="215">
      <c r="B517" s="224" t="n"/>
      <c r="C517" s="224" t="n"/>
      <c r="D517" s="33" t="n"/>
      <c r="E517" s="34" t="n"/>
      <c r="F517" s="34" t="n"/>
      <c r="G517" s="34" t="n"/>
      <c r="H517" s="34" t="n"/>
      <c r="I517" s="34" t="n"/>
      <c r="J517" s="34" t="n"/>
      <c r="K517" s="34" t="n"/>
      <c r="L517" s="34" t="n"/>
    </row>
    <row r="518" ht="13" customHeight="1" s="215">
      <c r="B518" s="224" t="n"/>
      <c r="C518" s="224" t="n"/>
      <c r="D518" s="33" t="n"/>
      <c r="E518" s="34" t="n"/>
      <c r="F518" s="34" t="n"/>
      <c r="G518" s="34" t="n"/>
      <c r="H518" s="34" t="n"/>
      <c r="I518" s="34" t="n"/>
      <c r="J518" s="34" t="n"/>
      <c r="K518" s="34" t="n"/>
      <c r="L518" s="34" t="n"/>
    </row>
    <row r="519" ht="13" customHeight="1" s="215">
      <c r="B519" s="224" t="n"/>
      <c r="C519" s="224" t="n"/>
      <c r="D519" s="33" t="n"/>
      <c r="E519" s="34" t="n"/>
      <c r="F519" s="34" t="n"/>
      <c r="G519" s="34" t="n"/>
      <c r="H519" s="34" t="n"/>
      <c r="I519" s="34" t="n"/>
      <c r="J519" s="34" t="n"/>
      <c r="K519" s="34" t="n"/>
      <c r="L519" s="34" t="n"/>
    </row>
    <row r="520" ht="13" customHeight="1" s="215">
      <c r="B520" s="224" t="n"/>
      <c r="C520" s="224" t="n"/>
      <c r="D520" s="33" t="n"/>
      <c r="E520" s="34" t="n"/>
      <c r="F520" s="34" t="n"/>
      <c r="G520" s="34" t="n"/>
      <c r="H520" s="34" t="n"/>
      <c r="I520" s="34" t="n"/>
      <c r="J520" s="34" t="n"/>
      <c r="K520" s="34" t="n"/>
      <c r="L520" s="34" t="n"/>
    </row>
    <row r="521" ht="13" customHeight="1" s="215">
      <c r="B521" s="224" t="n"/>
      <c r="C521" s="224" t="n"/>
      <c r="D521" s="33" t="n"/>
      <c r="E521" s="34" t="n"/>
      <c r="F521" s="34" t="n"/>
      <c r="G521" s="34" t="n"/>
      <c r="H521" s="34" t="n"/>
      <c r="I521" s="34" t="n"/>
      <c r="J521" s="34" t="n"/>
      <c r="K521" s="34" t="n"/>
      <c r="L521" s="34" t="n"/>
    </row>
    <row r="522" ht="13" customHeight="1" s="215">
      <c r="B522" s="224" t="n"/>
      <c r="C522" s="224" t="n"/>
      <c r="D522" s="33" t="n"/>
      <c r="E522" s="34" t="n"/>
      <c r="F522" s="34" t="n"/>
      <c r="G522" s="34" t="n"/>
      <c r="H522" s="34" t="n"/>
      <c r="I522" s="34" t="n"/>
      <c r="J522" s="34" t="n"/>
      <c r="K522" s="34" t="n"/>
      <c r="L522" s="34" t="n"/>
    </row>
    <row r="523" ht="13" customHeight="1" s="215">
      <c r="B523" s="224" t="n"/>
      <c r="C523" s="224" t="n"/>
      <c r="D523" s="33" t="n"/>
      <c r="E523" s="34" t="n"/>
      <c r="F523" s="34" t="n"/>
      <c r="G523" s="34" t="n"/>
      <c r="H523" s="34" t="n"/>
      <c r="I523" s="34" t="n"/>
      <c r="J523" s="34" t="n"/>
      <c r="K523" s="34" t="n"/>
      <c r="L523" s="34" t="n"/>
    </row>
    <row r="524" ht="13" customHeight="1" s="215">
      <c r="B524" s="224" t="n"/>
      <c r="C524" s="224" t="n"/>
      <c r="D524" s="33" t="n"/>
      <c r="E524" s="34" t="n"/>
      <c r="F524" s="34" t="n"/>
      <c r="G524" s="34" t="n"/>
      <c r="H524" s="34" t="n"/>
      <c r="I524" s="34" t="n"/>
      <c r="J524" s="34" t="n"/>
      <c r="K524" s="34" t="n"/>
      <c r="L524" s="34" t="n"/>
    </row>
    <row r="525" ht="13" customHeight="1" s="215">
      <c r="B525" s="224" t="n"/>
      <c r="C525" s="224" t="n"/>
      <c r="D525" s="33" t="n"/>
      <c r="E525" s="34" t="n"/>
      <c r="F525" s="34" t="n"/>
      <c r="G525" s="34" t="n"/>
      <c r="H525" s="34" t="n"/>
      <c r="I525" s="34" t="n"/>
      <c r="J525" s="34" t="n"/>
      <c r="K525" s="34" t="n"/>
      <c r="L525" s="34" t="n"/>
    </row>
    <row r="526" ht="13" customHeight="1" s="215">
      <c r="B526" s="224" t="n"/>
      <c r="C526" s="224" t="n"/>
      <c r="D526" s="33" t="n"/>
      <c r="E526" s="34" t="n"/>
      <c r="F526" s="34" t="n"/>
      <c r="G526" s="34" t="n"/>
      <c r="H526" s="34" t="n"/>
      <c r="I526" s="34" t="n"/>
      <c r="J526" s="34" t="n"/>
      <c r="K526" s="34" t="n"/>
      <c r="L526" s="34" t="n"/>
    </row>
    <row r="527" ht="13" customHeight="1" s="215">
      <c r="B527" s="224" t="n"/>
      <c r="C527" s="224" t="n"/>
      <c r="D527" s="33" t="n"/>
      <c r="E527" s="34" t="n"/>
      <c r="F527" s="34" t="n"/>
      <c r="G527" s="34" t="n"/>
      <c r="H527" s="34" t="n"/>
      <c r="I527" s="34" t="n"/>
      <c r="J527" s="34" t="n"/>
      <c r="K527" s="34" t="n"/>
      <c r="L527" s="34" t="n"/>
    </row>
    <row r="528" ht="13" customHeight="1" s="215">
      <c r="B528" s="224" t="n"/>
      <c r="C528" s="224" t="n"/>
      <c r="D528" s="33" t="n"/>
      <c r="E528" s="34" t="n"/>
      <c r="F528" s="34" t="n"/>
      <c r="G528" s="34" t="n"/>
      <c r="H528" s="34" t="n"/>
      <c r="I528" s="34" t="n"/>
      <c r="J528" s="34" t="n"/>
      <c r="K528" s="34" t="n"/>
      <c r="L528" s="34" t="n"/>
    </row>
    <row r="529" ht="13" customHeight="1" s="215">
      <c r="B529" s="224" t="n"/>
      <c r="C529" s="224" t="n"/>
      <c r="D529" s="33" t="n"/>
      <c r="E529" s="34" t="n"/>
      <c r="F529" s="34" t="n"/>
      <c r="G529" s="34" t="n"/>
      <c r="H529" s="34" t="n"/>
      <c r="I529" s="34" t="n"/>
      <c r="J529" s="34" t="n"/>
      <c r="K529" s="34" t="n"/>
      <c r="L529" s="34" t="n"/>
    </row>
    <row r="530" ht="13" customHeight="1" s="215">
      <c r="B530" s="224" t="n"/>
      <c r="C530" s="224" t="n"/>
      <c r="D530" s="33" t="n"/>
      <c r="E530" s="34" t="n"/>
      <c r="F530" s="34" t="n"/>
      <c r="G530" s="34" t="n"/>
      <c r="H530" s="34" t="n"/>
      <c r="I530" s="34" t="n"/>
      <c r="J530" s="34" t="n"/>
      <c r="K530" s="34" t="n"/>
      <c r="L530" s="34" t="n"/>
    </row>
    <row r="531" ht="13" customHeight="1" s="215">
      <c r="B531" s="224" t="n"/>
      <c r="C531" s="224" t="n"/>
      <c r="D531" s="33" t="n"/>
      <c r="E531" s="34" t="n"/>
      <c r="F531" s="34" t="n"/>
      <c r="G531" s="34" t="n"/>
      <c r="H531" s="34" t="n"/>
      <c r="I531" s="34" t="n"/>
      <c r="J531" s="34" t="n"/>
      <c r="K531" s="34" t="n"/>
      <c r="L531" s="34" t="n"/>
    </row>
    <row r="532" ht="13" customHeight="1" s="215">
      <c r="B532" s="224" t="n"/>
      <c r="C532" s="224" t="n"/>
      <c r="D532" s="33" t="n"/>
      <c r="E532" s="34" t="n"/>
      <c r="F532" s="34" t="n"/>
      <c r="G532" s="34" t="n"/>
      <c r="H532" s="34" t="n"/>
      <c r="I532" s="34" t="n"/>
      <c r="J532" s="34" t="n"/>
      <c r="K532" s="34" t="n"/>
      <c r="L532" s="34" t="n"/>
    </row>
    <row r="533" ht="13" customHeight="1" s="215">
      <c r="B533" s="224" t="n"/>
      <c r="C533" s="224" t="n"/>
      <c r="D533" s="33" t="n"/>
      <c r="E533" s="34" t="n"/>
      <c r="F533" s="34" t="n"/>
      <c r="G533" s="34" t="n"/>
      <c r="H533" s="34" t="n"/>
      <c r="I533" s="34" t="n"/>
      <c r="J533" s="34" t="n"/>
      <c r="K533" s="34" t="n"/>
      <c r="L533" s="34" t="n"/>
    </row>
    <row r="534" ht="13" customHeight="1" s="215">
      <c r="B534" s="224" t="n"/>
      <c r="C534" s="224" t="n"/>
      <c r="D534" s="33" t="n"/>
      <c r="E534" s="34" t="n"/>
      <c r="F534" s="34" t="n"/>
      <c r="G534" s="34" t="n"/>
      <c r="H534" s="34" t="n"/>
      <c r="I534" s="34" t="n"/>
      <c r="J534" s="34" t="n"/>
      <c r="K534" s="34" t="n"/>
      <c r="L534" s="34" t="n"/>
    </row>
    <row r="535" ht="13" customHeight="1" s="215">
      <c r="B535" s="224" t="n"/>
      <c r="C535" s="224" t="n"/>
      <c r="D535" s="33" t="n"/>
      <c r="E535" s="34" t="n"/>
      <c r="F535" s="34" t="n"/>
      <c r="G535" s="34" t="n"/>
      <c r="H535" s="34" t="n"/>
      <c r="I535" s="34" t="n"/>
      <c r="J535" s="34" t="n"/>
      <c r="K535" s="34" t="n"/>
      <c r="L535" s="34" t="n"/>
    </row>
    <row r="536" ht="13" customHeight="1" s="215">
      <c r="B536" s="224" t="n"/>
      <c r="C536" s="224" t="n"/>
      <c r="D536" s="33" t="n"/>
      <c r="E536" s="34" t="n"/>
      <c r="F536" s="34" t="n"/>
      <c r="G536" s="34" t="n"/>
      <c r="H536" s="34" t="n"/>
      <c r="I536" s="34" t="n"/>
      <c r="J536" s="34" t="n"/>
      <c r="K536" s="34" t="n"/>
      <c r="L536" s="34" t="n"/>
    </row>
    <row r="537" ht="13" customHeight="1" s="215">
      <c r="B537" s="224" t="n"/>
      <c r="C537" s="224" t="n"/>
      <c r="D537" s="33" t="n"/>
      <c r="E537" s="34" t="n"/>
      <c r="F537" s="34" t="n"/>
      <c r="G537" s="34" t="n"/>
      <c r="H537" s="34" t="n"/>
      <c r="I537" s="34" t="n"/>
      <c r="J537" s="34" t="n"/>
      <c r="K537" s="34" t="n"/>
      <c r="L537" s="34" t="n"/>
    </row>
    <row r="538" ht="13" customHeight="1" s="215">
      <c r="B538" s="224" t="n"/>
      <c r="C538" s="224" t="n"/>
      <c r="D538" s="33" t="n"/>
      <c r="E538" s="34" t="n"/>
      <c r="F538" s="34" t="n"/>
      <c r="G538" s="34" t="n"/>
      <c r="H538" s="34" t="n"/>
      <c r="I538" s="34" t="n"/>
      <c r="J538" s="34" t="n"/>
      <c r="K538" s="34" t="n"/>
      <c r="L538" s="34" t="n"/>
    </row>
    <row r="539" ht="13" customHeight="1" s="215">
      <c r="B539" s="224" t="n"/>
      <c r="C539" s="224" t="n"/>
      <c r="D539" s="33" t="n"/>
      <c r="E539" s="34" t="n"/>
      <c r="F539" s="34" t="n"/>
      <c r="G539" s="34" t="n"/>
      <c r="H539" s="34" t="n"/>
      <c r="I539" s="34" t="n"/>
      <c r="J539" s="34" t="n"/>
      <c r="K539" s="34" t="n"/>
      <c r="L539" s="34" t="n"/>
    </row>
    <row r="540" ht="13" customHeight="1" s="215">
      <c r="B540" s="224" t="n"/>
      <c r="C540" s="224" t="n"/>
      <c r="D540" s="33" t="n"/>
      <c r="E540" s="34" t="n"/>
      <c r="F540" s="34" t="n"/>
      <c r="G540" s="34" t="n"/>
      <c r="H540" s="34" t="n"/>
      <c r="I540" s="34" t="n"/>
      <c r="J540" s="34" t="n"/>
      <c r="K540" s="34" t="n"/>
      <c r="L540" s="34" t="n"/>
    </row>
    <row r="541" ht="13" customHeight="1" s="215">
      <c r="B541" s="224" t="n"/>
      <c r="C541" s="224" t="n"/>
      <c r="D541" s="33" t="n"/>
      <c r="E541" s="34" t="n"/>
      <c r="F541" s="34" t="n"/>
      <c r="G541" s="34" t="n"/>
      <c r="H541" s="34" t="n"/>
      <c r="I541" s="34" t="n"/>
      <c r="J541" s="34" t="n"/>
      <c r="K541" s="34" t="n"/>
      <c r="L541" s="34" t="n"/>
    </row>
    <row r="542" ht="13" customHeight="1" s="215">
      <c r="B542" s="224" t="n"/>
      <c r="C542" s="224" t="n"/>
      <c r="D542" s="33" t="n"/>
      <c r="E542" s="34" t="n"/>
      <c r="F542" s="34" t="n"/>
      <c r="G542" s="34" t="n"/>
      <c r="H542" s="34" t="n"/>
      <c r="I542" s="34" t="n"/>
      <c r="J542" s="34" t="n"/>
      <c r="K542" s="34" t="n"/>
      <c r="L542" s="34" t="n"/>
    </row>
    <row r="543" ht="13" customHeight="1" s="215">
      <c r="B543" s="224" t="n"/>
      <c r="C543" s="224" t="n"/>
      <c r="D543" s="33" t="n"/>
      <c r="E543" s="34" t="n"/>
      <c r="F543" s="34" t="n"/>
      <c r="G543" s="34" t="n"/>
      <c r="H543" s="34" t="n"/>
      <c r="I543" s="34" t="n"/>
      <c r="J543" s="34" t="n"/>
      <c r="K543" s="34" t="n"/>
      <c r="L543" s="34" t="n"/>
    </row>
    <row r="544" ht="13" customHeight="1" s="215">
      <c r="B544" s="224" t="n"/>
      <c r="C544" s="224" t="n"/>
      <c r="D544" s="33" t="n"/>
      <c r="E544" s="34" t="n"/>
      <c r="F544" s="34" t="n"/>
      <c r="G544" s="34" t="n"/>
      <c r="H544" s="34" t="n"/>
      <c r="I544" s="34" t="n"/>
      <c r="J544" s="34" t="n"/>
      <c r="K544" s="34" t="n"/>
      <c r="L544" s="34" t="n"/>
    </row>
    <row r="545" ht="13" customHeight="1" s="215">
      <c r="B545" s="224" t="n"/>
      <c r="C545" s="224" t="n"/>
      <c r="D545" s="33" t="n"/>
      <c r="E545" s="34" t="n"/>
      <c r="F545" s="34" t="n"/>
      <c r="G545" s="34" t="n"/>
      <c r="H545" s="34" t="n"/>
      <c r="I545" s="34" t="n"/>
      <c r="J545" s="34" t="n"/>
      <c r="K545" s="34" t="n"/>
      <c r="L545" s="34" t="n"/>
    </row>
    <row r="546" ht="13" customHeight="1" s="215">
      <c r="B546" s="224" t="n"/>
      <c r="C546" s="224" t="n"/>
      <c r="D546" s="33" t="n"/>
      <c r="E546" s="34" t="n"/>
      <c r="F546" s="34" t="n"/>
      <c r="G546" s="34" t="n"/>
      <c r="H546" s="34" t="n"/>
      <c r="I546" s="34" t="n"/>
      <c r="J546" s="34" t="n"/>
      <c r="K546" s="34" t="n"/>
      <c r="L546" s="34" t="n"/>
    </row>
    <row r="547" ht="13" customHeight="1" s="215">
      <c r="B547" s="224" t="n"/>
      <c r="C547" s="224" t="n"/>
      <c r="D547" s="33" t="n"/>
      <c r="E547" s="34" t="n"/>
      <c r="F547" s="34" t="n"/>
      <c r="G547" s="34" t="n"/>
      <c r="H547" s="34" t="n"/>
      <c r="I547" s="34" t="n"/>
      <c r="J547" s="34" t="n"/>
      <c r="K547" s="34" t="n"/>
      <c r="L547" s="34" t="n"/>
    </row>
    <row r="548" ht="13" customHeight="1" s="215">
      <c r="B548" s="224" t="n"/>
      <c r="C548" s="224" t="n"/>
      <c r="D548" s="33" t="n"/>
      <c r="E548" s="34" t="n"/>
      <c r="F548" s="34" t="n"/>
      <c r="G548" s="34" t="n"/>
      <c r="H548" s="34" t="n"/>
      <c r="I548" s="34" t="n"/>
      <c r="J548" s="34" t="n"/>
      <c r="K548" s="34" t="n"/>
      <c r="L548" s="34" t="n"/>
    </row>
    <row r="549" ht="13" customHeight="1" s="215">
      <c r="B549" s="224" t="n"/>
      <c r="C549" s="224" t="n"/>
      <c r="D549" s="33" t="n"/>
      <c r="E549" s="34" t="n"/>
      <c r="F549" s="34" t="n"/>
      <c r="G549" s="34" t="n"/>
      <c r="H549" s="34" t="n"/>
      <c r="I549" s="34" t="n"/>
      <c r="J549" s="34" t="n"/>
      <c r="K549" s="34" t="n"/>
      <c r="L549" s="34" t="n"/>
    </row>
    <row r="550" ht="13" customHeight="1" s="215">
      <c r="B550" s="224" t="n"/>
      <c r="C550" s="224" t="n"/>
      <c r="D550" s="33" t="n"/>
      <c r="E550" s="34" t="n"/>
      <c r="F550" s="34" t="n"/>
      <c r="G550" s="34" t="n"/>
      <c r="H550" s="34" t="n"/>
      <c r="I550" s="34" t="n"/>
      <c r="J550" s="34" t="n"/>
      <c r="K550" s="34" t="n"/>
      <c r="L550" s="34" t="n"/>
    </row>
    <row r="551" ht="13" customHeight="1" s="215">
      <c r="B551" s="224" t="n"/>
      <c r="C551" s="224" t="n"/>
      <c r="D551" s="33" t="n"/>
      <c r="E551" s="34" t="n"/>
      <c r="F551" s="34" t="n"/>
      <c r="G551" s="34" t="n"/>
      <c r="H551" s="34" t="n"/>
      <c r="I551" s="34" t="n"/>
      <c r="J551" s="34" t="n"/>
      <c r="K551" s="34" t="n"/>
      <c r="L551" s="34" t="n"/>
    </row>
    <row r="552" ht="13" customHeight="1" s="215">
      <c r="B552" s="224" t="n"/>
      <c r="C552" s="224" t="n"/>
      <c r="D552" s="33" t="n"/>
      <c r="E552" s="34" t="n"/>
      <c r="F552" s="34" t="n"/>
      <c r="G552" s="34" t="n"/>
      <c r="H552" s="34" t="n"/>
      <c r="I552" s="34" t="n"/>
      <c r="J552" s="34" t="n"/>
      <c r="K552" s="34" t="n"/>
      <c r="L552" s="34" t="n"/>
    </row>
    <row r="553" ht="13" customHeight="1" s="215">
      <c r="B553" s="224" t="n"/>
      <c r="C553" s="224" t="n"/>
      <c r="D553" s="33" t="n"/>
      <c r="E553" s="34" t="n"/>
      <c r="F553" s="34" t="n"/>
      <c r="G553" s="34" t="n"/>
      <c r="H553" s="34" t="n"/>
      <c r="I553" s="34" t="n"/>
      <c r="J553" s="34" t="n"/>
      <c r="K553" s="34" t="n"/>
      <c r="L553" s="34" t="n"/>
    </row>
    <row r="554" ht="13" customHeight="1" s="215">
      <c r="B554" s="224" t="n"/>
      <c r="C554" s="224" t="n"/>
      <c r="D554" s="33" t="n"/>
      <c r="E554" s="34" t="n"/>
      <c r="F554" s="34" t="n"/>
      <c r="G554" s="34" t="n"/>
      <c r="H554" s="34" t="n"/>
      <c r="I554" s="34" t="n"/>
      <c r="J554" s="34" t="n"/>
      <c r="K554" s="34" t="n"/>
      <c r="L554" s="34" t="n"/>
    </row>
    <row r="555" ht="13" customHeight="1" s="215">
      <c r="B555" s="224" t="n"/>
      <c r="C555" s="224" t="n"/>
      <c r="D555" s="33" t="n"/>
      <c r="E555" s="34" t="n"/>
      <c r="F555" s="34" t="n"/>
      <c r="G555" s="34" t="n"/>
      <c r="H555" s="34" t="n"/>
      <c r="I555" s="34" t="n"/>
      <c r="J555" s="34" t="n"/>
      <c r="K555" s="34" t="n"/>
      <c r="L555" s="34" t="n"/>
    </row>
    <row r="556" ht="13" customHeight="1" s="215">
      <c r="B556" s="224" t="n"/>
      <c r="C556" s="224" t="n"/>
      <c r="D556" s="33" t="n"/>
      <c r="E556" s="34" t="n"/>
      <c r="F556" s="34" t="n"/>
      <c r="G556" s="34" t="n"/>
      <c r="H556" s="34" t="n"/>
      <c r="I556" s="34" t="n"/>
      <c r="J556" s="34" t="n"/>
      <c r="K556" s="34" t="n"/>
      <c r="L556" s="34" t="n"/>
    </row>
    <row r="557" ht="13" customHeight="1" s="215">
      <c r="B557" s="224" t="n"/>
      <c r="C557" s="224" t="n"/>
      <c r="D557" s="33" t="n"/>
      <c r="E557" s="34" t="n"/>
      <c r="F557" s="34" t="n"/>
      <c r="G557" s="34" t="n"/>
      <c r="H557" s="34" t="n"/>
      <c r="I557" s="34" t="n"/>
      <c r="J557" s="34" t="n"/>
      <c r="K557" s="34" t="n"/>
      <c r="L557" s="34" t="n"/>
    </row>
    <row r="558" ht="13" customHeight="1" s="215">
      <c r="B558" s="224" t="n"/>
      <c r="C558" s="224" t="n"/>
      <c r="D558" s="33" t="n"/>
      <c r="E558" s="34" t="n"/>
      <c r="F558" s="34" t="n"/>
      <c r="G558" s="34" t="n"/>
      <c r="H558" s="34" t="n"/>
      <c r="I558" s="34" t="n"/>
      <c r="J558" s="34" t="n"/>
      <c r="K558" s="34" t="n"/>
      <c r="L558" s="34" t="n"/>
    </row>
    <row r="559" ht="13" customHeight="1" s="215">
      <c r="B559" s="224" t="n"/>
      <c r="C559" s="224" t="n"/>
      <c r="D559" s="33" t="n"/>
      <c r="E559" s="34" t="n"/>
      <c r="F559" s="34" t="n"/>
      <c r="G559" s="34" t="n"/>
      <c r="H559" s="34" t="n"/>
      <c r="I559" s="34" t="n"/>
      <c r="J559" s="34" t="n"/>
      <c r="K559" s="34" t="n"/>
      <c r="L559" s="34" t="n"/>
    </row>
    <row r="560" ht="13" customHeight="1" s="215">
      <c r="B560" s="224" t="n"/>
      <c r="C560" s="224" t="n"/>
      <c r="D560" s="33" t="n"/>
      <c r="E560" s="34" t="n"/>
      <c r="F560" s="34" t="n"/>
      <c r="G560" s="34" t="n"/>
      <c r="H560" s="34" t="n"/>
      <c r="I560" s="34" t="n"/>
      <c r="J560" s="34" t="n"/>
      <c r="K560" s="34" t="n"/>
      <c r="L560" s="34" t="n"/>
    </row>
    <row r="561" ht="13" customHeight="1" s="215">
      <c r="B561" s="224" t="n"/>
      <c r="C561" s="224" t="n"/>
      <c r="D561" s="33" t="n"/>
      <c r="E561" s="34" t="n"/>
      <c r="F561" s="34" t="n"/>
      <c r="G561" s="34" t="n"/>
      <c r="H561" s="34" t="n"/>
      <c r="I561" s="34" t="n"/>
      <c r="J561" s="34" t="n"/>
      <c r="K561" s="34" t="n"/>
      <c r="L561" s="34" t="n"/>
    </row>
    <row r="562" ht="13" customHeight="1" s="215">
      <c r="B562" s="224" t="n"/>
      <c r="C562" s="224" t="n"/>
      <c r="D562" s="33" t="n"/>
      <c r="E562" s="34" t="n"/>
      <c r="F562" s="34" t="n"/>
      <c r="G562" s="34" t="n"/>
      <c r="H562" s="34" t="n"/>
      <c r="I562" s="34" t="n"/>
      <c r="J562" s="34" t="n"/>
      <c r="K562" s="34" t="n"/>
      <c r="L562" s="34" t="n"/>
    </row>
    <row r="563" ht="13" customHeight="1" s="215">
      <c r="B563" s="224" t="n"/>
      <c r="C563" s="224" t="n"/>
      <c r="D563" s="33" t="n"/>
      <c r="E563" s="34" t="n"/>
      <c r="F563" s="34" t="n"/>
      <c r="G563" s="34" t="n"/>
      <c r="H563" s="34" t="n"/>
      <c r="I563" s="34" t="n"/>
      <c r="J563" s="34" t="n"/>
      <c r="K563" s="34" t="n"/>
      <c r="L563" s="34" t="n"/>
    </row>
    <row r="564" ht="13" customHeight="1" s="215">
      <c r="B564" s="224" t="n"/>
      <c r="C564" s="224" t="n"/>
      <c r="D564" s="33" t="n"/>
      <c r="E564" s="34" t="n"/>
      <c r="F564" s="34" t="n"/>
      <c r="G564" s="34" t="n"/>
      <c r="H564" s="34" t="n"/>
      <c r="I564" s="34" t="n"/>
      <c r="J564" s="34" t="n"/>
      <c r="K564" s="34" t="n"/>
      <c r="L564" s="34" t="n"/>
    </row>
    <row r="565" ht="13" customHeight="1" s="215">
      <c r="B565" s="224" t="n"/>
      <c r="C565" s="224" t="n"/>
      <c r="D565" s="33" t="n"/>
      <c r="E565" s="34" t="n"/>
      <c r="F565" s="34" t="n"/>
      <c r="G565" s="34" t="n"/>
      <c r="H565" s="34" t="n"/>
      <c r="I565" s="34" t="n"/>
      <c r="J565" s="34" t="n"/>
      <c r="K565" s="34" t="n"/>
      <c r="L565" s="34" t="n"/>
    </row>
    <row r="566" ht="13" customHeight="1" s="215">
      <c r="B566" s="224" t="n"/>
      <c r="C566" s="224" t="n"/>
      <c r="D566" s="33" t="n"/>
      <c r="E566" s="34" t="n"/>
      <c r="F566" s="34" t="n"/>
      <c r="G566" s="34" t="n"/>
      <c r="H566" s="34" t="n"/>
      <c r="I566" s="34" t="n"/>
      <c r="J566" s="34" t="n"/>
      <c r="K566" s="34" t="n"/>
      <c r="L566" s="34" t="n"/>
    </row>
    <row r="567" ht="13" customHeight="1" s="215">
      <c r="B567" s="224" t="n"/>
      <c r="C567" s="224" t="n"/>
      <c r="D567" s="33" t="n"/>
      <c r="E567" s="34" t="n"/>
      <c r="F567" s="34" t="n"/>
      <c r="G567" s="34" t="n"/>
      <c r="H567" s="34" t="n"/>
      <c r="I567" s="34" t="n"/>
      <c r="J567" s="34" t="n"/>
      <c r="K567" s="34" t="n"/>
      <c r="L567" s="34" t="n"/>
    </row>
    <row r="568" ht="13" customHeight="1" s="215">
      <c r="B568" s="224" t="n"/>
      <c r="C568" s="224" t="n"/>
      <c r="D568" s="33" t="n"/>
      <c r="E568" s="34" t="n"/>
      <c r="F568" s="34" t="n"/>
      <c r="G568" s="34" t="n"/>
      <c r="H568" s="34" t="n"/>
      <c r="I568" s="34" t="n"/>
      <c r="J568" s="34" t="n"/>
      <c r="K568" s="34" t="n"/>
      <c r="L568" s="34" t="n"/>
    </row>
    <row r="569" ht="13" customHeight="1" s="215">
      <c r="B569" s="224" t="n"/>
      <c r="C569" s="224" t="n"/>
      <c r="D569" s="33" t="n"/>
      <c r="E569" s="34" t="n"/>
      <c r="F569" s="34" t="n"/>
      <c r="G569" s="34" t="n"/>
      <c r="H569" s="34" t="n"/>
      <c r="I569" s="34" t="n"/>
      <c r="J569" s="34" t="n"/>
      <c r="K569" s="34" t="n"/>
      <c r="L569" s="34" t="n"/>
    </row>
    <row r="570" ht="13" customHeight="1" s="215">
      <c r="B570" s="224" t="n"/>
      <c r="C570" s="224" t="n"/>
      <c r="D570" s="33" t="n"/>
      <c r="E570" s="34" t="n"/>
      <c r="F570" s="34" t="n"/>
      <c r="G570" s="34" t="n"/>
      <c r="H570" s="34" t="n"/>
      <c r="I570" s="34" t="n"/>
      <c r="J570" s="34" t="n"/>
      <c r="K570" s="34" t="n"/>
      <c r="L570" s="34" t="n"/>
    </row>
    <row r="571" ht="13" customHeight="1" s="215">
      <c r="B571" s="224" t="n"/>
      <c r="C571" s="224" t="n"/>
      <c r="D571" s="33" t="n"/>
      <c r="E571" s="34" t="n"/>
      <c r="F571" s="34" t="n"/>
      <c r="G571" s="34" t="n"/>
      <c r="H571" s="34" t="n"/>
      <c r="I571" s="34" t="n"/>
      <c r="J571" s="34" t="n"/>
      <c r="K571" s="34" t="n"/>
      <c r="L571" s="34" t="n"/>
    </row>
    <row r="572" ht="13" customHeight="1" s="215">
      <c r="B572" s="224" t="n"/>
      <c r="C572" s="224" t="n"/>
      <c r="D572" s="33" t="n"/>
      <c r="E572" s="34" t="n"/>
      <c r="F572" s="34" t="n"/>
      <c r="G572" s="34" t="n"/>
      <c r="H572" s="34" t="n"/>
      <c r="I572" s="34" t="n"/>
      <c r="J572" s="34" t="n"/>
      <c r="K572" s="34" t="n"/>
      <c r="L572" s="34" t="n"/>
    </row>
    <row r="573" ht="13" customHeight="1" s="215">
      <c r="B573" s="224" t="n"/>
      <c r="C573" s="224" t="n"/>
      <c r="D573" s="33" t="n"/>
      <c r="E573" s="34" t="n"/>
      <c r="F573" s="34" t="n"/>
      <c r="G573" s="34" t="n"/>
      <c r="H573" s="34" t="n"/>
      <c r="I573" s="34" t="n"/>
      <c r="J573" s="34" t="n"/>
      <c r="K573" s="34" t="n"/>
      <c r="L573" s="34" t="n"/>
    </row>
    <row r="574" ht="13" customHeight="1" s="215">
      <c r="B574" s="224" t="n"/>
      <c r="C574" s="224" t="n"/>
      <c r="D574" s="33" t="n"/>
      <c r="E574" s="34" t="n"/>
      <c r="F574" s="34" t="n"/>
      <c r="G574" s="34" t="n"/>
      <c r="H574" s="34" t="n"/>
      <c r="I574" s="34" t="n"/>
      <c r="J574" s="34" t="n"/>
      <c r="K574" s="34" t="n"/>
      <c r="L574" s="34" t="n"/>
    </row>
    <row r="575" ht="13" customHeight="1" s="215">
      <c r="B575" s="224" t="n"/>
      <c r="C575" s="224" t="n"/>
      <c r="D575" s="33" t="n"/>
      <c r="E575" s="34" t="n"/>
      <c r="F575" s="34" t="n"/>
      <c r="G575" s="34" t="n"/>
      <c r="H575" s="34" t="n"/>
      <c r="I575" s="34" t="n"/>
      <c r="J575" s="34" t="n"/>
      <c r="K575" s="34" t="n"/>
      <c r="L575" s="34" t="n"/>
    </row>
    <row r="576" ht="13" customHeight="1" s="215">
      <c r="B576" s="224" t="n"/>
      <c r="C576" s="224" t="n"/>
      <c r="D576" s="33" t="n"/>
      <c r="E576" s="34" t="n"/>
      <c r="F576" s="34" t="n"/>
      <c r="G576" s="34" t="n"/>
      <c r="H576" s="34" t="n"/>
      <c r="I576" s="34" t="n"/>
      <c r="J576" s="34" t="n"/>
      <c r="K576" s="34" t="n"/>
      <c r="L576" s="34" t="n"/>
    </row>
    <row r="577" ht="13" customHeight="1" s="215">
      <c r="B577" s="224" t="n"/>
      <c r="C577" s="224" t="n"/>
      <c r="D577" s="33" t="n"/>
      <c r="E577" s="34" t="n"/>
      <c r="F577" s="34" t="n"/>
      <c r="G577" s="34" t="n"/>
      <c r="H577" s="34" t="n"/>
      <c r="I577" s="34" t="n"/>
      <c r="J577" s="34" t="n"/>
      <c r="K577" s="34" t="n"/>
      <c r="L577" s="34" t="n"/>
    </row>
    <row r="578" ht="13" customHeight="1" s="215">
      <c r="B578" s="224" t="n"/>
      <c r="C578" s="224" t="n"/>
      <c r="D578" s="33" t="n"/>
      <c r="E578" s="34" t="n"/>
      <c r="F578" s="34" t="n"/>
      <c r="G578" s="34" t="n"/>
      <c r="H578" s="34" t="n"/>
      <c r="I578" s="34" t="n"/>
      <c r="J578" s="34" t="n"/>
      <c r="K578" s="34" t="n"/>
      <c r="L578" s="34" t="n"/>
    </row>
    <row r="579" ht="13" customHeight="1" s="215">
      <c r="B579" s="224" t="n"/>
      <c r="C579" s="224" t="n"/>
      <c r="D579" s="33" t="n"/>
      <c r="E579" s="34" t="n"/>
      <c r="F579" s="34" t="n"/>
      <c r="G579" s="34" t="n"/>
      <c r="H579" s="34" t="n"/>
      <c r="I579" s="34" t="n"/>
      <c r="J579" s="34" t="n"/>
      <c r="K579" s="34" t="n"/>
      <c r="L579" s="34" t="n"/>
    </row>
    <row r="580" ht="13" customHeight="1" s="215">
      <c r="B580" s="224" t="n"/>
      <c r="C580" s="224" t="n"/>
      <c r="D580" s="33" t="n"/>
      <c r="E580" s="34" t="n"/>
      <c r="F580" s="34" t="n"/>
      <c r="G580" s="34" t="n"/>
      <c r="H580" s="34" t="n"/>
      <c r="I580" s="34" t="n"/>
      <c r="J580" s="34" t="n"/>
      <c r="K580" s="34" t="n"/>
      <c r="L580" s="34" t="n"/>
    </row>
    <row r="581" ht="13" customHeight="1" s="215">
      <c r="B581" s="224" t="n"/>
      <c r="C581" s="224" t="n"/>
      <c r="D581" s="33" t="n"/>
      <c r="E581" s="34" t="n"/>
      <c r="F581" s="34" t="n"/>
      <c r="G581" s="34" t="n"/>
      <c r="H581" s="34" t="n"/>
      <c r="I581" s="34" t="n"/>
      <c r="J581" s="34" t="n"/>
      <c r="K581" s="34" t="n"/>
      <c r="L581" s="34" t="n"/>
    </row>
    <row r="582" ht="13" customHeight="1" s="215">
      <c r="B582" s="224" t="n"/>
      <c r="C582" s="224" t="n"/>
      <c r="D582" s="33" t="n"/>
      <c r="E582" s="34" t="n"/>
      <c r="F582" s="34" t="n"/>
      <c r="G582" s="34" t="n"/>
      <c r="H582" s="34" t="n"/>
      <c r="I582" s="34" t="n"/>
      <c r="J582" s="34" t="n"/>
      <c r="K582" s="34" t="n"/>
      <c r="L582" s="34" t="n"/>
    </row>
    <row r="583" ht="13" customHeight="1" s="215">
      <c r="B583" s="224" t="n"/>
      <c r="C583" s="224" t="n"/>
      <c r="D583" s="33" t="n"/>
      <c r="E583" s="34" t="n"/>
      <c r="F583" s="34" t="n"/>
      <c r="G583" s="34" t="n"/>
      <c r="H583" s="34" t="n"/>
      <c r="I583" s="34" t="n"/>
      <c r="J583" s="34" t="n"/>
      <c r="K583" s="34" t="n"/>
      <c r="L583" s="34" t="n"/>
    </row>
    <row r="584" ht="13" customHeight="1" s="215">
      <c r="B584" s="224" t="n"/>
      <c r="C584" s="224" t="n"/>
      <c r="D584" s="33" t="n"/>
      <c r="E584" s="34" t="n"/>
      <c r="F584" s="34" t="n"/>
      <c r="G584" s="34" t="n"/>
      <c r="H584" s="34" t="n"/>
      <c r="I584" s="34" t="n"/>
      <c r="J584" s="34" t="n"/>
      <c r="K584" s="34" t="n"/>
      <c r="L584" s="34" t="n"/>
    </row>
    <row r="585" ht="13" customHeight="1" s="215">
      <c r="B585" s="224" t="n"/>
      <c r="C585" s="224" t="n"/>
      <c r="D585" s="33" t="n"/>
      <c r="E585" s="34" t="n"/>
      <c r="F585" s="34" t="n"/>
      <c r="G585" s="34" t="n"/>
      <c r="H585" s="34" t="n"/>
      <c r="I585" s="34" t="n"/>
      <c r="J585" s="34" t="n"/>
      <c r="K585" s="34" t="n"/>
      <c r="L585" s="34" t="n"/>
    </row>
    <row r="586" ht="13" customHeight="1" s="215">
      <c r="B586" s="224" t="n"/>
      <c r="C586" s="224" t="n"/>
      <c r="D586" s="33" t="n"/>
      <c r="E586" s="34" t="n"/>
      <c r="F586" s="34" t="n"/>
      <c r="G586" s="34" t="n"/>
      <c r="H586" s="34" t="n"/>
      <c r="I586" s="34" t="n"/>
      <c r="J586" s="34" t="n"/>
      <c r="K586" s="34" t="n"/>
      <c r="L586" s="34" t="n"/>
    </row>
    <row r="587" ht="13" customHeight="1" s="215">
      <c r="B587" s="224" t="n"/>
      <c r="C587" s="224" t="n"/>
      <c r="D587" s="33" t="n"/>
      <c r="E587" s="34" t="n"/>
      <c r="F587" s="34" t="n"/>
      <c r="G587" s="34" t="n"/>
      <c r="H587" s="34" t="n"/>
      <c r="I587" s="34" t="n"/>
      <c r="J587" s="34" t="n"/>
      <c r="K587" s="34" t="n"/>
      <c r="L587" s="34" t="n"/>
    </row>
    <row r="588" ht="13" customHeight="1" s="215">
      <c r="B588" s="224" t="n"/>
      <c r="C588" s="224" t="n"/>
      <c r="D588" s="33" t="n"/>
      <c r="E588" s="34" t="n"/>
      <c r="F588" s="34" t="n"/>
      <c r="G588" s="34" t="n"/>
      <c r="H588" s="34" t="n"/>
      <c r="I588" s="34" t="n"/>
      <c r="J588" s="34" t="n"/>
      <c r="K588" s="34" t="n"/>
      <c r="L588" s="34" t="n"/>
    </row>
    <row r="589" ht="13" customHeight="1" s="215">
      <c r="B589" s="224" t="n"/>
      <c r="C589" s="224" t="n"/>
      <c r="D589" s="33" t="n"/>
      <c r="E589" s="34" t="n"/>
      <c r="F589" s="34" t="n"/>
      <c r="G589" s="34" t="n"/>
      <c r="H589" s="34" t="n"/>
      <c r="I589" s="34" t="n"/>
      <c r="J589" s="34" t="n"/>
      <c r="K589" s="34" t="n"/>
      <c r="L589" s="34" t="n"/>
    </row>
    <row r="590" ht="13" customHeight="1" s="215">
      <c r="B590" s="224" t="n"/>
      <c r="C590" s="224" t="n"/>
      <c r="D590" s="33" t="n"/>
      <c r="E590" s="34" t="n"/>
      <c r="F590" s="34" t="n"/>
      <c r="G590" s="34" t="n"/>
      <c r="H590" s="34" t="n"/>
      <c r="I590" s="34" t="n"/>
      <c r="J590" s="34" t="n"/>
      <c r="K590" s="34" t="n"/>
      <c r="L590" s="34" t="n"/>
    </row>
    <row r="591" ht="13" customHeight="1" s="215">
      <c r="B591" s="224" t="n"/>
      <c r="C591" s="224" t="n"/>
      <c r="D591" s="33" t="n"/>
      <c r="E591" s="34" t="n"/>
      <c r="F591" s="34" t="n"/>
      <c r="G591" s="34" t="n"/>
      <c r="H591" s="34" t="n"/>
      <c r="I591" s="34" t="n"/>
      <c r="J591" s="34" t="n"/>
      <c r="K591" s="34" t="n"/>
      <c r="L591" s="34" t="n"/>
    </row>
    <row r="592" ht="13" customHeight="1" s="215">
      <c r="B592" s="224" t="n"/>
      <c r="C592" s="224" t="n"/>
      <c r="D592" s="33" t="n"/>
      <c r="E592" s="34" t="n"/>
      <c r="F592" s="34" t="n"/>
      <c r="G592" s="34" t="n"/>
      <c r="H592" s="34" t="n"/>
      <c r="I592" s="34" t="n"/>
      <c r="J592" s="34" t="n"/>
      <c r="K592" s="34" t="n"/>
      <c r="L592" s="34" t="n"/>
    </row>
    <row r="593" ht="13" customHeight="1" s="215">
      <c r="B593" s="224" t="n"/>
      <c r="C593" s="224" t="n"/>
      <c r="D593" s="33" t="n"/>
      <c r="E593" s="34" t="n"/>
      <c r="F593" s="34" t="n"/>
      <c r="G593" s="34" t="n"/>
      <c r="H593" s="34" t="n"/>
      <c r="I593" s="34" t="n"/>
      <c r="J593" s="34" t="n"/>
      <c r="K593" s="34" t="n"/>
      <c r="L593" s="34" t="n"/>
    </row>
    <row r="594" ht="13" customHeight="1" s="215">
      <c r="B594" s="224" t="n"/>
      <c r="C594" s="224" t="n"/>
      <c r="D594" s="33" t="n"/>
      <c r="E594" s="34" t="n"/>
      <c r="F594" s="34" t="n"/>
      <c r="G594" s="34" t="n"/>
      <c r="H594" s="34" t="n"/>
      <c r="I594" s="34" t="n"/>
      <c r="J594" s="34" t="n"/>
      <c r="K594" s="34" t="n"/>
      <c r="L594" s="34" t="n"/>
    </row>
    <row r="595" ht="13" customHeight="1" s="215">
      <c r="B595" s="224" t="n"/>
      <c r="C595" s="224" t="n"/>
      <c r="D595" s="33" t="n"/>
      <c r="E595" s="34" t="n"/>
      <c r="F595" s="34" t="n"/>
      <c r="G595" s="34" t="n"/>
      <c r="H595" s="34" t="n"/>
      <c r="I595" s="34" t="n"/>
      <c r="J595" s="34" t="n"/>
      <c r="K595" s="34" t="n"/>
      <c r="L595" s="34" t="n"/>
    </row>
    <row r="596" ht="13" customHeight="1" s="215">
      <c r="B596" s="224" t="n"/>
      <c r="C596" s="224" t="n"/>
      <c r="D596" s="33" t="n"/>
      <c r="E596" s="34" t="n"/>
      <c r="F596" s="34" t="n"/>
      <c r="G596" s="34" t="n"/>
      <c r="H596" s="34" t="n"/>
      <c r="I596" s="34" t="n"/>
      <c r="J596" s="34" t="n"/>
      <c r="K596" s="34" t="n"/>
      <c r="L596" s="34" t="n"/>
    </row>
    <row r="597" ht="13" customHeight="1" s="215">
      <c r="B597" s="224" t="n"/>
      <c r="C597" s="224" t="n"/>
      <c r="D597" s="33" t="n"/>
      <c r="E597" s="34" t="n"/>
      <c r="F597" s="34" t="n"/>
      <c r="G597" s="34" t="n"/>
      <c r="H597" s="34" t="n"/>
      <c r="I597" s="34" t="n"/>
      <c r="J597" s="34" t="n"/>
      <c r="K597" s="34" t="n"/>
      <c r="L597" s="34" t="n"/>
    </row>
    <row r="598" ht="13" customHeight="1" s="215">
      <c r="B598" s="224" t="n"/>
      <c r="C598" s="224" t="n"/>
      <c r="D598" s="33" t="n"/>
      <c r="E598" s="34" t="n"/>
      <c r="F598" s="34" t="n"/>
      <c r="G598" s="34" t="n"/>
      <c r="H598" s="34" t="n"/>
      <c r="I598" s="34" t="n"/>
      <c r="J598" s="34" t="n"/>
      <c r="K598" s="34" t="n"/>
      <c r="L598" s="34" t="n"/>
    </row>
    <row r="599" ht="13" customHeight="1" s="215">
      <c r="B599" s="224" t="n"/>
      <c r="C599" s="224" t="n"/>
      <c r="D599" s="33" t="n"/>
      <c r="E599" s="34" t="n"/>
      <c r="F599" s="34" t="n"/>
      <c r="G599" s="34" t="n"/>
      <c r="H599" s="34" t="n"/>
      <c r="I599" s="34" t="n"/>
      <c r="J599" s="34" t="n"/>
      <c r="K599" s="34" t="n"/>
      <c r="L599" s="34" t="n"/>
    </row>
    <row r="600" ht="13" customHeight="1" s="215">
      <c r="B600" s="224" t="n"/>
      <c r="C600" s="224" t="n"/>
      <c r="D600" s="33" t="n"/>
      <c r="E600" s="34" t="n"/>
      <c r="F600" s="34" t="n"/>
      <c r="G600" s="34" t="n"/>
      <c r="H600" s="34" t="n"/>
      <c r="I600" s="34" t="n"/>
      <c r="J600" s="34" t="n"/>
      <c r="K600" s="34" t="n"/>
      <c r="L600" s="34" t="n"/>
    </row>
    <row r="601" ht="13" customHeight="1" s="215">
      <c r="B601" s="224" t="n"/>
      <c r="C601" s="224" t="n"/>
      <c r="D601" s="33" t="n"/>
      <c r="E601" s="34" t="n"/>
      <c r="F601" s="34" t="n"/>
      <c r="G601" s="34" t="n"/>
      <c r="H601" s="34" t="n"/>
      <c r="I601" s="34" t="n"/>
      <c r="J601" s="34" t="n"/>
      <c r="K601" s="34" t="n"/>
      <c r="L601" s="34" t="n"/>
    </row>
    <row r="602" ht="13" customHeight="1" s="215">
      <c r="B602" s="224" t="n"/>
      <c r="C602" s="224" t="n"/>
      <c r="D602" s="33" t="n"/>
      <c r="E602" s="34" t="n"/>
      <c r="F602" s="34" t="n"/>
      <c r="G602" s="34" t="n"/>
      <c r="H602" s="34" t="n"/>
      <c r="I602" s="34" t="n"/>
      <c r="J602" s="34" t="n"/>
      <c r="K602" s="34" t="n"/>
      <c r="L602" s="34" t="n"/>
    </row>
    <row r="603" ht="13" customHeight="1" s="215">
      <c r="B603" s="224" t="n"/>
      <c r="C603" s="224" t="n"/>
      <c r="D603" s="33" t="n"/>
      <c r="E603" s="34" t="n"/>
      <c r="F603" s="34" t="n"/>
      <c r="G603" s="34" t="n"/>
      <c r="H603" s="34" t="n"/>
      <c r="I603" s="34" t="n"/>
      <c r="J603" s="34" t="n"/>
      <c r="K603" s="34" t="n"/>
      <c r="L603" s="34" t="n"/>
    </row>
    <row r="604" ht="13" customHeight="1" s="215">
      <c r="B604" s="224" t="n"/>
      <c r="C604" s="224" t="n"/>
      <c r="D604" s="33" t="n"/>
      <c r="E604" s="34" t="n"/>
      <c r="F604" s="34" t="n"/>
      <c r="G604" s="34" t="n"/>
      <c r="H604" s="34" t="n"/>
      <c r="I604" s="34" t="n"/>
      <c r="J604" s="34" t="n"/>
      <c r="K604" s="34" t="n"/>
      <c r="L604" s="34" t="n"/>
    </row>
    <row r="605" ht="13" customHeight="1" s="215">
      <c r="B605" s="224" t="n"/>
      <c r="C605" s="224" t="n"/>
      <c r="D605" s="33" t="n"/>
      <c r="E605" s="34" t="n"/>
      <c r="F605" s="34" t="n"/>
      <c r="G605" s="34" t="n"/>
      <c r="H605" s="34" t="n"/>
      <c r="I605" s="34" t="n"/>
      <c r="J605" s="34" t="n"/>
      <c r="K605" s="34" t="n"/>
      <c r="L605" s="34" t="n"/>
    </row>
    <row r="606" ht="13" customHeight="1" s="215">
      <c r="B606" s="224" t="n"/>
      <c r="C606" s="224" t="n"/>
      <c r="D606" s="33" t="n"/>
      <c r="E606" s="34" t="n"/>
      <c r="F606" s="34" t="n"/>
      <c r="G606" s="34" t="n"/>
      <c r="H606" s="34" t="n"/>
      <c r="I606" s="34" t="n"/>
      <c r="J606" s="34" t="n"/>
      <c r="K606" s="34" t="n"/>
      <c r="L606" s="34" t="n"/>
    </row>
    <row r="607" ht="13" customHeight="1" s="215">
      <c r="B607" s="224" t="n"/>
      <c r="C607" s="224" t="n"/>
      <c r="D607" s="33" t="n"/>
      <c r="E607" s="34" t="n"/>
      <c r="F607" s="34" t="n"/>
      <c r="G607" s="34" t="n"/>
      <c r="H607" s="34" t="n"/>
      <c r="I607" s="34" t="n"/>
      <c r="J607" s="34" t="n"/>
      <c r="K607" s="34" t="n"/>
      <c r="L607" s="34" t="n"/>
    </row>
    <row r="608" ht="13" customHeight="1" s="215">
      <c r="B608" s="224" t="n"/>
      <c r="C608" s="224" t="n"/>
      <c r="D608" s="33" t="n"/>
      <c r="E608" s="34" t="n"/>
      <c r="F608" s="34" t="n"/>
      <c r="G608" s="34" t="n"/>
      <c r="H608" s="34" t="n"/>
      <c r="I608" s="34" t="n"/>
      <c r="J608" s="34" t="n"/>
      <c r="K608" s="34" t="n"/>
      <c r="L608" s="34" t="n"/>
    </row>
    <row r="609" ht="13" customHeight="1" s="215">
      <c r="B609" s="224" t="n"/>
      <c r="C609" s="224" t="n"/>
      <c r="D609" s="33" t="n"/>
      <c r="E609" s="34" t="n"/>
      <c r="F609" s="34" t="n"/>
      <c r="G609" s="34" t="n"/>
      <c r="H609" s="34" t="n"/>
      <c r="I609" s="34" t="n"/>
      <c r="J609" s="34" t="n"/>
      <c r="K609" s="34" t="n"/>
      <c r="L609" s="34" t="n"/>
    </row>
    <row r="610" ht="13" customHeight="1" s="215">
      <c r="B610" s="224" t="n"/>
      <c r="C610" s="224" t="n"/>
      <c r="D610" s="33" t="n"/>
      <c r="E610" s="34" t="n"/>
      <c r="F610" s="34" t="n"/>
      <c r="G610" s="34" t="n"/>
      <c r="H610" s="34" t="n"/>
      <c r="I610" s="34" t="n"/>
      <c r="J610" s="34" t="n"/>
      <c r="K610" s="34" t="n"/>
      <c r="L610" s="34" t="n"/>
    </row>
    <row r="611" ht="13" customHeight="1" s="215">
      <c r="B611" s="224" t="n"/>
      <c r="C611" s="224" t="n"/>
      <c r="D611" s="33" t="n"/>
      <c r="E611" s="34" t="n"/>
      <c r="F611" s="34" t="n"/>
      <c r="G611" s="34" t="n"/>
      <c r="H611" s="34" t="n"/>
      <c r="I611" s="34" t="n"/>
      <c r="J611" s="34" t="n"/>
      <c r="K611" s="34" t="n"/>
      <c r="L611" s="34" t="n"/>
    </row>
    <row r="612" ht="13" customHeight="1" s="215">
      <c r="B612" s="224" t="n"/>
      <c r="C612" s="224" t="n"/>
      <c r="D612" s="33" t="n"/>
      <c r="E612" s="34" t="n"/>
      <c r="F612" s="34" t="n"/>
      <c r="G612" s="34" t="n"/>
      <c r="H612" s="34" t="n"/>
      <c r="I612" s="34" t="n"/>
      <c r="J612" s="34" t="n"/>
      <c r="K612" s="34" t="n"/>
      <c r="L612" s="34" t="n"/>
    </row>
    <row r="613" ht="13" customHeight="1" s="215">
      <c r="B613" s="224" t="n"/>
      <c r="C613" s="224" t="n"/>
      <c r="D613" s="33" t="n"/>
      <c r="E613" s="34" t="n"/>
      <c r="F613" s="34" t="n"/>
      <c r="G613" s="34" t="n"/>
      <c r="H613" s="34" t="n"/>
      <c r="I613" s="34" t="n"/>
      <c r="J613" s="34" t="n"/>
      <c r="K613" s="34" t="n"/>
      <c r="L613" s="34" t="n"/>
    </row>
    <row r="614" ht="13" customHeight="1" s="215">
      <c r="B614" s="224" t="n"/>
      <c r="C614" s="224" t="n"/>
      <c r="D614" s="33" t="n"/>
      <c r="E614" s="34" t="n"/>
      <c r="F614" s="34" t="n"/>
      <c r="G614" s="34" t="n"/>
      <c r="H614" s="34" t="n"/>
      <c r="I614" s="34" t="n"/>
      <c r="J614" s="34" t="n"/>
      <c r="K614" s="34" t="n"/>
      <c r="L614" s="34" t="n"/>
    </row>
    <row r="615" ht="13" customHeight="1" s="215">
      <c r="B615" s="224" t="n"/>
      <c r="C615" s="224" t="n"/>
      <c r="D615" s="33" t="n"/>
      <c r="E615" s="34" t="n"/>
      <c r="F615" s="34" t="n"/>
      <c r="G615" s="34" t="n"/>
      <c r="H615" s="34" t="n"/>
      <c r="I615" s="34" t="n"/>
      <c r="J615" s="34" t="n"/>
      <c r="K615" s="34" t="n"/>
      <c r="L615" s="34" t="n"/>
    </row>
    <row r="616" ht="13" customHeight="1" s="215">
      <c r="B616" s="224" t="n"/>
      <c r="C616" s="224" t="n"/>
      <c r="D616" s="33" t="n"/>
      <c r="E616" s="34" t="n"/>
      <c r="F616" s="34" t="n"/>
      <c r="G616" s="34" t="n"/>
      <c r="H616" s="34" t="n"/>
      <c r="I616" s="34" t="n"/>
      <c r="J616" s="34" t="n"/>
      <c r="K616" s="34" t="n"/>
      <c r="L616" s="34" t="n"/>
    </row>
    <row r="617" ht="13" customHeight="1" s="215">
      <c r="B617" s="224" t="n"/>
      <c r="C617" s="224" t="n"/>
      <c r="D617" s="33" t="n"/>
      <c r="E617" s="34" t="n"/>
      <c r="F617" s="34" t="n"/>
      <c r="G617" s="34" t="n"/>
      <c r="H617" s="34" t="n"/>
      <c r="I617" s="34" t="n"/>
      <c r="J617" s="34" t="n"/>
      <c r="K617" s="34" t="n"/>
      <c r="L617" s="34" t="n"/>
    </row>
    <row r="618" ht="13" customHeight="1" s="215">
      <c r="B618" s="224" t="n"/>
      <c r="C618" s="224" t="n"/>
      <c r="D618" s="33" t="n"/>
      <c r="E618" s="34" t="n"/>
      <c r="F618" s="34" t="n"/>
      <c r="G618" s="34" t="n"/>
      <c r="H618" s="34" t="n"/>
      <c r="I618" s="34" t="n"/>
      <c r="J618" s="34" t="n"/>
      <c r="K618" s="34" t="n"/>
      <c r="L618" s="34" t="n"/>
    </row>
    <row r="619" ht="13" customHeight="1" s="215">
      <c r="B619" s="224" t="n"/>
      <c r="C619" s="224" t="n"/>
      <c r="D619" s="33" t="n"/>
      <c r="E619" s="34" t="n"/>
      <c r="F619" s="34" t="n"/>
      <c r="G619" s="34" t="n"/>
      <c r="H619" s="34" t="n"/>
      <c r="I619" s="34" t="n"/>
      <c r="J619" s="34" t="n"/>
      <c r="K619" s="34" t="n"/>
      <c r="L619" s="34" t="n"/>
    </row>
    <row r="620" ht="13" customHeight="1" s="215">
      <c r="B620" s="224" t="n"/>
      <c r="C620" s="224" t="n"/>
      <c r="D620" s="33" t="n"/>
      <c r="E620" s="34" t="n"/>
      <c r="F620" s="34" t="n"/>
      <c r="G620" s="34" t="n"/>
      <c r="H620" s="34" t="n"/>
      <c r="I620" s="34" t="n"/>
      <c r="J620" s="34" t="n"/>
      <c r="K620" s="34" t="n"/>
      <c r="L620" s="34" t="n"/>
    </row>
    <row r="621" ht="13" customHeight="1" s="215">
      <c r="B621" s="224" t="n"/>
      <c r="C621" s="224" t="n"/>
      <c r="D621" s="33" t="n"/>
      <c r="E621" s="34" t="n"/>
      <c r="F621" s="34" t="n"/>
      <c r="G621" s="34" t="n"/>
      <c r="H621" s="34" t="n"/>
      <c r="I621" s="34" t="n"/>
      <c r="J621" s="34" t="n"/>
      <c r="K621" s="34" t="n"/>
      <c r="L621" s="34" t="n"/>
    </row>
    <row r="622" ht="13" customHeight="1" s="215">
      <c r="B622" s="224" t="n"/>
      <c r="C622" s="224" t="n"/>
      <c r="D622" s="33" t="n"/>
      <c r="E622" s="34" t="n"/>
      <c r="F622" s="34" t="n"/>
      <c r="G622" s="34" t="n"/>
      <c r="H622" s="34" t="n"/>
      <c r="I622" s="34" t="n"/>
      <c r="J622" s="34" t="n"/>
      <c r="K622" s="34" t="n"/>
      <c r="L622" s="34" t="n"/>
    </row>
    <row r="623" ht="13" customHeight="1" s="215">
      <c r="B623" s="224" t="n"/>
      <c r="C623" s="224" t="n"/>
      <c r="D623" s="33" t="n"/>
      <c r="E623" s="34" t="n"/>
      <c r="F623" s="34" t="n"/>
      <c r="G623" s="34" t="n"/>
      <c r="H623" s="34" t="n"/>
      <c r="I623" s="34" t="n"/>
      <c r="J623" s="34" t="n"/>
      <c r="K623" s="34" t="n"/>
      <c r="L623" s="34" t="n"/>
    </row>
    <row r="624" ht="13" customHeight="1" s="215">
      <c r="B624" s="224" t="n"/>
      <c r="C624" s="224" t="n"/>
      <c r="D624" s="33" t="n"/>
      <c r="E624" s="34" t="n"/>
      <c r="F624" s="34" t="n"/>
      <c r="G624" s="34" t="n"/>
      <c r="H624" s="34" t="n"/>
      <c r="I624" s="34" t="n"/>
      <c r="J624" s="34" t="n"/>
      <c r="K624" s="34" t="n"/>
      <c r="L624" s="34" t="n"/>
    </row>
    <row r="625" ht="13" customHeight="1" s="215">
      <c r="B625" s="224" t="n"/>
      <c r="C625" s="224" t="n"/>
      <c r="D625" s="33" t="n"/>
      <c r="E625" s="34" t="n"/>
      <c r="F625" s="34" t="n"/>
      <c r="G625" s="34" t="n"/>
      <c r="H625" s="34" t="n"/>
      <c r="I625" s="34" t="n"/>
      <c r="J625" s="34" t="n"/>
      <c r="K625" s="34" t="n"/>
      <c r="L625" s="34" t="n"/>
    </row>
    <row r="626" ht="13" customHeight="1" s="215">
      <c r="B626" s="224" t="n"/>
      <c r="C626" s="224" t="n"/>
      <c r="D626" s="33" t="n"/>
      <c r="E626" s="34" t="n"/>
      <c r="F626" s="34" t="n"/>
      <c r="G626" s="34" t="n"/>
      <c r="H626" s="34" t="n"/>
      <c r="I626" s="34" t="n"/>
      <c r="J626" s="34" t="n"/>
      <c r="K626" s="34" t="n"/>
      <c r="L626" s="34" t="n"/>
    </row>
    <row r="627" ht="13" customHeight="1" s="215">
      <c r="B627" s="224" t="n"/>
      <c r="C627" s="224" t="n"/>
      <c r="D627" s="33" t="n"/>
      <c r="E627" s="34" t="n"/>
      <c r="F627" s="34" t="n"/>
      <c r="G627" s="34" t="n"/>
      <c r="H627" s="34" t="n"/>
      <c r="I627" s="34" t="n"/>
      <c r="J627" s="34" t="n"/>
      <c r="K627" s="34" t="n"/>
      <c r="L627" s="34" t="n"/>
    </row>
    <row r="628" ht="13" customHeight="1" s="215">
      <c r="B628" s="224" t="n"/>
      <c r="C628" s="224" t="n"/>
      <c r="D628" s="33" t="n"/>
      <c r="E628" s="34" t="n"/>
      <c r="F628" s="34" t="n"/>
      <c r="G628" s="34" t="n"/>
      <c r="H628" s="34" t="n"/>
      <c r="I628" s="34" t="n"/>
      <c r="J628" s="34" t="n"/>
      <c r="K628" s="34" t="n"/>
      <c r="L628" s="34" t="n"/>
    </row>
    <row r="629" ht="13" customHeight="1" s="215">
      <c r="B629" s="224" t="n"/>
      <c r="C629" s="224" t="n"/>
      <c r="D629" s="33" t="n"/>
      <c r="E629" s="34" t="n"/>
      <c r="F629" s="34" t="n"/>
      <c r="G629" s="34" t="n"/>
      <c r="H629" s="34" t="n"/>
      <c r="I629" s="34" t="n"/>
      <c r="J629" s="34" t="n"/>
      <c r="K629" s="34" t="n"/>
      <c r="L629" s="34" t="n"/>
    </row>
    <row r="630" ht="13" customHeight="1" s="215">
      <c r="B630" s="224" t="n"/>
      <c r="C630" s="224" t="n"/>
      <c r="D630" s="33" t="n"/>
      <c r="E630" s="34" t="n"/>
      <c r="F630" s="34" t="n"/>
      <c r="G630" s="34" t="n"/>
      <c r="H630" s="34" t="n"/>
      <c r="I630" s="34" t="n"/>
      <c r="J630" s="34" t="n"/>
      <c r="K630" s="34" t="n"/>
      <c r="L630" s="34" t="n"/>
    </row>
    <row r="631" ht="13" customHeight="1" s="215">
      <c r="B631" s="224" t="n"/>
      <c r="C631" s="224" t="n"/>
      <c r="D631" s="33" t="n"/>
      <c r="E631" s="34" t="n"/>
      <c r="F631" s="34" t="n"/>
      <c r="G631" s="34" t="n"/>
      <c r="H631" s="34" t="n"/>
      <c r="I631" s="34" t="n"/>
      <c r="J631" s="34" t="n"/>
      <c r="K631" s="34" t="n"/>
      <c r="L631" s="34" t="n"/>
    </row>
    <row r="632" ht="13" customHeight="1" s="215">
      <c r="B632" s="224" t="n"/>
      <c r="C632" s="224" t="n"/>
      <c r="D632" s="33" t="n"/>
      <c r="E632" s="34" t="n"/>
      <c r="F632" s="34" t="n"/>
      <c r="G632" s="34" t="n"/>
      <c r="H632" s="34" t="n"/>
      <c r="I632" s="34" t="n"/>
      <c r="J632" s="34" t="n"/>
      <c r="K632" s="34" t="n"/>
      <c r="L632" s="34" t="n"/>
    </row>
    <row r="633" ht="13" customHeight="1" s="215">
      <c r="B633" s="224" t="n"/>
      <c r="C633" s="224" t="n"/>
      <c r="D633" s="33" t="n"/>
      <c r="E633" s="34" t="n"/>
      <c r="F633" s="34" t="n"/>
      <c r="G633" s="34" t="n"/>
      <c r="H633" s="34" t="n"/>
      <c r="I633" s="34" t="n"/>
      <c r="J633" s="34" t="n"/>
      <c r="K633" s="34" t="n"/>
      <c r="L633" s="34" t="n"/>
    </row>
    <row r="634" ht="13" customHeight="1" s="215">
      <c r="B634" s="224" t="n"/>
      <c r="C634" s="224" t="n"/>
      <c r="D634" s="33" t="n"/>
      <c r="E634" s="34" t="n"/>
      <c r="F634" s="34" t="n"/>
      <c r="G634" s="34" t="n"/>
      <c r="H634" s="34" t="n"/>
      <c r="I634" s="34" t="n"/>
      <c r="J634" s="34" t="n"/>
      <c r="K634" s="34" t="n"/>
      <c r="L634" s="34" t="n"/>
    </row>
    <row r="635" ht="13" customHeight="1" s="215">
      <c r="B635" s="224" t="n"/>
      <c r="C635" s="224" t="n"/>
      <c r="D635" s="33" t="n"/>
      <c r="E635" s="34" t="n"/>
      <c r="F635" s="34" t="n"/>
      <c r="G635" s="34" t="n"/>
      <c r="H635" s="34" t="n"/>
      <c r="I635" s="34" t="n"/>
      <c r="J635" s="34" t="n"/>
      <c r="K635" s="34" t="n"/>
      <c r="L635" s="34" t="n"/>
    </row>
    <row r="636" ht="13" customHeight="1" s="215">
      <c r="B636" s="224" t="n"/>
      <c r="C636" s="224" t="n"/>
      <c r="D636" s="33" t="n"/>
      <c r="E636" s="34" t="n"/>
      <c r="F636" s="34" t="n"/>
      <c r="G636" s="34" t="n"/>
      <c r="H636" s="34" t="n"/>
      <c r="I636" s="34" t="n"/>
      <c r="J636" s="34" t="n"/>
      <c r="K636" s="34" t="n"/>
      <c r="L636" s="34" t="n"/>
    </row>
    <row r="637" ht="13" customHeight="1" s="215">
      <c r="B637" s="224" t="n"/>
      <c r="C637" s="224" t="n"/>
      <c r="D637" s="33" t="n"/>
      <c r="E637" s="34" t="n"/>
      <c r="F637" s="34" t="n"/>
      <c r="G637" s="34" t="n"/>
      <c r="H637" s="34" t="n"/>
      <c r="I637" s="34" t="n"/>
      <c r="J637" s="34" t="n"/>
      <c r="K637" s="34" t="n"/>
      <c r="L637" s="34" t="n"/>
    </row>
    <row r="638" ht="13" customHeight="1" s="215">
      <c r="B638" s="224" t="n"/>
      <c r="C638" s="224" t="n"/>
      <c r="D638" s="33" t="n"/>
      <c r="E638" s="34" t="n"/>
      <c r="F638" s="34" t="n"/>
      <c r="G638" s="34" t="n"/>
      <c r="H638" s="34" t="n"/>
      <c r="I638" s="34" t="n"/>
      <c r="J638" s="34" t="n"/>
      <c r="K638" s="34" t="n"/>
      <c r="L638" s="34" t="n"/>
    </row>
    <row r="639" ht="13" customHeight="1" s="215">
      <c r="B639" s="224" t="n"/>
      <c r="C639" s="224" t="n"/>
      <c r="D639" s="33" t="n"/>
      <c r="E639" s="34" t="n"/>
      <c r="F639" s="34" t="n"/>
      <c r="G639" s="34" t="n"/>
      <c r="H639" s="34" t="n"/>
      <c r="I639" s="34" t="n"/>
      <c r="J639" s="34" t="n"/>
      <c r="K639" s="34" t="n"/>
      <c r="L639" s="34" t="n"/>
    </row>
    <row r="640" ht="13" customHeight="1" s="215">
      <c r="B640" s="224" t="n"/>
      <c r="C640" s="224" t="n"/>
      <c r="D640" s="33" t="n"/>
      <c r="E640" s="34" t="n"/>
      <c r="F640" s="34" t="n"/>
      <c r="G640" s="34" t="n"/>
      <c r="H640" s="34" t="n"/>
      <c r="I640" s="34" t="n"/>
      <c r="J640" s="34" t="n"/>
      <c r="K640" s="34" t="n"/>
      <c r="L640" s="34" t="n"/>
    </row>
    <row r="641" ht="13" customHeight="1" s="215">
      <c r="B641" s="224" t="n"/>
      <c r="C641" s="224" t="n"/>
      <c r="D641" s="33" t="n"/>
      <c r="E641" s="34" t="n"/>
      <c r="F641" s="34" t="n"/>
      <c r="G641" s="34" t="n"/>
      <c r="H641" s="34" t="n"/>
      <c r="I641" s="34" t="n"/>
      <c r="J641" s="34" t="n"/>
      <c r="K641" s="34" t="n"/>
      <c r="L641" s="34" t="n"/>
    </row>
    <row r="642" ht="13" customHeight="1" s="215">
      <c r="B642" s="224" t="n"/>
      <c r="C642" s="224" t="n"/>
      <c r="D642" s="33" t="n"/>
      <c r="E642" s="34" t="n"/>
      <c r="F642" s="34" t="n"/>
      <c r="G642" s="34" t="n"/>
      <c r="H642" s="34" t="n"/>
      <c r="I642" s="34" t="n"/>
      <c r="J642" s="34" t="n"/>
      <c r="K642" s="34" t="n"/>
      <c r="L642" s="34" t="n"/>
    </row>
    <row r="643" ht="13" customHeight="1" s="215">
      <c r="B643" s="224" t="n"/>
      <c r="C643" s="224" t="n"/>
      <c r="D643" s="33" t="n"/>
      <c r="E643" s="34" t="n"/>
      <c r="F643" s="34" t="n"/>
      <c r="G643" s="34" t="n"/>
      <c r="H643" s="34" t="n"/>
      <c r="I643" s="34" t="n"/>
      <c r="J643" s="34" t="n"/>
      <c r="K643" s="34" t="n"/>
      <c r="L643" s="34" t="n"/>
    </row>
    <row r="644" ht="13" customHeight="1" s="215">
      <c r="B644" s="224" t="n"/>
      <c r="C644" s="224" t="n"/>
      <c r="D644" s="33" t="n"/>
      <c r="E644" s="34" t="n"/>
      <c r="F644" s="34" t="n"/>
      <c r="G644" s="34" t="n"/>
      <c r="H644" s="34" t="n"/>
      <c r="I644" s="34" t="n"/>
      <c r="J644" s="34" t="n"/>
      <c r="K644" s="34" t="n"/>
      <c r="L644" s="34" t="n"/>
    </row>
    <row r="645" ht="13" customHeight="1" s="215">
      <c r="B645" s="224" t="n"/>
      <c r="C645" s="224" t="n"/>
      <c r="D645" s="33" t="n"/>
      <c r="E645" s="34" t="n"/>
      <c r="F645" s="34" t="n"/>
      <c r="G645" s="34" t="n"/>
      <c r="H645" s="34" t="n"/>
      <c r="I645" s="34" t="n"/>
      <c r="J645" s="34" t="n"/>
      <c r="K645" s="34" t="n"/>
      <c r="L645" s="34" t="n"/>
    </row>
    <row r="646" ht="13" customHeight="1" s="215">
      <c r="B646" s="224" t="n"/>
      <c r="C646" s="224" t="n"/>
      <c r="D646" s="33" t="n"/>
      <c r="E646" s="34" t="n"/>
      <c r="F646" s="34" t="n"/>
      <c r="G646" s="34" t="n"/>
      <c r="H646" s="34" t="n"/>
      <c r="I646" s="34" t="n"/>
      <c r="J646" s="34" t="n"/>
      <c r="K646" s="34" t="n"/>
      <c r="L646" s="34" t="n"/>
    </row>
    <row r="647" ht="13" customHeight="1" s="215">
      <c r="B647" s="224" t="n"/>
      <c r="C647" s="224" t="n"/>
      <c r="D647" s="33" t="n"/>
      <c r="E647" s="34" t="n"/>
      <c r="F647" s="34" t="n"/>
      <c r="G647" s="34" t="n"/>
      <c r="H647" s="34" t="n"/>
      <c r="I647" s="34" t="n"/>
      <c r="J647" s="34" t="n"/>
      <c r="K647" s="34" t="n"/>
      <c r="L647" s="34" t="n"/>
    </row>
    <row r="648" ht="13" customHeight="1" s="215">
      <c r="B648" s="224" t="n"/>
      <c r="C648" s="224" t="n"/>
      <c r="D648" s="33" t="n"/>
      <c r="E648" s="34" t="n"/>
      <c r="F648" s="34" t="n"/>
      <c r="G648" s="34" t="n"/>
      <c r="H648" s="34" t="n"/>
      <c r="I648" s="34" t="n"/>
      <c r="J648" s="34" t="n"/>
      <c r="K648" s="34" t="n"/>
      <c r="L648" s="34" t="n"/>
    </row>
    <row r="649" ht="13" customHeight="1" s="215">
      <c r="B649" s="224" t="n"/>
      <c r="C649" s="224" t="n"/>
      <c r="D649" s="33" t="n"/>
      <c r="E649" s="34" t="n"/>
      <c r="F649" s="34" t="n"/>
      <c r="G649" s="34" t="n"/>
      <c r="H649" s="34" t="n"/>
      <c r="I649" s="34" t="n"/>
      <c r="J649" s="34" t="n"/>
      <c r="K649" s="34" t="n"/>
      <c r="L649" s="34" t="n"/>
    </row>
    <row r="650" ht="13" customHeight="1" s="215">
      <c r="B650" s="224" t="n"/>
      <c r="C650" s="224" t="n"/>
      <c r="D650" s="33" t="n"/>
      <c r="E650" s="34" t="n"/>
      <c r="F650" s="34" t="n"/>
      <c r="G650" s="34" t="n"/>
      <c r="H650" s="34" t="n"/>
      <c r="I650" s="34" t="n"/>
      <c r="J650" s="34" t="n"/>
      <c r="K650" s="34" t="n"/>
      <c r="L650" s="34" t="n"/>
    </row>
    <row r="651" ht="13" customHeight="1" s="215">
      <c r="B651" s="224" t="n"/>
      <c r="C651" s="224" t="n"/>
      <c r="D651" s="33" t="n"/>
      <c r="E651" s="34" t="n"/>
      <c r="F651" s="34" t="n"/>
      <c r="G651" s="34" t="n"/>
      <c r="H651" s="34" t="n"/>
      <c r="I651" s="34" t="n"/>
      <c r="J651" s="34" t="n"/>
      <c r="K651" s="34" t="n"/>
      <c r="L651" s="34" t="n"/>
    </row>
    <row r="652" ht="13" customHeight="1" s="215">
      <c r="B652" s="224" t="n"/>
      <c r="C652" s="224" t="n"/>
      <c r="D652" s="33" t="n"/>
      <c r="E652" s="34" t="n"/>
      <c r="F652" s="34" t="n"/>
      <c r="G652" s="34" t="n"/>
      <c r="H652" s="34" t="n"/>
      <c r="I652" s="34" t="n"/>
      <c r="J652" s="34" t="n"/>
      <c r="K652" s="34" t="n"/>
      <c r="L652" s="34" t="n"/>
    </row>
    <row r="653" ht="13" customHeight="1" s="215">
      <c r="B653" s="224" t="n"/>
      <c r="C653" s="224" t="n"/>
      <c r="D653" s="33" t="n"/>
      <c r="E653" s="34" t="n"/>
      <c r="F653" s="34" t="n"/>
      <c r="G653" s="34" t="n"/>
      <c r="H653" s="34" t="n"/>
      <c r="I653" s="34" t="n"/>
      <c r="J653" s="34" t="n"/>
      <c r="K653" s="34" t="n"/>
      <c r="L653" s="34" t="n"/>
    </row>
    <row r="654" ht="13" customHeight="1" s="215">
      <c r="B654" s="224" t="n"/>
      <c r="C654" s="224" t="n"/>
      <c r="D654" s="33" t="n"/>
      <c r="E654" s="34" t="n"/>
      <c r="F654" s="34" t="n"/>
      <c r="G654" s="34" t="n"/>
      <c r="H654" s="34" t="n"/>
      <c r="I654" s="34" t="n"/>
      <c r="J654" s="34" t="n"/>
      <c r="K654" s="34" t="n"/>
      <c r="L654" s="34" t="n"/>
    </row>
    <row r="655" ht="13" customHeight="1" s="215">
      <c r="B655" s="224" t="n"/>
      <c r="C655" s="224" t="n"/>
      <c r="D655" s="33" t="n"/>
      <c r="E655" s="34" t="n"/>
      <c r="F655" s="34" t="n"/>
      <c r="G655" s="34" t="n"/>
      <c r="H655" s="34" t="n"/>
      <c r="I655" s="34" t="n"/>
      <c r="J655" s="34" t="n"/>
      <c r="K655" s="34" t="n"/>
      <c r="L655" s="34" t="n"/>
    </row>
    <row r="656" ht="13" customHeight="1" s="215">
      <c r="B656" s="224" t="n"/>
      <c r="C656" s="224" t="n"/>
      <c r="D656" s="33" t="n"/>
      <c r="E656" s="34" t="n"/>
      <c r="F656" s="34" t="n"/>
      <c r="G656" s="34" t="n"/>
      <c r="H656" s="34" t="n"/>
      <c r="I656" s="34" t="n"/>
      <c r="J656" s="34" t="n"/>
      <c r="K656" s="34" t="n"/>
      <c r="L656" s="34" t="n"/>
    </row>
    <row r="657" ht="13" customHeight="1" s="215">
      <c r="B657" s="224" t="n"/>
      <c r="C657" s="224" t="n"/>
      <c r="D657" s="33" t="n"/>
      <c r="E657" s="34" t="n"/>
      <c r="F657" s="34" t="n"/>
      <c r="G657" s="34" t="n"/>
      <c r="H657" s="34" t="n"/>
      <c r="I657" s="34" t="n"/>
      <c r="J657" s="34" t="n"/>
      <c r="K657" s="34" t="n"/>
      <c r="L657" s="34" t="n"/>
    </row>
    <row r="658" ht="13" customHeight="1" s="215">
      <c r="B658" s="224" t="n"/>
      <c r="C658" s="224" t="n"/>
      <c r="D658" s="33" t="n"/>
      <c r="E658" s="34" t="n"/>
      <c r="F658" s="34" t="n"/>
      <c r="G658" s="34" t="n"/>
      <c r="H658" s="34" t="n"/>
      <c r="I658" s="34" t="n"/>
      <c r="J658" s="34" t="n"/>
      <c r="K658" s="34" t="n"/>
      <c r="L658" s="34" t="n"/>
    </row>
    <row r="659" ht="13" customHeight="1" s="215">
      <c r="B659" s="224" t="n"/>
      <c r="C659" s="224" t="n"/>
      <c r="D659" s="33" t="n"/>
      <c r="E659" s="34" t="n"/>
      <c r="F659" s="34" t="n"/>
      <c r="G659" s="34" t="n"/>
      <c r="H659" s="34" t="n"/>
      <c r="I659" s="34" t="n"/>
      <c r="J659" s="34" t="n"/>
      <c r="K659" s="34" t="n"/>
      <c r="L659" s="34" t="n"/>
    </row>
    <row r="660" ht="13" customHeight="1" s="215">
      <c r="B660" s="224" t="n"/>
      <c r="C660" s="224" t="n"/>
      <c r="D660" s="33" t="n"/>
      <c r="E660" s="34" t="n"/>
      <c r="F660" s="34" t="n"/>
      <c r="G660" s="34" t="n"/>
      <c r="H660" s="34" t="n"/>
      <c r="I660" s="34" t="n"/>
      <c r="J660" s="34" t="n"/>
      <c r="K660" s="34" t="n"/>
      <c r="L660" s="34" t="n"/>
    </row>
    <row r="661" ht="13" customHeight="1" s="215">
      <c r="B661" s="224" t="n"/>
      <c r="C661" s="224" t="n"/>
      <c r="D661" s="33" t="n"/>
      <c r="E661" s="34" t="n"/>
      <c r="F661" s="34" t="n"/>
      <c r="G661" s="34" t="n"/>
      <c r="H661" s="34" t="n"/>
      <c r="I661" s="34" t="n"/>
      <c r="J661" s="34" t="n"/>
      <c r="K661" s="34" t="n"/>
      <c r="L661" s="34" t="n"/>
    </row>
    <row r="662" ht="13" customHeight="1" s="215">
      <c r="B662" s="224" t="n"/>
      <c r="C662" s="224" t="n"/>
      <c r="D662" s="33" t="n"/>
      <c r="E662" s="34" t="n"/>
      <c r="F662" s="34" t="n"/>
      <c r="G662" s="34" t="n"/>
      <c r="H662" s="34" t="n"/>
      <c r="I662" s="34" t="n"/>
      <c r="J662" s="34" t="n"/>
      <c r="K662" s="34" t="n"/>
      <c r="L662" s="34" t="n"/>
    </row>
    <row r="663" ht="13" customHeight="1" s="215">
      <c r="B663" s="224" t="n"/>
      <c r="C663" s="224" t="n"/>
      <c r="D663" s="33" t="n"/>
      <c r="E663" s="34" t="n"/>
      <c r="F663" s="34" t="n"/>
      <c r="G663" s="34" t="n"/>
      <c r="H663" s="34" t="n"/>
      <c r="I663" s="34" t="n"/>
      <c r="J663" s="34" t="n"/>
      <c r="K663" s="34" t="n"/>
      <c r="L663" s="34" t="n"/>
    </row>
    <row r="664" ht="13" customHeight="1" s="215">
      <c r="B664" s="224" t="n"/>
      <c r="C664" s="224" t="n"/>
      <c r="D664" s="33" t="n"/>
      <c r="E664" s="34" t="n"/>
      <c r="F664" s="34" t="n"/>
      <c r="G664" s="34" t="n"/>
      <c r="H664" s="34" t="n"/>
      <c r="I664" s="34" t="n"/>
      <c r="J664" s="34" t="n"/>
      <c r="K664" s="34" t="n"/>
      <c r="L664" s="34" t="n"/>
    </row>
    <row r="665" ht="13" customHeight="1" s="215">
      <c r="B665" s="224" t="n"/>
      <c r="C665" s="224" t="n"/>
      <c r="D665" s="33" t="n"/>
      <c r="E665" s="34" t="n"/>
      <c r="F665" s="34" t="n"/>
      <c r="G665" s="34" t="n"/>
      <c r="H665" s="34" t="n"/>
      <c r="I665" s="34" t="n"/>
      <c r="J665" s="34" t="n"/>
      <c r="K665" s="34" t="n"/>
      <c r="L665" s="34" t="n"/>
    </row>
    <row r="666" ht="13" customHeight="1" s="215">
      <c r="B666" s="224" t="n"/>
      <c r="C666" s="224" t="n"/>
      <c r="D666" s="33" t="n"/>
      <c r="E666" s="34" t="n"/>
      <c r="F666" s="34" t="n"/>
      <c r="G666" s="34" t="n"/>
      <c r="H666" s="34" t="n"/>
      <c r="I666" s="34" t="n"/>
      <c r="J666" s="34" t="n"/>
      <c r="K666" s="34" t="n"/>
      <c r="L666" s="34" t="n"/>
    </row>
    <row r="667" ht="13" customHeight="1" s="215">
      <c r="B667" s="224" t="n"/>
      <c r="C667" s="224" t="n"/>
      <c r="D667" s="33" t="n"/>
      <c r="E667" s="34" t="n"/>
      <c r="F667" s="34" t="n"/>
      <c r="G667" s="34" t="n"/>
      <c r="H667" s="34" t="n"/>
      <c r="I667" s="34" t="n"/>
      <c r="J667" s="34" t="n"/>
      <c r="K667" s="34" t="n"/>
      <c r="L667" s="34" t="n"/>
    </row>
    <row r="668" ht="13" customHeight="1" s="215">
      <c r="B668" s="224" t="n"/>
      <c r="C668" s="224" t="n"/>
      <c r="D668" s="33" t="n"/>
      <c r="E668" s="34" t="n"/>
      <c r="F668" s="34" t="n"/>
      <c r="G668" s="34" t="n"/>
      <c r="H668" s="34" t="n"/>
      <c r="I668" s="34" t="n"/>
      <c r="J668" s="34" t="n"/>
      <c r="K668" s="34" t="n"/>
      <c r="L668" s="34" t="n"/>
    </row>
    <row r="669" ht="13" customHeight="1" s="215">
      <c r="B669" s="224" t="n"/>
      <c r="C669" s="224" t="n"/>
      <c r="D669" s="33" t="n"/>
      <c r="E669" s="34" t="n"/>
      <c r="F669" s="34" t="n"/>
      <c r="G669" s="34" t="n"/>
      <c r="H669" s="34" t="n"/>
      <c r="I669" s="34" t="n"/>
      <c r="J669" s="34" t="n"/>
      <c r="K669" s="34" t="n"/>
      <c r="L669" s="34" t="n"/>
    </row>
    <row r="670" ht="13" customHeight="1" s="215">
      <c r="B670" s="224" t="n"/>
      <c r="C670" s="224" t="n"/>
      <c r="D670" s="33" t="n"/>
      <c r="E670" s="34" t="n"/>
      <c r="F670" s="34" t="n"/>
      <c r="G670" s="34" t="n"/>
      <c r="H670" s="34" t="n"/>
      <c r="I670" s="34" t="n"/>
      <c r="J670" s="34" t="n"/>
      <c r="K670" s="34" t="n"/>
      <c r="L670" s="34" t="n"/>
    </row>
    <row r="671" ht="13" customHeight="1" s="215">
      <c r="B671" s="224" t="n"/>
      <c r="C671" s="224" t="n"/>
      <c r="D671" s="33" t="n"/>
      <c r="E671" s="34" t="n"/>
      <c r="F671" s="34" t="n"/>
      <c r="G671" s="34" t="n"/>
      <c r="H671" s="34" t="n"/>
      <c r="I671" s="34" t="n"/>
      <c r="J671" s="34" t="n"/>
      <c r="K671" s="34" t="n"/>
      <c r="L671" s="34" t="n"/>
    </row>
    <row r="672" ht="13" customHeight="1" s="215">
      <c r="B672" s="224" t="n"/>
      <c r="C672" s="224" t="n"/>
      <c r="D672" s="33" t="n"/>
      <c r="E672" s="34" t="n"/>
      <c r="F672" s="34" t="n"/>
      <c r="G672" s="34" t="n"/>
      <c r="H672" s="34" t="n"/>
      <c r="I672" s="34" t="n"/>
      <c r="J672" s="34" t="n"/>
      <c r="K672" s="34" t="n"/>
      <c r="L672" s="34" t="n"/>
    </row>
    <row r="673" ht="13" customHeight="1" s="215">
      <c r="B673" s="224" t="n"/>
      <c r="C673" s="224" t="n"/>
      <c r="D673" s="33" t="n"/>
      <c r="E673" s="34" t="n"/>
      <c r="F673" s="34" t="n"/>
      <c r="G673" s="34" t="n"/>
      <c r="H673" s="34" t="n"/>
      <c r="I673" s="34" t="n"/>
      <c r="J673" s="34" t="n"/>
      <c r="K673" s="34" t="n"/>
      <c r="L673" s="34" t="n"/>
    </row>
    <row r="674" ht="13" customHeight="1" s="215">
      <c r="B674" s="224" t="n"/>
      <c r="C674" s="224" t="n"/>
      <c r="D674" s="33" t="n"/>
      <c r="E674" s="34" t="n"/>
      <c r="F674" s="34" t="n"/>
      <c r="G674" s="34" t="n"/>
      <c r="H674" s="34" t="n"/>
      <c r="I674" s="34" t="n"/>
      <c r="J674" s="34" t="n"/>
      <c r="K674" s="34" t="n"/>
      <c r="L674" s="34" t="n"/>
    </row>
    <row r="675" ht="13" customHeight="1" s="215">
      <c r="B675" s="224" t="n"/>
      <c r="C675" s="224" t="n"/>
      <c r="D675" s="33" t="n"/>
      <c r="E675" s="34" t="n"/>
      <c r="F675" s="34" t="n"/>
      <c r="G675" s="34" t="n"/>
      <c r="H675" s="34" t="n"/>
      <c r="I675" s="34" t="n"/>
      <c r="J675" s="34" t="n"/>
      <c r="K675" s="34" t="n"/>
      <c r="L675" s="34" t="n"/>
    </row>
    <row r="676" ht="13" customHeight="1" s="215">
      <c r="B676" s="224" t="n"/>
      <c r="C676" s="224" t="n"/>
      <c r="D676" s="33" t="n"/>
      <c r="E676" s="34" t="n"/>
      <c r="F676" s="34" t="n"/>
      <c r="G676" s="34" t="n"/>
      <c r="H676" s="34" t="n"/>
      <c r="I676" s="34" t="n"/>
      <c r="J676" s="34" t="n"/>
      <c r="K676" s="34" t="n"/>
      <c r="L676" s="34" t="n"/>
    </row>
    <row r="677" ht="13" customHeight="1" s="215">
      <c r="B677" s="224" t="n"/>
      <c r="C677" s="224" t="n"/>
      <c r="D677" s="33" t="n"/>
      <c r="E677" s="34" t="n"/>
      <c r="F677" s="34" t="n"/>
      <c r="G677" s="34" t="n"/>
      <c r="H677" s="34" t="n"/>
      <c r="I677" s="34" t="n"/>
      <c r="J677" s="34" t="n"/>
      <c r="K677" s="34" t="n"/>
      <c r="L677" s="34" t="n"/>
    </row>
    <row r="678" ht="13" customHeight="1" s="215">
      <c r="B678" s="224" t="n"/>
      <c r="C678" s="224" t="n"/>
      <c r="D678" s="33" t="n"/>
      <c r="E678" s="34" t="n"/>
      <c r="F678" s="34" t="n"/>
      <c r="G678" s="34" t="n"/>
      <c r="H678" s="34" t="n"/>
      <c r="I678" s="34" t="n"/>
      <c r="J678" s="34" t="n"/>
      <c r="K678" s="34" t="n"/>
      <c r="L678" s="34" t="n"/>
    </row>
    <row r="679" ht="13" customHeight="1" s="215">
      <c r="B679" s="224" t="n"/>
      <c r="C679" s="224" t="n"/>
      <c r="D679" s="33" t="n"/>
      <c r="E679" s="34" t="n"/>
      <c r="F679" s="34" t="n"/>
      <c r="G679" s="34" t="n"/>
      <c r="H679" s="34" t="n"/>
      <c r="I679" s="34" t="n"/>
      <c r="J679" s="34" t="n"/>
      <c r="K679" s="34" t="n"/>
      <c r="L679" s="34" t="n"/>
    </row>
    <row r="680" ht="13" customHeight="1" s="215">
      <c r="B680" s="224" t="n"/>
      <c r="C680" s="224" t="n"/>
      <c r="D680" s="33" t="n"/>
      <c r="E680" s="34" t="n"/>
      <c r="F680" s="34" t="n"/>
      <c r="G680" s="34" t="n"/>
      <c r="H680" s="34" t="n"/>
      <c r="I680" s="34" t="n"/>
      <c r="J680" s="34" t="n"/>
      <c r="K680" s="34" t="n"/>
      <c r="L680" s="34" t="n"/>
    </row>
    <row r="681" ht="13" customHeight="1" s="215">
      <c r="B681" s="224" t="n"/>
      <c r="C681" s="224" t="n"/>
      <c r="D681" s="33" t="n"/>
      <c r="E681" s="34" t="n"/>
      <c r="F681" s="34" t="n"/>
      <c r="G681" s="34" t="n"/>
      <c r="H681" s="34" t="n"/>
      <c r="I681" s="34" t="n"/>
      <c r="J681" s="34" t="n"/>
      <c r="K681" s="34" t="n"/>
      <c r="L681" s="34" t="n"/>
    </row>
    <row r="682" ht="13" customHeight="1" s="215">
      <c r="B682" s="224" t="n"/>
      <c r="C682" s="224" t="n"/>
      <c r="D682" s="33" t="n"/>
      <c r="E682" s="34" t="n"/>
      <c r="F682" s="34" t="n"/>
      <c r="G682" s="34" t="n"/>
      <c r="H682" s="34" t="n"/>
      <c r="I682" s="34" t="n"/>
      <c r="J682" s="34" t="n"/>
      <c r="K682" s="34" t="n"/>
      <c r="L682" s="34" t="n"/>
    </row>
    <row r="683" ht="13" customHeight="1" s="215">
      <c r="B683" s="224" t="n"/>
      <c r="C683" s="224" t="n"/>
      <c r="D683" s="33" t="n"/>
      <c r="E683" s="34" t="n"/>
      <c r="F683" s="34" t="n"/>
      <c r="G683" s="34" t="n"/>
      <c r="H683" s="34" t="n"/>
      <c r="I683" s="34" t="n"/>
      <c r="J683" s="34" t="n"/>
      <c r="K683" s="34" t="n"/>
      <c r="L683" s="34" t="n"/>
    </row>
    <row r="684" ht="13" customHeight="1" s="215">
      <c r="B684" s="224" t="n"/>
      <c r="C684" s="224" t="n"/>
      <c r="D684" s="33" t="n"/>
      <c r="E684" s="34" t="n"/>
      <c r="F684" s="34" t="n"/>
      <c r="G684" s="34" t="n"/>
      <c r="H684" s="34" t="n"/>
      <c r="I684" s="34" t="n"/>
      <c r="J684" s="34" t="n"/>
      <c r="K684" s="34" t="n"/>
      <c r="L684" s="34" t="n"/>
    </row>
    <row r="685" ht="13" customHeight="1" s="215">
      <c r="B685" s="224" t="n"/>
      <c r="C685" s="224" t="n"/>
      <c r="D685" s="33" t="n"/>
      <c r="E685" s="34" t="n"/>
      <c r="F685" s="34" t="n"/>
      <c r="G685" s="34" t="n"/>
      <c r="H685" s="34" t="n"/>
      <c r="I685" s="34" t="n"/>
      <c r="J685" s="34" t="n"/>
      <c r="K685" s="34" t="n"/>
      <c r="L685" s="34" t="n"/>
    </row>
    <row r="686" ht="13" customHeight="1" s="215">
      <c r="B686" s="224" t="n"/>
      <c r="C686" s="224" t="n"/>
      <c r="D686" s="33" t="n"/>
      <c r="E686" s="34" t="n"/>
      <c r="F686" s="34" t="n"/>
      <c r="G686" s="34" t="n"/>
      <c r="H686" s="34" t="n"/>
      <c r="I686" s="34" t="n"/>
      <c r="J686" s="34" t="n"/>
      <c r="K686" s="34" t="n"/>
      <c r="L686" s="34" t="n"/>
    </row>
    <row r="687" ht="13" customHeight="1" s="215">
      <c r="B687" s="224" t="n"/>
      <c r="C687" s="224" t="n"/>
      <c r="D687" s="33" t="n"/>
      <c r="E687" s="34" t="n"/>
      <c r="F687" s="34" t="n"/>
      <c r="G687" s="34" t="n"/>
      <c r="H687" s="34" t="n"/>
      <c r="I687" s="34" t="n"/>
      <c r="J687" s="34" t="n"/>
      <c r="K687" s="34" t="n"/>
      <c r="L687" s="34" t="n"/>
    </row>
    <row r="688" ht="13" customHeight="1" s="215">
      <c r="B688" s="224" t="n"/>
      <c r="C688" s="224" t="n"/>
      <c r="D688" s="33" t="n"/>
      <c r="E688" s="34" t="n"/>
      <c r="F688" s="34" t="n"/>
      <c r="G688" s="34" t="n"/>
      <c r="H688" s="34" t="n"/>
      <c r="I688" s="34" t="n"/>
      <c r="J688" s="34" t="n"/>
      <c r="K688" s="34" t="n"/>
      <c r="L688" s="34" t="n"/>
    </row>
    <row r="689" ht="13" customHeight="1" s="215">
      <c r="B689" s="224" t="n"/>
      <c r="C689" s="224" t="n"/>
      <c r="D689" s="33" t="n"/>
      <c r="E689" s="34" t="n"/>
      <c r="F689" s="34" t="n"/>
      <c r="G689" s="34" t="n"/>
      <c r="H689" s="34" t="n"/>
      <c r="I689" s="34" t="n"/>
      <c r="J689" s="34" t="n"/>
      <c r="K689" s="34" t="n"/>
      <c r="L689" s="34" t="n"/>
    </row>
    <row r="690" ht="13" customHeight="1" s="215">
      <c r="B690" s="224" t="n"/>
      <c r="C690" s="224" t="n"/>
      <c r="D690" s="33" t="n"/>
      <c r="E690" s="34" t="n"/>
      <c r="F690" s="34" t="n"/>
      <c r="G690" s="34" t="n"/>
      <c r="H690" s="34" t="n"/>
      <c r="I690" s="34" t="n"/>
      <c r="J690" s="34" t="n"/>
      <c r="K690" s="34" t="n"/>
      <c r="L690" s="34" t="n"/>
    </row>
    <row r="691" ht="13" customHeight="1" s="215">
      <c r="B691" s="224" t="n"/>
      <c r="C691" s="224" t="n"/>
      <c r="D691" s="33" t="n"/>
      <c r="E691" s="34" t="n"/>
      <c r="F691" s="34" t="n"/>
      <c r="G691" s="34" t="n"/>
      <c r="H691" s="34" t="n"/>
      <c r="I691" s="34" t="n"/>
      <c r="J691" s="34" t="n"/>
      <c r="K691" s="34" t="n"/>
      <c r="L691" s="34" t="n"/>
    </row>
    <row r="692" ht="13" customHeight="1" s="215">
      <c r="B692" s="224" t="n"/>
      <c r="C692" s="224" t="n"/>
      <c r="D692" s="33" t="n"/>
      <c r="E692" s="34" t="n"/>
      <c r="F692" s="34" t="n"/>
      <c r="G692" s="34" t="n"/>
      <c r="H692" s="34" t="n"/>
      <c r="I692" s="34" t="n"/>
      <c r="J692" s="34" t="n"/>
      <c r="K692" s="34" t="n"/>
      <c r="L692" s="34" t="n"/>
    </row>
    <row r="693" ht="13" customHeight="1" s="215">
      <c r="B693" s="224" t="n"/>
      <c r="C693" s="224" t="n"/>
      <c r="D693" s="33" t="n"/>
      <c r="E693" s="34" t="n"/>
      <c r="F693" s="34" t="n"/>
      <c r="G693" s="34" t="n"/>
      <c r="H693" s="34" t="n"/>
      <c r="I693" s="34" t="n"/>
      <c r="J693" s="34" t="n"/>
      <c r="K693" s="34" t="n"/>
      <c r="L693" s="34" t="n"/>
    </row>
    <row r="694" ht="13" customHeight="1" s="215">
      <c r="B694" s="224" t="n"/>
      <c r="C694" s="224" t="n"/>
      <c r="D694" s="33" t="n"/>
      <c r="E694" s="34" t="n"/>
      <c r="F694" s="34" t="n"/>
      <c r="G694" s="34" t="n"/>
      <c r="H694" s="34" t="n"/>
      <c r="I694" s="34" t="n"/>
      <c r="J694" s="34" t="n"/>
      <c r="K694" s="34" t="n"/>
      <c r="L694" s="34" t="n"/>
    </row>
    <row r="695" ht="13" customHeight="1" s="215">
      <c r="B695" s="224" t="n"/>
      <c r="C695" s="224" t="n"/>
      <c r="D695" s="33" t="n"/>
      <c r="E695" s="34" t="n"/>
      <c r="F695" s="34" t="n"/>
      <c r="G695" s="34" t="n"/>
      <c r="H695" s="34" t="n"/>
      <c r="I695" s="34" t="n"/>
      <c r="J695" s="34" t="n"/>
      <c r="K695" s="34" t="n"/>
      <c r="L695" s="34" t="n"/>
    </row>
    <row r="696" ht="13" customHeight="1" s="215">
      <c r="B696" s="224" t="n"/>
      <c r="C696" s="224" t="n"/>
      <c r="D696" s="33" t="n"/>
      <c r="E696" s="34" t="n"/>
      <c r="F696" s="34" t="n"/>
      <c r="G696" s="34" t="n"/>
      <c r="H696" s="34" t="n"/>
      <c r="I696" s="34" t="n"/>
      <c r="J696" s="34" t="n"/>
      <c r="K696" s="34" t="n"/>
      <c r="L696" s="34" t="n"/>
    </row>
    <row r="697" ht="13" customHeight="1" s="215">
      <c r="B697" s="224" t="n"/>
      <c r="C697" s="224" t="n"/>
      <c r="D697" s="33" t="n"/>
      <c r="E697" s="34" t="n"/>
      <c r="F697" s="34" t="n"/>
      <c r="G697" s="34" t="n"/>
      <c r="H697" s="34" t="n"/>
      <c r="I697" s="34" t="n"/>
      <c r="J697" s="34" t="n"/>
      <c r="K697" s="34" t="n"/>
      <c r="L697" s="34" t="n"/>
    </row>
    <row r="698" ht="13" customHeight="1" s="215">
      <c r="B698" s="224" t="n"/>
      <c r="C698" s="224" t="n"/>
      <c r="D698" s="33" t="n"/>
      <c r="E698" s="34" t="n"/>
      <c r="F698" s="34" t="n"/>
      <c r="G698" s="34" t="n"/>
      <c r="H698" s="34" t="n"/>
      <c r="I698" s="34" t="n"/>
      <c r="J698" s="34" t="n"/>
      <c r="K698" s="34" t="n"/>
      <c r="L698" s="34" t="n"/>
    </row>
    <row r="699" ht="13" customHeight="1" s="215">
      <c r="B699" s="224" t="n"/>
      <c r="C699" s="224" t="n"/>
      <c r="D699" s="33" t="n"/>
      <c r="E699" s="34" t="n"/>
      <c r="F699" s="34" t="n"/>
      <c r="G699" s="34" t="n"/>
      <c r="H699" s="34" t="n"/>
      <c r="I699" s="34" t="n"/>
      <c r="J699" s="34" t="n"/>
      <c r="K699" s="34" t="n"/>
      <c r="L699" s="34" t="n"/>
    </row>
    <row r="700" ht="13" customHeight="1" s="215">
      <c r="B700" s="224" t="n"/>
      <c r="C700" s="224" t="n"/>
      <c r="D700" s="33" t="n"/>
      <c r="E700" s="34" t="n"/>
      <c r="F700" s="34" t="n"/>
      <c r="G700" s="34" t="n"/>
      <c r="H700" s="34" t="n"/>
      <c r="I700" s="34" t="n"/>
      <c r="J700" s="34" t="n"/>
      <c r="K700" s="34" t="n"/>
      <c r="L700" s="34" t="n"/>
    </row>
    <row r="701" ht="13" customHeight="1" s="215">
      <c r="B701" s="224" t="n"/>
      <c r="C701" s="224" t="n"/>
      <c r="D701" s="33" t="n"/>
      <c r="E701" s="34" t="n"/>
      <c r="F701" s="34" t="n"/>
      <c r="G701" s="34" t="n"/>
      <c r="H701" s="34" t="n"/>
      <c r="I701" s="34" t="n"/>
      <c r="J701" s="34" t="n"/>
      <c r="K701" s="34" t="n"/>
      <c r="L701" s="34" t="n"/>
    </row>
    <row r="702" ht="13" customHeight="1" s="215">
      <c r="B702" s="224" t="n"/>
      <c r="C702" s="224" t="n"/>
      <c r="D702" s="33" t="n"/>
      <c r="E702" s="34" t="n"/>
      <c r="F702" s="34" t="n"/>
      <c r="G702" s="34" t="n"/>
      <c r="H702" s="34" t="n"/>
      <c r="I702" s="34" t="n"/>
      <c r="J702" s="34" t="n"/>
      <c r="K702" s="34" t="n"/>
      <c r="L702" s="34" t="n"/>
    </row>
    <row r="703" ht="13" customHeight="1" s="215">
      <c r="B703" s="224" t="n"/>
      <c r="C703" s="224" t="n"/>
      <c r="D703" s="33" t="n"/>
      <c r="E703" s="34" t="n"/>
      <c r="F703" s="34" t="n"/>
      <c r="G703" s="34" t="n"/>
      <c r="H703" s="34" t="n"/>
      <c r="I703" s="34" t="n"/>
      <c r="J703" s="34" t="n"/>
      <c r="K703" s="34" t="n"/>
      <c r="L703" s="34" t="n"/>
    </row>
    <row r="704" ht="13" customHeight="1" s="215">
      <c r="B704" s="224" t="n"/>
      <c r="C704" s="224" t="n"/>
      <c r="D704" s="33" t="n"/>
      <c r="E704" s="34" t="n"/>
      <c r="F704" s="34" t="n"/>
      <c r="G704" s="34" t="n"/>
      <c r="H704" s="34" t="n"/>
      <c r="I704" s="34" t="n"/>
      <c r="J704" s="34" t="n"/>
      <c r="K704" s="34" t="n"/>
      <c r="L704" s="34" t="n"/>
    </row>
    <row r="705" ht="13" customHeight="1" s="215">
      <c r="B705" s="224" t="n"/>
      <c r="C705" s="224" t="n"/>
      <c r="D705" s="33" t="n"/>
      <c r="E705" s="34" t="n"/>
      <c r="F705" s="34" t="n"/>
      <c r="G705" s="34" t="n"/>
      <c r="H705" s="34" t="n"/>
      <c r="I705" s="34" t="n"/>
      <c r="J705" s="34" t="n"/>
      <c r="K705" s="34" t="n"/>
      <c r="L705" s="34" t="n"/>
    </row>
    <row r="706" ht="13" customHeight="1" s="215">
      <c r="B706" s="224" t="n"/>
      <c r="C706" s="224" t="n"/>
      <c r="D706" s="33" t="n"/>
      <c r="E706" s="34" t="n"/>
      <c r="F706" s="34" t="n"/>
      <c r="G706" s="34" t="n"/>
      <c r="H706" s="34" t="n"/>
      <c r="I706" s="34" t="n"/>
      <c r="J706" s="34" t="n"/>
      <c r="K706" s="34" t="n"/>
      <c r="L706" s="34" t="n"/>
    </row>
    <row r="707" ht="13" customHeight="1" s="215">
      <c r="B707" s="224" t="n"/>
      <c r="C707" s="224" t="n"/>
      <c r="D707" s="33" t="n"/>
      <c r="E707" s="34" t="n"/>
      <c r="F707" s="34" t="n"/>
      <c r="G707" s="34" t="n"/>
      <c r="H707" s="34" t="n"/>
      <c r="I707" s="34" t="n"/>
      <c r="J707" s="34" t="n"/>
      <c r="K707" s="34" t="n"/>
      <c r="L707" s="34" t="n"/>
    </row>
    <row r="708" ht="13" customHeight="1" s="215">
      <c r="B708" s="224" t="n"/>
      <c r="C708" s="224" t="n"/>
      <c r="D708" s="33" t="n"/>
      <c r="E708" s="34" t="n"/>
      <c r="F708" s="34" t="n"/>
      <c r="G708" s="34" t="n"/>
      <c r="H708" s="34" t="n"/>
      <c r="I708" s="34" t="n"/>
      <c r="J708" s="34" t="n"/>
      <c r="K708" s="34" t="n"/>
      <c r="L708" s="34" t="n"/>
    </row>
    <row r="709" ht="13" customHeight="1" s="215">
      <c r="B709" s="224" t="n"/>
      <c r="C709" s="224" t="n"/>
      <c r="D709" s="33" t="n"/>
      <c r="E709" s="34" t="n"/>
      <c r="F709" s="34" t="n"/>
      <c r="G709" s="34" t="n"/>
      <c r="H709" s="34" t="n"/>
      <c r="I709" s="34" t="n"/>
      <c r="J709" s="34" t="n"/>
      <c r="K709" s="34" t="n"/>
      <c r="L709" s="34" t="n"/>
    </row>
    <row r="710" ht="13" customHeight="1" s="215">
      <c r="B710" s="224" t="n"/>
      <c r="C710" s="224" t="n"/>
      <c r="D710" s="33" t="n"/>
      <c r="E710" s="34" t="n"/>
      <c r="F710" s="34" t="n"/>
      <c r="G710" s="34" t="n"/>
      <c r="H710" s="34" t="n"/>
      <c r="I710" s="34" t="n"/>
      <c r="J710" s="34" t="n"/>
      <c r="K710" s="34" t="n"/>
      <c r="L710" s="34" t="n"/>
    </row>
    <row r="711" ht="13" customHeight="1" s="215">
      <c r="B711" s="224" t="n"/>
      <c r="C711" s="224" t="n"/>
      <c r="D711" s="33" t="n"/>
      <c r="E711" s="34" t="n"/>
      <c r="F711" s="34" t="n"/>
      <c r="G711" s="34" t="n"/>
      <c r="H711" s="34" t="n"/>
      <c r="I711" s="34" t="n"/>
      <c r="J711" s="34" t="n"/>
      <c r="K711" s="34" t="n"/>
      <c r="L711" s="34" t="n"/>
    </row>
    <row r="712" ht="13" customHeight="1" s="215">
      <c r="B712" s="224" t="n"/>
      <c r="C712" s="224" t="n"/>
      <c r="D712" s="33" t="n"/>
      <c r="E712" s="34" t="n"/>
      <c r="F712" s="34" t="n"/>
      <c r="G712" s="34" t="n"/>
      <c r="H712" s="34" t="n"/>
      <c r="I712" s="34" t="n"/>
      <c r="J712" s="34" t="n"/>
      <c r="K712" s="34" t="n"/>
      <c r="L712" s="34" t="n"/>
    </row>
    <row r="713" ht="13" customHeight="1" s="215">
      <c r="B713" s="224" t="n"/>
      <c r="C713" s="224" t="n"/>
      <c r="D713" s="33" t="n"/>
      <c r="E713" s="34" t="n"/>
      <c r="F713" s="34" t="n"/>
      <c r="G713" s="34" t="n"/>
      <c r="H713" s="34" t="n"/>
      <c r="I713" s="34" t="n"/>
      <c r="J713" s="34" t="n"/>
      <c r="K713" s="34" t="n"/>
      <c r="L713" s="34" t="n"/>
    </row>
    <row r="714" ht="13" customHeight="1" s="215">
      <c r="B714" s="224" t="n"/>
      <c r="C714" s="224" t="n"/>
      <c r="D714" s="33" t="n"/>
      <c r="E714" s="34" t="n"/>
      <c r="F714" s="34" t="n"/>
      <c r="G714" s="34" t="n"/>
      <c r="H714" s="34" t="n"/>
      <c r="I714" s="34" t="n"/>
      <c r="J714" s="34" t="n"/>
      <c r="K714" s="34" t="n"/>
      <c r="L714" s="34" t="n"/>
    </row>
    <row r="715" ht="13" customHeight="1" s="215">
      <c r="B715" s="224" t="n"/>
      <c r="C715" s="224" t="n"/>
      <c r="D715" s="33" t="n"/>
      <c r="E715" s="34" t="n"/>
      <c r="F715" s="34" t="n"/>
      <c r="G715" s="34" t="n"/>
      <c r="H715" s="34" t="n"/>
      <c r="I715" s="34" t="n"/>
      <c r="J715" s="34" t="n"/>
      <c r="K715" s="34" t="n"/>
      <c r="L715" s="34" t="n"/>
    </row>
    <row r="716" ht="13" customHeight="1" s="215">
      <c r="B716" s="224" t="n"/>
      <c r="C716" s="224" t="n"/>
      <c r="D716" s="33" t="n"/>
      <c r="E716" s="34" t="n"/>
      <c r="F716" s="34" t="n"/>
      <c r="G716" s="34" t="n"/>
      <c r="H716" s="34" t="n"/>
      <c r="I716" s="34" t="n"/>
      <c r="J716" s="34" t="n"/>
      <c r="K716" s="34" t="n"/>
      <c r="L716" s="34" t="n"/>
    </row>
    <row r="717" ht="13" customHeight="1" s="215">
      <c r="B717" s="224" t="n"/>
      <c r="C717" s="224" t="n"/>
      <c r="D717" s="33" t="n"/>
      <c r="E717" s="34" t="n"/>
      <c r="F717" s="34" t="n"/>
      <c r="G717" s="34" t="n"/>
      <c r="H717" s="34" t="n"/>
      <c r="I717" s="34" t="n"/>
      <c r="J717" s="34" t="n"/>
      <c r="K717" s="34" t="n"/>
      <c r="L717" s="34" t="n"/>
    </row>
    <row r="718" ht="13" customHeight="1" s="215">
      <c r="B718" s="224" t="n"/>
      <c r="C718" s="224" t="n"/>
      <c r="D718" s="33" t="n"/>
      <c r="E718" s="34" t="n"/>
      <c r="F718" s="34" t="n"/>
      <c r="G718" s="34" t="n"/>
      <c r="H718" s="34" t="n"/>
      <c r="I718" s="34" t="n"/>
      <c r="J718" s="34" t="n"/>
      <c r="K718" s="34" t="n"/>
      <c r="L718" s="34" t="n"/>
    </row>
    <row r="719" ht="13" customHeight="1" s="215">
      <c r="B719" s="224" t="n"/>
      <c r="C719" s="224" t="n"/>
      <c r="D719" s="33" t="n"/>
      <c r="E719" s="34" t="n"/>
      <c r="F719" s="34" t="n"/>
      <c r="G719" s="34" t="n"/>
      <c r="H719" s="34" t="n"/>
      <c r="I719" s="34" t="n"/>
      <c r="J719" s="34" t="n"/>
      <c r="K719" s="34" t="n"/>
      <c r="L719" s="34" t="n"/>
    </row>
    <row r="720" ht="13" customHeight="1" s="215">
      <c r="B720" s="224" t="n"/>
      <c r="C720" s="224" t="n"/>
      <c r="D720" s="33" t="n"/>
      <c r="E720" s="34" t="n"/>
      <c r="F720" s="34" t="n"/>
      <c r="G720" s="34" t="n"/>
      <c r="H720" s="34" t="n"/>
      <c r="I720" s="34" t="n"/>
      <c r="J720" s="34" t="n"/>
      <c r="K720" s="34" t="n"/>
      <c r="L720" s="34" t="n"/>
    </row>
    <row r="721" ht="13" customHeight="1" s="215">
      <c r="B721" s="224" t="n"/>
      <c r="C721" s="224" t="n"/>
      <c r="D721" s="33" t="n"/>
      <c r="E721" s="34" t="n"/>
      <c r="F721" s="34" t="n"/>
      <c r="G721" s="34" t="n"/>
      <c r="H721" s="34" t="n"/>
      <c r="I721" s="34" t="n"/>
      <c r="J721" s="34" t="n"/>
      <c r="K721" s="34" t="n"/>
      <c r="L721" s="34" t="n"/>
    </row>
    <row r="722" ht="13" customHeight="1" s="215">
      <c r="B722" s="224" t="n"/>
      <c r="C722" s="224" t="n"/>
      <c r="D722" s="33" t="n"/>
      <c r="E722" s="34" t="n"/>
      <c r="F722" s="34" t="n"/>
      <c r="G722" s="34" t="n"/>
      <c r="H722" s="34" t="n"/>
      <c r="I722" s="34" t="n"/>
      <c r="J722" s="34" t="n"/>
      <c r="K722" s="34" t="n"/>
      <c r="L722" s="34" t="n"/>
    </row>
    <row r="723" ht="13" customHeight="1" s="215">
      <c r="B723" s="224" t="n"/>
      <c r="C723" s="224" t="n"/>
      <c r="D723" s="33" t="n"/>
      <c r="E723" s="34" t="n"/>
      <c r="F723" s="34" t="n"/>
      <c r="G723" s="34" t="n"/>
      <c r="H723" s="34" t="n"/>
      <c r="I723" s="34" t="n"/>
      <c r="J723" s="34" t="n"/>
      <c r="K723" s="34" t="n"/>
      <c r="L723" s="34" t="n"/>
    </row>
    <row r="724" ht="13" customHeight="1" s="215">
      <c r="B724" s="224" t="n"/>
      <c r="C724" s="224" t="n"/>
      <c r="D724" s="33" t="n"/>
      <c r="E724" s="34" t="n"/>
      <c r="F724" s="34" t="n"/>
      <c r="G724" s="34" t="n"/>
      <c r="H724" s="34" t="n"/>
      <c r="I724" s="34" t="n"/>
      <c r="J724" s="34" t="n"/>
      <c r="K724" s="34" t="n"/>
      <c r="L724" s="34" t="n"/>
    </row>
    <row r="725" ht="13" customHeight="1" s="215">
      <c r="B725" s="224" t="n"/>
      <c r="C725" s="224" t="n"/>
      <c r="D725" s="33" t="n"/>
      <c r="E725" s="34" t="n"/>
      <c r="F725" s="34" t="n"/>
      <c r="G725" s="34" t="n"/>
      <c r="H725" s="34" t="n"/>
      <c r="I725" s="34" t="n"/>
      <c r="J725" s="34" t="n"/>
      <c r="K725" s="34" t="n"/>
      <c r="L725" s="34" t="n"/>
    </row>
    <row r="726" ht="13" customHeight="1" s="215">
      <c r="B726" s="224" t="n"/>
      <c r="C726" s="224" t="n"/>
      <c r="D726" s="33" t="n"/>
      <c r="E726" s="34" t="n"/>
      <c r="F726" s="34" t="n"/>
      <c r="G726" s="34" t="n"/>
      <c r="H726" s="34" t="n"/>
      <c r="I726" s="34" t="n"/>
      <c r="J726" s="34" t="n"/>
      <c r="K726" s="34" t="n"/>
      <c r="L726" s="34" t="n"/>
    </row>
    <row r="727" ht="13" customHeight="1" s="215">
      <c r="B727" s="224" t="n"/>
      <c r="C727" s="224" t="n"/>
      <c r="D727" s="33" t="n"/>
      <c r="E727" s="34" t="n"/>
      <c r="F727" s="34" t="n"/>
      <c r="G727" s="34" t="n"/>
      <c r="H727" s="34" t="n"/>
      <c r="I727" s="34" t="n"/>
      <c r="J727" s="34" t="n"/>
      <c r="K727" s="34" t="n"/>
      <c r="L727" s="34" t="n"/>
    </row>
    <row r="728" ht="13" customHeight="1" s="215">
      <c r="B728" s="224" t="n"/>
      <c r="C728" s="224" t="n"/>
      <c r="D728" s="33" t="n"/>
      <c r="E728" s="34" t="n"/>
      <c r="F728" s="34" t="n"/>
      <c r="G728" s="34" t="n"/>
      <c r="H728" s="34" t="n"/>
      <c r="I728" s="34" t="n"/>
      <c r="J728" s="34" t="n"/>
      <c r="K728" s="34" t="n"/>
      <c r="L728" s="34" t="n"/>
    </row>
    <row r="729" ht="13" customHeight="1" s="215">
      <c r="B729" s="224" t="n"/>
      <c r="C729" s="224" t="n"/>
      <c r="D729" s="33" t="n"/>
      <c r="E729" s="34" t="n"/>
      <c r="F729" s="34" t="n"/>
      <c r="G729" s="34" t="n"/>
      <c r="H729" s="34" t="n"/>
      <c r="I729" s="34" t="n"/>
      <c r="J729" s="34" t="n"/>
      <c r="K729" s="34" t="n"/>
      <c r="L729" s="34" t="n"/>
    </row>
    <row r="730" ht="13" customHeight="1" s="215">
      <c r="B730" s="224" t="n"/>
      <c r="C730" s="224" t="n"/>
      <c r="D730" s="33" t="n"/>
      <c r="E730" s="34" t="n"/>
      <c r="F730" s="34" t="n"/>
      <c r="G730" s="34" t="n"/>
      <c r="H730" s="34" t="n"/>
      <c r="I730" s="34" t="n"/>
      <c r="J730" s="34" t="n"/>
      <c r="K730" s="34" t="n"/>
      <c r="L730" s="34" t="n"/>
    </row>
    <row r="731" ht="13" customHeight="1" s="215">
      <c r="B731" s="224" t="n"/>
      <c r="C731" s="224" t="n"/>
      <c r="D731" s="33" t="n"/>
      <c r="E731" s="34" t="n"/>
      <c r="F731" s="34" t="n"/>
      <c r="G731" s="34" t="n"/>
      <c r="H731" s="34" t="n"/>
      <c r="I731" s="34" t="n"/>
      <c r="J731" s="34" t="n"/>
      <c r="K731" s="34" t="n"/>
      <c r="L731" s="34" t="n"/>
    </row>
    <row r="732" ht="13" customHeight="1" s="215">
      <c r="B732" s="224" t="n"/>
      <c r="C732" s="224" t="n"/>
      <c r="D732" s="33" t="n"/>
      <c r="E732" s="34" t="n"/>
      <c r="F732" s="34" t="n"/>
      <c r="G732" s="34" t="n"/>
      <c r="H732" s="34" t="n"/>
      <c r="I732" s="34" t="n"/>
      <c r="J732" s="34" t="n"/>
      <c r="K732" s="34" t="n"/>
      <c r="L732" s="34" t="n"/>
    </row>
    <row r="733" ht="13" customHeight="1" s="215">
      <c r="B733" s="224" t="n"/>
      <c r="C733" s="224" t="n"/>
      <c r="D733" s="33" t="n"/>
      <c r="E733" s="34" t="n"/>
      <c r="F733" s="34" t="n"/>
      <c r="G733" s="34" t="n"/>
      <c r="H733" s="34" t="n"/>
      <c r="I733" s="34" t="n"/>
      <c r="J733" s="34" t="n"/>
      <c r="K733" s="34" t="n"/>
      <c r="L733" s="34" t="n"/>
    </row>
    <row r="734" ht="13" customHeight="1" s="215">
      <c r="B734" s="224" t="n"/>
      <c r="C734" s="224" t="n"/>
      <c r="D734" s="33" t="n"/>
      <c r="E734" s="34" t="n"/>
      <c r="F734" s="34" t="n"/>
      <c r="G734" s="34" t="n"/>
      <c r="H734" s="34" t="n"/>
      <c r="I734" s="34" t="n"/>
      <c r="J734" s="34" t="n"/>
      <c r="K734" s="34" t="n"/>
      <c r="L734" s="34" t="n"/>
    </row>
    <row r="735" ht="13" customHeight="1" s="215">
      <c r="B735" s="224" t="n"/>
      <c r="C735" s="224" t="n"/>
      <c r="D735" s="33" t="n"/>
      <c r="E735" s="34" t="n"/>
      <c r="F735" s="34" t="n"/>
      <c r="G735" s="34" t="n"/>
      <c r="H735" s="34" t="n"/>
      <c r="I735" s="34" t="n"/>
      <c r="J735" s="34" t="n"/>
      <c r="K735" s="34" t="n"/>
      <c r="L735" s="34" t="n"/>
    </row>
    <row r="736" ht="13" customHeight="1" s="215">
      <c r="B736" s="224" t="n"/>
      <c r="C736" s="224" t="n"/>
      <c r="D736" s="33" t="n"/>
      <c r="E736" s="34" t="n"/>
      <c r="F736" s="34" t="n"/>
      <c r="G736" s="34" t="n"/>
      <c r="H736" s="34" t="n"/>
      <c r="I736" s="34" t="n"/>
      <c r="J736" s="34" t="n"/>
      <c r="K736" s="34" t="n"/>
      <c r="L736" s="34" t="n"/>
    </row>
    <row r="737" ht="13" customHeight="1" s="215">
      <c r="B737" s="224" t="n"/>
      <c r="C737" s="224" t="n"/>
      <c r="D737" s="33" t="n"/>
      <c r="E737" s="34" t="n"/>
      <c r="F737" s="34" t="n"/>
      <c r="G737" s="34" t="n"/>
      <c r="H737" s="34" t="n"/>
      <c r="I737" s="34" t="n"/>
      <c r="J737" s="34" t="n"/>
      <c r="K737" s="34" t="n"/>
      <c r="L737" s="34" t="n"/>
    </row>
    <row r="738" ht="13" customHeight="1" s="215">
      <c r="B738" s="224" t="n"/>
      <c r="C738" s="224" t="n"/>
      <c r="D738" s="33" t="n"/>
      <c r="E738" s="34" t="n"/>
      <c r="F738" s="34" t="n"/>
      <c r="G738" s="34" t="n"/>
      <c r="H738" s="34" t="n"/>
      <c r="I738" s="34" t="n"/>
      <c r="J738" s="34" t="n"/>
      <c r="K738" s="34" t="n"/>
      <c r="L738" s="34" t="n"/>
    </row>
    <row r="739" ht="13" customHeight="1" s="215">
      <c r="B739" s="224" t="n"/>
      <c r="C739" s="224" t="n"/>
      <c r="D739" s="33" t="n"/>
      <c r="E739" s="34" t="n"/>
      <c r="F739" s="34" t="n"/>
      <c r="G739" s="34" t="n"/>
      <c r="H739" s="34" t="n"/>
      <c r="I739" s="34" t="n"/>
      <c r="J739" s="34" t="n"/>
      <c r="K739" s="34" t="n"/>
      <c r="L739" s="34" t="n"/>
    </row>
    <row r="740" ht="13" customHeight="1" s="215">
      <c r="B740" s="224" t="n"/>
      <c r="C740" s="224" t="n"/>
      <c r="D740" s="33" t="n"/>
      <c r="E740" s="34" t="n"/>
      <c r="F740" s="34" t="n"/>
      <c r="G740" s="34" t="n"/>
      <c r="H740" s="34" t="n"/>
      <c r="I740" s="34" t="n"/>
      <c r="J740" s="34" t="n"/>
      <c r="K740" s="34" t="n"/>
      <c r="L740" s="34" t="n"/>
    </row>
    <row r="741" ht="13" customHeight="1" s="215">
      <c r="B741" s="224" t="n"/>
      <c r="C741" s="224" t="n"/>
      <c r="D741" s="33" t="n"/>
      <c r="E741" s="34" t="n"/>
      <c r="F741" s="34" t="n"/>
      <c r="G741" s="34" t="n"/>
      <c r="H741" s="34" t="n"/>
      <c r="I741" s="34" t="n"/>
      <c r="J741" s="34" t="n"/>
      <c r="K741" s="34" t="n"/>
      <c r="L741" s="34" t="n"/>
    </row>
    <row r="742" ht="13" customHeight="1" s="215">
      <c r="B742" s="224" t="n"/>
      <c r="C742" s="224" t="n"/>
      <c r="D742" s="33" t="n"/>
      <c r="E742" s="34" t="n"/>
      <c r="F742" s="34" t="n"/>
      <c r="G742" s="34" t="n"/>
      <c r="H742" s="34" t="n"/>
      <c r="I742" s="34" t="n"/>
      <c r="J742" s="34" t="n"/>
      <c r="K742" s="34" t="n"/>
      <c r="L742" s="34" t="n"/>
    </row>
    <row r="743" ht="13" customHeight="1" s="215">
      <c r="B743" s="224" t="n"/>
      <c r="C743" s="224" t="n"/>
      <c r="D743" s="33" t="n"/>
      <c r="E743" s="34" t="n"/>
      <c r="F743" s="34" t="n"/>
      <c r="G743" s="34" t="n"/>
      <c r="H743" s="34" t="n"/>
      <c r="I743" s="34" t="n"/>
      <c r="J743" s="34" t="n"/>
      <c r="K743" s="34" t="n"/>
      <c r="L743" s="34" t="n"/>
    </row>
    <row r="744" ht="13" customHeight="1" s="215">
      <c r="B744" s="224" t="n"/>
      <c r="C744" s="224" t="n"/>
      <c r="D744" s="33" t="n"/>
      <c r="E744" s="34" t="n"/>
      <c r="F744" s="34" t="n"/>
      <c r="G744" s="34" t="n"/>
      <c r="H744" s="34" t="n"/>
      <c r="I744" s="34" t="n"/>
      <c r="J744" s="34" t="n"/>
      <c r="K744" s="34" t="n"/>
      <c r="L744" s="34" t="n"/>
    </row>
    <row r="745" ht="13" customHeight="1" s="215">
      <c r="B745" s="224" t="n"/>
      <c r="C745" s="224" t="n"/>
      <c r="D745" s="33" t="n"/>
      <c r="E745" s="34" t="n"/>
      <c r="F745" s="34" t="n"/>
      <c r="G745" s="34" t="n"/>
      <c r="H745" s="34" t="n"/>
      <c r="I745" s="34" t="n"/>
      <c r="J745" s="34" t="n"/>
      <c r="K745" s="34" t="n"/>
      <c r="L745" s="34" t="n"/>
    </row>
    <row r="746" ht="13" customHeight="1" s="215">
      <c r="B746" s="224" t="n"/>
      <c r="C746" s="224" t="n"/>
      <c r="D746" s="33" t="n"/>
      <c r="E746" s="34" t="n"/>
      <c r="F746" s="34" t="n"/>
      <c r="G746" s="34" t="n"/>
      <c r="H746" s="34" t="n"/>
      <c r="I746" s="34" t="n"/>
      <c r="J746" s="34" t="n"/>
      <c r="K746" s="34" t="n"/>
      <c r="L746" s="34" t="n"/>
    </row>
    <row r="747" ht="13" customHeight="1" s="215">
      <c r="B747" s="224" t="n"/>
      <c r="C747" s="224" t="n"/>
      <c r="D747" s="33" t="n"/>
      <c r="E747" s="34" t="n"/>
      <c r="F747" s="34" t="n"/>
      <c r="G747" s="34" t="n"/>
      <c r="H747" s="34" t="n"/>
      <c r="I747" s="34" t="n"/>
      <c r="J747" s="34" t="n"/>
      <c r="K747" s="34" t="n"/>
      <c r="L747" s="34" t="n"/>
    </row>
    <row r="748" ht="13" customHeight="1" s="215">
      <c r="B748" s="224" t="n"/>
      <c r="C748" s="224" t="n"/>
      <c r="D748" s="33" t="n"/>
      <c r="E748" s="34" t="n"/>
      <c r="F748" s="34" t="n"/>
      <c r="G748" s="34" t="n"/>
      <c r="H748" s="34" t="n"/>
      <c r="I748" s="34" t="n"/>
      <c r="J748" s="34" t="n"/>
      <c r="K748" s="34" t="n"/>
      <c r="L748" s="34" t="n"/>
    </row>
    <row r="749" ht="13" customHeight="1" s="215">
      <c r="B749" s="224" t="n"/>
      <c r="C749" s="224" t="n"/>
      <c r="D749" s="33" t="n"/>
      <c r="E749" s="34" t="n"/>
      <c r="F749" s="34" t="n"/>
      <c r="G749" s="34" t="n"/>
      <c r="H749" s="34" t="n"/>
      <c r="I749" s="34" t="n"/>
      <c r="J749" s="34" t="n"/>
      <c r="K749" s="34" t="n"/>
      <c r="L749" s="34" t="n"/>
    </row>
    <row r="750" ht="13" customHeight="1" s="215">
      <c r="B750" s="224" t="n"/>
      <c r="C750" s="224" t="n"/>
      <c r="D750" s="33" t="n"/>
      <c r="E750" s="34" t="n"/>
      <c r="F750" s="34" t="n"/>
      <c r="G750" s="34" t="n"/>
      <c r="H750" s="34" t="n"/>
      <c r="I750" s="34" t="n"/>
      <c r="J750" s="34" t="n"/>
      <c r="K750" s="34" t="n"/>
      <c r="L750" s="34" t="n"/>
    </row>
    <row r="751" ht="13" customHeight="1" s="215">
      <c r="B751" s="224" t="n"/>
      <c r="C751" s="224" t="n"/>
      <c r="D751" s="33" t="n"/>
      <c r="E751" s="34" t="n"/>
      <c r="F751" s="34" t="n"/>
      <c r="G751" s="34" t="n"/>
      <c r="H751" s="34" t="n"/>
      <c r="I751" s="34" t="n"/>
      <c r="J751" s="34" t="n"/>
      <c r="K751" s="34" t="n"/>
      <c r="L751" s="34" t="n"/>
    </row>
    <row r="752" ht="13" customHeight="1" s="215">
      <c r="B752" s="224" t="n"/>
      <c r="C752" s="224" t="n"/>
      <c r="D752" s="33" t="n"/>
      <c r="E752" s="34" t="n"/>
      <c r="F752" s="34" t="n"/>
      <c r="G752" s="34" t="n"/>
      <c r="H752" s="34" t="n"/>
      <c r="I752" s="34" t="n"/>
      <c r="J752" s="34" t="n"/>
      <c r="K752" s="34" t="n"/>
      <c r="L752" s="34" t="n"/>
    </row>
    <row r="753" ht="13" customHeight="1" s="215">
      <c r="B753" s="224" t="n"/>
      <c r="C753" s="224" t="n"/>
      <c r="D753" s="33" t="n"/>
      <c r="E753" s="34" t="n"/>
      <c r="F753" s="34" t="n"/>
      <c r="G753" s="34" t="n"/>
      <c r="H753" s="34" t="n"/>
      <c r="I753" s="34" t="n"/>
      <c r="J753" s="34" t="n"/>
      <c r="K753" s="34" t="n"/>
      <c r="L753" s="34" t="n"/>
    </row>
    <row r="754" ht="13" customHeight="1" s="215">
      <c r="B754" s="224" t="n"/>
      <c r="C754" s="224" t="n"/>
      <c r="D754" s="33" t="n"/>
      <c r="E754" s="34" t="n"/>
      <c r="F754" s="34" t="n"/>
      <c r="G754" s="34" t="n"/>
      <c r="H754" s="34" t="n"/>
      <c r="I754" s="34" t="n"/>
      <c r="J754" s="34" t="n"/>
      <c r="K754" s="34" t="n"/>
      <c r="L754" s="34" t="n"/>
    </row>
    <row r="755" ht="13" customHeight="1" s="215">
      <c r="B755" s="224" t="n"/>
      <c r="C755" s="224" t="n"/>
      <c r="D755" s="33" t="n"/>
      <c r="E755" s="34" t="n"/>
      <c r="F755" s="34" t="n"/>
      <c r="G755" s="34" t="n"/>
      <c r="H755" s="34" t="n"/>
      <c r="I755" s="34" t="n"/>
      <c r="J755" s="34" t="n"/>
      <c r="K755" s="34" t="n"/>
      <c r="L755" s="34" t="n"/>
    </row>
    <row r="756" ht="13" customHeight="1" s="215">
      <c r="B756" s="224" t="n"/>
      <c r="C756" s="224" t="n"/>
      <c r="D756" s="33" t="n"/>
      <c r="E756" s="34" t="n"/>
      <c r="F756" s="34" t="n"/>
      <c r="G756" s="34" t="n"/>
      <c r="H756" s="34" t="n"/>
      <c r="I756" s="34" t="n"/>
      <c r="J756" s="34" t="n"/>
      <c r="K756" s="34" t="n"/>
      <c r="L756" s="34" t="n"/>
    </row>
    <row r="757" ht="13" customHeight="1" s="215">
      <c r="B757" s="224" t="n"/>
      <c r="C757" s="224" t="n"/>
      <c r="D757" s="33" t="n"/>
      <c r="E757" s="34" t="n"/>
      <c r="F757" s="34" t="n"/>
      <c r="G757" s="34" t="n"/>
      <c r="H757" s="34" t="n"/>
      <c r="I757" s="34" t="n"/>
      <c r="J757" s="34" t="n"/>
      <c r="K757" s="34" t="n"/>
      <c r="L757" s="34" t="n"/>
    </row>
    <row r="758" ht="13" customHeight="1" s="215">
      <c r="B758" s="224" t="n"/>
      <c r="C758" s="224" t="n"/>
      <c r="D758" s="33" t="n"/>
      <c r="E758" s="34" t="n"/>
      <c r="F758" s="34" t="n"/>
      <c r="G758" s="34" t="n"/>
      <c r="H758" s="34" t="n"/>
      <c r="I758" s="34" t="n"/>
      <c r="J758" s="34" t="n"/>
      <c r="K758" s="34" t="n"/>
      <c r="L758" s="34" t="n"/>
    </row>
    <row r="759" ht="13" customHeight="1" s="215">
      <c r="B759" s="224" t="n"/>
      <c r="C759" s="224" t="n"/>
      <c r="D759" s="33" t="n"/>
      <c r="E759" s="34" t="n"/>
      <c r="F759" s="34" t="n"/>
      <c r="G759" s="34" t="n"/>
      <c r="H759" s="34" t="n"/>
      <c r="I759" s="34" t="n"/>
      <c r="J759" s="34" t="n"/>
      <c r="K759" s="34" t="n"/>
      <c r="L759" s="34" t="n"/>
    </row>
    <row r="760" ht="13" customHeight="1" s="215">
      <c r="B760" s="224" t="n"/>
      <c r="C760" s="224" t="n"/>
      <c r="D760" s="33" t="n"/>
      <c r="E760" s="34" t="n"/>
      <c r="F760" s="34" t="n"/>
      <c r="G760" s="34" t="n"/>
      <c r="H760" s="34" t="n"/>
      <c r="I760" s="34" t="n"/>
      <c r="J760" s="34" t="n"/>
      <c r="K760" s="34" t="n"/>
      <c r="L760" s="34" t="n"/>
    </row>
    <row r="761" ht="13" customHeight="1" s="215">
      <c r="B761" s="224" t="n"/>
      <c r="C761" s="224" t="n"/>
      <c r="D761" s="33" t="n"/>
      <c r="E761" s="34" t="n"/>
      <c r="F761" s="34" t="n"/>
      <c r="G761" s="34" t="n"/>
      <c r="H761" s="34" t="n"/>
      <c r="I761" s="34" t="n"/>
      <c r="J761" s="34" t="n"/>
      <c r="K761" s="34" t="n"/>
      <c r="L761" s="34" t="n"/>
    </row>
    <row r="762" ht="13" customHeight="1" s="215">
      <c r="B762" s="224" t="n"/>
      <c r="C762" s="224" t="n"/>
      <c r="D762" s="33" t="n"/>
      <c r="E762" s="34" t="n"/>
      <c r="F762" s="34" t="n"/>
      <c r="G762" s="34" t="n"/>
      <c r="H762" s="34" t="n"/>
      <c r="I762" s="34" t="n"/>
      <c r="J762" s="34" t="n"/>
      <c r="K762" s="34" t="n"/>
      <c r="L762" s="34" t="n"/>
    </row>
    <row r="763" ht="13" customHeight="1" s="215">
      <c r="B763" s="224" t="n"/>
      <c r="C763" s="224" t="n"/>
      <c r="D763" s="33" t="n"/>
      <c r="E763" s="34" t="n"/>
      <c r="F763" s="34" t="n"/>
      <c r="G763" s="34" t="n"/>
      <c r="H763" s="34" t="n"/>
      <c r="I763" s="34" t="n"/>
      <c r="J763" s="34" t="n"/>
      <c r="K763" s="34" t="n"/>
      <c r="L763" s="34" t="n"/>
    </row>
    <row r="764" ht="13" customHeight="1" s="215">
      <c r="B764" s="224" t="n"/>
      <c r="C764" s="224" t="n"/>
      <c r="D764" s="33" t="n"/>
      <c r="E764" s="34" t="n"/>
      <c r="F764" s="34" t="n"/>
      <c r="G764" s="34" t="n"/>
      <c r="H764" s="34" t="n"/>
      <c r="I764" s="34" t="n"/>
      <c r="J764" s="34" t="n"/>
      <c r="K764" s="34" t="n"/>
      <c r="L764" s="34" t="n"/>
    </row>
    <row r="765" ht="13" customHeight="1" s="215">
      <c r="B765" s="224" t="n"/>
      <c r="C765" s="224" t="n"/>
      <c r="D765" s="33" t="n"/>
      <c r="E765" s="34" t="n"/>
      <c r="F765" s="34" t="n"/>
      <c r="G765" s="34" t="n"/>
      <c r="H765" s="34" t="n"/>
      <c r="I765" s="34" t="n"/>
      <c r="J765" s="34" t="n"/>
      <c r="K765" s="34" t="n"/>
      <c r="L765" s="34" t="n"/>
    </row>
    <row r="766" ht="13" customHeight="1" s="215">
      <c r="B766" s="224" t="n"/>
      <c r="C766" s="224" t="n"/>
      <c r="D766" s="33" t="n"/>
      <c r="E766" s="34" t="n"/>
      <c r="F766" s="34" t="n"/>
      <c r="G766" s="34" t="n"/>
      <c r="H766" s="34" t="n"/>
      <c r="I766" s="34" t="n"/>
      <c r="J766" s="34" t="n"/>
      <c r="K766" s="34" t="n"/>
      <c r="L766" s="34" t="n"/>
    </row>
    <row r="767" ht="13" customHeight="1" s="215">
      <c r="B767" s="224" t="n"/>
      <c r="C767" s="224" t="n"/>
      <c r="D767" s="33" t="n"/>
      <c r="E767" s="34" t="n"/>
      <c r="F767" s="34" t="n"/>
      <c r="G767" s="34" t="n"/>
      <c r="H767" s="34" t="n"/>
      <c r="I767" s="34" t="n"/>
      <c r="J767" s="34" t="n"/>
      <c r="K767" s="34" t="n"/>
      <c r="L767" s="34" t="n"/>
    </row>
    <row r="768" ht="13" customHeight="1" s="215">
      <c r="B768" s="224" t="n"/>
      <c r="C768" s="224" t="n"/>
      <c r="D768" s="33" t="n"/>
      <c r="E768" s="34" t="n"/>
      <c r="F768" s="34" t="n"/>
      <c r="G768" s="34" t="n"/>
      <c r="H768" s="34" t="n"/>
      <c r="I768" s="34" t="n"/>
      <c r="J768" s="34" t="n"/>
      <c r="K768" s="34" t="n"/>
      <c r="L768" s="34" t="n"/>
    </row>
    <row r="769" ht="13" customHeight="1" s="215">
      <c r="B769" s="224" t="n"/>
      <c r="C769" s="224" t="n"/>
      <c r="D769" s="33" t="n"/>
      <c r="E769" s="34" t="n"/>
      <c r="F769" s="34" t="n"/>
      <c r="G769" s="34" t="n"/>
      <c r="H769" s="34" t="n"/>
      <c r="I769" s="34" t="n"/>
      <c r="J769" s="34" t="n"/>
      <c r="K769" s="34" t="n"/>
      <c r="L769" s="34" t="n"/>
    </row>
    <row r="770" ht="13" customHeight="1" s="215">
      <c r="B770" s="224" t="n"/>
      <c r="C770" s="224" t="n"/>
      <c r="D770" s="33" t="n"/>
      <c r="E770" s="34" t="n"/>
      <c r="F770" s="34" t="n"/>
      <c r="G770" s="34" t="n"/>
      <c r="H770" s="34" t="n"/>
      <c r="I770" s="34" t="n"/>
      <c r="J770" s="34" t="n"/>
      <c r="K770" s="34" t="n"/>
      <c r="L770" s="34" t="n"/>
    </row>
    <row r="771" ht="13" customHeight="1" s="215">
      <c r="B771" s="224" t="n"/>
      <c r="C771" s="224" t="n"/>
      <c r="D771" s="33" t="n"/>
      <c r="E771" s="34" t="n"/>
      <c r="F771" s="34" t="n"/>
      <c r="G771" s="34" t="n"/>
      <c r="H771" s="34" t="n"/>
      <c r="I771" s="34" t="n"/>
      <c r="J771" s="34" t="n"/>
      <c r="K771" s="34" t="n"/>
      <c r="L771" s="34" t="n"/>
    </row>
    <row r="772" ht="13" customHeight="1" s="215">
      <c r="B772" s="224" t="n"/>
      <c r="C772" s="224" t="n"/>
      <c r="D772" s="33" t="n"/>
      <c r="E772" s="34" t="n"/>
      <c r="F772" s="34" t="n"/>
      <c r="G772" s="34" t="n"/>
      <c r="H772" s="34" t="n"/>
      <c r="I772" s="34" t="n"/>
      <c r="J772" s="34" t="n"/>
      <c r="K772" s="34" t="n"/>
      <c r="L772" s="34" t="n"/>
    </row>
    <row r="773" ht="13" customHeight="1" s="215">
      <c r="B773" s="224" t="n"/>
      <c r="C773" s="224" t="n"/>
      <c r="D773" s="33" t="n"/>
      <c r="E773" s="34" t="n"/>
      <c r="F773" s="34" t="n"/>
      <c r="G773" s="34" t="n"/>
      <c r="H773" s="34" t="n"/>
      <c r="I773" s="34" t="n"/>
      <c r="J773" s="34" t="n"/>
      <c r="K773" s="34" t="n"/>
      <c r="L773" s="34" t="n"/>
    </row>
    <row r="774" ht="13" customHeight="1" s="215">
      <c r="B774" s="224" t="n"/>
      <c r="C774" s="224" t="n"/>
      <c r="D774" s="33" t="n"/>
      <c r="E774" s="34" t="n"/>
      <c r="F774" s="34" t="n"/>
      <c r="G774" s="34" t="n"/>
      <c r="H774" s="34" t="n"/>
      <c r="I774" s="34" t="n"/>
      <c r="J774" s="34" t="n"/>
      <c r="K774" s="34" t="n"/>
      <c r="L774" s="34" t="n"/>
    </row>
    <row r="775" ht="13" customHeight="1" s="215">
      <c r="B775" s="224" t="n"/>
      <c r="C775" s="224" t="n"/>
      <c r="D775" s="33" t="n"/>
      <c r="E775" s="34" t="n"/>
      <c r="F775" s="34" t="n"/>
      <c r="G775" s="34" t="n"/>
      <c r="H775" s="34" t="n"/>
      <c r="I775" s="34" t="n"/>
      <c r="J775" s="34" t="n"/>
      <c r="K775" s="34" t="n"/>
      <c r="L775" s="34" t="n"/>
    </row>
    <row r="776" ht="13" customHeight="1" s="215">
      <c r="B776" s="224" t="n"/>
      <c r="C776" s="224" t="n"/>
      <c r="D776" s="33" t="n"/>
      <c r="E776" s="34" t="n"/>
      <c r="F776" s="34" t="n"/>
      <c r="G776" s="34" t="n"/>
      <c r="H776" s="34" t="n"/>
      <c r="I776" s="34" t="n"/>
      <c r="J776" s="34" t="n"/>
      <c r="K776" s="34" t="n"/>
      <c r="L776" s="34" t="n"/>
    </row>
    <row r="777" ht="13" customHeight="1" s="215">
      <c r="B777" s="224" t="n"/>
      <c r="C777" s="224" t="n"/>
      <c r="D777" s="33" t="n"/>
      <c r="E777" s="34" t="n"/>
      <c r="F777" s="34" t="n"/>
      <c r="G777" s="34" t="n"/>
      <c r="H777" s="34" t="n"/>
      <c r="I777" s="34" t="n"/>
      <c r="J777" s="34" t="n"/>
      <c r="K777" s="34" t="n"/>
      <c r="L777" s="34" t="n"/>
    </row>
    <row r="778" ht="13" customHeight="1" s="215">
      <c r="B778" s="224" t="n"/>
      <c r="C778" s="224" t="n"/>
      <c r="D778" s="33" t="n"/>
      <c r="E778" s="34" t="n"/>
      <c r="F778" s="34" t="n"/>
      <c r="G778" s="34" t="n"/>
      <c r="H778" s="34" t="n"/>
      <c r="I778" s="34" t="n"/>
      <c r="J778" s="34" t="n"/>
      <c r="K778" s="34" t="n"/>
      <c r="L778" s="34" t="n"/>
    </row>
    <row r="779" ht="13" customHeight="1" s="215">
      <c r="B779" s="224" t="n"/>
      <c r="C779" s="224" t="n"/>
      <c r="D779" s="33" t="n"/>
      <c r="E779" s="34" t="n"/>
      <c r="F779" s="34" t="n"/>
      <c r="G779" s="34" t="n"/>
      <c r="H779" s="34" t="n"/>
      <c r="I779" s="34" t="n"/>
      <c r="J779" s="34" t="n"/>
      <c r="K779" s="34" t="n"/>
      <c r="L779" s="34" t="n"/>
    </row>
    <row r="780" ht="13" customHeight="1" s="215">
      <c r="B780" s="224" t="n"/>
      <c r="C780" s="224" t="n"/>
      <c r="D780" s="33" t="n"/>
      <c r="E780" s="34" t="n"/>
      <c r="F780" s="34" t="n"/>
      <c r="G780" s="34" t="n"/>
      <c r="H780" s="34" t="n"/>
      <c r="I780" s="34" t="n"/>
      <c r="J780" s="34" t="n"/>
      <c r="K780" s="34" t="n"/>
      <c r="L780" s="34" t="n"/>
    </row>
    <row r="781" ht="13" customHeight="1" s="215">
      <c r="B781" s="224" t="n"/>
      <c r="C781" s="224" t="n"/>
      <c r="D781" s="33" t="n"/>
      <c r="E781" s="34" t="n"/>
      <c r="F781" s="34" t="n"/>
      <c r="G781" s="34" t="n"/>
      <c r="H781" s="34" t="n"/>
      <c r="I781" s="34" t="n"/>
      <c r="J781" s="34" t="n"/>
      <c r="K781" s="34" t="n"/>
      <c r="L781" s="34" t="n"/>
    </row>
    <row r="782" ht="13" customHeight="1" s="215">
      <c r="B782" s="224" t="n"/>
      <c r="C782" s="224" t="n"/>
      <c r="D782" s="33" t="n"/>
      <c r="E782" s="34" t="n"/>
      <c r="F782" s="34" t="n"/>
      <c r="G782" s="34" t="n"/>
      <c r="H782" s="34" t="n"/>
      <c r="I782" s="34" t="n"/>
      <c r="J782" s="34" t="n"/>
      <c r="K782" s="34" t="n"/>
      <c r="L782" s="34" t="n"/>
    </row>
    <row r="783" ht="13" customHeight="1" s="215">
      <c r="B783" s="224" t="n"/>
      <c r="C783" s="224" t="n"/>
      <c r="D783" s="33" t="n"/>
      <c r="E783" s="34" t="n"/>
      <c r="F783" s="34" t="n"/>
      <c r="G783" s="34" t="n"/>
      <c r="H783" s="34" t="n"/>
      <c r="I783" s="34" t="n"/>
      <c r="J783" s="34" t="n"/>
      <c r="K783" s="34" t="n"/>
      <c r="L783" s="34" t="n"/>
    </row>
    <row r="784" ht="13" customHeight="1" s="215">
      <c r="B784" s="224" t="n"/>
      <c r="C784" s="224" t="n"/>
      <c r="D784" s="33" t="n"/>
      <c r="E784" s="34" t="n"/>
      <c r="F784" s="34" t="n"/>
      <c r="G784" s="34" t="n"/>
      <c r="H784" s="34" t="n"/>
      <c r="I784" s="34" t="n"/>
      <c r="J784" s="34" t="n"/>
      <c r="K784" s="34" t="n"/>
      <c r="L784" s="34" t="n"/>
    </row>
    <row r="785" ht="13" customHeight="1" s="215">
      <c r="B785" s="224" t="n"/>
      <c r="C785" s="224" t="n"/>
      <c r="D785" s="33" t="n"/>
      <c r="E785" s="34" t="n"/>
      <c r="F785" s="34" t="n"/>
      <c r="G785" s="34" t="n"/>
      <c r="H785" s="34" t="n"/>
      <c r="I785" s="34" t="n"/>
      <c r="J785" s="34" t="n"/>
      <c r="K785" s="34" t="n"/>
      <c r="L785" s="34" t="n"/>
    </row>
    <row r="786" ht="13" customHeight="1" s="215">
      <c r="B786" s="224" t="n"/>
      <c r="C786" s="224" t="n"/>
      <c r="D786" s="33" t="n"/>
      <c r="E786" s="34" t="n"/>
      <c r="F786" s="34" t="n"/>
      <c r="G786" s="34" t="n"/>
      <c r="H786" s="34" t="n"/>
      <c r="I786" s="34" t="n"/>
      <c r="J786" s="34" t="n"/>
      <c r="K786" s="34" t="n"/>
      <c r="L786" s="34" t="n"/>
    </row>
    <row r="787" ht="13" customHeight="1" s="215">
      <c r="B787" s="224" t="n"/>
      <c r="C787" s="224" t="n"/>
      <c r="D787" s="33" t="n"/>
      <c r="E787" s="34" t="n"/>
      <c r="F787" s="34" t="n"/>
      <c r="G787" s="34" t="n"/>
      <c r="H787" s="34" t="n"/>
      <c r="I787" s="34" t="n"/>
      <c r="J787" s="34" t="n"/>
      <c r="K787" s="34" t="n"/>
      <c r="L787" s="34" t="n"/>
    </row>
    <row r="788" ht="13" customHeight="1" s="215">
      <c r="B788" s="224" t="n"/>
      <c r="C788" s="224" t="n"/>
      <c r="D788" s="33" t="n"/>
      <c r="E788" s="34" t="n"/>
      <c r="F788" s="34" t="n"/>
      <c r="G788" s="34" t="n"/>
      <c r="H788" s="34" t="n"/>
      <c r="I788" s="34" t="n"/>
      <c r="J788" s="34" t="n"/>
      <c r="K788" s="34" t="n"/>
      <c r="L788" s="34" t="n"/>
    </row>
    <row r="789" ht="13" customHeight="1" s="215">
      <c r="B789" s="224" t="n"/>
      <c r="C789" s="224" t="n"/>
      <c r="D789" s="33" t="n"/>
      <c r="E789" s="34" t="n"/>
      <c r="F789" s="34" t="n"/>
      <c r="G789" s="34" t="n"/>
      <c r="H789" s="34" t="n"/>
      <c r="I789" s="34" t="n"/>
      <c r="J789" s="34" t="n"/>
      <c r="K789" s="34" t="n"/>
      <c r="L789" s="34" t="n"/>
    </row>
    <row r="790" ht="13" customHeight="1" s="215">
      <c r="B790" s="224" t="n"/>
      <c r="C790" s="224" t="n"/>
      <c r="D790" s="33" t="n"/>
      <c r="E790" s="34" t="n"/>
      <c r="F790" s="34" t="n"/>
      <c r="G790" s="34" t="n"/>
      <c r="H790" s="34" t="n"/>
      <c r="I790" s="34" t="n"/>
      <c r="J790" s="34" t="n"/>
      <c r="K790" s="34" t="n"/>
      <c r="L790" s="34" t="n"/>
    </row>
    <row r="791" ht="13" customHeight="1" s="215">
      <c r="B791" s="224" t="n"/>
      <c r="C791" s="224" t="n"/>
      <c r="D791" s="33" t="n"/>
      <c r="E791" s="34" t="n"/>
      <c r="F791" s="34" t="n"/>
      <c r="G791" s="34" t="n"/>
      <c r="H791" s="34" t="n"/>
      <c r="I791" s="34" t="n"/>
      <c r="J791" s="34" t="n"/>
      <c r="K791" s="34" t="n"/>
      <c r="L791" s="34" t="n"/>
    </row>
    <row r="792" ht="13" customHeight="1" s="215">
      <c r="B792" s="224" t="n"/>
      <c r="C792" s="224" t="n"/>
      <c r="D792" s="33" t="n"/>
      <c r="E792" s="34" t="n"/>
      <c r="F792" s="34" t="n"/>
      <c r="G792" s="34" t="n"/>
      <c r="H792" s="34" t="n"/>
      <c r="I792" s="34" t="n"/>
      <c r="J792" s="34" t="n"/>
      <c r="K792" s="34" t="n"/>
      <c r="L792" s="34" t="n"/>
    </row>
    <row r="793" ht="13" customHeight="1" s="215">
      <c r="B793" s="224" t="n"/>
      <c r="C793" s="224" t="n"/>
      <c r="D793" s="33" t="n"/>
      <c r="E793" s="34" t="n"/>
      <c r="F793" s="34" t="n"/>
      <c r="G793" s="34" t="n"/>
      <c r="H793" s="34" t="n"/>
      <c r="I793" s="34" t="n"/>
      <c r="J793" s="34" t="n"/>
      <c r="K793" s="34" t="n"/>
      <c r="L793" s="34" t="n"/>
    </row>
    <row r="794" ht="13" customHeight="1" s="215">
      <c r="B794" s="224" t="n"/>
      <c r="C794" s="224" t="n"/>
      <c r="D794" s="33" t="n"/>
      <c r="E794" s="34" t="n"/>
      <c r="F794" s="34" t="n"/>
      <c r="G794" s="34" t="n"/>
      <c r="H794" s="34" t="n"/>
      <c r="I794" s="34" t="n"/>
      <c r="J794" s="34" t="n"/>
      <c r="K794" s="34" t="n"/>
      <c r="L794" s="34" t="n"/>
    </row>
    <row r="795" ht="13" customHeight="1" s="215">
      <c r="B795" s="224" t="n"/>
      <c r="C795" s="224" t="n"/>
      <c r="D795" s="33" t="n"/>
      <c r="E795" s="34" t="n"/>
      <c r="F795" s="34" t="n"/>
      <c r="G795" s="34" t="n"/>
      <c r="H795" s="34" t="n"/>
      <c r="I795" s="34" t="n"/>
      <c r="J795" s="34" t="n"/>
      <c r="K795" s="34" t="n"/>
      <c r="L795" s="34" t="n"/>
    </row>
    <row r="796" ht="13" customHeight="1" s="215">
      <c r="B796" s="224" t="n"/>
      <c r="C796" s="224" t="n"/>
      <c r="D796" s="33" t="n"/>
      <c r="E796" s="34" t="n"/>
      <c r="F796" s="34" t="n"/>
      <c r="G796" s="34" t="n"/>
      <c r="H796" s="34" t="n"/>
      <c r="I796" s="34" t="n"/>
      <c r="J796" s="34" t="n"/>
      <c r="K796" s="34" t="n"/>
      <c r="L796" s="34" t="n"/>
    </row>
    <row r="797" ht="13" customHeight="1" s="215">
      <c r="B797" s="224" t="n"/>
      <c r="C797" s="224" t="n"/>
      <c r="D797" s="33" t="n"/>
      <c r="E797" s="34" t="n"/>
      <c r="F797" s="34" t="n"/>
      <c r="G797" s="34" t="n"/>
      <c r="H797" s="34" t="n"/>
      <c r="I797" s="34" t="n"/>
      <c r="J797" s="34" t="n"/>
      <c r="K797" s="34" t="n"/>
      <c r="L797" s="34" t="n"/>
    </row>
    <row r="798" ht="13" customHeight="1" s="215">
      <c r="B798" s="224" t="n"/>
      <c r="C798" s="224" t="n"/>
      <c r="D798" s="33" t="n"/>
      <c r="E798" s="34" t="n"/>
      <c r="F798" s="34" t="n"/>
      <c r="G798" s="34" t="n"/>
      <c r="H798" s="34" t="n"/>
      <c r="I798" s="34" t="n"/>
      <c r="J798" s="34" t="n"/>
      <c r="K798" s="34" t="n"/>
      <c r="L798" s="34" t="n"/>
    </row>
    <row r="799" ht="13" customHeight="1" s="215">
      <c r="B799" s="224" t="n"/>
      <c r="C799" s="224" t="n"/>
      <c r="D799" s="33" t="n"/>
      <c r="E799" s="34" t="n"/>
      <c r="F799" s="34" t="n"/>
      <c r="G799" s="34" t="n"/>
      <c r="H799" s="34" t="n"/>
      <c r="I799" s="34" t="n"/>
      <c r="J799" s="34" t="n"/>
      <c r="K799" s="34" t="n"/>
      <c r="L799" s="34" t="n"/>
    </row>
    <row r="800" ht="13" customHeight="1" s="215">
      <c r="B800" s="224" t="n"/>
      <c r="C800" s="224" t="n"/>
      <c r="D800" s="33" t="n"/>
      <c r="E800" s="34" t="n"/>
      <c r="F800" s="34" t="n"/>
      <c r="G800" s="34" t="n"/>
      <c r="H800" s="34" t="n"/>
      <c r="I800" s="34" t="n"/>
      <c r="J800" s="34" t="n"/>
      <c r="K800" s="34" t="n"/>
      <c r="L800" s="34" t="n"/>
    </row>
    <row r="801" ht="13" customHeight="1" s="215">
      <c r="B801" s="224" t="n"/>
      <c r="C801" s="224" t="n"/>
      <c r="D801" s="33" t="n"/>
      <c r="E801" s="34" t="n"/>
      <c r="F801" s="34" t="n"/>
      <c r="G801" s="34" t="n"/>
      <c r="H801" s="34" t="n"/>
      <c r="I801" s="34" t="n"/>
      <c r="J801" s="34" t="n"/>
      <c r="K801" s="34" t="n"/>
      <c r="L801" s="34" t="n"/>
    </row>
    <row r="802" ht="13" customHeight="1" s="215">
      <c r="B802" s="224" t="n"/>
      <c r="C802" s="224" t="n"/>
      <c r="D802" s="33" t="n"/>
      <c r="E802" s="34" t="n"/>
      <c r="F802" s="34" t="n"/>
      <c r="G802" s="34" t="n"/>
      <c r="H802" s="34" t="n"/>
      <c r="I802" s="34" t="n"/>
      <c r="J802" s="34" t="n"/>
      <c r="K802" s="34" t="n"/>
      <c r="L802" s="34" t="n"/>
    </row>
    <row r="803" ht="13" customHeight="1" s="215">
      <c r="B803" s="224" t="n"/>
      <c r="C803" s="224" t="n"/>
      <c r="D803" s="33" t="n"/>
      <c r="E803" s="34" t="n"/>
      <c r="F803" s="34" t="n"/>
      <c r="G803" s="34" t="n"/>
      <c r="H803" s="34" t="n"/>
      <c r="I803" s="34" t="n"/>
      <c r="J803" s="34" t="n"/>
      <c r="K803" s="34" t="n"/>
      <c r="L803" s="34" t="n"/>
    </row>
    <row r="804" ht="13" customHeight="1" s="215">
      <c r="B804" s="224" t="n"/>
      <c r="C804" s="224" t="n"/>
      <c r="D804" s="33" t="n"/>
      <c r="E804" s="34" t="n"/>
      <c r="F804" s="34" t="n"/>
      <c r="G804" s="34" t="n"/>
      <c r="H804" s="34" t="n"/>
      <c r="I804" s="34" t="n"/>
      <c r="J804" s="34" t="n"/>
      <c r="K804" s="34" t="n"/>
      <c r="L804" s="34" t="n"/>
    </row>
    <row r="805" ht="13" customHeight="1" s="215">
      <c r="B805" s="224" t="n"/>
      <c r="C805" s="224" t="n"/>
      <c r="D805" s="33" t="n"/>
      <c r="E805" s="34" t="n"/>
      <c r="F805" s="34" t="n"/>
      <c r="G805" s="34" t="n"/>
      <c r="H805" s="34" t="n"/>
      <c r="I805" s="34" t="n"/>
      <c r="J805" s="34" t="n"/>
      <c r="K805" s="34" t="n"/>
      <c r="L805" s="34" t="n"/>
    </row>
    <row r="806" ht="13" customHeight="1" s="215">
      <c r="B806" s="224" t="n"/>
      <c r="C806" s="224" t="n"/>
      <c r="D806" s="33" t="n"/>
      <c r="E806" s="34" t="n"/>
      <c r="F806" s="34" t="n"/>
      <c r="G806" s="34" t="n"/>
      <c r="H806" s="34" t="n"/>
      <c r="I806" s="34" t="n"/>
      <c r="J806" s="34" t="n"/>
      <c r="K806" s="34" t="n"/>
      <c r="L806" s="34" t="n"/>
    </row>
    <row r="807" ht="13" customHeight="1" s="215">
      <c r="B807" s="224" t="n"/>
      <c r="C807" s="224" t="n"/>
      <c r="D807" s="33" t="n"/>
      <c r="E807" s="34" t="n"/>
      <c r="F807" s="34" t="n"/>
      <c r="G807" s="34" t="n"/>
      <c r="H807" s="34" t="n"/>
      <c r="I807" s="34" t="n"/>
      <c r="J807" s="34" t="n"/>
      <c r="K807" s="34" t="n"/>
      <c r="L807" s="34" t="n"/>
    </row>
    <row r="808" ht="13" customHeight="1" s="215">
      <c r="B808" s="224" t="n"/>
      <c r="C808" s="224" t="n"/>
      <c r="D808" s="33" t="n"/>
      <c r="E808" s="34" t="n"/>
      <c r="F808" s="34" t="n"/>
      <c r="G808" s="34" t="n"/>
      <c r="H808" s="34" t="n"/>
      <c r="I808" s="34" t="n"/>
      <c r="J808" s="34" t="n"/>
      <c r="K808" s="34" t="n"/>
      <c r="L808" s="34" t="n"/>
    </row>
    <row r="809" ht="13" customHeight="1" s="215">
      <c r="B809" s="224" t="n"/>
      <c r="C809" s="224" t="n"/>
      <c r="D809" s="33" t="n"/>
      <c r="E809" s="34" t="n"/>
      <c r="F809" s="34" t="n"/>
      <c r="G809" s="34" t="n"/>
      <c r="H809" s="34" t="n"/>
      <c r="I809" s="34" t="n"/>
      <c r="J809" s="34" t="n"/>
      <c r="K809" s="34" t="n"/>
      <c r="L809" s="34" t="n"/>
    </row>
    <row r="810" ht="13" customHeight="1" s="215">
      <c r="B810" s="224" t="n"/>
      <c r="C810" s="224" t="n"/>
      <c r="D810" s="33" t="n"/>
      <c r="E810" s="34" t="n"/>
      <c r="F810" s="34" t="n"/>
      <c r="G810" s="34" t="n"/>
      <c r="H810" s="34" t="n"/>
      <c r="I810" s="34" t="n"/>
      <c r="J810" s="34" t="n"/>
      <c r="K810" s="34" t="n"/>
      <c r="L810" s="34" t="n"/>
    </row>
    <row r="811" ht="13" customHeight="1" s="215">
      <c r="B811" s="224" t="n"/>
      <c r="C811" s="224" t="n"/>
      <c r="D811" s="33" t="n"/>
      <c r="E811" s="34" t="n"/>
      <c r="F811" s="34" t="n"/>
      <c r="G811" s="34" t="n"/>
      <c r="H811" s="34" t="n"/>
      <c r="I811" s="34" t="n"/>
      <c r="J811" s="34" t="n"/>
      <c r="K811" s="34" t="n"/>
      <c r="L811" s="34" t="n"/>
    </row>
    <row r="812" ht="13" customHeight="1" s="215">
      <c r="B812" s="224" t="n"/>
      <c r="C812" s="224" t="n"/>
      <c r="D812" s="33" t="n"/>
      <c r="E812" s="34" t="n"/>
      <c r="F812" s="34" t="n"/>
      <c r="G812" s="34" t="n"/>
      <c r="H812" s="34" t="n"/>
      <c r="I812" s="34" t="n"/>
      <c r="J812" s="34" t="n"/>
      <c r="K812" s="34" t="n"/>
      <c r="L812" s="34" t="n"/>
    </row>
    <row r="813" ht="13" customHeight="1" s="215">
      <c r="B813" s="224" t="n"/>
      <c r="C813" s="224" t="n"/>
      <c r="D813" s="33" t="n"/>
      <c r="E813" s="34" t="n"/>
      <c r="F813" s="34" t="n"/>
      <c r="G813" s="34" t="n"/>
      <c r="H813" s="34" t="n"/>
      <c r="I813" s="34" t="n"/>
      <c r="J813" s="34" t="n"/>
      <c r="K813" s="34" t="n"/>
      <c r="L813" s="34" t="n"/>
    </row>
    <row r="814" ht="13" customHeight="1" s="215">
      <c r="B814" s="224" t="n"/>
      <c r="C814" s="224" t="n"/>
      <c r="D814" s="33" t="n"/>
      <c r="E814" s="34" t="n"/>
      <c r="F814" s="34" t="n"/>
      <c r="G814" s="34" t="n"/>
      <c r="H814" s="34" t="n"/>
      <c r="I814" s="34" t="n"/>
      <c r="J814" s="34" t="n"/>
      <c r="K814" s="34" t="n"/>
      <c r="L814" s="34" t="n"/>
    </row>
    <row r="815" ht="13" customHeight="1" s="215">
      <c r="B815" s="224" t="n"/>
      <c r="C815" s="224" t="n"/>
      <c r="D815" s="33" t="n"/>
      <c r="E815" s="34" t="n"/>
      <c r="F815" s="34" t="n"/>
      <c r="G815" s="34" t="n"/>
      <c r="H815" s="34" t="n"/>
      <c r="I815" s="34" t="n"/>
      <c r="J815" s="34" t="n"/>
      <c r="K815" s="34" t="n"/>
      <c r="L815" s="34" t="n"/>
    </row>
    <row r="816" ht="13" customHeight="1" s="215">
      <c r="B816" s="224" t="n"/>
      <c r="C816" s="224" t="n"/>
      <c r="D816" s="33" t="n"/>
      <c r="E816" s="34" t="n"/>
      <c r="F816" s="34" t="n"/>
      <c r="G816" s="34" t="n"/>
      <c r="H816" s="34" t="n"/>
      <c r="I816" s="34" t="n"/>
      <c r="J816" s="34" t="n"/>
      <c r="K816" s="34" t="n"/>
      <c r="L816" s="34" t="n"/>
    </row>
    <row r="817" ht="13" customHeight="1" s="215">
      <c r="B817" s="224" t="n"/>
      <c r="C817" s="224" t="n"/>
      <c r="D817" s="33" t="n"/>
      <c r="E817" s="34" t="n"/>
      <c r="F817" s="34" t="n"/>
      <c r="G817" s="34" t="n"/>
      <c r="H817" s="34" t="n"/>
      <c r="I817" s="34" t="n"/>
      <c r="J817" s="34" t="n"/>
      <c r="K817" s="34" t="n"/>
      <c r="L817" s="34" t="n"/>
    </row>
    <row r="818" ht="13" customHeight="1" s="215">
      <c r="B818" s="224" t="n"/>
      <c r="C818" s="224" t="n"/>
      <c r="D818" s="33" t="n"/>
      <c r="E818" s="34" t="n"/>
      <c r="F818" s="34" t="n"/>
      <c r="G818" s="34" t="n"/>
      <c r="H818" s="34" t="n"/>
      <c r="I818" s="34" t="n"/>
      <c r="J818" s="34" t="n"/>
      <c r="K818" s="34" t="n"/>
      <c r="L818" s="34" t="n"/>
    </row>
    <row r="819" ht="13" customHeight="1" s="215">
      <c r="B819" s="224" t="n"/>
      <c r="C819" s="224" t="n"/>
      <c r="D819" s="33" t="n"/>
      <c r="E819" s="34" t="n"/>
      <c r="F819" s="34" t="n"/>
      <c r="G819" s="34" t="n"/>
      <c r="H819" s="34" t="n"/>
      <c r="I819" s="34" t="n"/>
      <c r="J819" s="34" t="n"/>
      <c r="K819" s="34" t="n"/>
      <c r="L819" s="34" t="n"/>
    </row>
    <row r="820" ht="13" customHeight="1" s="215">
      <c r="B820" s="224" t="n"/>
      <c r="C820" s="224" t="n"/>
      <c r="D820" s="33" t="n"/>
      <c r="E820" s="34" t="n"/>
      <c r="F820" s="34" t="n"/>
      <c r="G820" s="34" t="n"/>
      <c r="H820" s="34" t="n"/>
      <c r="I820" s="34" t="n"/>
      <c r="J820" s="34" t="n"/>
      <c r="K820" s="34" t="n"/>
      <c r="L820" s="34" t="n"/>
    </row>
    <row r="821" ht="13" customHeight="1" s="215">
      <c r="B821" s="224" t="n"/>
      <c r="C821" s="224" t="n"/>
      <c r="D821" s="33" t="n"/>
      <c r="E821" s="34" t="n"/>
      <c r="F821" s="34" t="n"/>
      <c r="G821" s="34" t="n"/>
      <c r="H821" s="34" t="n"/>
      <c r="I821" s="34" t="n"/>
      <c r="J821" s="34" t="n"/>
      <c r="K821" s="34" t="n"/>
      <c r="L821" s="34" t="n"/>
    </row>
    <row r="822" ht="13" customHeight="1" s="215">
      <c r="B822" s="224" t="n"/>
      <c r="C822" s="224" t="n"/>
      <c r="D822" s="33" t="n"/>
      <c r="E822" s="34" t="n"/>
      <c r="F822" s="34" t="n"/>
      <c r="G822" s="34" t="n"/>
      <c r="H822" s="34" t="n"/>
      <c r="I822" s="34" t="n"/>
      <c r="J822" s="34" t="n"/>
      <c r="K822" s="34" t="n"/>
      <c r="L822" s="34" t="n"/>
    </row>
    <row r="823" ht="13" customHeight="1" s="215">
      <c r="B823" s="224" t="n"/>
      <c r="C823" s="224" t="n"/>
      <c r="D823" s="33" t="n"/>
      <c r="E823" s="34" t="n"/>
      <c r="F823" s="34" t="n"/>
      <c r="G823" s="34" t="n"/>
      <c r="H823" s="34" t="n"/>
      <c r="I823" s="34" t="n"/>
      <c r="J823" s="34" t="n"/>
      <c r="K823" s="34" t="n"/>
      <c r="L823" s="34" t="n"/>
    </row>
    <row r="824" ht="13" customHeight="1" s="215">
      <c r="B824" s="224" t="n"/>
      <c r="C824" s="224" t="n"/>
      <c r="D824" s="33" t="n"/>
      <c r="E824" s="34" t="n"/>
      <c r="F824" s="34" t="n"/>
      <c r="G824" s="34" t="n"/>
      <c r="H824" s="34" t="n"/>
      <c r="I824" s="34" t="n"/>
      <c r="J824" s="34" t="n"/>
      <c r="K824" s="34" t="n"/>
      <c r="L824" s="34" t="n"/>
    </row>
    <row r="825" ht="13" customHeight="1" s="215">
      <c r="B825" s="224" t="n"/>
      <c r="C825" s="224" t="n"/>
      <c r="D825" s="33" t="n"/>
      <c r="E825" s="34" t="n"/>
      <c r="F825" s="34" t="n"/>
      <c r="G825" s="34" t="n"/>
      <c r="H825" s="34" t="n"/>
      <c r="I825" s="34" t="n"/>
      <c r="J825" s="34" t="n"/>
      <c r="K825" s="34" t="n"/>
      <c r="L825" s="34" t="n"/>
    </row>
    <row r="826" ht="13" customHeight="1" s="215">
      <c r="B826" s="224" t="n"/>
      <c r="C826" s="224" t="n"/>
      <c r="D826" s="33" t="n"/>
      <c r="E826" s="34" t="n"/>
      <c r="F826" s="34" t="n"/>
      <c r="G826" s="34" t="n"/>
      <c r="H826" s="34" t="n"/>
      <c r="I826" s="34" t="n"/>
      <c r="J826" s="34" t="n"/>
      <c r="K826" s="34" t="n"/>
      <c r="L826" s="34" t="n"/>
    </row>
    <row r="827" ht="13" customHeight="1" s="215">
      <c r="B827" s="224" t="n"/>
      <c r="C827" s="224" t="n"/>
      <c r="D827" s="33" t="n"/>
      <c r="E827" s="34" t="n"/>
      <c r="F827" s="34" t="n"/>
      <c r="G827" s="34" t="n"/>
      <c r="H827" s="34" t="n"/>
      <c r="I827" s="34" t="n"/>
      <c r="J827" s="34" t="n"/>
      <c r="K827" s="34" t="n"/>
      <c r="L827" s="34" t="n"/>
    </row>
    <row r="828" ht="13" customHeight="1" s="215">
      <c r="B828" s="224" t="n"/>
      <c r="C828" s="224" t="n"/>
      <c r="D828" s="33" t="n"/>
      <c r="E828" s="34" t="n"/>
      <c r="F828" s="34" t="n"/>
      <c r="G828" s="34" t="n"/>
      <c r="H828" s="34" t="n"/>
      <c r="I828" s="34" t="n"/>
      <c r="J828" s="34" t="n"/>
      <c r="K828" s="34" t="n"/>
      <c r="L828" s="34" t="n"/>
    </row>
    <row r="829" ht="13" customHeight="1" s="215">
      <c r="B829" s="224" t="n"/>
      <c r="C829" s="224" t="n"/>
      <c r="D829" s="33" t="n"/>
      <c r="E829" s="34" t="n"/>
      <c r="F829" s="34" t="n"/>
      <c r="G829" s="34" t="n"/>
      <c r="H829" s="34" t="n"/>
      <c r="I829" s="34" t="n"/>
      <c r="J829" s="34" t="n"/>
      <c r="K829" s="34" t="n"/>
      <c r="L829" s="34" t="n"/>
    </row>
    <row r="830" ht="13" customHeight="1" s="215">
      <c r="B830" s="224" t="n"/>
      <c r="C830" s="224" t="n"/>
      <c r="D830" s="33" t="n"/>
      <c r="E830" s="34" t="n"/>
      <c r="F830" s="34" t="n"/>
      <c r="G830" s="34" t="n"/>
      <c r="H830" s="34" t="n"/>
      <c r="I830" s="34" t="n"/>
      <c r="J830" s="34" t="n"/>
      <c r="K830" s="34" t="n"/>
      <c r="L830" s="34" t="n"/>
    </row>
    <row r="831" ht="13" customHeight="1" s="215">
      <c r="B831" s="224" t="n"/>
      <c r="C831" s="224" t="n"/>
      <c r="D831" s="33" t="n"/>
      <c r="E831" s="34" t="n"/>
      <c r="F831" s="34" t="n"/>
      <c r="G831" s="34" t="n"/>
      <c r="H831" s="34" t="n"/>
      <c r="I831" s="34" t="n"/>
      <c r="J831" s="34" t="n"/>
      <c r="K831" s="34" t="n"/>
      <c r="L831" s="34" t="n"/>
    </row>
    <row r="832" ht="13" customHeight="1" s="215">
      <c r="B832" s="224" t="n"/>
      <c r="C832" s="224" t="n"/>
      <c r="D832" s="33" t="n"/>
      <c r="E832" s="34" t="n"/>
      <c r="F832" s="34" t="n"/>
      <c r="G832" s="34" t="n"/>
      <c r="H832" s="34" t="n"/>
      <c r="I832" s="34" t="n"/>
      <c r="J832" s="34" t="n"/>
      <c r="K832" s="34" t="n"/>
      <c r="L832" s="34" t="n"/>
    </row>
    <row r="833" ht="13" customHeight="1" s="215">
      <c r="B833" s="224" t="n"/>
      <c r="C833" s="224" t="n"/>
      <c r="D833" s="33" t="n"/>
      <c r="E833" s="34" t="n"/>
      <c r="F833" s="34" t="n"/>
      <c r="G833" s="34" t="n"/>
      <c r="H833" s="34" t="n"/>
      <c r="I833" s="34" t="n"/>
      <c r="J833" s="34" t="n"/>
      <c r="K833" s="34" t="n"/>
      <c r="L833" s="34" t="n"/>
    </row>
    <row r="834" ht="13" customHeight="1" s="215">
      <c r="B834" s="224" t="n"/>
      <c r="C834" s="224" t="n"/>
      <c r="D834" s="33" t="n"/>
      <c r="E834" s="34" t="n"/>
      <c r="F834" s="34" t="n"/>
      <c r="G834" s="34" t="n"/>
      <c r="H834" s="34" t="n"/>
      <c r="I834" s="34" t="n"/>
      <c r="J834" s="34" t="n"/>
      <c r="K834" s="34" t="n"/>
      <c r="L834" s="34" t="n"/>
    </row>
    <row r="835" ht="13" customHeight="1" s="215">
      <c r="B835" s="224" t="n"/>
      <c r="C835" s="224" t="n"/>
      <c r="D835" s="33" t="n"/>
      <c r="E835" s="34" t="n"/>
      <c r="F835" s="34" t="n"/>
      <c r="G835" s="34" t="n"/>
      <c r="H835" s="34" t="n"/>
      <c r="I835" s="34" t="n"/>
      <c r="J835" s="34" t="n"/>
      <c r="K835" s="34" t="n"/>
      <c r="L835" s="34" t="n"/>
    </row>
    <row r="836" ht="13" customHeight="1" s="215">
      <c r="B836" s="224" t="n"/>
      <c r="C836" s="224" t="n"/>
      <c r="D836" s="33" t="n"/>
      <c r="E836" s="34" t="n"/>
      <c r="F836" s="34" t="n"/>
      <c r="G836" s="34" t="n"/>
      <c r="H836" s="34" t="n"/>
      <c r="I836" s="34" t="n"/>
      <c r="J836" s="34" t="n"/>
      <c r="K836" s="34" t="n"/>
      <c r="L836" s="34" t="n"/>
    </row>
    <row r="837" ht="13" customHeight="1" s="215">
      <c r="B837" s="224" t="n"/>
      <c r="C837" s="224" t="n"/>
      <c r="D837" s="33" t="n"/>
      <c r="E837" s="34" t="n"/>
      <c r="F837" s="34" t="n"/>
      <c r="G837" s="34" t="n"/>
      <c r="H837" s="34" t="n"/>
      <c r="I837" s="34" t="n"/>
      <c r="J837" s="34" t="n"/>
      <c r="K837" s="34" t="n"/>
      <c r="L837" s="34" t="n"/>
    </row>
    <row r="838" ht="13" customHeight="1" s="215">
      <c r="B838" s="224" t="n"/>
      <c r="C838" s="224" t="n"/>
      <c r="D838" s="33" t="n"/>
      <c r="E838" s="34" t="n"/>
      <c r="F838" s="34" t="n"/>
      <c r="G838" s="34" t="n"/>
      <c r="H838" s="34" t="n"/>
      <c r="I838" s="34" t="n"/>
      <c r="J838" s="34" t="n"/>
      <c r="K838" s="34" t="n"/>
      <c r="L838" s="34" t="n"/>
    </row>
    <row r="839" ht="13" customHeight="1" s="215">
      <c r="B839" s="224" t="n"/>
      <c r="C839" s="224" t="n"/>
      <c r="D839" s="33" t="n"/>
      <c r="E839" s="34" t="n"/>
      <c r="F839" s="34" t="n"/>
      <c r="G839" s="34" t="n"/>
      <c r="H839" s="34" t="n"/>
      <c r="I839" s="34" t="n"/>
      <c r="J839" s="34" t="n"/>
      <c r="K839" s="34" t="n"/>
      <c r="L839" s="34" t="n"/>
    </row>
    <row r="840" ht="13" customHeight="1" s="215">
      <c r="B840" s="224" t="n"/>
      <c r="C840" s="224" t="n"/>
      <c r="D840" s="33" t="n"/>
      <c r="E840" s="34" t="n"/>
      <c r="F840" s="34" t="n"/>
      <c r="G840" s="34" t="n"/>
      <c r="H840" s="34" t="n"/>
      <c r="I840" s="34" t="n"/>
      <c r="J840" s="34" t="n"/>
      <c r="K840" s="34" t="n"/>
      <c r="L840" s="34" t="n"/>
    </row>
    <row r="841" ht="13" customHeight="1" s="215">
      <c r="B841" s="224" t="n"/>
      <c r="C841" s="224" t="n"/>
      <c r="D841" s="33" t="n"/>
      <c r="E841" s="34" t="n"/>
      <c r="F841" s="34" t="n"/>
      <c r="G841" s="34" t="n"/>
      <c r="H841" s="34" t="n"/>
      <c r="I841" s="34" t="n"/>
      <c r="J841" s="34" t="n"/>
      <c r="K841" s="34" t="n"/>
      <c r="L841" s="34" t="n"/>
    </row>
    <row r="842" ht="13" customHeight="1" s="215">
      <c r="B842" s="224" t="n"/>
      <c r="C842" s="224" t="n"/>
      <c r="D842" s="33" t="n"/>
      <c r="E842" s="34" t="n"/>
      <c r="F842" s="34" t="n"/>
      <c r="G842" s="34" t="n"/>
      <c r="H842" s="34" t="n"/>
      <c r="I842" s="34" t="n"/>
      <c r="J842" s="34" t="n"/>
      <c r="K842" s="34" t="n"/>
      <c r="L842" s="34" t="n"/>
    </row>
    <row r="843" ht="13" customHeight="1" s="215">
      <c r="B843" s="224" t="n"/>
      <c r="C843" s="224" t="n"/>
      <c r="D843" s="33" t="n"/>
      <c r="E843" s="34" t="n"/>
      <c r="F843" s="34" t="n"/>
      <c r="G843" s="34" t="n"/>
      <c r="H843" s="34" t="n"/>
      <c r="I843" s="34" t="n"/>
      <c r="J843" s="34" t="n"/>
      <c r="K843" s="34" t="n"/>
      <c r="L843" s="34" t="n"/>
    </row>
    <row r="844" ht="13" customHeight="1" s="215">
      <c r="B844" s="224" t="n"/>
      <c r="C844" s="224" t="n"/>
      <c r="D844" s="33" t="n"/>
      <c r="E844" s="34" t="n"/>
      <c r="F844" s="34" t="n"/>
      <c r="G844" s="34" t="n"/>
      <c r="H844" s="34" t="n"/>
      <c r="I844" s="34" t="n"/>
      <c r="J844" s="34" t="n"/>
      <c r="K844" s="34" t="n"/>
      <c r="L844" s="34" t="n"/>
    </row>
    <row r="845" ht="13" customHeight="1" s="215">
      <c r="B845" s="224" t="n"/>
      <c r="C845" s="224" t="n"/>
      <c r="D845" s="33" t="n"/>
      <c r="E845" s="34" t="n"/>
      <c r="F845" s="34" t="n"/>
      <c r="G845" s="34" t="n"/>
      <c r="H845" s="34" t="n"/>
      <c r="I845" s="34" t="n"/>
      <c r="J845" s="34" t="n"/>
      <c r="K845" s="34" t="n"/>
      <c r="L845" s="34" t="n"/>
    </row>
    <row r="846" ht="13" customHeight="1" s="215">
      <c r="B846" s="224" t="n"/>
      <c r="C846" s="224" t="n"/>
      <c r="D846" s="33" t="n"/>
      <c r="E846" s="34" t="n"/>
      <c r="F846" s="34" t="n"/>
      <c r="G846" s="34" t="n"/>
      <c r="H846" s="34" t="n"/>
      <c r="I846" s="34" t="n"/>
      <c r="J846" s="34" t="n"/>
      <c r="K846" s="34" t="n"/>
      <c r="L846" s="34" t="n"/>
    </row>
    <row r="847" ht="13" customHeight="1" s="215">
      <c r="B847" s="224" t="n"/>
      <c r="C847" s="224" t="n"/>
      <c r="D847" s="33" t="n"/>
      <c r="E847" s="34" t="n"/>
      <c r="F847" s="34" t="n"/>
      <c r="G847" s="34" t="n"/>
      <c r="H847" s="34" t="n"/>
      <c r="I847" s="34" t="n"/>
      <c r="J847" s="34" t="n"/>
      <c r="K847" s="34" t="n"/>
      <c r="L847" s="34" t="n"/>
    </row>
    <row r="848" ht="13" customHeight="1" s="215">
      <c r="B848" s="224" t="n"/>
      <c r="C848" s="224" t="n"/>
      <c r="D848" s="33" t="n"/>
      <c r="E848" s="34" t="n"/>
      <c r="F848" s="34" t="n"/>
      <c r="G848" s="34" t="n"/>
      <c r="H848" s="34" t="n"/>
      <c r="I848" s="34" t="n"/>
      <c r="J848" s="34" t="n"/>
      <c r="K848" s="34" t="n"/>
      <c r="L848" s="34" t="n"/>
    </row>
    <row r="849" ht="13" customHeight="1" s="215">
      <c r="B849" s="224" t="n"/>
      <c r="C849" s="224" t="n"/>
      <c r="D849" s="33" t="n"/>
      <c r="E849" s="34" t="n"/>
      <c r="F849" s="34" t="n"/>
      <c r="G849" s="34" t="n"/>
      <c r="H849" s="34" t="n"/>
      <c r="I849" s="34" t="n"/>
      <c r="J849" s="34" t="n"/>
      <c r="K849" s="34" t="n"/>
      <c r="L849" s="34" t="n"/>
    </row>
    <row r="850" ht="13" customHeight="1" s="215">
      <c r="B850" s="224" t="n"/>
      <c r="C850" s="224" t="n"/>
      <c r="D850" s="33" t="n"/>
      <c r="E850" s="34" t="n"/>
      <c r="F850" s="34" t="n"/>
      <c r="G850" s="34" t="n"/>
      <c r="H850" s="34" t="n"/>
      <c r="I850" s="34" t="n"/>
      <c r="J850" s="34" t="n"/>
      <c r="K850" s="34" t="n"/>
      <c r="L850" s="34" t="n"/>
    </row>
    <row r="851" ht="13" customHeight="1" s="215">
      <c r="B851" s="224" t="n"/>
      <c r="C851" s="224" t="n"/>
      <c r="D851" s="33" t="n"/>
      <c r="E851" s="34" t="n"/>
      <c r="F851" s="34" t="n"/>
      <c r="G851" s="34" t="n"/>
      <c r="H851" s="34" t="n"/>
      <c r="I851" s="34" t="n"/>
      <c r="J851" s="34" t="n"/>
      <c r="K851" s="34" t="n"/>
      <c r="L851" s="34" t="n"/>
    </row>
    <row r="852" ht="13" customHeight="1" s="215">
      <c r="B852" s="224" t="n"/>
      <c r="C852" s="224" t="n"/>
      <c r="D852" s="33" t="n"/>
      <c r="E852" s="34" t="n"/>
      <c r="F852" s="34" t="n"/>
      <c r="G852" s="34" t="n"/>
      <c r="H852" s="34" t="n"/>
      <c r="I852" s="34" t="n"/>
      <c r="J852" s="34" t="n"/>
      <c r="K852" s="34" t="n"/>
      <c r="L852" s="34" t="n"/>
    </row>
    <row r="853" ht="13" customHeight="1" s="215">
      <c r="B853" s="224" t="n"/>
      <c r="C853" s="224" t="n"/>
      <c r="D853" s="33" t="n"/>
      <c r="E853" s="34" t="n"/>
      <c r="F853" s="34" t="n"/>
      <c r="G853" s="34" t="n"/>
      <c r="H853" s="34" t="n"/>
      <c r="I853" s="34" t="n"/>
      <c r="J853" s="34" t="n"/>
      <c r="K853" s="34" t="n"/>
      <c r="L853" s="34" t="n"/>
    </row>
    <row r="854" ht="13" customHeight="1" s="215">
      <c r="B854" s="224" t="n"/>
      <c r="C854" s="224" t="n"/>
      <c r="D854" s="33" t="n"/>
      <c r="E854" s="34" t="n"/>
      <c r="F854" s="34" t="n"/>
      <c r="G854" s="34" t="n"/>
      <c r="H854" s="34" t="n"/>
      <c r="I854" s="34" t="n"/>
      <c r="J854" s="34" t="n"/>
      <c r="K854" s="34" t="n"/>
      <c r="L854" s="34" t="n"/>
    </row>
    <row r="855" ht="13" customHeight="1" s="215">
      <c r="B855" s="224" t="n"/>
      <c r="C855" s="224" t="n"/>
      <c r="D855" s="33" t="n"/>
      <c r="E855" s="34" t="n"/>
      <c r="F855" s="34" t="n"/>
      <c r="G855" s="34" t="n"/>
      <c r="H855" s="34" t="n"/>
      <c r="I855" s="34" t="n"/>
      <c r="J855" s="34" t="n"/>
      <c r="K855" s="34" t="n"/>
      <c r="L855" s="34" t="n"/>
    </row>
    <row r="856" ht="13" customHeight="1" s="215">
      <c r="B856" s="224" t="n"/>
      <c r="C856" s="224" t="n"/>
      <c r="D856" s="33" t="n"/>
      <c r="E856" s="34" t="n"/>
      <c r="F856" s="34" t="n"/>
      <c r="G856" s="34" t="n"/>
      <c r="H856" s="34" t="n"/>
      <c r="I856" s="34" t="n"/>
      <c r="J856" s="34" t="n"/>
      <c r="K856" s="34" t="n"/>
      <c r="L856" s="34" t="n"/>
    </row>
    <row r="857" ht="13" customHeight="1" s="215">
      <c r="B857" s="224" t="n"/>
      <c r="C857" s="224" t="n"/>
      <c r="D857" s="33" t="n"/>
      <c r="E857" s="34" t="n"/>
      <c r="F857" s="34" t="n"/>
      <c r="G857" s="34" t="n"/>
      <c r="H857" s="34" t="n"/>
      <c r="I857" s="34" t="n"/>
      <c r="J857" s="34" t="n"/>
      <c r="K857" s="34" t="n"/>
      <c r="L857" s="34" t="n"/>
    </row>
    <row r="858" ht="13" customHeight="1" s="215">
      <c r="B858" s="224" t="n"/>
      <c r="C858" s="224" t="n"/>
      <c r="D858" s="33" t="n"/>
      <c r="E858" s="34" t="n"/>
      <c r="F858" s="34" t="n"/>
      <c r="G858" s="34" t="n"/>
      <c r="H858" s="34" t="n"/>
      <c r="I858" s="34" t="n"/>
      <c r="J858" s="34" t="n"/>
      <c r="K858" s="34" t="n"/>
      <c r="L858" s="34" t="n"/>
    </row>
    <row r="859" ht="13" customHeight="1" s="215">
      <c r="B859" s="224" t="n"/>
      <c r="C859" s="224" t="n"/>
      <c r="D859" s="33" t="n"/>
      <c r="E859" s="34" t="n"/>
      <c r="F859" s="34" t="n"/>
      <c r="G859" s="34" t="n"/>
      <c r="H859" s="34" t="n"/>
      <c r="I859" s="34" t="n"/>
      <c r="J859" s="34" t="n"/>
      <c r="K859" s="34" t="n"/>
      <c r="L859" s="34" t="n"/>
    </row>
    <row r="860" ht="13" customHeight="1" s="215">
      <c r="B860" s="224" t="n"/>
      <c r="C860" s="224" t="n"/>
      <c r="D860" s="33" t="n"/>
      <c r="E860" s="34" t="n"/>
      <c r="F860" s="34" t="n"/>
      <c r="G860" s="34" t="n"/>
      <c r="H860" s="34" t="n"/>
      <c r="I860" s="34" t="n"/>
      <c r="J860" s="34" t="n"/>
      <c r="K860" s="34" t="n"/>
      <c r="L860" s="34" t="n"/>
    </row>
    <row r="861" ht="13" customHeight="1" s="215">
      <c r="B861" s="224" t="n"/>
      <c r="C861" s="224" t="n"/>
      <c r="D861" s="33" t="n"/>
      <c r="E861" s="34" t="n"/>
      <c r="F861" s="34" t="n"/>
      <c r="G861" s="34" t="n"/>
      <c r="H861" s="34" t="n"/>
      <c r="I861" s="34" t="n"/>
      <c r="J861" s="34" t="n"/>
      <c r="K861" s="34" t="n"/>
      <c r="L861" s="34" t="n"/>
    </row>
    <row r="862" ht="13" customHeight="1" s="215">
      <c r="B862" s="224" t="n"/>
      <c r="C862" s="224" t="n"/>
      <c r="D862" s="33" t="n"/>
      <c r="E862" s="34" t="n"/>
      <c r="F862" s="34" t="n"/>
      <c r="G862" s="34" t="n"/>
      <c r="H862" s="34" t="n"/>
      <c r="I862" s="34" t="n"/>
      <c r="J862" s="34" t="n"/>
      <c r="K862" s="34" t="n"/>
      <c r="L862" s="34" t="n"/>
    </row>
    <row r="863" ht="13" customHeight="1" s="215">
      <c r="B863" s="224" t="n"/>
      <c r="C863" s="224" t="n"/>
      <c r="D863" s="33" t="n"/>
      <c r="E863" s="34" t="n"/>
      <c r="F863" s="34" t="n"/>
      <c r="G863" s="34" t="n"/>
      <c r="H863" s="34" t="n"/>
      <c r="I863" s="34" t="n"/>
      <c r="J863" s="34" t="n"/>
      <c r="K863" s="34" t="n"/>
      <c r="L863" s="34" t="n"/>
    </row>
    <row r="864" ht="13" customHeight="1" s="215">
      <c r="B864" s="224" t="n"/>
      <c r="C864" s="224" t="n"/>
      <c r="D864" s="33" t="n"/>
      <c r="E864" s="34" t="n"/>
      <c r="F864" s="34" t="n"/>
      <c r="G864" s="34" t="n"/>
      <c r="H864" s="34" t="n"/>
      <c r="I864" s="34" t="n"/>
      <c r="J864" s="34" t="n"/>
      <c r="K864" s="34" t="n"/>
      <c r="L864" s="34" t="n"/>
    </row>
    <row r="865" ht="13" customHeight="1" s="215">
      <c r="B865" s="224" t="n"/>
      <c r="C865" s="224" t="n"/>
      <c r="D865" s="33" t="n"/>
      <c r="E865" s="34" t="n"/>
      <c r="F865" s="34" t="n"/>
      <c r="G865" s="34" t="n"/>
      <c r="H865" s="34" t="n"/>
      <c r="I865" s="34" t="n"/>
      <c r="J865" s="34" t="n"/>
      <c r="K865" s="34" t="n"/>
      <c r="L865" s="34" t="n"/>
    </row>
    <row r="866" ht="13" customHeight="1" s="215">
      <c r="B866" s="224" t="n"/>
      <c r="C866" s="224" t="n"/>
      <c r="D866" s="33" t="n"/>
      <c r="E866" s="34" t="n"/>
      <c r="F866" s="34" t="n"/>
      <c r="G866" s="34" t="n"/>
      <c r="H866" s="34" t="n"/>
      <c r="I866" s="34" t="n"/>
      <c r="J866" s="34" t="n"/>
      <c r="K866" s="34" t="n"/>
      <c r="L866" s="34" t="n"/>
    </row>
    <row r="867" ht="13" customHeight="1" s="215">
      <c r="B867" s="224" t="n"/>
      <c r="C867" s="224" t="n"/>
      <c r="D867" s="33" t="n"/>
      <c r="E867" s="34" t="n"/>
      <c r="F867" s="34" t="n"/>
      <c r="G867" s="34" t="n"/>
      <c r="H867" s="34" t="n"/>
      <c r="I867" s="34" t="n"/>
      <c r="J867" s="34" t="n"/>
      <c r="K867" s="34" t="n"/>
      <c r="L867" s="34" t="n"/>
    </row>
    <row r="868" ht="13" customHeight="1" s="215">
      <c r="B868" s="224" t="n"/>
      <c r="C868" s="224" t="n"/>
      <c r="D868" s="33" t="n"/>
      <c r="E868" s="34" t="n"/>
      <c r="F868" s="34" t="n"/>
      <c r="G868" s="34" t="n"/>
      <c r="H868" s="34" t="n"/>
      <c r="I868" s="34" t="n"/>
      <c r="J868" s="34" t="n"/>
      <c r="K868" s="34" t="n"/>
      <c r="L868" s="34" t="n"/>
    </row>
    <row r="869" ht="13" customHeight="1" s="215">
      <c r="B869" s="224" t="n"/>
      <c r="C869" s="224" t="n"/>
      <c r="D869" s="33" t="n"/>
      <c r="E869" s="34" t="n"/>
      <c r="F869" s="34" t="n"/>
      <c r="G869" s="34" t="n"/>
      <c r="H869" s="34" t="n"/>
      <c r="I869" s="34" t="n"/>
      <c r="J869" s="34" t="n"/>
      <c r="K869" s="34" t="n"/>
      <c r="L869" s="34" t="n"/>
    </row>
    <row r="870" ht="13" customHeight="1" s="215">
      <c r="B870" s="224" t="n"/>
      <c r="C870" s="224" t="n"/>
      <c r="D870" s="33" t="n"/>
      <c r="E870" s="34" t="n"/>
      <c r="F870" s="34" t="n"/>
      <c r="G870" s="34" t="n"/>
      <c r="H870" s="34" t="n"/>
      <c r="I870" s="34" t="n"/>
      <c r="J870" s="34" t="n"/>
      <c r="K870" s="34" t="n"/>
      <c r="L870" s="34" t="n"/>
    </row>
    <row r="871" ht="13" customHeight="1" s="215">
      <c r="B871" s="224" t="n"/>
      <c r="C871" s="224" t="n"/>
      <c r="D871" s="33" t="n"/>
      <c r="E871" s="34" t="n"/>
      <c r="F871" s="34" t="n"/>
      <c r="G871" s="34" t="n"/>
      <c r="H871" s="34" t="n"/>
      <c r="I871" s="34" t="n"/>
      <c r="J871" s="34" t="n"/>
      <c r="K871" s="34" t="n"/>
      <c r="L871" s="34" t="n"/>
    </row>
    <row r="872" ht="13" customHeight="1" s="215">
      <c r="B872" s="224" t="n"/>
      <c r="C872" s="224" t="n"/>
      <c r="D872" s="33" t="n"/>
      <c r="E872" s="34" t="n"/>
      <c r="F872" s="34" t="n"/>
      <c r="G872" s="34" t="n"/>
      <c r="H872" s="34" t="n"/>
      <c r="I872" s="34" t="n"/>
      <c r="J872" s="34" t="n"/>
      <c r="K872" s="34" t="n"/>
      <c r="L872" s="34" t="n"/>
    </row>
    <row r="873" ht="13" customHeight="1" s="215">
      <c r="B873" s="224" t="n"/>
      <c r="C873" s="224" t="n"/>
      <c r="D873" s="33" t="n"/>
      <c r="E873" s="34" t="n"/>
      <c r="F873" s="34" t="n"/>
      <c r="G873" s="34" t="n"/>
      <c r="H873" s="34" t="n"/>
      <c r="I873" s="34" t="n"/>
      <c r="J873" s="34" t="n"/>
      <c r="K873" s="34" t="n"/>
      <c r="L873" s="34" t="n"/>
    </row>
    <row r="874" ht="13" customHeight="1" s="215">
      <c r="B874" s="224" t="n"/>
      <c r="C874" s="224" t="n"/>
      <c r="D874" s="33" t="n"/>
      <c r="E874" s="34" t="n"/>
      <c r="F874" s="34" t="n"/>
      <c r="G874" s="34" t="n"/>
      <c r="H874" s="34" t="n"/>
      <c r="I874" s="34" t="n"/>
      <c r="J874" s="34" t="n"/>
      <c r="K874" s="34" t="n"/>
      <c r="L874" s="34" t="n"/>
    </row>
    <row r="875" ht="13" customHeight="1" s="215">
      <c r="B875" s="224" t="n"/>
      <c r="C875" s="224" t="n"/>
      <c r="D875" s="33" t="n"/>
      <c r="E875" s="34" t="n"/>
      <c r="F875" s="34" t="n"/>
      <c r="G875" s="34" t="n"/>
      <c r="H875" s="34" t="n"/>
      <c r="I875" s="34" t="n"/>
      <c r="J875" s="34" t="n"/>
      <c r="K875" s="34" t="n"/>
      <c r="L875" s="34" t="n"/>
    </row>
    <row r="876" ht="13" customHeight="1" s="215">
      <c r="B876" s="224" t="n"/>
      <c r="C876" s="224" t="n"/>
      <c r="D876" s="33" t="n"/>
      <c r="E876" s="34" t="n"/>
      <c r="F876" s="34" t="n"/>
      <c r="G876" s="34" t="n"/>
      <c r="H876" s="34" t="n"/>
      <c r="I876" s="34" t="n"/>
      <c r="J876" s="34" t="n"/>
      <c r="K876" s="34" t="n"/>
      <c r="L876" s="34" t="n"/>
    </row>
    <row r="877" ht="13" customHeight="1" s="215">
      <c r="B877" s="224" t="n"/>
      <c r="C877" s="224" t="n"/>
      <c r="D877" s="33" t="n"/>
      <c r="E877" s="34" t="n"/>
      <c r="F877" s="34" t="n"/>
      <c r="G877" s="34" t="n"/>
      <c r="H877" s="34" t="n"/>
      <c r="I877" s="34" t="n"/>
      <c r="J877" s="34" t="n"/>
      <c r="K877" s="34" t="n"/>
      <c r="L877" s="34" t="n"/>
    </row>
    <row r="878" ht="13" customHeight="1" s="215">
      <c r="B878" s="224" t="n"/>
      <c r="C878" s="224" t="n"/>
      <c r="D878" s="33" t="n"/>
      <c r="E878" s="34" t="n"/>
      <c r="F878" s="34" t="n"/>
      <c r="G878" s="34" t="n"/>
      <c r="H878" s="34" t="n"/>
      <c r="I878" s="34" t="n"/>
      <c r="J878" s="34" t="n"/>
      <c r="K878" s="34" t="n"/>
      <c r="L878" s="34" t="n"/>
    </row>
    <row r="879" ht="13" customHeight="1" s="215">
      <c r="B879" s="224" t="n"/>
      <c r="C879" s="224" t="n"/>
      <c r="D879" s="33" t="n"/>
      <c r="E879" s="34" t="n"/>
      <c r="F879" s="34" t="n"/>
      <c r="G879" s="34" t="n"/>
      <c r="H879" s="34" t="n"/>
      <c r="I879" s="34" t="n"/>
      <c r="J879" s="34" t="n"/>
      <c r="K879" s="34" t="n"/>
      <c r="L879" s="34" t="n"/>
    </row>
    <row r="880" ht="13" customHeight="1" s="215">
      <c r="B880" s="224" t="n"/>
      <c r="C880" s="224" t="n"/>
      <c r="D880" s="33" t="n"/>
      <c r="E880" s="34" t="n"/>
      <c r="F880" s="34" t="n"/>
      <c r="G880" s="34" t="n"/>
      <c r="H880" s="34" t="n"/>
      <c r="I880" s="34" t="n"/>
      <c r="J880" s="34" t="n"/>
      <c r="K880" s="34" t="n"/>
      <c r="L880" s="34" t="n"/>
    </row>
    <row r="881" ht="13" customHeight="1" s="215">
      <c r="B881" s="224" t="n"/>
      <c r="C881" s="224" t="n"/>
      <c r="D881" s="33" t="n"/>
      <c r="E881" s="34" t="n"/>
      <c r="F881" s="34" t="n"/>
      <c r="G881" s="34" t="n"/>
      <c r="H881" s="34" t="n"/>
      <c r="I881" s="34" t="n"/>
      <c r="J881" s="34" t="n"/>
      <c r="K881" s="34" t="n"/>
      <c r="L881" s="34" t="n"/>
    </row>
    <row r="882" ht="13" customHeight="1" s="215">
      <c r="B882" s="224" t="n"/>
      <c r="C882" s="224" t="n"/>
      <c r="D882" s="33" t="n"/>
      <c r="E882" s="34" t="n"/>
      <c r="F882" s="34" t="n"/>
      <c r="G882" s="34" t="n"/>
      <c r="H882" s="34" t="n"/>
      <c r="I882" s="34" t="n"/>
      <c r="J882" s="34" t="n"/>
      <c r="K882" s="34" t="n"/>
      <c r="L882" s="34" t="n"/>
    </row>
    <row r="883" ht="13" customHeight="1" s="215">
      <c r="B883" s="224" t="n"/>
      <c r="C883" s="224" t="n"/>
      <c r="D883" s="33" t="n"/>
      <c r="E883" s="34" t="n"/>
      <c r="F883" s="34" t="n"/>
      <c r="G883" s="34" t="n"/>
      <c r="H883" s="34" t="n"/>
      <c r="I883" s="34" t="n"/>
      <c r="J883" s="34" t="n"/>
      <c r="K883" s="34" t="n"/>
      <c r="L883" s="34" t="n"/>
    </row>
    <row r="884" ht="13" customHeight="1" s="215">
      <c r="B884" s="224" t="n"/>
      <c r="C884" s="224" t="n"/>
      <c r="D884" s="33" t="n"/>
      <c r="E884" s="34" t="n"/>
      <c r="F884" s="34" t="n"/>
      <c r="G884" s="34" t="n"/>
      <c r="H884" s="34" t="n"/>
      <c r="I884" s="34" t="n"/>
      <c r="J884" s="34" t="n"/>
      <c r="K884" s="34" t="n"/>
      <c r="L884" s="34" t="n"/>
    </row>
    <row r="885" ht="13" customHeight="1" s="215">
      <c r="B885" s="224" t="n"/>
      <c r="C885" s="224" t="n"/>
      <c r="D885" s="33" t="n"/>
      <c r="E885" s="34" t="n"/>
      <c r="F885" s="34" t="n"/>
      <c r="G885" s="34" t="n"/>
      <c r="H885" s="34" t="n"/>
      <c r="I885" s="34" t="n"/>
      <c r="J885" s="34" t="n"/>
      <c r="K885" s="34" t="n"/>
      <c r="L885" s="34" t="n"/>
    </row>
    <row r="886" ht="13" customHeight="1" s="215">
      <c r="B886" s="224" t="n"/>
      <c r="C886" s="224" t="n"/>
      <c r="D886" s="33" t="n"/>
      <c r="E886" s="34" t="n"/>
      <c r="F886" s="34" t="n"/>
      <c r="G886" s="34" t="n"/>
      <c r="H886" s="34" t="n"/>
      <c r="I886" s="34" t="n"/>
      <c r="J886" s="34" t="n"/>
      <c r="K886" s="34" t="n"/>
      <c r="L886" s="34" t="n"/>
    </row>
    <row r="887" ht="13" customHeight="1" s="215">
      <c r="B887" s="224" t="n"/>
      <c r="C887" s="224" t="n"/>
      <c r="D887" s="33" t="n"/>
      <c r="E887" s="34" t="n"/>
      <c r="F887" s="34" t="n"/>
      <c r="G887" s="34" t="n"/>
      <c r="H887" s="34" t="n"/>
      <c r="I887" s="34" t="n"/>
      <c r="J887" s="34" t="n"/>
      <c r="K887" s="34" t="n"/>
      <c r="L887" s="34" t="n"/>
    </row>
    <row r="888" ht="13" customHeight="1" s="215">
      <c r="B888" s="224" t="n"/>
      <c r="C888" s="224" t="n"/>
      <c r="D888" s="33" t="n"/>
      <c r="E888" s="34" t="n"/>
      <c r="F888" s="34" t="n"/>
      <c r="G888" s="34" t="n"/>
      <c r="H888" s="34" t="n"/>
      <c r="I888" s="34" t="n"/>
      <c r="J888" s="34" t="n"/>
      <c r="K888" s="34" t="n"/>
      <c r="L888" s="34" t="n"/>
    </row>
    <row r="889" ht="13" customHeight="1" s="215">
      <c r="B889" s="224" t="n"/>
      <c r="C889" s="224" t="n"/>
      <c r="D889" s="33" t="n"/>
      <c r="E889" s="34" t="n"/>
      <c r="F889" s="34" t="n"/>
      <c r="G889" s="34" t="n"/>
      <c r="H889" s="34" t="n"/>
      <c r="I889" s="34" t="n"/>
      <c r="J889" s="34" t="n"/>
      <c r="K889" s="34" t="n"/>
      <c r="L889" s="34" t="n"/>
    </row>
    <row r="890" ht="13" customHeight="1" s="215">
      <c r="B890" s="224" t="n"/>
      <c r="C890" s="224" t="n"/>
      <c r="D890" s="33" t="n"/>
      <c r="E890" s="34" t="n"/>
      <c r="F890" s="34" t="n"/>
      <c r="G890" s="34" t="n"/>
      <c r="H890" s="34" t="n"/>
      <c r="I890" s="34" t="n"/>
      <c r="J890" s="34" t="n"/>
      <c r="K890" s="34" t="n"/>
      <c r="L890" s="34" t="n"/>
    </row>
    <row r="891" ht="13" customHeight="1" s="215">
      <c r="B891" s="224" t="n"/>
      <c r="C891" s="224" t="n"/>
      <c r="D891" s="33" t="n"/>
      <c r="E891" s="34" t="n"/>
      <c r="F891" s="34" t="n"/>
      <c r="G891" s="34" t="n"/>
      <c r="H891" s="34" t="n"/>
      <c r="I891" s="34" t="n"/>
      <c r="J891" s="34" t="n"/>
      <c r="K891" s="34" t="n"/>
      <c r="L891" s="34" t="n"/>
    </row>
    <row r="892" ht="13" customHeight="1" s="215">
      <c r="B892" s="224" t="n"/>
      <c r="C892" s="224" t="n"/>
      <c r="D892" s="33" t="n"/>
      <c r="E892" s="34" t="n"/>
      <c r="F892" s="34" t="n"/>
      <c r="G892" s="34" t="n"/>
      <c r="H892" s="34" t="n"/>
      <c r="I892" s="34" t="n"/>
      <c r="J892" s="34" t="n"/>
      <c r="K892" s="34" t="n"/>
      <c r="L892" s="34" t="n"/>
    </row>
    <row r="893" ht="13" customHeight="1" s="215">
      <c r="B893" s="224" t="n"/>
      <c r="C893" s="224" t="n"/>
      <c r="D893" s="33" t="n"/>
      <c r="E893" s="34" t="n"/>
      <c r="F893" s="34" t="n"/>
      <c r="G893" s="34" t="n"/>
      <c r="H893" s="34" t="n"/>
      <c r="I893" s="34" t="n"/>
      <c r="J893" s="34" t="n"/>
      <c r="K893" s="34" t="n"/>
      <c r="L893" s="34" t="n"/>
    </row>
    <row r="894" ht="13" customHeight="1" s="215">
      <c r="B894" s="224" t="n"/>
      <c r="C894" s="224" t="n"/>
      <c r="D894" s="33" t="n"/>
      <c r="E894" s="34" t="n"/>
      <c r="F894" s="34" t="n"/>
      <c r="G894" s="34" t="n"/>
      <c r="H894" s="34" t="n"/>
      <c r="I894" s="34" t="n"/>
      <c r="J894" s="34" t="n"/>
      <c r="K894" s="34" t="n"/>
      <c r="L894" s="34" t="n"/>
    </row>
    <row r="895" ht="13" customHeight="1" s="215">
      <c r="B895" s="224" t="n"/>
      <c r="C895" s="224" t="n"/>
      <c r="D895" s="33" t="n"/>
      <c r="E895" s="34" t="n"/>
      <c r="F895" s="34" t="n"/>
      <c r="G895" s="34" t="n"/>
      <c r="H895" s="34" t="n"/>
      <c r="I895" s="34" t="n"/>
      <c r="J895" s="34" t="n"/>
      <c r="K895" s="34" t="n"/>
      <c r="L895" s="34" t="n"/>
    </row>
    <row r="896" ht="13" customHeight="1" s="215">
      <c r="B896" s="224" t="n"/>
      <c r="C896" s="224" t="n"/>
      <c r="D896" s="33" t="n"/>
      <c r="E896" s="34" t="n"/>
      <c r="F896" s="34" t="n"/>
      <c r="G896" s="34" t="n"/>
      <c r="H896" s="34" t="n"/>
      <c r="I896" s="34" t="n"/>
      <c r="J896" s="34" t="n"/>
      <c r="K896" s="34" t="n"/>
      <c r="L896" s="34" t="n"/>
    </row>
    <row r="897" ht="13" customHeight="1" s="215">
      <c r="B897" s="224" t="n"/>
      <c r="C897" s="224" t="n"/>
      <c r="D897" s="33" t="n"/>
      <c r="E897" s="34" t="n"/>
      <c r="F897" s="34" t="n"/>
      <c r="G897" s="34" t="n"/>
      <c r="H897" s="34" t="n"/>
      <c r="I897" s="34" t="n"/>
      <c r="J897" s="34" t="n"/>
      <c r="K897" s="34" t="n"/>
      <c r="L897" s="34" t="n"/>
    </row>
    <row r="898" ht="13" customHeight="1" s="215">
      <c r="B898" s="224" t="n"/>
      <c r="C898" s="224" t="n"/>
      <c r="D898" s="33" t="n"/>
      <c r="E898" s="34" t="n"/>
      <c r="F898" s="34" t="n"/>
      <c r="G898" s="34" t="n"/>
      <c r="H898" s="34" t="n"/>
      <c r="I898" s="34" t="n"/>
      <c r="J898" s="34" t="n"/>
      <c r="K898" s="34" t="n"/>
      <c r="L898" s="34" t="n"/>
    </row>
    <row r="899" ht="13" customHeight="1" s="215">
      <c r="B899" s="224" t="n"/>
      <c r="C899" s="224" t="n"/>
      <c r="D899" s="33" t="n"/>
      <c r="E899" s="34" t="n"/>
      <c r="F899" s="34" t="n"/>
      <c r="G899" s="34" t="n"/>
      <c r="H899" s="34" t="n"/>
      <c r="I899" s="34" t="n"/>
      <c r="J899" s="34" t="n"/>
      <c r="K899" s="34" t="n"/>
      <c r="L899" s="34" t="n"/>
    </row>
    <row r="900" ht="13" customHeight="1" s="215">
      <c r="B900" s="224" t="n"/>
      <c r="C900" s="224" t="n"/>
      <c r="D900" s="33" t="n"/>
      <c r="E900" s="34" t="n"/>
      <c r="F900" s="34" t="n"/>
      <c r="G900" s="34" t="n"/>
      <c r="H900" s="34" t="n"/>
      <c r="I900" s="34" t="n"/>
      <c r="J900" s="34" t="n"/>
      <c r="K900" s="34" t="n"/>
      <c r="L900" s="34" t="n"/>
    </row>
    <row r="901" ht="13" customHeight="1" s="215">
      <c r="B901" s="224" t="n"/>
      <c r="C901" s="224" t="n"/>
      <c r="D901" s="33" t="n"/>
      <c r="E901" s="34" t="n"/>
      <c r="F901" s="34" t="n"/>
      <c r="G901" s="34" t="n"/>
      <c r="H901" s="34" t="n"/>
      <c r="I901" s="34" t="n"/>
      <c r="J901" s="34" t="n"/>
      <c r="K901" s="34" t="n"/>
      <c r="L901" s="34" t="n"/>
    </row>
    <row r="902" ht="13" customHeight="1" s="215">
      <c r="B902" s="224" t="n"/>
      <c r="C902" s="224" t="n"/>
      <c r="D902" s="33" t="n"/>
      <c r="E902" s="34" t="n"/>
      <c r="F902" s="34" t="n"/>
      <c r="G902" s="34" t="n"/>
      <c r="H902" s="34" t="n"/>
      <c r="I902" s="34" t="n"/>
      <c r="J902" s="34" t="n"/>
      <c r="K902" s="34" t="n"/>
      <c r="L902" s="34" t="n"/>
    </row>
    <row r="903" ht="13" customHeight="1" s="215">
      <c r="B903" s="224" t="n"/>
      <c r="C903" s="224" t="n"/>
      <c r="D903" s="33" t="n"/>
      <c r="E903" s="34" t="n"/>
      <c r="F903" s="34" t="n"/>
      <c r="G903" s="34" t="n"/>
      <c r="H903" s="34" t="n"/>
      <c r="I903" s="34" t="n"/>
      <c r="J903" s="34" t="n"/>
      <c r="K903" s="34" t="n"/>
      <c r="L903" s="34" t="n"/>
    </row>
    <row r="904" ht="13" customHeight="1" s="215">
      <c r="B904" s="224" t="n"/>
      <c r="C904" s="224" t="n"/>
      <c r="D904" s="33" t="n"/>
      <c r="E904" s="34" t="n"/>
      <c r="F904" s="34" t="n"/>
      <c r="G904" s="34" t="n"/>
      <c r="H904" s="34" t="n"/>
      <c r="I904" s="34" t="n"/>
      <c r="J904" s="34" t="n"/>
      <c r="K904" s="34" t="n"/>
      <c r="L904" s="34" t="n"/>
    </row>
    <row r="905" ht="13" customHeight="1" s="215">
      <c r="B905" s="224" t="n"/>
      <c r="C905" s="224" t="n"/>
      <c r="D905" s="33" t="n"/>
      <c r="E905" s="34" t="n"/>
      <c r="F905" s="34" t="n"/>
      <c r="G905" s="34" t="n"/>
      <c r="H905" s="34" t="n"/>
      <c r="I905" s="34" t="n"/>
      <c r="J905" s="34" t="n"/>
      <c r="K905" s="34" t="n"/>
      <c r="L905" s="34" t="n"/>
    </row>
    <row r="906" ht="13" customHeight="1" s="215">
      <c r="B906" s="224" t="n"/>
      <c r="C906" s="224" t="n"/>
      <c r="D906" s="33" t="n"/>
      <c r="E906" s="34" t="n"/>
      <c r="F906" s="34" t="n"/>
      <c r="G906" s="34" t="n"/>
      <c r="H906" s="34" t="n"/>
      <c r="I906" s="34" t="n"/>
      <c r="J906" s="34" t="n"/>
      <c r="K906" s="34" t="n"/>
      <c r="L906" s="34" t="n"/>
    </row>
    <row r="907" ht="13" customHeight="1" s="215">
      <c r="B907" s="224" t="n"/>
      <c r="C907" s="224" t="n"/>
      <c r="D907" s="33" t="n"/>
      <c r="E907" s="34" t="n"/>
      <c r="F907" s="34" t="n"/>
      <c r="G907" s="34" t="n"/>
      <c r="H907" s="34" t="n"/>
      <c r="I907" s="34" t="n"/>
      <c r="J907" s="34" t="n"/>
      <c r="K907" s="34" t="n"/>
      <c r="L907" s="34" t="n"/>
    </row>
    <row r="908" ht="13" customHeight="1" s="215">
      <c r="B908" s="224" t="n"/>
      <c r="C908" s="224" t="n"/>
      <c r="D908" s="33" t="n"/>
      <c r="E908" s="34" t="n"/>
      <c r="F908" s="34" t="n"/>
      <c r="G908" s="34" t="n"/>
      <c r="H908" s="34" t="n"/>
      <c r="I908" s="34" t="n"/>
      <c r="J908" s="34" t="n"/>
      <c r="K908" s="34" t="n"/>
      <c r="L908" s="34" t="n"/>
    </row>
    <row r="909" ht="13" customHeight="1" s="215">
      <c r="B909" s="224" t="n"/>
      <c r="C909" s="224" t="n"/>
      <c r="D909" s="33" t="n"/>
      <c r="E909" s="34" t="n"/>
      <c r="F909" s="34" t="n"/>
      <c r="G909" s="34" t="n"/>
      <c r="H909" s="34" t="n"/>
      <c r="I909" s="34" t="n"/>
      <c r="J909" s="34" t="n"/>
      <c r="K909" s="34" t="n"/>
      <c r="L909" s="34" t="n"/>
    </row>
    <row r="910" ht="13" customHeight="1" s="215">
      <c r="B910" s="224" t="n"/>
      <c r="C910" s="224" t="n"/>
      <c r="D910" s="33" t="n"/>
      <c r="E910" s="34" t="n"/>
      <c r="F910" s="34" t="n"/>
      <c r="G910" s="34" t="n"/>
      <c r="H910" s="34" t="n"/>
      <c r="I910" s="34" t="n"/>
      <c r="J910" s="34" t="n"/>
      <c r="K910" s="34" t="n"/>
      <c r="L910" s="34" t="n"/>
    </row>
    <row r="911" ht="13" customHeight="1" s="215">
      <c r="B911" s="224" t="n"/>
      <c r="C911" s="224" t="n"/>
      <c r="D911" s="33" t="n"/>
      <c r="E911" s="34" t="n"/>
      <c r="F911" s="34" t="n"/>
      <c r="G911" s="34" t="n"/>
      <c r="H911" s="34" t="n"/>
      <c r="I911" s="34" t="n"/>
      <c r="J911" s="34" t="n"/>
      <c r="K911" s="34" t="n"/>
      <c r="L911" s="34" t="n"/>
    </row>
    <row r="912" ht="13" customHeight="1" s="215">
      <c r="B912" s="224" t="n"/>
      <c r="C912" s="224" t="n"/>
      <c r="D912" s="33" t="n"/>
      <c r="E912" s="34" t="n"/>
      <c r="F912" s="34" t="n"/>
      <c r="G912" s="34" t="n"/>
      <c r="H912" s="34" t="n"/>
      <c r="I912" s="34" t="n"/>
      <c r="J912" s="34" t="n"/>
      <c r="K912" s="34" t="n"/>
      <c r="L912" s="34" t="n"/>
    </row>
    <row r="913" ht="13" customHeight="1" s="215">
      <c r="B913" s="224" t="n"/>
      <c r="C913" s="224" t="n"/>
      <c r="D913" s="33" t="n"/>
      <c r="E913" s="34" t="n"/>
      <c r="F913" s="34" t="n"/>
      <c r="G913" s="34" t="n"/>
      <c r="H913" s="34" t="n"/>
      <c r="I913" s="34" t="n"/>
      <c r="J913" s="34" t="n"/>
      <c r="K913" s="34" t="n"/>
      <c r="L913" s="34" t="n"/>
    </row>
    <row r="914" ht="13" customHeight="1" s="215">
      <c r="B914" s="224" t="n"/>
      <c r="C914" s="224" t="n"/>
      <c r="D914" s="33" t="n"/>
      <c r="E914" s="34" t="n"/>
      <c r="F914" s="34" t="n"/>
      <c r="G914" s="34" t="n"/>
      <c r="H914" s="34" t="n"/>
      <c r="I914" s="34" t="n"/>
      <c r="J914" s="34" t="n"/>
      <c r="K914" s="34" t="n"/>
      <c r="L914" s="34" t="n"/>
    </row>
    <row r="915" ht="13" customHeight="1" s="215">
      <c r="B915" s="224" t="n"/>
      <c r="C915" s="224" t="n"/>
      <c r="D915" s="33" t="n"/>
      <c r="E915" s="34" t="n"/>
      <c r="F915" s="34" t="n"/>
      <c r="G915" s="34" t="n"/>
      <c r="H915" s="34" t="n"/>
      <c r="I915" s="34" t="n"/>
      <c r="J915" s="34" t="n"/>
      <c r="K915" s="34" t="n"/>
      <c r="L915" s="34" t="n"/>
    </row>
    <row r="916" ht="13" customHeight="1" s="215">
      <c r="B916" s="224" t="n"/>
      <c r="C916" s="224" t="n"/>
      <c r="D916" s="33" t="n"/>
      <c r="E916" s="34" t="n"/>
      <c r="F916" s="34" t="n"/>
      <c r="G916" s="34" t="n"/>
      <c r="H916" s="34" t="n"/>
      <c r="I916" s="34" t="n"/>
      <c r="J916" s="34" t="n"/>
      <c r="K916" s="34" t="n"/>
      <c r="L916" s="34" t="n"/>
    </row>
    <row r="917" ht="13" customHeight="1" s="215">
      <c r="B917" s="224" t="n"/>
      <c r="C917" s="224" t="n"/>
      <c r="D917" s="33" t="n"/>
      <c r="E917" s="34" t="n"/>
      <c r="F917" s="34" t="n"/>
      <c r="G917" s="34" t="n"/>
      <c r="H917" s="34" t="n"/>
      <c r="I917" s="34" t="n"/>
      <c r="J917" s="34" t="n"/>
      <c r="K917" s="34" t="n"/>
      <c r="L917" s="34" t="n"/>
    </row>
    <row r="918" ht="13" customHeight="1" s="215">
      <c r="B918" s="224" t="n"/>
      <c r="C918" s="224" t="n"/>
      <c r="D918" s="33" t="n"/>
      <c r="E918" s="34" t="n"/>
      <c r="F918" s="34" t="n"/>
      <c r="G918" s="34" t="n"/>
      <c r="H918" s="34" t="n"/>
      <c r="I918" s="34" t="n"/>
      <c r="J918" s="34" t="n"/>
      <c r="K918" s="34" t="n"/>
      <c r="L918" s="34" t="n"/>
    </row>
    <row r="919" ht="13" customHeight="1" s="215">
      <c r="B919" s="224" t="n"/>
      <c r="C919" s="224" t="n"/>
      <c r="D919" s="33" t="n"/>
      <c r="E919" s="34" t="n"/>
      <c r="F919" s="34" t="n"/>
      <c r="G919" s="34" t="n"/>
      <c r="H919" s="34" t="n"/>
      <c r="I919" s="34" t="n"/>
      <c r="J919" s="34" t="n"/>
      <c r="K919" s="34" t="n"/>
      <c r="L919" s="34" t="n"/>
    </row>
    <row r="920" ht="13" customHeight="1" s="215">
      <c r="B920" s="224" t="n"/>
      <c r="C920" s="224" t="n"/>
      <c r="D920" s="33" t="n"/>
      <c r="E920" s="34" t="n"/>
      <c r="F920" s="34" t="n"/>
      <c r="G920" s="34" t="n"/>
      <c r="H920" s="34" t="n"/>
      <c r="I920" s="34" t="n"/>
      <c r="J920" s="34" t="n"/>
      <c r="K920" s="34" t="n"/>
      <c r="L920" s="34" t="n"/>
    </row>
    <row r="921" ht="13" customHeight="1" s="215">
      <c r="B921" s="224" t="n"/>
      <c r="C921" s="224" t="n"/>
      <c r="D921" s="33" t="n"/>
      <c r="E921" s="34" t="n"/>
      <c r="F921" s="34" t="n"/>
      <c r="G921" s="34" t="n"/>
      <c r="H921" s="34" t="n"/>
      <c r="I921" s="34" t="n"/>
      <c r="J921" s="34" t="n"/>
      <c r="K921" s="34" t="n"/>
      <c r="L921" s="34" t="n"/>
    </row>
    <row r="922" ht="13" customHeight="1" s="215">
      <c r="B922" s="224" t="n"/>
      <c r="C922" s="224" t="n"/>
      <c r="D922" s="33" t="n"/>
      <c r="E922" s="34" t="n"/>
      <c r="F922" s="34" t="n"/>
      <c r="G922" s="34" t="n"/>
      <c r="H922" s="34" t="n"/>
      <c r="I922" s="34" t="n"/>
      <c r="J922" s="34" t="n"/>
      <c r="K922" s="34" t="n"/>
      <c r="L922" s="34" t="n"/>
    </row>
    <row r="923" ht="13" customHeight="1" s="215">
      <c r="B923" s="224" t="n"/>
      <c r="C923" s="224" t="n"/>
      <c r="D923" s="33" t="n"/>
      <c r="E923" s="34" t="n"/>
      <c r="F923" s="34" t="n"/>
      <c r="G923" s="34" t="n"/>
      <c r="H923" s="34" t="n"/>
      <c r="I923" s="34" t="n"/>
      <c r="J923" s="34" t="n"/>
      <c r="K923" s="34" t="n"/>
      <c r="L923" s="34" t="n"/>
    </row>
    <row r="924" ht="13" customHeight="1" s="215">
      <c r="B924" s="224" t="n"/>
      <c r="C924" s="224" t="n"/>
      <c r="D924" s="33" t="n"/>
      <c r="E924" s="34" t="n"/>
      <c r="F924" s="34" t="n"/>
      <c r="G924" s="34" t="n"/>
      <c r="H924" s="34" t="n"/>
      <c r="I924" s="34" t="n"/>
      <c r="J924" s="34" t="n"/>
      <c r="K924" s="34" t="n"/>
      <c r="L924" s="34" t="n"/>
    </row>
    <row r="925" ht="13" customHeight="1" s="215">
      <c r="B925" s="224" t="n"/>
      <c r="C925" s="224" t="n"/>
      <c r="D925" s="33" t="n"/>
      <c r="E925" s="34" t="n"/>
      <c r="F925" s="34" t="n"/>
      <c r="G925" s="34" t="n"/>
      <c r="H925" s="34" t="n"/>
      <c r="I925" s="34" t="n"/>
      <c r="J925" s="34" t="n"/>
      <c r="K925" s="34" t="n"/>
      <c r="L925" s="34" t="n"/>
    </row>
    <row r="926" ht="13" customHeight="1" s="215">
      <c r="B926" s="224" t="n"/>
      <c r="C926" s="224" t="n"/>
      <c r="D926" s="33" t="n"/>
      <c r="E926" s="34" t="n"/>
      <c r="F926" s="34" t="n"/>
      <c r="G926" s="34" t="n"/>
      <c r="H926" s="34" t="n"/>
      <c r="I926" s="34" t="n"/>
      <c r="J926" s="34" t="n"/>
      <c r="K926" s="34" t="n"/>
      <c r="L926" s="34" t="n"/>
    </row>
    <row r="927" ht="13" customHeight="1" s="215">
      <c r="B927" s="224" t="n"/>
      <c r="C927" s="224" t="n"/>
      <c r="D927" s="33" t="n"/>
      <c r="E927" s="34" t="n"/>
      <c r="F927" s="34" t="n"/>
      <c r="G927" s="34" t="n"/>
      <c r="H927" s="34" t="n"/>
      <c r="I927" s="34" t="n"/>
      <c r="J927" s="34" t="n"/>
      <c r="K927" s="34" t="n"/>
      <c r="L927" s="34" t="n"/>
    </row>
    <row r="928" ht="13" customHeight="1" s="215">
      <c r="B928" s="224" t="n"/>
      <c r="C928" s="224" t="n"/>
      <c r="D928" s="33" t="n"/>
      <c r="E928" s="34" t="n"/>
      <c r="F928" s="34" t="n"/>
      <c r="G928" s="34" t="n"/>
      <c r="H928" s="34" t="n"/>
      <c r="I928" s="34" t="n"/>
      <c r="J928" s="34" t="n"/>
      <c r="K928" s="34" t="n"/>
      <c r="L928" s="34" t="n"/>
    </row>
    <row r="929" ht="13" customHeight="1" s="215">
      <c r="B929" s="224" t="n"/>
      <c r="C929" s="224" t="n"/>
      <c r="D929" s="33" t="n"/>
      <c r="E929" s="34" t="n"/>
      <c r="F929" s="34" t="n"/>
      <c r="G929" s="34" t="n"/>
      <c r="H929" s="34" t="n"/>
      <c r="I929" s="34" t="n"/>
      <c r="J929" s="34" t="n"/>
      <c r="K929" s="34" t="n"/>
      <c r="L929" s="34" t="n"/>
    </row>
    <row r="930" ht="13" customHeight="1" s="215">
      <c r="B930" s="224" t="n"/>
      <c r="C930" s="224" t="n"/>
      <c r="D930" s="33" t="n"/>
      <c r="E930" s="34" t="n"/>
      <c r="F930" s="34" t="n"/>
      <c r="G930" s="34" t="n"/>
      <c r="H930" s="34" t="n"/>
      <c r="I930" s="34" t="n"/>
      <c r="J930" s="34" t="n"/>
      <c r="K930" s="34" t="n"/>
      <c r="L930" s="34" t="n"/>
    </row>
    <row r="931" ht="13" customHeight="1" s="215">
      <c r="B931" s="224" t="n"/>
      <c r="C931" s="224" t="n"/>
      <c r="D931" s="33" t="n"/>
      <c r="E931" s="34" t="n"/>
      <c r="F931" s="34" t="n"/>
      <c r="G931" s="34" t="n"/>
      <c r="H931" s="34" t="n"/>
      <c r="I931" s="34" t="n"/>
      <c r="J931" s="34" t="n"/>
      <c r="K931" s="34" t="n"/>
      <c r="L931" s="34" t="n"/>
    </row>
    <row r="932" ht="13" customHeight="1" s="215">
      <c r="B932" s="224" t="n"/>
      <c r="C932" s="224" t="n"/>
      <c r="D932" s="33" t="n"/>
      <c r="E932" s="34" t="n"/>
      <c r="F932" s="34" t="n"/>
      <c r="G932" s="34" t="n"/>
      <c r="H932" s="34" t="n"/>
      <c r="I932" s="34" t="n"/>
      <c r="J932" s="34" t="n"/>
      <c r="K932" s="34" t="n"/>
      <c r="L932" s="34" t="n"/>
    </row>
    <row r="933" ht="13" customHeight="1" s="215">
      <c r="B933" s="224" t="n"/>
      <c r="C933" s="224" t="n"/>
      <c r="D933" s="33" t="n"/>
      <c r="E933" s="34" t="n"/>
      <c r="F933" s="34" t="n"/>
      <c r="G933" s="34" t="n"/>
      <c r="H933" s="34" t="n"/>
      <c r="I933" s="34" t="n"/>
      <c r="J933" s="34" t="n"/>
      <c r="K933" s="34" t="n"/>
      <c r="L933" s="34" t="n"/>
    </row>
    <row r="934" ht="13" customHeight="1" s="215">
      <c r="B934" s="224" t="n"/>
      <c r="C934" s="224" t="n"/>
      <c r="D934" s="33" t="n"/>
      <c r="E934" s="34" t="n"/>
      <c r="F934" s="34" t="n"/>
      <c r="G934" s="34" t="n"/>
      <c r="H934" s="34" t="n"/>
      <c r="I934" s="34" t="n"/>
      <c r="J934" s="34" t="n"/>
      <c r="K934" s="34" t="n"/>
      <c r="L934" s="34" t="n"/>
    </row>
    <row r="935" ht="13" customHeight="1" s="215">
      <c r="B935" s="224" t="n"/>
      <c r="C935" s="224" t="n"/>
      <c r="D935" s="33" t="n"/>
      <c r="E935" s="34" t="n"/>
      <c r="F935" s="34" t="n"/>
      <c r="G935" s="34" t="n"/>
      <c r="H935" s="34" t="n"/>
      <c r="I935" s="34" t="n"/>
      <c r="J935" s="34" t="n"/>
      <c r="K935" s="34" t="n"/>
      <c r="L935" s="34" t="n"/>
    </row>
    <row r="936" ht="13" customHeight="1" s="215">
      <c r="B936" s="224" t="n"/>
      <c r="C936" s="224" t="n"/>
      <c r="D936" s="33" t="n"/>
      <c r="E936" s="34" t="n"/>
      <c r="F936" s="34" t="n"/>
      <c r="G936" s="34" t="n"/>
      <c r="H936" s="34" t="n"/>
      <c r="I936" s="34" t="n"/>
      <c r="J936" s="34" t="n"/>
      <c r="K936" s="34" t="n"/>
      <c r="L936" s="34" t="n"/>
    </row>
    <row r="937" ht="13" customHeight="1" s="215">
      <c r="B937" s="224" t="n"/>
      <c r="C937" s="224" t="n"/>
      <c r="D937" s="33" t="n"/>
      <c r="E937" s="34" t="n"/>
      <c r="F937" s="34" t="n"/>
      <c r="G937" s="34" t="n"/>
      <c r="H937" s="34" t="n"/>
      <c r="I937" s="34" t="n"/>
      <c r="J937" s="34" t="n"/>
      <c r="K937" s="34" t="n"/>
      <c r="L937" s="34" t="n"/>
    </row>
    <row r="938" ht="13" customHeight="1" s="215">
      <c r="B938" s="224" t="n"/>
      <c r="C938" s="224" t="n"/>
      <c r="D938" s="33" t="n"/>
      <c r="E938" s="34" t="n"/>
      <c r="F938" s="34" t="n"/>
      <c r="G938" s="34" t="n"/>
      <c r="H938" s="34" t="n"/>
      <c r="I938" s="34" t="n"/>
      <c r="J938" s="34" t="n"/>
      <c r="K938" s="34" t="n"/>
      <c r="L938" s="34" t="n"/>
    </row>
    <row r="939" ht="13" customHeight="1" s="215">
      <c r="B939" s="224" t="n"/>
      <c r="C939" s="224" t="n"/>
      <c r="D939" s="33" t="n"/>
      <c r="E939" s="34" t="n"/>
      <c r="F939" s="34" t="n"/>
      <c r="G939" s="34" t="n"/>
      <c r="H939" s="34" t="n"/>
      <c r="I939" s="34" t="n"/>
      <c r="J939" s="34" t="n"/>
      <c r="K939" s="34" t="n"/>
      <c r="L939" s="34" t="n"/>
    </row>
    <row r="940" ht="13" customHeight="1" s="215">
      <c r="B940" s="224" t="n"/>
      <c r="C940" s="224" t="n"/>
      <c r="D940" s="33" t="n"/>
      <c r="E940" s="34" t="n"/>
      <c r="F940" s="34" t="n"/>
      <c r="G940" s="34" t="n"/>
      <c r="H940" s="34" t="n"/>
      <c r="I940" s="34" t="n"/>
      <c r="J940" s="34" t="n"/>
      <c r="K940" s="34" t="n"/>
      <c r="L940" s="34" t="n"/>
    </row>
    <row r="941" ht="13" customHeight="1" s="215">
      <c r="B941" s="224" t="n"/>
      <c r="C941" s="224" t="n"/>
      <c r="D941" s="33" t="n"/>
      <c r="E941" s="34" t="n"/>
      <c r="F941" s="34" t="n"/>
      <c r="G941" s="34" t="n"/>
      <c r="H941" s="34" t="n"/>
      <c r="I941" s="34" t="n"/>
      <c r="J941" s="34" t="n"/>
      <c r="K941" s="34" t="n"/>
      <c r="L941" s="34" t="n"/>
    </row>
    <row r="942" ht="13" customHeight="1" s="215">
      <c r="B942" s="224" t="n"/>
      <c r="C942" s="224" t="n"/>
      <c r="D942" s="33" t="n"/>
      <c r="E942" s="34" t="n"/>
      <c r="F942" s="34" t="n"/>
      <c r="G942" s="34" t="n"/>
      <c r="H942" s="34" t="n"/>
      <c r="I942" s="34" t="n"/>
      <c r="J942" s="34" t="n"/>
      <c r="K942" s="34" t="n"/>
      <c r="L942" s="34" t="n"/>
    </row>
    <row r="943" ht="13" customHeight="1" s="215">
      <c r="B943" s="224" t="n"/>
      <c r="C943" s="224" t="n"/>
      <c r="D943" s="33" t="n"/>
      <c r="E943" s="34" t="n"/>
      <c r="F943" s="34" t="n"/>
      <c r="G943" s="34" t="n"/>
      <c r="H943" s="34" t="n"/>
      <c r="I943" s="34" t="n"/>
      <c r="J943" s="34" t="n"/>
      <c r="K943" s="34" t="n"/>
      <c r="L943" s="34" t="n"/>
    </row>
    <row r="944" ht="13" customHeight="1" s="215">
      <c r="B944" s="224" t="n"/>
      <c r="C944" s="224" t="n"/>
      <c r="D944" s="33" t="n"/>
      <c r="E944" s="34" t="n"/>
      <c r="F944" s="34" t="n"/>
      <c r="G944" s="34" t="n"/>
      <c r="H944" s="34" t="n"/>
      <c r="I944" s="34" t="n"/>
      <c r="J944" s="34" t="n"/>
      <c r="K944" s="34" t="n"/>
      <c r="L944" s="34" t="n"/>
    </row>
    <row r="945" ht="13" customHeight="1" s="215">
      <c r="B945" s="224" t="n"/>
      <c r="C945" s="224" t="n"/>
      <c r="D945" s="33" t="n"/>
      <c r="E945" s="34" t="n"/>
      <c r="F945" s="34" t="n"/>
      <c r="G945" s="34" t="n"/>
      <c r="H945" s="34" t="n"/>
      <c r="I945" s="34" t="n"/>
      <c r="J945" s="34" t="n"/>
      <c r="K945" s="34" t="n"/>
      <c r="L945" s="34" t="n"/>
    </row>
    <row r="946" ht="13" customHeight="1" s="215">
      <c r="B946" s="224" t="n"/>
      <c r="C946" s="224" t="n"/>
      <c r="D946" s="33" t="n"/>
      <c r="E946" s="34" t="n"/>
      <c r="F946" s="34" t="n"/>
      <c r="G946" s="34" t="n"/>
      <c r="H946" s="34" t="n"/>
      <c r="I946" s="34" t="n"/>
      <c r="J946" s="34" t="n"/>
      <c r="K946" s="34" t="n"/>
      <c r="L946" s="34" t="n"/>
    </row>
    <row r="947" ht="13" customHeight="1" s="215">
      <c r="B947" s="224" t="n"/>
      <c r="C947" s="224" t="n"/>
      <c r="D947" s="33" t="n"/>
      <c r="E947" s="34" t="n"/>
      <c r="F947" s="34" t="n"/>
      <c r="G947" s="34" t="n"/>
      <c r="H947" s="34" t="n"/>
      <c r="I947" s="34" t="n"/>
      <c r="J947" s="34" t="n"/>
      <c r="K947" s="34" t="n"/>
      <c r="L947" s="34" t="n"/>
    </row>
    <row r="948" ht="13" customHeight="1" s="215">
      <c r="B948" s="224" t="n"/>
      <c r="C948" s="224" t="n"/>
      <c r="D948" s="33" t="n"/>
      <c r="E948" s="34" t="n"/>
      <c r="F948" s="34" t="n"/>
      <c r="G948" s="34" t="n"/>
      <c r="H948" s="34" t="n"/>
      <c r="I948" s="34" t="n"/>
      <c r="J948" s="34" t="n"/>
      <c r="K948" s="34" t="n"/>
      <c r="L948" s="34" t="n"/>
    </row>
    <row r="949" ht="13" customHeight="1" s="215">
      <c r="B949" s="224" t="n"/>
      <c r="C949" s="224" t="n"/>
      <c r="D949" s="33" t="n"/>
      <c r="E949" s="34" t="n"/>
      <c r="F949" s="34" t="n"/>
      <c r="G949" s="34" t="n"/>
      <c r="H949" s="34" t="n"/>
      <c r="I949" s="34" t="n"/>
      <c r="J949" s="34" t="n"/>
      <c r="K949" s="34" t="n"/>
      <c r="L949" s="34" t="n"/>
    </row>
    <row r="950" ht="13" customHeight="1" s="215">
      <c r="B950" s="224" t="n"/>
      <c r="C950" s="224" t="n"/>
      <c r="D950" s="33" t="n"/>
      <c r="E950" s="34" t="n"/>
      <c r="F950" s="34" t="n"/>
      <c r="G950" s="34" t="n"/>
      <c r="H950" s="34" t="n"/>
      <c r="I950" s="34" t="n"/>
      <c r="J950" s="34" t="n"/>
      <c r="K950" s="34" t="n"/>
      <c r="L950" s="34" t="n"/>
    </row>
    <row r="951" ht="13" customHeight="1" s="215">
      <c r="B951" s="224" t="n"/>
      <c r="C951" s="224" t="n"/>
      <c r="D951" s="33" t="n"/>
      <c r="E951" s="34" t="n"/>
      <c r="F951" s="34" t="n"/>
      <c r="G951" s="34" t="n"/>
      <c r="H951" s="34" t="n"/>
      <c r="I951" s="34" t="n"/>
      <c r="J951" s="34" t="n"/>
      <c r="K951" s="34" t="n"/>
      <c r="L951" s="34" t="n"/>
    </row>
    <row r="952" ht="13" customHeight="1" s="215">
      <c r="B952" s="224" t="n"/>
      <c r="C952" s="224" t="n"/>
      <c r="D952" s="33" t="n"/>
      <c r="E952" s="34" t="n"/>
      <c r="F952" s="34" t="n"/>
      <c r="G952" s="34" t="n"/>
      <c r="H952" s="34" t="n"/>
      <c r="I952" s="34" t="n"/>
      <c r="J952" s="34" t="n"/>
      <c r="K952" s="34" t="n"/>
      <c r="L952" s="34" t="n"/>
    </row>
    <row r="953" ht="13" customHeight="1" s="215">
      <c r="B953" s="224" t="n"/>
      <c r="C953" s="224" t="n"/>
      <c r="D953" s="33" t="n"/>
      <c r="E953" s="34" t="n"/>
      <c r="F953" s="34" t="n"/>
      <c r="G953" s="34" t="n"/>
      <c r="H953" s="34" t="n"/>
      <c r="I953" s="34" t="n"/>
      <c r="J953" s="34" t="n"/>
      <c r="K953" s="34" t="n"/>
      <c r="L953" s="34" t="n"/>
    </row>
    <row r="954" ht="13" customHeight="1" s="215">
      <c r="B954" s="224" t="n"/>
      <c r="C954" s="224" t="n"/>
      <c r="D954" s="33" t="n"/>
      <c r="E954" s="34" t="n"/>
      <c r="F954" s="34" t="n"/>
      <c r="G954" s="34" t="n"/>
      <c r="H954" s="34" t="n"/>
      <c r="I954" s="34" t="n"/>
      <c r="J954" s="34" t="n"/>
      <c r="K954" s="34" t="n"/>
      <c r="L954" s="34" t="n"/>
    </row>
    <row r="955" ht="13" customHeight="1" s="215">
      <c r="B955" s="224" t="n"/>
      <c r="C955" s="224" t="n"/>
      <c r="D955" s="33" t="n"/>
      <c r="E955" s="34" t="n"/>
      <c r="F955" s="34" t="n"/>
      <c r="G955" s="34" t="n"/>
      <c r="H955" s="34" t="n"/>
      <c r="I955" s="34" t="n"/>
      <c r="J955" s="34" t="n"/>
      <c r="K955" s="34" t="n"/>
      <c r="L955" s="34" t="n"/>
    </row>
    <row r="956" ht="13" customHeight="1" s="215">
      <c r="B956" s="224" t="n"/>
      <c r="C956" s="224" t="n"/>
      <c r="D956" s="33" t="n"/>
      <c r="E956" s="34" t="n"/>
      <c r="F956" s="34" t="n"/>
      <c r="G956" s="34" t="n"/>
      <c r="H956" s="34" t="n"/>
      <c r="I956" s="34" t="n"/>
      <c r="J956" s="34" t="n"/>
      <c r="K956" s="34" t="n"/>
      <c r="L956" s="34" t="n"/>
    </row>
    <row r="957" ht="13" customHeight="1" s="215">
      <c r="B957" s="224" t="n"/>
      <c r="C957" s="224" t="n"/>
      <c r="D957" s="33" t="n"/>
      <c r="E957" s="34" t="n"/>
      <c r="F957" s="34" t="n"/>
      <c r="G957" s="34" t="n"/>
      <c r="H957" s="34" t="n"/>
      <c r="I957" s="34" t="n"/>
      <c r="J957" s="34" t="n"/>
      <c r="K957" s="34" t="n"/>
      <c r="L957" s="34" t="n"/>
    </row>
    <row r="958" ht="13" customHeight="1" s="215">
      <c r="B958" s="224" t="n"/>
      <c r="C958" s="224" t="n"/>
      <c r="D958" s="33" t="n"/>
      <c r="E958" s="34" t="n"/>
      <c r="F958" s="34" t="n"/>
      <c r="G958" s="34" t="n"/>
      <c r="H958" s="34" t="n"/>
      <c r="I958" s="34" t="n"/>
      <c r="J958" s="34" t="n"/>
      <c r="K958" s="34" t="n"/>
      <c r="L958" s="34" t="n"/>
    </row>
    <row r="959" ht="13" customHeight="1" s="215">
      <c r="B959" s="224" t="n"/>
      <c r="C959" s="224" t="n"/>
      <c r="D959" s="33" t="n"/>
      <c r="E959" s="34" t="n"/>
      <c r="F959" s="34" t="n"/>
      <c r="G959" s="34" t="n"/>
      <c r="H959" s="34" t="n"/>
      <c r="I959" s="34" t="n"/>
      <c r="J959" s="34" t="n"/>
      <c r="K959" s="34" t="n"/>
      <c r="L959" s="34" t="n"/>
    </row>
    <row r="960" ht="13" customHeight="1" s="215">
      <c r="B960" s="224" t="n"/>
      <c r="C960" s="224" t="n"/>
      <c r="D960" s="33" t="n"/>
      <c r="E960" s="34" t="n"/>
      <c r="F960" s="34" t="n"/>
      <c r="G960" s="34" t="n"/>
      <c r="H960" s="34" t="n"/>
      <c r="I960" s="34" t="n"/>
      <c r="J960" s="34" t="n"/>
      <c r="K960" s="34" t="n"/>
      <c r="L960" s="34" t="n"/>
    </row>
    <row r="961" ht="13" customHeight="1" s="215">
      <c r="B961" s="224" t="n"/>
      <c r="C961" s="224" t="n"/>
      <c r="D961" s="33" t="n"/>
      <c r="E961" s="34" t="n"/>
      <c r="F961" s="34" t="n"/>
      <c r="G961" s="34" t="n"/>
      <c r="H961" s="34" t="n"/>
      <c r="I961" s="34" t="n"/>
      <c r="J961" s="34" t="n"/>
      <c r="K961" s="34" t="n"/>
      <c r="L961" s="34" t="n"/>
    </row>
    <row r="962" ht="13" customHeight="1" s="215">
      <c r="B962" s="224" t="n"/>
      <c r="C962" s="224" t="n"/>
      <c r="D962" s="33" t="n"/>
      <c r="E962" s="34" t="n"/>
      <c r="F962" s="34" t="n"/>
      <c r="G962" s="34" t="n"/>
      <c r="H962" s="34" t="n"/>
      <c r="I962" s="34" t="n"/>
      <c r="J962" s="34" t="n"/>
      <c r="K962" s="34" t="n"/>
      <c r="L962" s="34" t="n"/>
    </row>
    <row r="963" ht="13" customHeight="1" s="215">
      <c r="B963" s="224" t="n"/>
      <c r="C963" s="224" t="n"/>
      <c r="D963" s="33" t="n"/>
      <c r="E963" s="34" t="n"/>
      <c r="F963" s="34" t="n"/>
      <c r="G963" s="34" t="n"/>
      <c r="H963" s="34" t="n"/>
      <c r="I963" s="34" t="n"/>
      <c r="J963" s="34" t="n"/>
      <c r="K963" s="34" t="n"/>
      <c r="L963" s="34" t="n"/>
    </row>
    <row r="964" ht="13" customHeight="1" s="215">
      <c r="B964" s="224" t="n"/>
      <c r="C964" s="224" t="n"/>
      <c r="D964" s="33" t="n"/>
      <c r="E964" s="34" t="n"/>
      <c r="F964" s="34" t="n"/>
      <c r="G964" s="34" t="n"/>
      <c r="H964" s="34" t="n"/>
      <c r="I964" s="34" t="n"/>
      <c r="J964" s="34" t="n"/>
      <c r="K964" s="34" t="n"/>
      <c r="L964" s="34" t="n"/>
    </row>
    <row r="965" ht="13" customHeight="1" s="215">
      <c r="B965" s="224" t="n"/>
      <c r="C965" s="224" t="n"/>
      <c r="D965" s="33" t="n"/>
      <c r="E965" s="34" t="n"/>
      <c r="F965" s="34" t="n"/>
      <c r="G965" s="34" t="n"/>
      <c r="H965" s="34" t="n"/>
      <c r="I965" s="34" t="n"/>
      <c r="J965" s="34" t="n"/>
      <c r="K965" s="34" t="n"/>
      <c r="L965" s="34" t="n"/>
    </row>
    <row r="966" ht="13" customHeight="1" s="215">
      <c r="B966" s="224" t="n"/>
      <c r="C966" s="224" t="n"/>
      <c r="D966" s="33" t="n"/>
      <c r="E966" s="34" t="n"/>
      <c r="F966" s="34" t="n"/>
      <c r="G966" s="34" t="n"/>
      <c r="H966" s="34" t="n"/>
      <c r="I966" s="34" t="n"/>
      <c r="J966" s="34" t="n"/>
      <c r="K966" s="34" t="n"/>
      <c r="L966" s="34" t="n"/>
    </row>
    <row r="967" ht="13" customHeight="1" s="215">
      <c r="B967" s="224" t="n"/>
      <c r="C967" s="224" t="n"/>
      <c r="D967" s="33" t="n"/>
      <c r="E967" s="34" t="n"/>
      <c r="F967" s="34" t="n"/>
      <c r="G967" s="34" t="n"/>
      <c r="H967" s="34" t="n"/>
      <c r="I967" s="34" t="n"/>
      <c r="J967" s="34" t="n"/>
      <c r="K967" s="34" t="n"/>
      <c r="L967" s="34" t="n"/>
    </row>
    <row r="968" ht="13" customHeight="1" s="215">
      <c r="B968" s="224" t="n"/>
      <c r="C968" s="224" t="n"/>
      <c r="D968" s="33" t="n"/>
      <c r="E968" s="34" t="n"/>
      <c r="F968" s="34" t="n"/>
      <c r="G968" s="34" t="n"/>
      <c r="H968" s="34" t="n"/>
      <c r="I968" s="34" t="n"/>
      <c r="J968" s="34" t="n"/>
      <c r="K968" s="34" t="n"/>
      <c r="L968" s="34" t="n"/>
    </row>
    <row r="969" ht="13" customHeight="1" s="215">
      <c r="B969" s="224" t="n"/>
      <c r="C969" s="224" t="n"/>
      <c r="D969" s="33" t="n"/>
      <c r="E969" s="34" t="n"/>
      <c r="F969" s="34" t="n"/>
      <c r="G969" s="34" t="n"/>
      <c r="H969" s="34" t="n"/>
      <c r="I969" s="34" t="n"/>
      <c r="J969" s="34" t="n"/>
      <c r="K969" s="34" t="n"/>
      <c r="L969" s="34" t="n"/>
    </row>
    <row r="970" ht="13" customHeight="1" s="215">
      <c r="B970" s="224" t="n"/>
      <c r="C970" s="224" t="n"/>
      <c r="D970" s="33" t="n"/>
      <c r="E970" s="34" t="n"/>
      <c r="F970" s="34" t="n"/>
      <c r="G970" s="34" t="n"/>
      <c r="H970" s="34" t="n"/>
      <c r="I970" s="34" t="n"/>
      <c r="J970" s="34" t="n"/>
      <c r="K970" s="34" t="n"/>
      <c r="L970" s="34" t="n"/>
    </row>
    <row r="971" ht="13" customHeight="1" s="215">
      <c r="B971" s="224" t="n"/>
      <c r="C971" s="224" t="n"/>
      <c r="D971" s="33" t="n"/>
      <c r="E971" s="34" t="n"/>
      <c r="F971" s="34" t="n"/>
      <c r="G971" s="34" t="n"/>
      <c r="H971" s="34" t="n"/>
      <c r="I971" s="34" t="n"/>
      <c r="J971" s="34" t="n"/>
      <c r="K971" s="34" t="n"/>
      <c r="L971" s="34" t="n"/>
    </row>
    <row r="972" ht="13" customHeight="1" s="215">
      <c r="B972" s="224" t="n"/>
      <c r="C972" s="224" t="n"/>
      <c r="D972" s="33" t="n"/>
      <c r="E972" s="34" t="n"/>
      <c r="F972" s="34" t="n"/>
      <c r="G972" s="34" t="n"/>
      <c r="H972" s="34" t="n"/>
      <c r="I972" s="34" t="n"/>
      <c r="J972" s="34" t="n"/>
      <c r="K972" s="34" t="n"/>
      <c r="L972" s="34" t="n"/>
    </row>
    <row r="973" ht="13" customHeight="1" s="215">
      <c r="B973" s="224" t="n"/>
      <c r="C973" s="224" t="n"/>
      <c r="D973" s="33" t="n"/>
      <c r="E973" s="34" t="n"/>
      <c r="F973" s="34" t="n"/>
      <c r="G973" s="34" t="n"/>
      <c r="H973" s="34" t="n"/>
      <c r="I973" s="34" t="n"/>
      <c r="J973" s="34" t="n"/>
      <c r="K973" s="34" t="n"/>
      <c r="L973" s="34" t="n"/>
    </row>
    <row r="974" ht="13" customHeight="1" s="215">
      <c r="B974" s="224" t="n"/>
      <c r="C974" s="224" t="n"/>
      <c r="D974" s="33" t="n"/>
      <c r="E974" s="34" t="n"/>
      <c r="F974" s="34" t="n"/>
      <c r="G974" s="34" t="n"/>
      <c r="H974" s="34" t="n"/>
      <c r="I974" s="34" t="n"/>
      <c r="J974" s="34" t="n"/>
      <c r="K974" s="34" t="n"/>
      <c r="L974" s="34" t="n"/>
    </row>
    <row r="975" ht="13" customHeight="1" s="215">
      <c r="B975" s="224" t="n"/>
      <c r="C975" s="224" t="n"/>
      <c r="D975" s="33" t="n"/>
      <c r="E975" s="34" t="n"/>
      <c r="F975" s="34" t="n"/>
      <c r="G975" s="34" t="n"/>
      <c r="H975" s="34" t="n"/>
      <c r="I975" s="34" t="n"/>
      <c r="J975" s="34" t="n"/>
      <c r="K975" s="34" t="n"/>
      <c r="L975" s="34" t="n"/>
    </row>
    <row r="976" ht="13" customHeight="1" s="215">
      <c r="B976" s="224" t="n"/>
      <c r="C976" s="224" t="n"/>
      <c r="D976" s="33" t="n"/>
      <c r="E976" s="34" t="n"/>
      <c r="F976" s="34" t="n"/>
      <c r="G976" s="34" t="n"/>
      <c r="H976" s="34" t="n"/>
      <c r="I976" s="34" t="n"/>
      <c r="J976" s="34" t="n"/>
      <c r="K976" s="34" t="n"/>
      <c r="L976" s="34" t="n"/>
    </row>
    <row r="977" ht="13" customHeight="1" s="215">
      <c r="B977" s="224" t="n"/>
      <c r="C977" s="224" t="n"/>
      <c r="D977" s="33" t="n"/>
      <c r="E977" s="34" t="n"/>
      <c r="F977" s="34" t="n"/>
      <c r="G977" s="34" t="n"/>
      <c r="H977" s="34" t="n"/>
      <c r="I977" s="34" t="n"/>
      <c r="J977" s="34" t="n"/>
      <c r="K977" s="34" t="n"/>
      <c r="L977" s="34" t="n"/>
    </row>
    <row r="978" ht="13" customHeight="1" s="215">
      <c r="B978" s="224" t="n"/>
      <c r="C978" s="224" t="n"/>
      <c r="D978" s="33" t="n"/>
      <c r="E978" s="34" t="n"/>
      <c r="F978" s="34" t="n"/>
      <c r="G978" s="34" t="n"/>
      <c r="H978" s="34" t="n"/>
      <c r="I978" s="34" t="n"/>
      <c r="J978" s="34" t="n"/>
      <c r="K978" s="34" t="n"/>
      <c r="L978" s="34" t="n"/>
    </row>
    <row r="979" ht="13" customHeight="1" s="215">
      <c r="B979" s="224" t="n"/>
      <c r="C979" s="224" t="n"/>
      <c r="D979" s="33" t="n"/>
      <c r="E979" s="34" t="n"/>
      <c r="F979" s="34" t="n"/>
      <c r="G979" s="34" t="n"/>
      <c r="H979" s="34" t="n"/>
      <c r="I979" s="34" t="n"/>
      <c r="J979" s="34" t="n"/>
      <c r="K979" s="34" t="n"/>
      <c r="L979" s="34" t="n"/>
    </row>
    <row r="980" ht="13" customHeight="1" s="215">
      <c r="B980" s="224" t="n"/>
      <c r="C980" s="224" t="n"/>
      <c r="D980" s="33" t="n"/>
      <c r="E980" s="34" t="n"/>
      <c r="F980" s="34" t="n"/>
      <c r="G980" s="34" t="n"/>
      <c r="H980" s="34" t="n"/>
      <c r="I980" s="34" t="n"/>
      <c r="J980" s="34" t="n"/>
      <c r="K980" s="34" t="n"/>
      <c r="L980" s="34" t="n"/>
    </row>
    <row r="981" ht="13" customHeight="1" s="215">
      <c r="B981" s="224" t="n"/>
      <c r="C981" s="224" t="n"/>
      <c r="D981" s="33" t="n"/>
      <c r="E981" s="34" t="n"/>
      <c r="F981" s="34" t="n"/>
      <c r="G981" s="34" t="n"/>
      <c r="H981" s="34" t="n"/>
      <c r="I981" s="34" t="n"/>
      <c r="J981" s="34" t="n"/>
      <c r="K981" s="34" t="n"/>
      <c r="L981" s="34" t="n"/>
    </row>
    <row r="982" ht="13" customHeight="1" s="215">
      <c r="B982" s="224" t="n"/>
      <c r="C982" s="224" t="n"/>
      <c r="D982" s="33" t="n"/>
      <c r="E982" s="34" t="n"/>
      <c r="F982" s="34" t="n"/>
      <c r="G982" s="34" t="n"/>
      <c r="H982" s="34" t="n"/>
      <c r="I982" s="34" t="n"/>
      <c r="J982" s="34" t="n"/>
      <c r="K982" s="34" t="n"/>
      <c r="L982" s="34" t="n"/>
    </row>
    <row r="983" ht="13" customHeight="1" s="215">
      <c r="B983" s="224" t="n"/>
      <c r="C983" s="224" t="n"/>
      <c r="D983" s="33" t="n"/>
      <c r="E983" s="34" t="n"/>
      <c r="F983" s="34" t="n"/>
      <c r="G983" s="34" t="n"/>
      <c r="H983" s="34" t="n"/>
      <c r="I983" s="34" t="n"/>
      <c r="J983" s="34" t="n"/>
      <c r="K983" s="34" t="n"/>
      <c r="L983" s="34" t="n"/>
    </row>
    <row r="984" ht="13" customHeight="1" s="215">
      <c r="B984" s="224" t="n"/>
      <c r="C984" s="224" t="n"/>
      <c r="D984" s="33" t="n"/>
      <c r="E984" s="34" t="n"/>
      <c r="F984" s="34" t="n"/>
      <c r="G984" s="34" t="n"/>
      <c r="H984" s="34" t="n"/>
      <c r="I984" s="34" t="n"/>
      <c r="J984" s="34" t="n"/>
      <c r="K984" s="34" t="n"/>
      <c r="L984" s="34" t="n"/>
    </row>
    <row r="985" ht="13" customHeight="1" s="215">
      <c r="B985" s="224" t="n"/>
      <c r="C985" s="224" t="n"/>
      <c r="D985" s="33" t="n"/>
      <c r="E985" s="34" t="n"/>
      <c r="F985" s="34" t="n"/>
      <c r="G985" s="34" t="n"/>
      <c r="H985" s="34" t="n"/>
      <c r="I985" s="34" t="n"/>
      <c r="J985" s="34" t="n"/>
      <c r="K985" s="34" t="n"/>
      <c r="L985" s="34" t="n"/>
    </row>
    <row r="986" ht="13" customHeight="1" s="215">
      <c r="B986" s="224" t="n"/>
      <c r="C986" s="224" t="n"/>
      <c r="D986" s="33" t="n"/>
      <c r="E986" s="34" t="n"/>
      <c r="F986" s="34" t="n"/>
      <c r="G986" s="34" t="n"/>
      <c r="H986" s="34" t="n"/>
      <c r="I986" s="34" t="n"/>
      <c r="J986" s="34" t="n"/>
      <c r="K986" s="34" t="n"/>
      <c r="L986" s="34" t="n"/>
    </row>
    <row r="987" ht="13" customHeight="1" s="215">
      <c r="B987" s="224" t="n"/>
      <c r="C987" s="224" t="n"/>
      <c r="D987" s="33" t="n"/>
      <c r="E987" s="34" t="n"/>
      <c r="F987" s="34" t="n"/>
      <c r="G987" s="34" t="n"/>
      <c r="H987" s="34" t="n"/>
      <c r="I987" s="34" t="n"/>
      <c r="J987" s="34" t="n"/>
      <c r="K987" s="34" t="n"/>
      <c r="L987" s="34" t="n"/>
    </row>
    <row r="988" ht="13" customHeight="1" s="215">
      <c r="B988" s="224" t="n"/>
      <c r="C988" s="224" t="n"/>
      <c r="D988" s="33" t="n"/>
      <c r="E988" s="34" t="n"/>
      <c r="F988" s="34" t="n"/>
      <c r="G988" s="34" t="n"/>
      <c r="H988" s="34" t="n"/>
      <c r="I988" s="34" t="n"/>
      <c r="J988" s="34" t="n"/>
      <c r="K988" s="34" t="n"/>
      <c r="L988" s="34" t="n"/>
    </row>
    <row r="989" ht="13" customHeight="1" s="215">
      <c r="B989" s="224" t="n"/>
      <c r="C989" s="224" t="n"/>
      <c r="D989" s="33" t="n"/>
      <c r="E989" s="34" t="n"/>
      <c r="F989" s="34" t="n"/>
      <c r="G989" s="34" t="n"/>
      <c r="H989" s="34" t="n"/>
      <c r="I989" s="34" t="n"/>
      <c r="J989" s="34" t="n"/>
      <c r="K989" s="34" t="n"/>
      <c r="L989" s="34" t="n"/>
    </row>
    <row r="990" ht="13" customHeight="1" s="215">
      <c r="B990" s="224" t="n"/>
      <c r="C990" s="224" t="n"/>
      <c r="D990" s="33" t="n"/>
      <c r="E990" s="34" t="n"/>
      <c r="F990" s="34" t="n"/>
      <c r="G990" s="34" t="n"/>
      <c r="H990" s="34" t="n"/>
      <c r="I990" s="34" t="n"/>
      <c r="J990" s="34" t="n"/>
      <c r="K990" s="34" t="n"/>
      <c r="L990" s="34" t="n"/>
    </row>
    <row r="991" ht="13" customHeight="1" s="215">
      <c r="B991" s="224" t="n"/>
      <c r="C991" s="224" t="n"/>
      <c r="D991" s="33" t="n"/>
      <c r="E991" s="34" t="n"/>
      <c r="F991" s="34" t="n"/>
      <c r="G991" s="34" t="n"/>
      <c r="H991" s="34" t="n"/>
      <c r="I991" s="34" t="n"/>
      <c r="J991" s="34" t="n"/>
      <c r="K991" s="34" t="n"/>
      <c r="L991" s="34" t="n"/>
    </row>
    <row r="992" ht="13" customHeight="1" s="215">
      <c r="B992" s="224" t="n"/>
      <c r="C992" s="224" t="n"/>
      <c r="D992" s="33" t="n"/>
      <c r="E992" s="34" t="n"/>
      <c r="F992" s="34" t="n"/>
      <c r="G992" s="34" t="n"/>
      <c r="H992" s="34" t="n"/>
      <c r="I992" s="34" t="n"/>
      <c r="J992" s="34" t="n"/>
      <c r="K992" s="34" t="n"/>
      <c r="L992" s="34" t="n"/>
    </row>
    <row r="993" ht="13" customHeight="1" s="215">
      <c r="B993" s="224" t="n"/>
      <c r="C993" s="224" t="n"/>
      <c r="D993" s="33" t="n"/>
      <c r="E993" s="34" t="n"/>
      <c r="F993" s="34" t="n"/>
      <c r="G993" s="34" t="n"/>
      <c r="H993" s="34" t="n"/>
      <c r="I993" s="34" t="n"/>
      <c r="J993" s="34" t="n"/>
      <c r="K993" s="34" t="n"/>
      <c r="L993" s="34" t="n"/>
    </row>
    <row r="994" ht="13" customHeight="1" s="215">
      <c r="B994" s="224" t="n"/>
      <c r="C994" s="224" t="n"/>
      <c r="D994" s="33" t="n"/>
      <c r="E994" s="34" t="n"/>
      <c r="F994" s="34" t="n"/>
      <c r="G994" s="34" t="n"/>
      <c r="H994" s="34" t="n"/>
      <c r="I994" s="34" t="n"/>
      <c r="J994" s="34" t="n"/>
      <c r="K994" s="34" t="n"/>
      <c r="L994" s="34" t="n"/>
    </row>
    <row r="995" ht="13" customHeight="1" s="215">
      <c r="B995" s="224" t="n"/>
      <c r="C995" s="224" t="n"/>
      <c r="D995" s="33" t="n"/>
      <c r="E995" s="34" t="n"/>
      <c r="F995" s="34" t="n"/>
      <c r="G995" s="34" t="n"/>
      <c r="H995" s="34" t="n"/>
      <c r="I995" s="34" t="n"/>
      <c r="J995" s="34" t="n"/>
      <c r="K995" s="34" t="n"/>
      <c r="L995" s="34" t="n"/>
    </row>
    <row r="996" ht="13" customHeight="1" s="215">
      <c r="B996" s="224" t="n"/>
      <c r="C996" s="224" t="n"/>
      <c r="D996" s="33" t="n"/>
      <c r="E996" s="34" t="n"/>
      <c r="F996" s="34" t="n"/>
      <c r="G996" s="34" t="n"/>
      <c r="H996" s="34" t="n"/>
      <c r="I996" s="34" t="n"/>
      <c r="J996" s="34" t="n"/>
      <c r="K996" s="34" t="n"/>
      <c r="L996" s="34" t="n"/>
    </row>
    <row r="997" ht="13" customHeight="1" s="215">
      <c r="B997" s="224" t="n"/>
      <c r="C997" s="224" t="n"/>
      <c r="D997" s="33" t="n"/>
      <c r="E997" s="34" t="n"/>
      <c r="F997" s="34" t="n"/>
      <c r="G997" s="34" t="n"/>
      <c r="H997" s="34" t="n"/>
      <c r="I997" s="34" t="n"/>
      <c r="J997" s="34" t="n"/>
      <c r="K997" s="34" t="n"/>
      <c r="L997" s="34" t="n"/>
    </row>
    <row r="998" ht="13" customHeight="1" s="215">
      <c r="B998" s="224" t="n"/>
      <c r="C998" s="224" t="n"/>
      <c r="D998" s="33" t="n"/>
      <c r="E998" s="34" t="n"/>
      <c r="F998" s="34" t="n"/>
      <c r="G998" s="34" t="n"/>
      <c r="H998" s="34" t="n"/>
      <c r="I998" s="34" t="n"/>
      <c r="J998" s="34" t="n"/>
      <c r="K998" s="34" t="n"/>
      <c r="L998" s="34" t="n"/>
    </row>
    <row r="999" ht="13" customHeight="1" s="215">
      <c r="B999" s="224" t="n"/>
      <c r="C999" s="224" t="n"/>
      <c r="D999" s="33" t="n"/>
      <c r="E999" s="34" t="n"/>
      <c r="F999" s="34" t="n"/>
      <c r="G999" s="34" t="n"/>
      <c r="H999" s="34" t="n"/>
      <c r="I999" s="34" t="n"/>
      <c r="J999" s="34" t="n"/>
      <c r="K999" s="34" t="n"/>
      <c r="L999" s="34" t="n"/>
    </row>
    <row r="1000" ht="13" customHeight="1" s="215">
      <c r="B1000" s="224" t="n"/>
      <c r="C1000" s="224" t="n"/>
      <c r="D1000" s="33" t="n"/>
      <c r="E1000" s="34" t="n"/>
      <c r="F1000" s="34" t="n"/>
      <c r="G1000" s="34" t="n"/>
      <c r="H1000" s="34" t="n"/>
      <c r="I1000" s="34" t="n"/>
      <c r="J1000" s="34" t="n"/>
      <c r="K1000" s="34" t="n"/>
      <c r="L1000" s="34" t="n"/>
    </row>
  </sheetData>
  <autoFilter ref="B6:L509">
    <filterColumn colId="1" hiddenButton="0" showButton="1">
      <filters>
        <filter val="Hilton Worldwide Holdings"/>
      </filters>
    </filterColumn>
    <sortState ref="B6:L509">
      <sortCondition descending="1" ref="K6:K509"/>
    </sortState>
  </autoFilter>
  <mergeCells count="1">
    <mergeCell ref="B2:B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0" customWidth="1" style="215" min="1" max="1"/>
    <col width="60" customWidth="1" style="215" min="2" max="2"/>
    <col width="20" customWidth="1" style="215" min="3" max="3"/>
  </cols>
  <sheetData>
    <row r="1">
      <c r="A1" s="312" t="inlineStr">
        <is>
          <t>Ticker</t>
        </is>
      </c>
      <c r="B1" s="312" t="inlineStr">
        <is>
          <t>Error</t>
        </is>
      </c>
      <c r="C1" s="312" t="inlineStr">
        <is>
          <t>Timestamp</t>
        </is>
      </c>
    </row>
    <row r="2">
      <c r="A2" s="313" t="inlineStr">
        <is>
          <t>HOLX</t>
        </is>
      </c>
      <c r="B2" s="313" t="inlineStr">
        <is>
          <t>Empty info after 3 attempts</t>
        </is>
      </c>
      <c r="C2" s="313" t="inlineStr">
        <is>
          <t>2026-10-20 15:02:44</t>
        </is>
      </c>
    </row>
    <row r="3">
      <c r="A3" s="313" t="inlineStr">
        <is>
          <t>SEE</t>
        </is>
      </c>
      <c r="B3" s="313" t="inlineStr">
        <is>
          <t>Empty info after 3 attempts</t>
        </is>
      </c>
      <c r="C3" s="313" t="inlineStr">
        <is>
          <t>2026-10-20 15:02:44</t>
        </is>
      </c>
    </row>
    <row r="4">
      <c r="A4" s="313" t="inlineStr">
        <is>
          <t>BK</t>
        </is>
      </c>
      <c r="B4" s="313" t="inlineStr">
        <is>
          <t>Empty info after 3 attempts</t>
        </is>
      </c>
      <c r="C4" s="313" t="inlineStr">
        <is>
          <t>2026-10-20 15:02:44</t>
        </is>
      </c>
    </row>
    <row r="5">
      <c r="A5" s="313" t="inlineStr">
        <is>
          <t>CTRA</t>
        </is>
      </c>
      <c r="B5" s="313" t="inlineStr">
        <is>
          <t>Empty info after 3 attempts</t>
        </is>
      </c>
      <c r="C5" s="313" t="inlineStr">
        <is>
          <t>2026-10-20 15:02:44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2026-03-01T22:21:25Z</dcterms:created>
  <dcterms:modified xmlns:dcterms="http://purl.org/dc/terms/" xmlns:xsi="http://www.w3.org/2001/XMLSchema-instance" xsi:type="dcterms:W3CDTF">2026-10-20T13:02:44Z</dcterms:modified>
  <cp:lastModifiedBy>Andrey Semenov</cp:lastModifiedBy>
</cp:coreProperties>
</file>