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9"/>
  <workbookPr/>
  <mc:AlternateContent xmlns:mc="http://schemas.openxmlformats.org/markup-compatibility/2006">
    <mc:Choice Requires="x15">
      <x15ac:absPath xmlns:x15ac="http://schemas.microsoft.com/office/spreadsheetml/2010/11/ac" url="/Users/andreysemenov/Desktop/SP500/"/>
    </mc:Choice>
  </mc:AlternateContent>
  <xr:revisionPtr revIDLastSave="0" documentId="13_ncr:1_{3E23432C-D6F2-604D-86BD-41D5DCCAEC11}" xr6:coauthVersionLast="47" xr6:coauthVersionMax="47" xr10:uidLastSave="{00000000-0000-0000-0000-000000000000}"/>
  <bookViews>
    <workbookView xWindow="0" yWindow="500" windowWidth="28800" windowHeight="15160" firstSheet="4" activeTab="4" xr2:uid="{00000000-000D-0000-FFFF-FFFF00000000}"/>
  </bookViews>
  <sheets>
    <sheet name="Comparison" sheetId="1" r:id="rId1"/>
    <sheet name="Portfolio DCF" sheetId="2" r:id="rId2"/>
    <sheet name="SpaceX DCF" sheetId="14" r:id="rId3"/>
    <sheet name="SpaceX WACC" sheetId="15" r:id="rId4"/>
    <sheet name="SpaceX IPO Compare" sheetId="16" r:id="rId5"/>
    <sheet name="DPZ Summary" sheetId="3" r:id="rId6"/>
    <sheet name="DPZ DCF" sheetId="4" r:id="rId7"/>
    <sheet name="Per-Share Model" sheetId="5" r:id="rId8"/>
    <sheet name="WACC" sheetId="6" r:id="rId9"/>
    <sheet name="Peer Comparison" sheetId="7" r:id="rId10"/>
    <sheet name="Dashboard" sheetId="8" r:id="rId11"/>
    <sheet name="Все компании" sheetId="9" r:id="rId12"/>
    <sheet name="Venture" sheetId="10" r:id="rId13"/>
    <sheet name="COVID" sheetId="11" r:id="rId14"/>
    <sheet name="NVScriptsProperties" sheetId="12" state="hidden" r:id="rId15"/>
    <sheet name="S&amp;P 500" sheetId="13" r:id="rId16"/>
  </sheets>
  <definedNames>
    <definedName name="_xlnm._FilterDatabase" localSheetId="10" hidden="1">Dashboard!$A$5:$S$499</definedName>
    <definedName name="_xlnm._FilterDatabase" localSheetId="15" hidden="1">'S&amp;P 500'!$B$6:$L$509</definedName>
    <definedName name="_xlnm._FilterDatabase" localSheetId="11" hidden="1">'Все компании'!$A$2:$M$25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4" i="16" l="1"/>
  <c r="D14" i="16"/>
  <c r="C14" i="16"/>
  <c r="E13" i="16"/>
  <c r="D13" i="16"/>
  <c r="C13" i="16"/>
  <c r="E12" i="16"/>
  <c r="D12" i="16"/>
  <c r="C12" i="16"/>
  <c r="B8" i="16"/>
  <c r="B7" i="16"/>
  <c r="B6" i="16"/>
  <c r="B5" i="16"/>
  <c r="F107" i="14"/>
  <c r="E107" i="14"/>
  <c r="D107" i="14"/>
  <c r="C107" i="14"/>
  <c r="B107" i="14"/>
  <c r="F106" i="14"/>
  <c r="E106" i="14"/>
  <c r="D106" i="14"/>
  <c r="C106" i="14"/>
  <c r="B106" i="14"/>
  <c r="F105" i="14"/>
  <c r="E105" i="14"/>
  <c r="D105" i="14"/>
  <c r="C105" i="14"/>
  <c r="B105" i="14"/>
  <c r="F104" i="14"/>
  <c r="E104" i="14"/>
  <c r="D104" i="14"/>
  <c r="C104" i="14"/>
  <c r="B104" i="14"/>
  <c r="F103" i="14"/>
  <c r="E103" i="14"/>
  <c r="D103" i="14"/>
  <c r="C103" i="14"/>
  <c r="B103" i="14"/>
  <c r="F98" i="14"/>
  <c r="E98" i="14"/>
  <c r="D98" i="14"/>
  <c r="C98" i="14"/>
  <c r="B98" i="14"/>
  <c r="F97" i="14"/>
  <c r="E97" i="14"/>
  <c r="D97" i="14"/>
  <c r="C97" i="14"/>
  <c r="B97" i="14"/>
  <c r="F96" i="14"/>
  <c r="E96" i="14"/>
  <c r="D96" i="14"/>
  <c r="C96" i="14"/>
  <c r="B96" i="14"/>
  <c r="F95" i="14"/>
  <c r="E95" i="14"/>
  <c r="D95" i="14"/>
  <c r="C95" i="14"/>
  <c r="B95" i="14"/>
  <c r="F94" i="14"/>
  <c r="E94" i="14"/>
  <c r="D94" i="14"/>
  <c r="C94" i="14"/>
  <c r="B94" i="14"/>
  <c r="B75" i="14"/>
  <c r="B89" i="14"/>
  <c r="B88" i="14"/>
  <c r="B87" i="14"/>
  <c r="B86" i="14"/>
  <c r="B84" i="14"/>
  <c r="B83" i="14"/>
  <c r="B82" i="14"/>
  <c r="B81" i="14"/>
  <c r="B80" i="14"/>
  <c r="B79" i="14"/>
  <c r="B78" i="14"/>
  <c r="B74" i="14"/>
  <c r="B73" i="14"/>
  <c r="B72" i="14"/>
  <c r="B71" i="14"/>
  <c r="H68" i="14"/>
  <c r="G68" i="14"/>
  <c r="F68" i="14"/>
  <c r="E68" i="14"/>
  <c r="D68" i="14"/>
  <c r="H67" i="14"/>
  <c r="G67" i="14"/>
  <c r="F67" i="14"/>
  <c r="E67" i="14"/>
  <c r="D67" i="14"/>
  <c r="H50" i="14"/>
  <c r="G50" i="14"/>
  <c r="F50" i="14"/>
  <c r="E50" i="14"/>
  <c r="H49" i="14"/>
  <c r="G49" i="14"/>
  <c r="F49" i="14"/>
  <c r="E49" i="14"/>
  <c r="C51" i="14"/>
  <c r="D50" i="14"/>
  <c r="D49" i="14"/>
  <c r="H45" i="14"/>
  <c r="H44" i="14"/>
  <c r="H43" i="14"/>
  <c r="G45" i="14"/>
  <c r="G44" i="14"/>
  <c r="G43" i="14"/>
  <c r="F45" i="14"/>
  <c r="F44" i="14"/>
  <c r="F43" i="14"/>
  <c r="E45" i="14"/>
  <c r="E44" i="14"/>
  <c r="E43" i="14"/>
  <c r="D42" i="14"/>
  <c r="H41" i="14"/>
  <c r="G41" i="14"/>
  <c r="F41" i="14"/>
  <c r="E41" i="14"/>
  <c r="D41" i="14"/>
  <c r="H40" i="14"/>
  <c r="G40" i="14"/>
  <c r="F40" i="14"/>
  <c r="E40" i="14"/>
  <c r="D40" i="14"/>
  <c r="H39" i="14"/>
  <c r="G39" i="14"/>
  <c r="F39" i="14"/>
  <c r="E39" i="14"/>
  <c r="D39" i="14"/>
  <c r="H38" i="14"/>
  <c r="G38" i="14"/>
  <c r="F38" i="14"/>
  <c r="E38" i="14"/>
  <c r="D38" i="14"/>
  <c r="D48" i="14" s="1"/>
  <c r="B12" i="14"/>
  <c r="B11" i="14"/>
  <c r="B10" i="14"/>
  <c r="B9" i="14"/>
  <c r="B5" i="14"/>
  <c r="B26" i="15"/>
  <c r="B23" i="15"/>
  <c r="B22" i="15"/>
  <c r="B21" i="15"/>
  <c r="B20" i="15"/>
  <c r="B14" i="15"/>
  <c r="B9" i="15"/>
  <c r="C2" i="13"/>
  <c r="A37" i="11"/>
  <c r="C33" i="11"/>
  <c r="C32" i="11"/>
  <c r="B30" i="11"/>
  <c r="B29" i="11"/>
  <c r="F6" i="11"/>
  <c r="H3" i="11"/>
  <c r="H2" i="11"/>
  <c r="A10" i="10"/>
  <c r="A11" i="10" s="1"/>
  <c r="A12" i="10" s="1"/>
  <c r="A13" i="10" s="1"/>
  <c r="A14" i="10" s="1"/>
  <c r="A15" i="10" s="1"/>
  <c r="A16" i="10" s="1"/>
  <c r="A17" i="10" s="1"/>
  <c r="A18" i="10" s="1"/>
  <c r="A19" i="10" s="1"/>
  <c r="A9" i="10"/>
  <c r="J6" i="10"/>
  <c r="I6" i="10"/>
  <c r="F6" i="10"/>
  <c r="I5" i="10"/>
  <c r="F5" i="10"/>
  <c r="J4" i="10"/>
  <c r="I4" i="10"/>
  <c r="F4" i="10"/>
  <c r="J3" i="10"/>
  <c r="I3" i="10"/>
  <c r="F3" i="10"/>
  <c r="I2" i="10"/>
  <c r="F2" i="10"/>
  <c r="M87" i="9"/>
  <c r="L87" i="9"/>
  <c r="J87" i="9"/>
  <c r="H87" i="9"/>
  <c r="G87" i="9"/>
  <c r="F87" i="9"/>
  <c r="M86" i="9"/>
  <c r="L86" i="9"/>
  <c r="J86" i="9"/>
  <c r="H86" i="9"/>
  <c r="G86" i="9"/>
  <c r="M85" i="9"/>
  <c r="L85" i="9"/>
  <c r="H85" i="9"/>
  <c r="G85" i="9"/>
  <c r="F85" i="9"/>
  <c r="E85" i="9"/>
  <c r="B85" i="9"/>
  <c r="M84" i="9"/>
  <c r="L84" i="9"/>
  <c r="H84" i="9"/>
  <c r="G84" i="9"/>
  <c r="F84" i="9"/>
  <c r="E84" i="9"/>
  <c r="B84" i="9"/>
  <c r="M83" i="9"/>
  <c r="L83" i="9"/>
  <c r="H83" i="9"/>
  <c r="G83" i="9"/>
  <c r="F83" i="9"/>
  <c r="E83" i="9"/>
  <c r="B83" i="9"/>
  <c r="M82" i="9"/>
  <c r="L82" i="9"/>
  <c r="H82" i="9"/>
  <c r="G82" i="9"/>
  <c r="F82" i="9"/>
  <c r="E82" i="9"/>
  <c r="B82" i="9"/>
  <c r="M81" i="9"/>
  <c r="L81" i="9"/>
  <c r="G81" i="9"/>
  <c r="F81" i="9"/>
  <c r="E81" i="9"/>
  <c r="B81" i="9"/>
  <c r="M80" i="9"/>
  <c r="L80" i="9"/>
  <c r="H80" i="9"/>
  <c r="G80" i="9"/>
  <c r="F80" i="9"/>
  <c r="E80" i="9"/>
  <c r="B80" i="9"/>
  <c r="M79" i="9"/>
  <c r="L79" i="9"/>
  <c r="H79" i="9"/>
  <c r="G79" i="9"/>
  <c r="F79" i="9"/>
  <c r="E79" i="9"/>
  <c r="B79" i="9"/>
  <c r="M78" i="9"/>
  <c r="L78" i="9"/>
  <c r="H78" i="9"/>
  <c r="G78" i="9"/>
  <c r="F78" i="9"/>
  <c r="E78" i="9"/>
  <c r="B78" i="9"/>
  <c r="M77" i="9"/>
  <c r="L77" i="9"/>
  <c r="K77" i="9"/>
  <c r="J77" i="9"/>
  <c r="H77" i="9"/>
  <c r="G77" i="9"/>
  <c r="F77" i="9"/>
  <c r="E77" i="9"/>
  <c r="B77" i="9"/>
  <c r="M76" i="9"/>
  <c r="L76" i="9"/>
  <c r="K76" i="9"/>
  <c r="J76" i="9"/>
  <c r="G76" i="9"/>
  <c r="I76" i="9" s="1"/>
  <c r="F76" i="9"/>
  <c r="E76" i="9"/>
  <c r="B76" i="9"/>
  <c r="M75" i="9"/>
  <c r="L75" i="9"/>
  <c r="J75" i="9"/>
  <c r="H75" i="9"/>
  <c r="G75" i="9"/>
  <c r="F75" i="9"/>
  <c r="E75" i="9"/>
  <c r="B75" i="9"/>
  <c r="M74" i="9"/>
  <c r="L74" i="9"/>
  <c r="J74" i="9"/>
  <c r="H74" i="9"/>
  <c r="G74" i="9"/>
  <c r="F74" i="9"/>
  <c r="E74" i="9"/>
  <c r="B74" i="9"/>
  <c r="M73" i="9"/>
  <c r="L73" i="9"/>
  <c r="J73" i="9"/>
  <c r="H73" i="9"/>
  <c r="G73" i="9"/>
  <c r="F73" i="9"/>
  <c r="E73" i="9"/>
  <c r="B73" i="9"/>
  <c r="M72" i="9"/>
  <c r="L72" i="9"/>
  <c r="K72" i="9"/>
  <c r="J72" i="9"/>
  <c r="H72" i="9"/>
  <c r="G72" i="9"/>
  <c r="F72" i="9"/>
  <c r="E72" i="9"/>
  <c r="B72" i="9"/>
  <c r="M71" i="9"/>
  <c r="L71" i="9"/>
  <c r="K71" i="9"/>
  <c r="J71" i="9"/>
  <c r="H71" i="9"/>
  <c r="G71" i="9"/>
  <c r="F71" i="9"/>
  <c r="E71" i="9"/>
  <c r="B71" i="9"/>
  <c r="M70" i="9"/>
  <c r="L70" i="9"/>
  <c r="K70" i="9"/>
  <c r="J70" i="9"/>
  <c r="H70" i="9"/>
  <c r="G70" i="9"/>
  <c r="F70" i="9"/>
  <c r="E70" i="9"/>
  <c r="B70" i="9"/>
  <c r="M69" i="9"/>
  <c r="L69" i="9"/>
  <c r="K69" i="9"/>
  <c r="J69" i="9"/>
  <c r="H69" i="9"/>
  <c r="G69" i="9"/>
  <c r="F69" i="9"/>
  <c r="E69" i="9"/>
  <c r="B69" i="9"/>
  <c r="M68" i="9"/>
  <c r="L68" i="9"/>
  <c r="K68" i="9"/>
  <c r="J68" i="9"/>
  <c r="H68" i="9"/>
  <c r="G68" i="9"/>
  <c r="F68" i="9"/>
  <c r="E68" i="9"/>
  <c r="B68" i="9"/>
  <c r="M67" i="9"/>
  <c r="L67" i="9"/>
  <c r="K67" i="9"/>
  <c r="J67" i="9"/>
  <c r="H67" i="9"/>
  <c r="G67" i="9"/>
  <c r="F67" i="9"/>
  <c r="E67" i="9"/>
  <c r="B67" i="9"/>
  <c r="M66" i="9"/>
  <c r="K66" i="9"/>
  <c r="J66" i="9"/>
  <c r="H66" i="9"/>
  <c r="G66" i="9"/>
  <c r="F66" i="9"/>
  <c r="E66" i="9"/>
  <c r="B66" i="9"/>
  <c r="M65" i="9"/>
  <c r="F65" i="9"/>
  <c r="E65" i="9"/>
  <c r="B65" i="9"/>
  <c r="M64" i="9"/>
  <c r="K64" i="9"/>
  <c r="J64" i="9"/>
  <c r="H64" i="9"/>
  <c r="G64" i="9"/>
  <c r="F64" i="9"/>
  <c r="E64" i="9"/>
  <c r="B64" i="9"/>
  <c r="M63" i="9"/>
  <c r="G63" i="9"/>
  <c r="F63" i="9"/>
  <c r="E63" i="9"/>
  <c r="B63" i="9"/>
  <c r="M62" i="9"/>
  <c r="G62" i="9"/>
  <c r="F62" i="9"/>
  <c r="E62" i="9"/>
  <c r="B62" i="9"/>
  <c r="M61" i="9"/>
  <c r="L61" i="9"/>
  <c r="J61" i="9"/>
  <c r="H61" i="9"/>
  <c r="G61" i="9"/>
  <c r="F61" i="9"/>
  <c r="E61" i="9"/>
  <c r="B61" i="9"/>
  <c r="G60" i="9"/>
  <c r="F60" i="9"/>
  <c r="E60" i="9"/>
  <c r="B60" i="9"/>
  <c r="L59" i="9"/>
  <c r="K59" i="9"/>
  <c r="J59" i="9"/>
  <c r="H59" i="9"/>
  <c r="G59" i="9"/>
  <c r="F59" i="9"/>
  <c r="E59" i="9"/>
  <c r="B59" i="9"/>
  <c r="M58" i="9"/>
  <c r="L58" i="9"/>
  <c r="K58" i="9"/>
  <c r="J58" i="9"/>
  <c r="H58" i="9"/>
  <c r="G58" i="9"/>
  <c r="F58" i="9"/>
  <c r="E58" i="9"/>
  <c r="B58" i="9"/>
  <c r="M57" i="9"/>
  <c r="L57" i="9"/>
  <c r="K57" i="9"/>
  <c r="J57" i="9"/>
  <c r="H57" i="9"/>
  <c r="G57" i="9"/>
  <c r="F57" i="9"/>
  <c r="E57" i="9"/>
  <c r="B57" i="9"/>
  <c r="M56" i="9"/>
  <c r="L56" i="9"/>
  <c r="K56" i="9"/>
  <c r="J56" i="9"/>
  <c r="H56" i="9"/>
  <c r="G56" i="9"/>
  <c r="F56" i="9"/>
  <c r="E56" i="9"/>
  <c r="B56" i="9"/>
  <c r="M55" i="9"/>
  <c r="L55" i="9"/>
  <c r="G55" i="9"/>
  <c r="F55" i="9"/>
  <c r="E55" i="9"/>
  <c r="B55" i="9"/>
  <c r="M54" i="9"/>
  <c r="L54" i="9"/>
  <c r="K54" i="9"/>
  <c r="J54" i="9"/>
  <c r="H54" i="9"/>
  <c r="G54" i="9"/>
  <c r="F54" i="9"/>
  <c r="E54" i="9"/>
  <c r="B54" i="9"/>
  <c r="M53" i="9"/>
  <c r="L53" i="9"/>
  <c r="G53" i="9"/>
  <c r="F53" i="9"/>
  <c r="E53" i="9"/>
  <c r="B53" i="9"/>
  <c r="M52" i="9"/>
  <c r="L52" i="9"/>
  <c r="G52" i="9"/>
  <c r="F52" i="9"/>
  <c r="E52" i="9"/>
  <c r="B52" i="9"/>
  <c r="M51" i="9"/>
  <c r="L51" i="9"/>
  <c r="G51" i="9"/>
  <c r="F51" i="9"/>
  <c r="E51" i="9"/>
  <c r="B51" i="9"/>
  <c r="M50" i="9"/>
  <c r="L50" i="9"/>
  <c r="K50" i="9"/>
  <c r="J50" i="9"/>
  <c r="H50" i="9"/>
  <c r="G50" i="9"/>
  <c r="F50" i="9"/>
  <c r="E50" i="9"/>
  <c r="B50" i="9"/>
  <c r="M49" i="9"/>
  <c r="L49" i="9"/>
  <c r="K49" i="9"/>
  <c r="J49" i="9"/>
  <c r="H49" i="9"/>
  <c r="G49" i="9"/>
  <c r="F49" i="9"/>
  <c r="E49" i="9"/>
  <c r="B49" i="9"/>
  <c r="M48" i="9"/>
  <c r="L48" i="9"/>
  <c r="K48" i="9"/>
  <c r="J48" i="9"/>
  <c r="H48" i="9"/>
  <c r="G48" i="9"/>
  <c r="F48" i="9"/>
  <c r="E48" i="9"/>
  <c r="B48" i="9"/>
  <c r="M47" i="9"/>
  <c r="L47" i="9"/>
  <c r="K47" i="9"/>
  <c r="J47" i="9"/>
  <c r="H47" i="9"/>
  <c r="G47" i="9"/>
  <c r="F47" i="9"/>
  <c r="E47" i="9"/>
  <c r="B47" i="9"/>
  <c r="M46" i="9"/>
  <c r="L46" i="9"/>
  <c r="G46" i="9"/>
  <c r="F46" i="9"/>
  <c r="E46" i="9"/>
  <c r="B46" i="9"/>
  <c r="M45" i="9"/>
  <c r="L45" i="9"/>
  <c r="K45" i="9"/>
  <c r="J45" i="9"/>
  <c r="H45" i="9"/>
  <c r="G45" i="9"/>
  <c r="F45" i="9"/>
  <c r="E45" i="9"/>
  <c r="B45" i="9"/>
  <c r="M44" i="9"/>
  <c r="L44" i="9"/>
  <c r="K44" i="9"/>
  <c r="J44" i="9"/>
  <c r="H44" i="9"/>
  <c r="G44" i="9"/>
  <c r="F44" i="9"/>
  <c r="E44" i="9"/>
  <c r="B44" i="9"/>
  <c r="M43" i="9"/>
  <c r="L43" i="9"/>
  <c r="K43" i="9"/>
  <c r="J43" i="9"/>
  <c r="H43" i="9"/>
  <c r="G43" i="9"/>
  <c r="F43" i="9"/>
  <c r="E43" i="9"/>
  <c r="B43" i="9"/>
  <c r="M42" i="9"/>
  <c r="L42" i="9"/>
  <c r="K42" i="9"/>
  <c r="J42" i="9"/>
  <c r="H42" i="9"/>
  <c r="G42" i="9"/>
  <c r="F42" i="9"/>
  <c r="E42" i="9"/>
  <c r="B42" i="9"/>
  <c r="M41" i="9"/>
  <c r="L41" i="9"/>
  <c r="K41" i="9"/>
  <c r="J41" i="9"/>
  <c r="H41" i="9"/>
  <c r="G41" i="9"/>
  <c r="E41" i="9"/>
  <c r="B41" i="9"/>
  <c r="M40" i="9"/>
  <c r="L40" i="9"/>
  <c r="K40" i="9"/>
  <c r="J40" i="9"/>
  <c r="H40" i="9"/>
  <c r="G40" i="9"/>
  <c r="F40" i="9"/>
  <c r="E40" i="9"/>
  <c r="B40" i="9"/>
  <c r="M39" i="9"/>
  <c r="L39" i="9"/>
  <c r="K39" i="9"/>
  <c r="J39" i="9"/>
  <c r="H39" i="9"/>
  <c r="G39" i="9"/>
  <c r="F39" i="9"/>
  <c r="E39" i="9"/>
  <c r="B39" i="9"/>
  <c r="M38" i="9"/>
  <c r="L38" i="9"/>
  <c r="G38" i="9"/>
  <c r="E38" i="9"/>
  <c r="B38" i="9"/>
  <c r="M37" i="9"/>
  <c r="L37" i="9"/>
  <c r="G37" i="9"/>
  <c r="F37" i="9"/>
  <c r="E37" i="9"/>
  <c r="B37" i="9"/>
  <c r="M36" i="9"/>
  <c r="L36" i="9"/>
  <c r="K36" i="9"/>
  <c r="J36" i="9"/>
  <c r="H36" i="9"/>
  <c r="G36" i="9"/>
  <c r="F36" i="9"/>
  <c r="E36" i="9"/>
  <c r="B36" i="9"/>
  <c r="M35" i="9"/>
  <c r="L35" i="9"/>
  <c r="G35" i="9"/>
  <c r="F35" i="9"/>
  <c r="E35" i="9"/>
  <c r="B35" i="9"/>
  <c r="M34" i="9"/>
  <c r="L34" i="9"/>
  <c r="G34" i="9"/>
  <c r="F34" i="9"/>
  <c r="E34" i="9"/>
  <c r="B34" i="9"/>
  <c r="M33" i="9"/>
  <c r="L33" i="9"/>
  <c r="K33" i="9"/>
  <c r="J33" i="9"/>
  <c r="H33" i="9"/>
  <c r="G33" i="9"/>
  <c r="F33" i="9"/>
  <c r="E33" i="9"/>
  <c r="B33" i="9"/>
  <c r="M32" i="9"/>
  <c r="L32" i="9"/>
  <c r="K32" i="9"/>
  <c r="J32" i="9"/>
  <c r="H32" i="9"/>
  <c r="G32" i="9"/>
  <c r="F32" i="9"/>
  <c r="E32" i="9"/>
  <c r="B32" i="9"/>
  <c r="M31" i="9"/>
  <c r="L31" i="9"/>
  <c r="K31" i="9"/>
  <c r="J31" i="9"/>
  <c r="H31" i="9"/>
  <c r="G31" i="9"/>
  <c r="F31" i="9"/>
  <c r="E31" i="9"/>
  <c r="B31" i="9"/>
  <c r="M30" i="9"/>
  <c r="L30" i="9"/>
  <c r="J30" i="9"/>
  <c r="H30" i="9"/>
  <c r="G30" i="9"/>
  <c r="F30" i="9"/>
  <c r="E30" i="9"/>
  <c r="B30" i="9"/>
  <c r="M29" i="9"/>
  <c r="L29" i="9"/>
  <c r="K29" i="9"/>
  <c r="J29" i="9"/>
  <c r="H29" i="9"/>
  <c r="G29" i="9"/>
  <c r="F29" i="9"/>
  <c r="E29" i="9"/>
  <c r="B29" i="9"/>
  <c r="N28" i="9"/>
  <c r="M28" i="9"/>
  <c r="L28" i="9"/>
  <c r="K28" i="9"/>
  <c r="J28" i="9"/>
  <c r="H28" i="9"/>
  <c r="G28" i="9"/>
  <c r="F28" i="9"/>
  <c r="E28" i="9"/>
  <c r="B28" i="9"/>
  <c r="M27" i="9"/>
  <c r="L27" i="9"/>
  <c r="K27" i="9"/>
  <c r="J27" i="9"/>
  <c r="H27" i="9"/>
  <c r="G27" i="9"/>
  <c r="F27" i="9"/>
  <c r="E27" i="9"/>
  <c r="B27" i="9"/>
  <c r="M26" i="9"/>
  <c r="L26" i="9"/>
  <c r="K26" i="9"/>
  <c r="J26" i="9"/>
  <c r="H26" i="9"/>
  <c r="G26" i="9"/>
  <c r="F26" i="9"/>
  <c r="E26" i="9"/>
  <c r="B26" i="9"/>
  <c r="M25" i="9"/>
  <c r="L25" i="9"/>
  <c r="K25" i="9"/>
  <c r="J25" i="9"/>
  <c r="H25" i="9"/>
  <c r="G25" i="9"/>
  <c r="F25" i="9"/>
  <c r="E25" i="9"/>
  <c r="B25" i="9"/>
  <c r="M24" i="9"/>
  <c r="L24" i="9"/>
  <c r="K24" i="9"/>
  <c r="J24" i="9"/>
  <c r="H24" i="9"/>
  <c r="G24" i="9"/>
  <c r="F24" i="9"/>
  <c r="E24" i="9"/>
  <c r="B24" i="9"/>
  <c r="M23" i="9"/>
  <c r="L23" i="9"/>
  <c r="K23" i="9"/>
  <c r="J23" i="9"/>
  <c r="H23" i="9"/>
  <c r="G23" i="9"/>
  <c r="F23" i="9"/>
  <c r="E23" i="9"/>
  <c r="B23" i="9"/>
  <c r="M22" i="9"/>
  <c r="L22" i="9"/>
  <c r="K22" i="9"/>
  <c r="J22" i="9"/>
  <c r="H22" i="9"/>
  <c r="G22" i="9"/>
  <c r="F22" i="9"/>
  <c r="E22" i="9"/>
  <c r="B22" i="9"/>
  <c r="M21" i="9"/>
  <c r="L21" i="9"/>
  <c r="K21" i="9"/>
  <c r="J21" i="9"/>
  <c r="H21" i="9"/>
  <c r="G21" i="9"/>
  <c r="F21" i="9"/>
  <c r="E21" i="9"/>
  <c r="B21" i="9"/>
  <c r="M20" i="9"/>
  <c r="L20" i="9"/>
  <c r="K20" i="9"/>
  <c r="J20" i="9"/>
  <c r="H20" i="9"/>
  <c r="G20" i="9"/>
  <c r="F20" i="9"/>
  <c r="E20" i="9"/>
  <c r="B20" i="9"/>
  <c r="M19" i="9"/>
  <c r="L19" i="9"/>
  <c r="G19" i="9"/>
  <c r="F19" i="9"/>
  <c r="E19" i="9"/>
  <c r="B19" i="9"/>
  <c r="M18" i="9"/>
  <c r="L18" i="9"/>
  <c r="K18" i="9"/>
  <c r="J18" i="9"/>
  <c r="H18" i="9"/>
  <c r="G18" i="9"/>
  <c r="F18" i="9"/>
  <c r="E18" i="9"/>
  <c r="B18" i="9"/>
  <c r="N17" i="9"/>
  <c r="M17" i="9"/>
  <c r="L17" i="9"/>
  <c r="K17" i="9"/>
  <c r="J17" i="9"/>
  <c r="H17" i="9"/>
  <c r="G17" i="9"/>
  <c r="F17" i="9"/>
  <c r="E17" i="9"/>
  <c r="B17" i="9"/>
  <c r="N16" i="9"/>
  <c r="M16" i="9"/>
  <c r="L16" i="9"/>
  <c r="K16" i="9"/>
  <c r="J16" i="9"/>
  <c r="H16" i="9"/>
  <c r="G16" i="9"/>
  <c r="F16" i="9"/>
  <c r="E16" i="9"/>
  <c r="B16" i="9"/>
  <c r="N15" i="9"/>
  <c r="M15" i="9"/>
  <c r="L15" i="9"/>
  <c r="K15" i="9"/>
  <c r="J15" i="9"/>
  <c r="H15" i="9"/>
  <c r="G15" i="9"/>
  <c r="F15" i="9"/>
  <c r="E15" i="9"/>
  <c r="B15" i="9"/>
  <c r="M14" i="9"/>
  <c r="L14" i="9"/>
  <c r="K14" i="9"/>
  <c r="J14" i="9"/>
  <c r="H14" i="9"/>
  <c r="G14" i="9"/>
  <c r="F14" i="9"/>
  <c r="E14" i="9"/>
  <c r="B14" i="9"/>
  <c r="A14" i="9"/>
  <c r="A15" i="9" s="1"/>
  <c r="A16" i="9" s="1"/>
  <c r="A17" i="9" s="1"/>
  <c r="A18" i="9" s="1"/>
  <c r="A19" i="9" s="1"/>
  <c r="A20" i="9" s="1"/>
  <c r="A21" i="9" s="1"/>
  <c r="A22" i="9" s="1"/>
  <c r="A23" i="9" s="1"/>
  <c r="A24" i="9" s="1"/>
  <c r="A25" i="9" s="1"/>
  <c r="A26" i="9" s="1"/>
  <c r="A27" i="9" s="1"/>
  <c r="A28" i="9" s="1"/>
  <c r="A29" i="9" s="1"/>
  <c r="A30" i="9" s="1"/>
  <c r="A31" i="9" s="1"/>
  <c r="A32" i="9" s="1"/>
  <c r="A33" i="9" s="1"/>
  <c r="A34" i="9" s="1"/>
  <c r="A35" i="9" s="1"/>
  <c r="A36" i="9" s="1"/>
  <c r="A37" i="9" s="1"/>
  <c r="A38" i="9" s="1"/>
  <c r="A39" i="9" s="1"/>
  <c r="A40" i="9" s="1"/>
  <c r="A41" i="9" s="1"/>
  <c r="A42" i="9" s="1"/>
  <c r="A43" i="9" s="1"/>
  <c r="A44" i="9" s="1"/>
  <c r="A45" i="9" s="1"/>
  <c r="A46" i="9" s="1"/>
  <c r="A47" i="9" s="1"/>
  <c r="A48" i="9" s="1"/>
  <c r="A49" i="9" s="1"/>
  <c r="A50" i="9" s="1"/>
  <c r="A51" i="9" s="1"/>
  <c r="A52" i="9" s="1"/>
  <c r="A53" i="9" s="1"/>
  <c r="A54" i="9" s="1"/>
  <c r="A55" i="9" s="1"/>
  <c r="A56" i="9" s="1"/>
  <c r="A57" i="9" s="1"/>
  <c r="A58" i="9" s="1"/>
  <c r="A59" i="9" s="1"/>
  <c r="A60" i="9" s="1"/>
  <c r="A61" i="9" s="1"/>
  <c r="A62" i="9" s="1"/>
  <c r="A63" i="9" s="1"/>
  <c r="A64" i="9" s="1"/>
  <c r="A65" i="9" s="1"/>
  <c r="A66" i="9" s="1"/>
  <c r="A67" i="9" s="1"/>
  <c r="A68" i="9" s="1"/>
  <c r="A69" i="9" s="1"/>
  <c r="A70" i="9" s="1"/>
  <c r="A71" i="9" s="1"/>
  <c r="A72" i="9" s="1"/>
  <c r="A73" i="9" s="1"/>
  <c r="A74" i="9" s="1"/>
  <c r="A75" i="9" s="1"/>
  <c r="A76" i="9" s="1"/>
  <c r="A77" i="9" s="1"/>
  <c r="A78" i="9" s="1"/>
  <c r="A79" i="9" s="1"/>
  <c r="A80" i="9" s="1"/>
  <c r="A81" i="9" s="1"/>
  <c r="A82" i="9" s="1"/>
  <c r="A83" i="9" s="1"/>
  <c r="A84" i="9" s="1"/>
  <c r="A85" i="9" s="1"/>
  <c r="A86" i="9" s="1"/>
  <c r="A87" i="9" s="1"/>
  <c r="M13" i="9"/>
  <c r="L13" i="9"/>
  <c r="K13" i="9"/>
  <c r="J13" i="9"/>
  <c r="H13" i="9"/>
  <c r="G13" i="9"/>
  <c r="F13" i="9"/>
  <c r="E13" i="9"/>
  <c r="B13" i="9"/>
  <c r="M12" i="9"/>
  <c r="L12" i="9"/>
  <c r="K12" i="9"/>
  <c r="J12" i="9"/>
  <c r="H12" i="9"/>
  <c r="G12" i="9"/>
  <c r="F12" i="9"/>
  <c r="E12" i="9"/>
  <c r="B12" i="9"/>
  <c r="N11" i="9"/>
  <c r="M11" i="9"/>
  <c r="L11" i="9"/>
  <c r="K11" i="9"/>
  <c r="J11" i="9"/>
  <c r="H11" i="9"/>
  <c r="G11" i="9"/>
  <c r="F11" i="9"/>
  <c r="E11" i="9"/>
  <c r="B11" i="9"/>
  <c r="M10" i="9"/>
  <c r="L10" i="9"/>
  <c r="K10" i="9"/>
  <c r="H10" i="9"/>
  <c r="G10" i="9"/>
  <c r="F10" i="9"/>
  <c r="E10" i="9"/>
  <c r="B10" i="9"/>
  <c r="M9" i="9"/>
  <c r="L9" i="9"/>
  <c r="K9" i="9"/>
  <c r="J9" i="9"/>
  <c r="H9" i="9"/>
  <c r="G9" i="9"/>
  <c r="F9" i="9"/>
  <c r="E9" i="9"/>
  <c r="B9" i="9"/>
  <c r="A9" i="9"/>
  <c r="A10" i="9" s="1"/>
  <c r="A11" i="9" s="1"/>
  <c r="A12" i="9" s="1"/>
  <c r="A13" i="9" s="1"/>
  <c r="M8" i="9"/>
  <c r="L8" i="9"/>
  <c r="K8" i="9"/>
  <c r="J8" i="9"/>
  <c r="H8" i="9"/>
  <c r="G8" i="9"/>
  <c r="F8" i="9"/>
  <c r="E8" i="9"/>
  <c r="B8" i="9"/>
  <c r="M7" i="9"/>
  <c r="L7" i="9"/>
  <c r="K7" i="9"/>
  <c r="J7" i="9"/>
  <c r="H7" i="9"/>
  <c r="G7" i="9"/>
  <c r="F7" i="9"/>
  <c r="E7" i="9"/>
  <c r="B7" i="9"/>
  <c r="M6" i="9"/>
  <c r="L6" i="9"/>
  <c r="K6" i="9"/>
  <c r="J6" i="9"/>
  <c r="H6" i="9"/>
  <c r="G6" i="9"/>
  <c r="F6" i="9"/>
  <c r="E6" i="9"/>
  <c r="B6" i="9"/>
  <c r="M5" i="9"/>
  <c r="L5" i="9"/>
  <c r="K5" i="9"/>
  <c r="J5" i="9"/>
  <c r="H5" i="9"/>
  <c r="G5" i="9"/>
  <c r="F5" i="9"/>
  <c r="E5" i="9"/>
  <c r="B5" i="9"/>
  <c r="M4" i="9"/>
  <c r="L4" i="9"/>
  <c r="K4" i="9"/>
  <c r="J4" i="9"/>
  <c r="H4" i="9"/>
  <c r="G4" i="9"/>
  <c r="F4" i="9"/>
  <c r="E4" i="9"/>
  <c r="B4" i="9"/>
  <c r="M3" i="9"/>
  <c r="L3" i="9"/>
  <c r="K3" i="9"/>
  <c r="J3" i="9"/>
  <c r="H3" i="9"/>
  <c r="G3" i="9"/>
  <c r="F3" i="9"/>
  <c r="E3" i="9"/>
  <c r="B3" i="9"/>
  <c r="A3" i="9"/>
  <c r="A4" i="9" s="1"/>
  <c r="A5" i="9" s="1"/>
  <c r="A6" i="9" s="1"/>
  <c r="A7" i="9" s="1"/>
  <c r="B21" i="6"/>
  <c r="B18" i="6"/>
  <c r="B13" i="6"/>
  <c r="B8" i="6"/>
  <c r="B87" i="5"/>
  <c r="B86" i="5"/>
  <c r="B85" i="5"/>
  <c r="B84" i="5"/>
  <c r="C83" i="5"/>
  <c r="G80" i="5"/>
  <c r="E80" i="5"/>
  <c r="G79" i="5"/>
  <c r="E79" i="5"/>
  <c r="G78" i="5"/>
  <c r="E78" i="5"/>
  <c r="G77" i="5"/>
  <c r="H77" i="5" s="1"/>
  <c r="E77" i="5"/>
  <c r="G76" i="5"/>
  <c r="H76" i="5" s="1"/>
  <c r="E76" i="5"/>
  <c r="H75" i="5"/>
  <c r="G75" i="5"/>
  <c r="E75" i="5"/>
  <c r="H74" i="5"/>
  <c r="G74" i="5"/>
  <c r="E74" i="5"/>
  <c r="G73" i="5"/>
  <c r="E73" i="5"/>
  <c r="G72" i="5"/>
  <c r="H72" i="5" s="1"/>
  <c r="E72" i="5"/>
  <c r="G71" i="5"/>
  <c r="E71" i="5"/>
  <c r="G70" i="5"/>
  <c r="E70" i="5"/>
  <c r="G69" i="5"/>
  <c r="E69" i="5"/>
  <c r="G68" i="5"/>
  <c r="H68" i="5" s="1"/>
  <c r="E68" i="5"/>
  <c r="H67" i="5"/>
  <c r="G67" i="5"/>
  <c r="E67" i="5"/>
  <c r="H66" i="5"/>
  <c r="G66" i="5"/>
  <c r="E66" i="5"/>
  <c r="H65" i="5"/>
  <c r="G65" i="5"/>
  <c r="E65" i="5"/>
  <c r="G64" i="5"/>
  <c r="H64" i="5" s="1"/>
  <c r="E64" i="5"/>
  <c r="G63" i="5"/>
  <c r="E63" i="5"/>
  <c r="G62" i="5"/>
  <c r="E62" i="5"/>
  <c r="H61" i="5"/>
  <c r="G61" i="5"/>
  <c r="E61" i="5"/>
  <c r="G60" i="5"/>
  <c r="E60" i="5"/>
  <c r="G59" i="5"/>
  <c r="B41" i="5"/>
  <c r="B40" i="5"/>
  <c r="B30" i="5"/>
  <c r="O25" i="5"/>
  <c r="M25" i="5"/>
  <c r="L25" i="5"/>
  <c r="I25" i="5"/>
  <c r="G25" i="5"/>
  <c r="E25" i="5"/>
  <c r="D25" i="5"/>
  <c r="P19" i="5"/>
  <c r="O19" i="5"/>
  <c r="N19" i="5"/>
  <c r="M19" i="5"/>
  <c r="L19" i="5"/>
  <c r="K19" i="5"/>
  <c r="J19" i="5"/>
  <c r="I19" i="5"/>
  <c r="H19" i="5"/>
  <c r="G19" i="5"/>
  <c r="F19" i="5"/>
  <c r="E19" i="5"/>
  <c r="D19" i="5"/>
  <c r="C19" i="5"/>
  <c r="B19" i="5"/>
  <c r="B60" i="4"/>
  <c r="B59" i="4"/>
  <c r="B47" i="4"/>
  <c r="M42" i="4"/>
  <c r="L42" i="4"/>
  <c r="K42" i="4"/>
  <c r="I42" i="4"/>
  <c r="E42" i="4"/>
  <c r="D42" i="4"/>
  <c r="C42" i="4"/>
  <c r="P41" i="4"/>
  <c r="P42" i="4" s="1"/>
  <c r="O41" i="4"/>
  <c r="N41" i="4"/>
  <c r="M41" i="4"/>
  <c r="L41" i="4"/>
  <c r="K41" i="4"/>
  <c r="J41" i="4"/>
  <c r="I41" i="4"/>
  <c r="H41" i="4"/>
  <c r="H42" i="4" s="1"/>
  <c r="G41" i="4"/>
  <c r="F41" i="4"/>
  <c r="E41" i="4"/>
  <c r="D41" i="4"/>
  <c r="C41" i="4"/>
  <c r="B41" i="4"/>
  <c r="P39" i="4"/>
  <c r="O39" i="4"/>
  <c r="N39" i="4"/>
  <c r="M39" i="4"/>
  <c r="L39" i="4"/>
  <c r="K39" i="4"/>
  <c r="J39" i="4"/>
  <c r="I39" i="4"/>
  <c r="H39" i="4"/>
  <c r="G39" i="4"/>
  <c r="F39" i="4"/>
  <c r="E39" i="4"/>
  <c r="D39" i="4"/>
  <c r="C39" i="4"/>
  <c r="B39" i="4"/>
  <c r="B40" i="4" s="1"/>
  <c r="B38" i="4"/>
  <c r="C38" i="4" s="1"/>
  <c r="D38" i="4" s="1"/>
  <c r="P37" i="4"/>
  <c r="O37" i="4"/>
  <c r="N37" i="4"/>
  <c r="M37" i="4"/>
  <c r="L37" i="4"/>
  <c r="K37" i="4"/>
  <c r="J37" i="4"/>
  <c r="I37" i="4"/>
  <c r="H37" i="4"/>
  <c r="G37" i="4"/>
  <c r="F37" i="4"/>
  <c r="E37" i="4"/>
  <c r="D37" i="4"/>
  <c r="C37" i="4"/>
  <c r="B37" i="4"/>
  <c r="B32" i="4"/>
  <c r="P25" i="5" s="1"/>
  <c r="E21" i="4"/>
  <c r="D21" i="4"/>
  <c r="E20" i="4"/>
  <c r="B5" i="5" s="1"/>
  <c r="D20" i="4"/>
  <c r="C20" i="4"/>
  <c r="C21" i="4" s="1"/>
  <c r="B20" i="4"/>
  <c r="B21" i="4" s="1"/>
  <c r="E16" i="4"/>
  <c r="D16" i="4"/>
  <c r="C16" i="4"/>
  <c r="B16" i="4"/>
  <c r="E14" i="4"/>
  <c r="D14" i="4"/>
  <c r="C14" i="4"/>
  <c r="B8" i="4"/>
  <c r="B54" i="4" s="1"/>
  <c r="B6" i="4"/>
  <c r="B56" i="4" s="1"/>
  <c r="B5" i="4"/>
  <c r="B28" i="3"/>
  <c r="B6" i="3"/>
  <c r="H85" i="2"/>
  <c r="D11" i="1" s="1"/>
  <c r="G85" i="2"/>
  <c r="D8" i="1" s="1"/>
  <c r="F85" i="2"/>
  <c r="E85" i="2"/>
  <c r="D85" i="2"/>
  <c r="C85" i="2"/>
  <c r="B85" i="2"/>
  <c r="H82" i="2"/>
  <c r="G82" i="2"/>
  <c r="F82" i="2"/>
  <c r="E82" i="2"/>
  <c r="D82" i="2"/>
  <c r="C82" i="2"/>
  <c r="B82" i="2"/>
  <c r="E65" i="2"/>
  <c r="E66" i="2" s="1"/>
  <c r="E67" i="2" s="1"/>
  <c r="E68" i="2" s="1"/>
  <c r="E69" i="2" s="1"/>
  <c r="E70" i="2" s="1"/>
  <c r="E71" i="2" s="1"/>
  <c r="E72" i="2" s="1"/>
  <c r="E73" i="2" s="1"/>
  <c r="E74" i="2" s="1"/>
  <c r="E75" i="2" s="1"/>
  <c r="E76" i="2" s="1"/>
  <c r="E77" i="2" s="1"/>
  <c r="E80" i="2" s="1"/>
  <c r="E81" i="2" s="1"/>
  <c r="H63" i="2"/>
  <c r="H64" i="2" s="1"/>
  <c r="H65" i="2" s="1"/>
  <c r="H66" i="2" s="1"/>
  <c r="H67" i="2" s="1"/>
  <c r="H68" i="2" s="1"/>
  <c r="H69" i="2" s="1"/>
  <c r="H70" i="2" s="1"/>
  <c r="H71" i="2" s="1"/>
  <c r="H72" i="2" s="1"/>
  <c r="H73" i="2" s="1"/>
  <c r="H74" i="2" s="1"/>
  <c r="H75" i="2" s="1"/>
  <c r="H76" i="2" s="1"/>
  <c r="H77" i="2" s="1"/>
  <c r="H80" i="2" s="1"/>
  <c r="H81" i="2" s="1"/>
  <c r="G63" i="2"/>
  <c r="F63" i="2"/>
  <c r="E63" i="2"/>
  <c r="E64" i="2" s="1"/>
  <c r="H59" i="2"/>
  <c r="G59" i="2"/>
  <c r="F59" i="2"/>
  <c r="E59" i="2"/>
  <c r="D59" i="2"/>
  <c r="C59" i="2"/>
  <c r="B59" i="2"/>
  <c r="H58" i="2"/>
  <c r="G58" i="2"/>
  <c r="F58" i="2"/>
  <c r="E58" i="2"/>
  <c r="D58" i="2"/>
  <c r="C58" i="2"/>
  <c r="B58" i="2"/>
  <c r="H57" i="2"/>
  <c r="G57" i="2"/>
  <c r="F57" i="2"/>
  <c r="E57" i="2"/>
  <c r="D57" i="2"/>
  <c r="C57" i="2"/>
  <c r="B57" i="2"/>
  <c r="H56" i="2"/>
  <c r="G56" i="2"/>
  <c r="F56" i="2"/>
  <c r="E56" i="2"/>
  <c r="D56" i="2"/>
  <c r="C56" i="2"/>
  <c r="C63" i="2" s="1"/>
  <c r="B56" i="2"/>
  <c r="H52" i="2"/>
  <c r="G52" i="2"/>
  <c r="F52" i="2"/>
  <c r="E52" i="2"/>
  <c r="D52" i="2"/>
  <c r="C52" i="2"/>
  <c r="B52" i="2"/>
  <c r="E42" i="2"/>
  <c r="E43" i="2" s="1"/>
  <c r="E44" i="2" s="1"/>
  <c r="E45" i="2" s="1"/>
  <c r="E49" i="2" s="1"/>
  <c r="E50" i="2" s="1"/>
  <c r="G37" i="2"/>
  <c r="G38" i="2" s="1"/>
  <c r="G39" i="2" s="1"/>
  <c r="G40" i="2" s="1"/>
  <c r="G41" i="2" s="1"/>
  <c r="G42" i="2" s="1"/>
  <c r="G43" i="2" s="1"/>
  <c r="G44" i="2" s="1"/>
  <c r="G45" i="2" s="1"/>
  <c r="G49" i="2" s="1"/>
  <c r="G50" i="2" s="1"/>
  <c r="F37" i="2"/>
  <c r="F38" i="2" s="1"/>
  <c r="F39" i="2" s="1"/>
  <c r="F40" i="2" s="1"/>
  <c r="F41" i="2" s="1"/>
  <c r="F42" i="2" s="1"/>
  <c r="F43" i="2" s="1"/>
  <c r="F44" i="2" s="1"/>
  <c r="F45" i="2" s="1"/>
  <c r="F49" i="2" s="1"/>
  <c r="F50" i="2" s="1"/>
  <c r="F34" i="2"/>
  <c r="F35" i="2" s="1"/>
  <c r="F36" i="2" s="1"/>
  <c r="E34" i="2"/>
  <c r="E35" i="2" s="1"/>
  <c r="E36" i="2" s="1"/>
  <c r="E37" i="2" s="1"/>
  <c r="E38" i="2" s="1"/>
  <c r="E39" i="2" s="1"/>
  <c r="E40" i="2" s="1"/>
  <c r="E41" i="2" s="1"/>
  <c r="E33" i="2"/>
  <c r="D33" i="2"/>
  <c r="C33" i="2"/>
  <c r="C34" i="2" s="1"/>
  <c r="C35" i="2" s="1"/>
  <c r="C36" i="2" s="1"/>
  <c r="C37" i="2" s="1"/>
  <c r="C38" i="2" s="1"/>
  <c r="C39" i="2" s="1"/>
  <c r="C40" i="2" s="1"/>
  <c r="C41" i="2" s="1"/>
  <c r="C42" i="2" s="1"/>
  <c r="C43" i="2" s="1"/>
  <c r="C44" i="2" s="1"/>
  <c r="C45" i="2" s="1"/>
  <c r="C49" i="2" s="1"/>
  <c r="C50" i="2" s="1"/>
  <c r="B33" i="2"/>
  <c r="B34" i="2" s="1"/>
  <c r="B35" i="2" s="1"/>
  <c r="B36" i="2" s="1"/>
  <c r="B37" i="2" s="1"/>
  <c r="B38" i="2" s="1"/>
  <c r="B39" i="2" s="1"/>
  <c r="B40" i="2" s="1"/>
  <c r="B41" i="2" s="1"/>
  <c r="B42" i="2" s="1"/>
  <c r="B43" i="2" s="1"/>
  <c r="B44" i="2" s="1"/>
  <c r="B45" i="2" s="1"/>
  <c r="B49" i="2" s="1"/>
  <c r="B50" i="2" s="1"/>
  <c r="E32" i="2"/>
  <c r="D32" i="2"/>
  <c r="C32" i="2"/>
  <c r="B32" i="2"/>
  <c r="H31" i="2"/>
  <c r="G31" i="2"/>
  <c r="G32" i="2" s="1"/>
  <c r="G33" i="2" s="1"/>
  <c r="G34" i="2" s="1"/>
  <c r="G35" i="2" s="1"/>
  <c r="G36" i="2" s="1"/>
  <c r="F31" i="2"/>
  <c r="F32" i="2" s="1"/>
  <c r="F33" i="2" s="1"/>
  <c r="E31" i="2"/>
  <c r="D31" i="2"/>
  <c r="C31" i="2"/>
  <c r="B31" i="2"/>
  <c r="H18" i="2"/>
  <c r="G18" i="2"/>
  <c r="F18" i="2"/>
  <c r="E18" i="2"/>
  <c r="D18" i="2"/>
  <c r="C18" i="2"/>
  <c r="B18" i="2"/>
  <c r="G12" i="2"/>
  <c r="F12" i="2"/>
  <c r="E12" i="2"/>
  <c r="B12" i="2"/>
  <c r="H10" i="2"/>
  <c r="H12" i="2" s="1"/>
  <c r="G10" i="2"/>
  <c r="F10" i="2"/>
  <c r="E10" i="2"/>
  <c r="D10" i="2"/>
  <c r="D12" i="2" s="1"/>
  <c r="C10" i="2"/>
  <c r="C12" i="2" s="1"/>
  <c r="B10" i="2"/>
  <c r="D10" i="1"/>
  <c r="D9" i="1"/>
  <c r="D7" i="1"/>
  <c r="D6" i="1"/>
  <c r="D5" i="1"/>
  <c r="D51" i="14" l="1"/>
  <c r="E48" i="14"/>
  <c r="I74" i="9"/>
  <c r="I42" i="9"/>
  <c r="I54" i="9"/>
  <c r="I64" i="9"/>
  <c r="I31" i="9"/>
  <c r="I18" i="9"/>
  <c r="I58" i="9"/>
  <c r="I72" i="9"/>
  <c r="I22" i="9"/>
  <c r="I56" i="9"/>
  <c r="I70" i="9"/>
  <c r="I49" i="9"/>
  <c r="I28" i="9"/>
  <c r="I71" i="9"/>
  <c r="I25" i="9"/>
  <c r="I24" i="9"/>
  <c r="I32" i="9"/>
  <c r="I13" i="9"/>
  <c r="I50" i="9"/>
  <c r="I17" i="9"/>
  <c r="I23" i="9"/>
  <c r="I45" i="9"/>
  <c r="I41" i="9"/>
  <c r="I14" i="9"/>
  <c r="I57" i="9"/>
  <c r="I29" i="9"/>
  <c r="I87" i="9"/>
  <c r="I8" i="9"/>
  <c r="I40" i="9"/>
  <c r="I4" i="9"/>
  <c r="I86" i="9"/>
  <c r="I20" i="9"/>
  <c r="I27" i="9"/>
  <c r="I12" i="9"/>
  <c r="I3" i="9"/>
  <c r="I80" i="9"/>
  <c r="I11" i="9"/>
  <c r="I15" i="9"/>
  <c r="I33" i="9"/>
  <c r="I39" i="9"/>
  <c r="I77" i="9"/>
  <c r="I5" i="9"/>
  <c r="I16" i="9"/>
  <c r="I59" i="9"/>
  <c r="I30" i="9"/>
  <c r="I36" i="9"/>
  <c r="I44" i="9"/>
  <c r="I9" i="9"/>
  <c r="I26" i="9"/>
  <c r="I48" i="9"/>
  <c r="I61" i="9"/>
  <c r="I67" i="9"/>
  <c r="I68" i="9"/>
  <c r="I73" i="9"/>
  <c r="H32" i="2"/>
  <c r="H33" i="2" s="1"/>
  <c r="H34" i="2" s="1"/>
  <c r="H35" i="2" s="1"/>
  <c r="H36" i="2" s="1"/>
  <c r="H37" i="2" s="1"/>
  <c r="H38" i="2" s="1"/>
  <c r="H39" i="2" s="1"/>
  <c r="H40" i="2" s="1"/>
  <c r="H41" i="2" s="1"/>
  <c r="H42" i="2" s="1"/>
  <c r="H43" i="2" s="1"/>
  <c r="H44" i="2" s="1"/>
  <c r="H45" i="2" s="1"/>
  <c r="H49" i="2" s="1"/>
  <c r="H50" i="2" s="1"/>
  <c r="D40" i="4"/>
  <c r="D43" i="4" s="1"/>
  <c r="E38" i="4"/>
  <c r="C64" i="2"/>
  <c r="C65" i="2" s="1"/>
  <c r="C66" i="2" s="1"/>
  <c r="C67" i="2" s="1"/>
  <c r="C68" i="2" s="1"/>
  <c r="C69" i="2" s="1"/>
  <c r="C70" i="2" s="1"/>
  <c r="C71" i="2" s="1"/>
  <c r="C72" i="2" s="1"/>
  <c r="C73" i="2" s="1"/>
  <c r="C74" i="2" s="1"/>
  <c r="C75" i="2" s="1"/>
  <c r="C76" i="2" s="1"/>
  <c r="C77" i="2" s="1"/>
  <c r="C80" i="2" s="1"/>
  <c r="C81" i="2" s="1"/>
  <c r="H79" i="2" a="1"/>
  <c r="H79" i="2" s="1"/>
  <c r="H84" i="2" s="1"/>
  <c r="B48" i="2" a="1"/>
  <c r="B48" i="2" s="1"/>
  <c r="B51" i="2" s="1"/>
  <c r="B53" i="2" s="1"/>
  <c r="G48" i="2" a="1"/>
  <c r="G48" i="2" s="1"/>
  <c r="G51" i="2" s="1"/>
  <c r="G53" i="2" s="1"/>
  <c r="G79" i="2" a="1"/>
  <c r="G79" i="2" s="1"/>
  <c r="G84" i="2" s="1"/>
  <c r="G64" i="2"/>
  <c r="G65" i="2" s="1"/>
  <c r="G66" i="2" s="1"/>
  <c r="G67" i="2" s="1"/>
  <c r="G68" i="2" s="1"/>
  <c r="G69" i="2" s="1"/>
  <c r="G70" i="2" s="1"/>
  <c r="G71" i="2" s="1"/>
  <c r="G72" i="2" s="1"/>
  <c r="G73" i="2" s="1"/>
  <c r="G74" i="2" s="1"/>
  <c r="G75" i="2" s="1"/>
  <c r="G76" i="2" s="1"/>
  <c r="G77" i="2" s="1"/>
  <c r="G80" i="2" s="1"/>
  <c r="G81" i="2" s="1"/>
  <c r="C48" i="2" a="1"/>
  <c r="C48" i="2" s="1"/>
  <c r="C51" i="2" s="1"/>
  <c r="C53" i="2" s="1"/>
  <c r="F64" i="2"/>
  <c r="F65" i="2" s="1"/>
  <c r="F66" i="2" s="1"/>
  <c r="F67" i="2" s="1"/>
  <c r="F68" i="2" s="1"/>
  <c r="F69" i="2" s="1"/>
  <c r="F70" i="2" s="1"/>
  <c r="F71" i="2" s="1"/>
  <c r="F72" i="2" s="1"/>
  <c r="F73" i="2" s="1"/>
  <c r="F74" i="2" s="1"/>
  <c r="F75" i="2" s="1"/>
  <c r="F76" i="2" s="1"/>
  <c r="F77" i="2" s="1"/>
  <c r="F80" i="2" s="1"/>
  <c r="F81" i="2" s="1"/>
  <c r="B7" i="4"/>
  <c r="B12" i="5" s="1"/>
  <c r="D34" i="2"/>
  <c r="D35" i="2" s="1"/>
  <c r="D36" i="2" s="1"/>
  <c r="D37" i="2" s="1"/>
  <c r="D38" i="2" s="1"/>
  <c r="D39" i="2" s="1"/>
  <c r="D40" i="2" s="1"/>
  <c r="D41" i="2" s="1"/>
  <c r="D42" i="2" s="1"/>
  <c r="D43" i="2" s="1"/>
  <c r="D44" i="2" s="1"/>
  <c r="D45" i="2" s="1"/>
  <c r="D49" i="2" s="1"/>
  <c r="D50" i="2" s="1"/>
  <c r="F48" i="2" a="1"/>
  <c r="F48" i="2" s="1"/>
  <c r="F51" i="2" s="1"/>
  <c r="F53" i="2" s="1"/>
  <c r="C40" i="4"/>
  <c r="C43" i="4" s="1"/>
  <c r="B6" i="5"/>
  <c r="B7" i="5" s="1"/>
  <c r="B63" i="2"/>
  <c r="B37" i="5"/>
  <c r="H69" i="5"/>
  <c r="D63" i="2"/>
  <c r="H80" i="5"/>
  <c r="B88" i="5"/>
  <c r="I10" i="9"/>
  <c r="I47" i="9"/>
  <c r="E79" i="2" a="1"/>
  <c r="E79" i="2" s="1"/>
  <c r="E84" i="2" s="1"/>
  <c r="B20" i="5"/>
  <c r="H70" i="5"/>
  <c r="H71" i="5"/>
  <c r="E48" i="2" a="1"/>
  <c r="E48" i="2" s="1"/>
  <c r="E51" i="2" s="1"/>
  <c r="E53" i="2" s="1"/>
  <c r="B22" i="6"/>
  <c r="B25" i="6" s="1"/>
  <c r="H62" i="5"/>
  <c r="H63" i="5"/>
  <c r="H78" i="5"/>
  <c r="H79" i="5"/>
  <c r="I21" i="9"/>
  <c r="I66" i="9"/>
  <c r="I69" i="9"/>
  <c r="I75" i="9"/>
  <c r="H60" i="5"/>
  <c r="H73" i="5"/>
  <c r="I7" i="9"/>
  <c r="I43" i="9"/>
  <c r="G4" i="11"/>
  <c r="H4" i="11" s="1"/>
  <c r="F42" i="4"/>
  <c r="N42" i="4"/>
  <c r="B25" i="5"/>
  <c r="J25" i="5"/>
  <c r="B31" i="5"/>
  <c r="G42" i="4"/>
  <c r="O42" i="4"/>
  <c r="C25" i="5"/>
  <c r="K25" i="5"/>
  <c r="B42" i="4"/>
  <c r="B43" i="4" s="1"/>
  <c r="J42" i="4"/>
  <c r="F25" i="5"/>
  <c r="N25" i="5"/>
  <c r="H25" i="5"/>
  <c r="E51" i="14" l="1"/>
  <c r="F48" i="14"/>
  <c r="D60" i="14"/>
  <c r="D55" i="14"/>
  <c r="D61" i="14"/>
  <c r="D59" i="14"/>
  <c r="D52" i="14"/>
  <c r="B14" i="5"/>
  <c r="B29" i="3" s="1"/>
  <c r="B26" i="3"/>
  <c r="F79" i="2" a="1"/>
  <c r="F79" i="2" s="1"/>
  <c r="F84" i="2" s="1"/>
  <c r="C79" i="2" a="1"/>
  <c r="C79" i="2" s="1"/>
  <c r="C84" i="2" s="1"/>
  <c r="E6" i="1"/>
  <c r="E86" i="2"/>
  <c r="B64" i="2"/>
  <c r="B65" i="2" s="1"/>
  <c r="B66" i="2" s="1"/>
  <c r="B67" i="2" s="1"/>
  <c r="B68" i="2" s="1"/>
  <c r="B69" i="2" s="1"/>
  <c r="B70" i="2" s="1"/>
  <c r="B71" i="2" s="1"/>
  <c r="B72" i="2" s="1"/>
  <c r="B73" i="2" s="1"/>
  <c r="B74" i="2" s="1"/>
  <c r="B75" i="2" s="1"/>
  <c r="B76" i="2" s="1"/>
  <c r="B77" i="2" s="1"/>
  <c r="B80" i="2" s="1"/>
  <c r="B81" i="2" s="1"/>
  <c r="F38" i="4"/>
  <c r="E40" i="4"/>
  <c r="E43" i="4" s="1"/>
  <c r="H48" i="2" a="1"/>
  <c r="H48" i="2" s="1"/>
  <c r="H51" i="2" s="1"/>
  <c r="H53" i="2" s="1"/>
  <c r="G86" i="2"/>
  <c r="E8" i="1"/>
  <c r="D64" i="2"/>
  <c r="D65" i="2" s="1"/>
  <c r="D66" i="2" s="1"/>
  <c r="D67" i="2" s="1"/>
  <c r="D68" i="2" s="1"/>
  <c r="D69" i="2" s="1"/>
  <c r="D70" i="2" s="1"/>
  <c r="D71" i="2" s="1"/>
  <c r="D72" i="2" s="1"/>
  <c r="D73" i="2" s="1"/>
  <c r="D74" i="2" s="1"/>
  <c r="D75" i="2" s="1"/>
  <c r="D76" i="2" s="1"/>
  <c r="D77" i="2" s="1"/>
  <c r="D80" i="2" s="1"/>
  <c r="D81" i="2" s="1"/>
  <c r="D79" i="2" a="1"/>
  <c r="D79" i="2" s="1"/>
  <c r="D84" i="2" s="1"/>
  <c r="D48" i="2" a="1"/>
  <c r="D48" i="2" s="1"/>
  <c r="D51" i="2" s="1"/>
  <c r="D53" i="2" s="1"/>
  <c r="B24" i="6"/>
  <c r="B27" i="6" s="1"/>
  <c r="B28" i="4" s="1"/>
  <c r="C20" i="5"/>
  <c r="K21" i="5"/>
  <c r="C21" i="5"/>
  <c r="I21" i="5"/>
  <c r="N21" i="5"/>
  <c r="F21" i="5"/>
  <c r="M21" i="5"/>
  <c r="E21" i="5"/>
  <c r="P21" i="5"/>
  <c r="O21" i="5"/>
  <c r="J21" i="5"/>
  <c r="D21" i="5"/>
  <c r="B21" i="5"/>
  <c r="B22" i="5" s="1"/>
  <c r="B27" i="3"/>
  <c r="L21" i="5"/>
  <c r="H21" i="5"/>
  <c r="G21" i="5"/>
  <c r="H86" i="2"/>
  <c r="E11" i="1"/>
  <c r="D57" i="14" l="1"/>
  <c r="D56" i="14"/>
  <c r="D58" i="14"/>
  <c r="D62" i="14" s="1"/>
  <c r="D63" i="14" s="1"/>
  <c r="F51" i="14"/>
  <c r="G48" i="14"/>
  <c r="E52" i="14"/>
  <c r="E55" i="14"/>
  <c r="E61" i="14"/>
  <c r="E59" i="14"/>
  <c r="E60" i="14"/>
  <c r="C22" i="5"/>
  <c r="D22" i="5" s="1"/>
  <c r="E22" i="5" s="1"/>
  <c r="F22" i="5" s="1"/>
  <c r="G22" i="5" s="1"/>
  <c r="H22" i="5" s="1"/>
  <c r="I22" i="5" s="1"/>
  <c r="J22" i="5" s="1"/>
  <c r="K22" i="5" s="1"/>
  <c r="L22" i="5" s="1"/>
  <c r="M22" i="5" s="1"/>
  <c r="N22" i="5" s="1"/>
  <c r="O22" i="5" s="1"/>
  <c r="P22" i="5" s="1"/>
  <c r="B23" i="5"/>
  <c r="H87" i="2"/>
  <c r="F11" i="1"/>
  <c r="D86" i="2"/>
  <c r="E7" i="1"/>
  <c r="F6" i="1"/>
  <c r="E87" i="2"/>
  <c r="C23" i="5"/>
  <c r="D20" i="5"/>
  <c r="G87" i="2"/>
  <c r="F8" i="1"/>
  <c r="E9" i="1"/>
  <c r="F86" i="2"/>
  <c r="B79" i="2" a="1"/>
  <c r="B79" i="2" s="1"/>
  <c r="B84" i="2" s="1"/>
  <c r="C86" i="2"/>
  <c r="E5" i="1"/>
  <c r="G38" i="4"/>
  <c r="F40" i="4"/>
  <c r="F43" i="4" s="1"/>
  <c r="H48" i="14" l="1"/>
  <c r="H51" i="14" s="1"/>
  <c r="G51" i="14"/>
  <c r="E56" i="14"/>
  <c r="E57" i="14"/>
  <c r="E58" i="14" s="1"/>
  <c r="E62" i="14" s="1"/>
  <c r="E63" i="14" s="1"/>
  <c r="F61" i="14"/>
  <c r="F55" i="14"/>
  <c r="F52" i="14"/>
  <c r="F60" i="14"/>
  <c r="F59" i="14"/>
  <c r="C87" i="2"/>
  <c r="F5" i="1"/>
  <c r="F7" i="1"/>
  <c r="D87" i="2"/>
  <c r="G40" i="4"/>
  <c r="G43" i="4" s="1"/>
  <c r="H38" i="4"/>
  <c r="E20" i="5"/>
  <c r="D23" i="5"/>
  <c r="B86" i="2"/>
  <c r="E10" i="1"/>
  <c r="F87" i="2"/>
  <c r="F9" i="1"/>
  <c r="C26" i="5"/>
  <c r="C24" i="5"/>
  <c r="B26" i="5"/>
  <c r="F57" i="14" l="1"/>
  <c r="F58" i="14" s="1"/>
  <c r="F62" i="14" s="1"/>
  <c r="F63" i="14" s="1"/>
  <c r="F56" i="14"/>
  <c r="G55" i="14"/>
  <c r="G52" i="14"/>
  <c r="G60" i="14"/>
  <c r="G61" i="14"/>
  <c r="G59" i="14"/>
  <c r="H59" i="14"/>
  <c r="H52" i="14"/>
  <c r="H55" i="14"/>
  <c r="H61" i="14"/>
  <c r="H60" i="14"/>
  <c r="E23" i="5"/>
  <c r="F20" i="5"/>
  <c r="H40" i="4"/>
  <c r="H43" i="4" s="1"/>
  <c r="I38" i="4"/>
  <c r="B87" i="2"/>
  <c r="F10" i="1"/>
  <c r="D26" i="5"/>
  <c r="D24" i="5"/>
  <c r="G57" i="14" l="1"/>
  <c r="G58" i="14" s="1"/>
  <c r="G62" i="14" s="1"/>
  <c r="G63" i="14" s="1"/>
  <c r="G56" i="14"/>
  <c r="H57" i="14"/>
  <c r="H58" i="14" s="1"/>
  <c r="H62" i="14" s="1"/>
  <c r="H63" i="14" s="1"/>
  <c r="H56" i="14"/>
  <c r="J38" i="4"/>
  <c r="I40" i="4"/>
  <c r="I43" i="4" s="1"/>
  <c r="G20" i="5"/>
  <c r="F23" i="5"/>
  <c r="E24" i="5"/>
  <c r="E26" i="5"/>
  <c r="H20" i="5" l="1"/>
  <c r="G23" i="5"/>
  <c r="F26" i="5"/>
  <c r="F24" i="5"/>
  <c r="K38" i="4"/>
  <c r="J40" i="4"/>
  <c r="J43" i="4" s="1"/>
  <c r="H23" i="5" l="1"/>
  <c r="I20" i="5"/>
  <c r="L38" i="4"/>
  <c r="K40" i="4"/>
  <c r="K43" i="4" s="1"/>
  <c r="G24" i="5"/>
  <c r="G26" i="5"/>
  <c r="J20" i="5" l="1"/>
  <c r="I23" i="5"/>
  <c r="H26" i="5"/>
  <c r="H24" i="5"/>
  <c r="L40" i="4"/>
  <c r="L43" i="4" s="1"/>
  <c r="M38" i="4"/>
  <c r="N38" i="4" l="1"/>
  <c r="M40" i="4"/>
  <c r="M43" i="4" s="1"/>
  <c r="I26" i="5"/>
  <c r="I24" i="5"/>
  <c r="K20" i="5"/>
  <c r="J23" i="5"/>
  <c r="J24" i="5" l="1"/>
  <c r="J26" i="5"/>
  <c r="K23" i="5"/>
  <c r="L20" i="5"/>
  <c r="N40" i="4"/>
  <c r="N43" i="4" s="1"/>
  <c r="O38" i="4"/>
  <c r="O40" i="4" l="1"/>
  <c r="O43" i="4" s="1"/>
  <c r="P38" i="4"/>
  <c r="P40" i="4" s="1"/>
  <c r="M20" i="5"/>
  <c r="L23" i="5"/>
  <c r="K26" i="5"/>
  <c r="K24" i="5"/>
  <c r="M23" i="5" l="1"/>
  <c r="N20" i="5"/>
  <c r="P43" i="4"/>
  <c r="B51" i="4" s="1"/>
  <c r="B46" i="4"/>
  <c r="B48" i="4" s="1"/>
  <c r="B49" i="4" s="1"/>
  <c r="B52" i="4" s="1"/>
  <c r="L26" i="5"/>
  <c r="L24" i="5"/>
  <c r="B53" i="4" l="1"/>
  <c r="B55" i="4" s="1"/>
  <c r="B57" i="4" s="1"/>
  <c r="O20" i="5"/>
  <c r="N23" i="5"/>
  <c r="M24" i="5"/>
  <c r="M26" i="5"/>
  <c r="N24" i="5" l="1"/>
  <c r="N26" i="5"/>
  <c r="P20" i="5"/>
  <c r="P23" i="5" s="1"/>
  <c r="O23" i="5"/>
  <c r="B62" i="4"/>
  <c r="B61" i="4"/>
  <c r="B5" i="3"/>
  <c r="B8" i="3" s="1"/>
  <c r="B64" i="4"/>
  <c r="O24" i="5" l="1"/>
  <c r="O26" i="5"/>
  <c r="B29" i="5"/>
  <c r="B32" i="5" s="1"/>
  <c r="B33" i="5" s="1"/>
  <c r="B36" i="5" s="1"/>
  <c r="P24" i="5"/>
  <c r="P26" i="5"/>
  <c r="B35" i="5" s="1"/>
  <c r="B38" i="5" s="1"/>
  <c r="D50" i="5" a="1"/>
  <c r="D50" i="5" s="1"/>
  <c r="C50" i="5" a="1"/>
  <c r="C50" i="5" s="1"/>
  <c r="D49" i="5" a="1"/>
  <c r="D49" i="5" s="1"/>
  <c r="B50" i="5" a="1"/>
  <c r="B50" i="5" s="1"/>
  <c r="C49" i="5" a="1"/>
  <c r="C49" i="5" s="1"/>
  <c r="E49" i="5" a="1"/>
  <c r="E49" i="5" s="1"/>
  <c r="C51" i="5" a="1"/>
  <c r="C51" i="5" s="1"/>
  <c r="F51" i="5" a="1"/>
  <c r="F51" i="5" s="1"/>
  <c r="D51" i="5" a="1"/>
  <c r="D51" i="5" s="1"/>
  <c r="F53" i="5" a="1"/>
  <c r="F53" i="5" s="1"/>
  <c r="F49" i="5" a="1"/>
  <c r="F49" i="5" s="1"/>
  <c r="E52" i="5" a="1"/>
  <c r="E52" i="5" s="1"/>
  <c r="E50" i="5" a="1"/>
  <c r="E50" i="5" s="1"/>
  <c r="B49" i="5" a="1"/>
  <c r="B49" i="5" s="1"/>
  <c r="D53" i="5" a="1"/>
  <c r="D53" i="5" s="1"/>
  <c r="C52" i="5" a="1"/>
  <c r="C52" i="5" s="1"/>
  <c r="C53" i="5" a="1"/>
  <c r="C53" i="5" s="1"/>
  <c r="B53" i="5" a="1"/>
  <c r="B53" i="5" s="1"/>
  <c r="E51" i="5" a="1"/>
  <c r="E51" i="5" s="1"/>
  <c r="D52" i="5" a="1"/>
  <c r="D52" i="5" s="1"/>
  <c r="F50" i="5" a="1"/>
  <c r="F50" i="5" s="1"/>
  <c r="F52" i="5" a="1"/>
  <c r="F52" i="5" s="1"/>
  <c r="B52" i="5" a="1"/>
  <c r="B52" i="5" s="1"/>
  <c r="B51" i="5" a="1"/>
  <c r="B51" i="5" s="1"/>
  <c r="E53" i="5" a="1"/>
  <c r="E53" i="5" s="1"/>
  <c r="B42" i="5" l="1"/>
  <c r="B31" i="3"/>
  <c r="B43" i="5"/>
  <c r="B35" i="3" l="1"/>
  <c r="B34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Andrey Semenov</author>
  </authors>
  <commentList>
    <comment ref="B8" authorId="0" shapeId="0" xr:uid="{00000000-0006-0000-0100-000001000000}">
      <text>
        <r>
          <rPr>
            <sz val="10"/>
            <color rgb="FF000000"/>
            <rFont val="Arial"/>
            <scheme val="minor"/>
          </rPr>
          <t>Andrey Semenov:
DPZ price ~$372 Apr 2026</t>
        </r>
      </text>
    </comment>
    <comment ref="C8" authorId="0" shapeId="0" xr:uid="{00000000-0006-0000-0100-000002000000}">
      <text>
        <r>
          <rPr>
            <sz val="10"/>
            <color rgb="FF000000"/>
            <rFont val="Arial"/>
            <scheme val="minor"/>
          </rPr>
          <t>Andrey Semenov:
UNH $354 Apr 24 2026</t>
        </r>
      </text>
    </comment>
    <comment ref="D8" authorId="0" shapeId="0" xr:uid="{00000000-0006-0000-0100-000003000000}">
      <text>
        <r>
          <rPr>
            <sz val="10"/>
            <color rgb="FF000000"/>
            <rFont val="Arial"/>
            <scheme val="minor"/>
          </rPr>
          <t>Andrey Semenov:
1810.HK HKD 31.20 Apr 26 2026</t>
        </r>
      </text>
    </comment>
    <comment ref="E8" authorId="0" shapeId="0" xr:uid="{00000000-0006-0000-0100-000004000000}">
      <text>
        <r>
          <rPr>
            <sz val="10"/>
            <color rgb="FF000000"/>
            <rFont val="Arial"/>
            <scheme val="minor"/>
          </rPr>
          <t>Andrey Semenov:
LEN $94 Apr 24 2026</t>
        </r>
      </text>
    </comment>
    <comment ref="F8" authorId="0" shapeId="0" xr:uid="{00000000-0006-0000-0100-000005000000}">
      <text>
        <r>
          <rPr>
            <sz val="10"/>
            <color rgb="FF000000"/>
            <rFont val="Arial"/>
            <scheme val="minor"/>
          </rPr>
          <t>Andrey Semenov:
POOL $234 Apr 21 2026</t>
        </r>
      </text>
    </comment>
    <comment ref="G8" authorId="0" shapeId="0" xr:uid="{00000000-0006-0000-0100-000006000000}">
      <text>
        <r>
          <rPr>
            <sz val="10"/>
            <color rgb="FF000000"/>
            <rFont val="Arial"/>
            <scheme val="minor"/>
          </rPr>
          <t>Andrey Semenov:
TTE ADR $89.79 Apr 24 2026</t>
        </r>
      </text>
    </comment>
    <comment ref="H8" authorId="0" shapeId="0" xr:uid="{00000000-0006-0000-0100-000007000000}">
      <text>
        <r>
          <rPr>
            <sz val="10"/>
            <color rgb="FF000000"/>
            <rFont val="Arial"/>
            <scheme val="minor"/>
          </rPr>
          <t>Andrey Semenov:
Source: NVDA $216.61 hit ATH Apr 27 2026; market cap $5.3T</t>
        </r>
      </text>
    </comment>
    <comment ref="C9" authorId="0" shapeId="0" xr:uid="{00000000-0006-0000-0100-000008000000}">
      <text>
        <r>
          <rPr>
            <sz val="10"/>
            <color rgb="FF000000"/>
            <rFont val="Arial"/>
            <scheme val="minor"/>
          </rPr>
          <t>Andrey Semenov:
UNH 908.21M shares</t>
        </r>
      </text>
    </comment>
    <comment ref="D9" authorId="0" shapeId="0" xr:uid="{00000000-0006-0000-0100-000009000000}">
      <text>
        <r>
          <rPr>
            <sz val="10"/>
            <color rgb="FF000000"/>
            <rFont val="Arial"/>
            <scheme val="minor"/>
          </rPr>
          <t>Andrey Semenov:
Xiaomi 25.5B shares</t>
        </r>
      </text>
    </comment>
    <comment ref="E9" authorId="0" shapeId="0" xr:uid="{00000000-0006-0000-0100-00000A000000}">
      <text>
        <r>
          <rPr>
            <sz val="10"/>
            <color rgb="FF000000"/>
            <rFont val="Arial"/>
            <scheme val="minor"/>
          </rPr>
          <t>Andrey Semenov:
LEN 247.6M</t>
        </r>
      </text>
    </comment>
    <comment ref="F9" authorId="0" shapeId="0" xr:uid="{00000000-0006-0000-0100-00000B000000}">
      <text>
        <r>
          <rPr>
            <sz val="10"/>
            <color rgb="FF000000"/>
            <rFont val="Arial"/>
            <scheme val="minor"/>
          </rPr>
          <t>Andrey Semenov:
POOL 36.7M</t>
        </r>
      </text>
    </comment>
    <comment ref="G9" authorId="0" shapeId="0" xr:uid="{00000000-0006-0000-0100-00000C000000}">
      <text>
        <r>
          <rPr>
            <sz val="10"/>
            <color rgb="FF000000"/>
            <rFont val="Arial"/>
            <scheme val="minor"/>
          </rPr>
          <t>Andrey Semenov:
TTE 2.13B ADR shares</t>
        </r>
      </text>
    </comment>
    <comment ref="H9" authorId="0" shapeId="0" xr:uid="{00000000-0006-0000-0100-00000D000000}">
      <text>
        <r>
          <rPr>
            <sz val="10"/>
            <color rgb="FF000000"/>
            <rFont val="Arial"/>
            <scheme val="minor"/>
          </rPr>
          <t>Andrey Semenov:
Source: 10-K FY26 — 24.3B diluted shares</t>
        </r>
      </text>
    </comment>
    <comment ref="C11" authorId="0" shapeId="0" xr:uid="{00000000-0006-0000-0100-00000E000000}">
      <text>
        <r>
          <rPr>
            <sz val="10"/>
            <color rgb="FF000000"/>
            <rFont val="Arial"/>
            <scheme val="minor"/>
          </rPr>
          <t>Andrey Semenov:
UNH ~$80B LT debt minus cash</t>
        </r>
      </text>
    </comment>
    <comment ref="D11" authorId="0" shapeId="0" xr:uid="{00000000-0006-0000-0100-00000F000000}">
      <text>
        <r>
          <rPr>
            <sz val="10"/>
            <color rgb="FF000000"/>
            <rFont val="Arial"/>
            <scheme val="minor"/>
          </rPr>
          <t>Andrey Semenov:
Xiaomi has NET CASH ~RMB 100B / HKD ~110B</t>
        </r>
      </text>
    </comment>
    <comment ref="E11" authorId="0" shapeId="0" xr:uid="{00000000-0006-0000-0100-000010000000}">
      <text>
        <r>
          <rPr>
            <sz val="10"/>
            <color rgb="FF000000"/>
            <rFont val="Arial"/>
            <scheme val="minor"/>
          </rPr>
          <t>Andrey Semenov:
LEN $2.1B net debt</t>
        </r>
      </text>
    </comment>
    <comment ref="F11" authorId="0" shapeId="0" xr:uid="{00000000-0006-0000-0100-000011000000}">
      <text>
        <r>
          <rPr>
            <sz val="10"/>
            <color rgb="FF000000"/>
            <rFont val="Arial"/>
            <scheme val="minor"/>
          </rPr>
          <t>Andrey Semenov:
POOL $1.2B total debt - $25M cash</t>
        </r>
      </text>
    </comment>
    <comment ref="G11" authorId="0" shapeId="0" xr:uid="{00000000-0006-0000-0100-000012000000}">
      <text>
        <r>
          <rPr>
            <sz val="10"/>
            <color rgb="FF000000"/>
            <rFont val="Arial"/>
            <scheme val="minor"/>
          </rPr>
          <t>Andrey Semenov:
TTE $20.2B net debt FY2025</t>
        </r>
      </text>
    </comment>
    <comment ref="H11" authorId="0" shapeId="0" xr:uid="{00000000-0006-0000-0100-000013000000}">
      <text>
        <r>
          <rPr>
            <sz val="10"/>
            <color rgb="FF000000"/>
            <rFont val="Arial"/>
            <scheme val="minor"/>
          </rPr>
          <t>Andrey Semenov:
Source: NVDA NET CASH ~$43B cash &amp; marketable securities minus ~$5B LT debt</t>
        </r>
      </text>
    </comment>
    <comment ref="C15" authorId="0" shapeId="0" xr:uid="{00000000-0006-0000-0100-000014000000}">
      <text>
        <r>
          <rPr>
            <sz val="10"/>
            <color rgb="FF000000"/>
            <rFont val="Arial"/>
            <scheme val="minor"/>
          </rPr>
          <t>Andrey Semenov:
UNH LTM rev $449.7B</t>
        </r>
      </text>
    </comment>
    <comment ref="D15" authorId="0" shapeId="0" xr:uid="{00000000-0006-0000-0100-000015000000}">
      <text>
        <r>
          <rPr>
            <sz val="10"/>
            <color rgb="FF000000"/>
            <rFont val="Arial"/>
            <scheme val="minor"/>
          </rPr>
          <t>Andrey Semenov:
Xiaomi FY2025 RMB 457.3B (we model in HKD ~equivalent for share basis)</t>
        </r>
      </text>
    </comment>
    <comment ref="E15" authorId="0" shapeId="0" xr:uid="{00000000-0006-0000-0100-000016000000}">
      <text>
        <r>
          <rPr>
            <sz val="10"/>
            <color rgb="FF000000"/>
            <rFont val="Arial"/>
            <scheme val="minor"/>
          </rPr>
          <t>Andrey Semenov:
LEN FY2025 $34.2B</t>
        </r>
      </text>
    </comment>
    <comment ref="F15" authorId="0" shapeId="0" xr:uid="{00000000-0006-0000-0100-000017000000}">
      <text>
        <r>
          <rPr>
            <sz val="10"/>
            <color rgb="FF000000"/>
            <rFont val="Arial"/>
            <scheme val="minor"/>
          </rPr>
          <t>Andrey Semenov:
POOL FY2025 $5.3B</t>
        </r>
      </text>
    </comment>
    <comment ref="G15" authorId="0" shapeId="0" xr:uid="{00000000-0006-0000-0100-000018000000}">
      <text>
        <r>
          <rPr>
            <sz val="10"/>
            <color rgb="FF000000"/>
            <rFont val="Arial"/>
            <scheme val="minor"/>
          </rPr>
          <t>Andrey Semenov:
TTE FY2025 ~$200B</t>
        </r>
      </text>
    </comment>
    <comment ref="H15" authorId="0" shapeId="0" xr:uid="{00000000-0006-0000-0100-000019000000}">
      <text>
        <r>
          <rPr>
            <sz val="10"/>
            <color rgb="FF000000"/>
            <rFont val="Arial"/>
            <scheme val="minor"/>
          </rPr>
          <t>Andrey Semenov:
Source: FY2026 revenue $215.9B, +65.5% YoY</t>
        </r>
      </text>
    </comment>
    <comment ref="B16" authorId="0" shapeId="0" xr:uid="{00000000-0006-0000-0100-00001A000000}">
      <text>
        <r>
          <rPr>
            <sz val="10"/>
            <color rgb="FF000000"/>
            <rFont val="Arial"/>
            <scheme val="minor"/>
          </rPr>
          <t>Andrey Semenov:
DPZ LTM ~$680M</t>
        </r>
      </text>
    </comment>
    <comment ref="C16" authorId="0" shapeId="0" xr:uid="{00000000-0006-0000-0100-00001B000000}">
      <text>
        <r>
          <rPr>
            <sz val="10"/>
            <color rgb="FF000000"/>
            <rFont val="Arial"/>
            <scheme val="minor"/>
          </rPr>
          <t>Andrey Semenov:
UNH TTM Sep 2025 $17.4B (depressed)</t>
        </r>
      </text>
    </comment>
    <comment ref="D16" authorId="0" shapeId="0" xr:uid="{00000000-0006-0000-0100-00001C000000}">
      <text>
        <r>
          <rPr>
            <sz val="10"/>
            <color rgb="FF000000"/>
            <rFont val="Arial"/>
            <scheme val="minor"/>
          </rPr>
          <t>Andrey Semenov:
Xiaomi FY2024 RMB 32B - we use RMB, will adjust per-share</t>
        </r>
      </text>
    </comment>
    <comment ref="E16" authorId="0" shapeId="0" xr:uid="{00000000-0006-0000-0100-00001D000000}">
      <text>
        <r>
          <rPr>
            <sz val="10"/>
            <color rgb="FF000000"/>
            <rFont val="Arial"/>
            <scheme val="minor"/>
          </rPr>
          <t>Andrey Semenov:
LEN FY2025 $28M (collapsed from $2.27B FY24)</t>
        </r>
      </text>
    </comment>
    <comment ref="F16" authorId="0" shapeId="0" xr:uid="{00000000-0006-0000-0100-00001E000000}">
      <text>
        <r>
          <rPr>
            <sz val="10"/>
            <color rgb="FF000000"/>
            <rFont val="Arial"/>
            <scheme val="minor"/>
          </rPr>
          <t>Andrey Semenov:
POOL FY25 OCF $366M - capex $30M</t>
        </r>
      </text>
    </comment>
    <comment ref="G16" authorId="0" shapeId="0" xr:uid="{00000000-0006-0000-0100-00001F000000}">
      <text>
        <r>
          <rPr>
            <sz val="10"/>
            <color rgb="FF000000"/>
            <rFont val="Arial"/>
            <scheme val="minor"/>
          </rPr>
          <t>Andrey Semenov:
TTE TTM Jun 2025 FCF ~$11.4B</t>
        </r>
      </text>
    </comment>
    <comment ref="H16" authorId="0" shapeId="0" xr:uid="{00000000-0006-0000-0100-000020000000}">
      <text>
        <r>
          <rPr>
            <sz val="10"/>
            <color rgb="FF000000"/>
            <rFont val="Arial"/>
            <scheme val="minor"/>
          </rPr>
          <t>Andrey Semenov:
Source: NVDA FY2026 estimated FCF ~$72B (Q4 $61.8B reported, but cumulative figure)</t>
        </r>
      </text>
    </comment>
    <comment ref="B17" authorId="0" shapeId="0" xr:uid="{00000000-0006-0000-0100-000021000000}">
      <text>
        <r>
          <rPr>
            <sz val="10"/>
            <color rgb="FF000000"/>
            <rFont val="Arial"/>
            <scheme val="minor"/>
          </rPr>
          <t>Andrey Semenov:
Avg FY24-25</t>
        </r>
      </text>
    </comment>
    <comment ref="C17" authorId="0" shapeId="0" xr:uid="{00000000-0006-0000-0100-000022000000}">
      <text>
        <r>
          <rPr>
            <sz val="10"/>
            <color rgb="FF000000"/>
            <rFont val="Arial"/>
            <scheme val="minor"/>
          </rPr>
          <t>Andrey Semenov:
UNH normalized: avg FY23-24 was ~$25B; we use $24B as recovery base</t>
        </r>
      </text>
    </comment>
    <comment ref="D17" authorId="0" shapeId="0" xr:uid="{00000000-0006-0000-0100-000023000000}">
      <text>
        <r>
          <rPr>
            <sz val="10"/>
            <color rgb="FF000000"/>
            <rFont val="Arial"/>
            <scheme val="minor"/>
          </rPr>
          <t>Andrey Semenov:
Xiaomi growing FCF; $35B forward run-rate</t>
        </r>
      </text>
    </comment>
    <comment ref="E17" authorId="0" shapeId="0" xr:uid="{00000000-0006-0000-0100-000024000000}">
      <text>
        <r>
          <rPr>
            <sz val="10"/>
            <color rgb="FF000000"/>
            <rFont val="Arial"/>
            <scheme val="minor"/>
          </rPr>
          <t>Andrey Semenov:
LEN cycle-avg ~$1.5B (FY24 was $2.27B, FY25 only $28M)</t>
        </r>
      </text>
    </comment>
    <comment ref="F17" authorId="0" shapeId="0" xr:uid="{00000000-0006-0000-0100-000025000000}">
      <text>
        <r>
          <rPr>
            <sz val="10"/>
            <color rgb="FF000000"/>
            <rFont val="Arial"/>
            <scheme val="minor"/>
          </rPr>
          <t>Andrey Semenov:
POOL cycle-avg ~$380M (FY24 $595M, FY25 $336M)</t>
        </r>
      </text>
    </comment>
    <comment ref="G17" authorId="0" shapeId="0" xr:uid="{00000000-0006-0000-0100-000026000000}">
      <text>
        <r>
          <rPr>
            <sz val="10"/>
            <color rgb="FF000000"/>
            <rFont val="Arial"/>
            <scheme val="minor"/>
          </rPr>
          <t>Andrey Semenov:
TTE cycle-avg ~$13B at $70/bbl Brent</t>
        </r>
      </text>
    </comment>
    <comment ref="H17" authorId="0" shapeId="0" xr:uid="{00000000-0006-0000-0100-000027000000}">
      <text>
        <r>
          <rPr>
            <sz val="10"/>
            <color rgb="FF000000"/>
            <rFont val="Arial"/>
            <scheme val="minor"/>
          </rPr>
          <t>Andrey Semenov:
Forward run-rate normalized FCF — FY27 implied at $78B Q1 rev x 4 + growth, ~45% FCF margin = $95B</t>
        </r>
      </text>
    </comment>
    <comment ref="B21" authorId="0" shapeId="0" xr:uid="{00000000-0006-0000-0100-000028000000}">
      <text>
        <r>
          <rPr>
            <sz val="10"/>
            <color rgb="FF000000"/>
            <rFont val="Arial"/>
            <scheme val="minor"/>
          </rPr>
          <t>Andrey Semenov:
DPZ: conservative; mgmt LT 7%, analysts 5.5%</t>
        </r>
      </text>
    </comment>
    <comment ref="C21" authorId="0" shapeId="0" xr:uid="{00000000-0006-0000-0100-000029000000}">
      <text>
        <r>
          <rPr>
            <sz val="10"/>
            <color rgb="FF000000"/>
            <rFont val="Arial"/>
            <scheme val="minor"/>
          </rPr>
          <t>Andrey Semenov:
UNH: recovery from MA pressure; mgmt LT 13-16% EPS but reduced; FCF normalization</t>
        </r>
      </text>
    </comment>
    <comment ref="D21" authorId="0" shapeId="0" xr:uid="{00000000-0006-0000-0100-00002A000000}">
      <text>
        <r>
          <rPr>
            <sz val="10"/>
            <color rgb="FF000000"/>
            <rFont val="Arial"/>
            <scheme val="minor"/>
          </rPr>
          <t>Andrey Semenov:
Xiaomi: high growth EV biz + smartphone leadership; FY25 +25% rev. We haircut to 12%</t>
        </r>
      </text>
    </comment>
    <comment ref="E21" authorId="0" shapeId="0" xr:uid="{00000000-0006-0000-0100-00002B000000}">
      <text>
        <r>
          <rPr>
            <sz val="10"/>
            <color rgb="FF000000"/>
            <rFont val="Arial"/>
            <scheme val="minor"/>
          </rPr>
          <t>Andrey Semenov:
LEN: housing cyclical; assume normalization recovery</t>
        </r>
      </text>
    </comment>
    <comment ref="F21" authorId="0" shapeId="0" xr:uid="{00000000-0006-0000-0100-00002C000000}">
      <text>
        <r>
          <rPr>
            <sz val="10"/>
            <color rgb="FF000000"/>
            <rFont val="Arial"/>
            <scheme val="minor"/>
          </rPr>
          <t>Andrey Semenov:
POOL: pool industry recovery from weak cycle; mgmt 2026 guide flat-to-up</t>
        </r>
      </text>
    </comment>
    <comment ref="G21" authorId="0" shapeId="0" xr:uid="{00000000-0006-0000-0100-00002D000000}">
      <text>
        <r>
          <rPr>
            <sz val="10"/>
            <color rgb="FF000000"/>
            <rFont val="Arial"/>
            <scheme val="minor"/>
          </rPr>
          <t>Andrey Semenov:
TTE: oil major; +$10B FCF growth by 2030 = ~3% FCF CAGR</t>
        </r>
      </text>
    </comment>
    <comment ref="H21" authorId="0" shapeId="0" xr:uid="{00000000-0006-0000-0100-00002E000000}">
      <text>
        <r>
          <rPr>
            <sz val="10"/>
            <color rgb="FF000000"/>
            <rFont val="Arial"/>
            <scheme val="minor"/>
          </rPr>
          <t>Andrey Semenov:
Y1-5: AI capex cycle continues; Q1'27 guide $78B = +47% YoY but we haircut to 18% LT given law of large numbers</t>
        </r>
      </text>
    </comment>
    <comment ref="H22" authorId="0" shapeId="0" xr:uid="{00000000-0006-0000-0100-00002F000000}">
      <text>
        <r>
          <rPr>
            <sz val="10"/>
            <color rgb="FF000000"/>
            <rFont val="Arial"/>
            <scheme val="minor"/>
          </rPr>
          <t>Andrey Semenov:
Y6-10: AI infrastructure maturation, competition from custom silicon</t>
        </r>
      </text>
    </comment>
    <comment ref="G23" authorId="0" shapeId="0" xr:uid="{00000000-0006-0000-0100-000030000000}">
      <text>
        <r>
          <rPr>
            <sz val="10"/>
            <color rgb="FF000000"/>
            <rFont val="Arial"/>
            <scheme val="minor"/>
          </rPr>
          <t>Andrey Semenov:
TTE: oil decline tail risk</t>
        </r>
      </text>
    </comment>
    <comment ref="H23" authorId="0" shapeId="0" xr:uid="{00000000-0006-0000-0100-000031000000}">
      <text>
        <r>
          <rPr>
            <sz val="10"/>
            <color rgb="FF000000"/>
            <rFont val="Arial"/>
            <scheme val="minor"/>
          </rPr>
          <t>Andrey Semenov:
Y11-15: GDP-plus mature growth</t>
        </r>
      </text>
    </comment>
    <comment ref="C24" authorId="0" shapeId="0" xr:uid="{00000000-0006-0000-0100-000032000000}">
      <text>
        <r>
          <rPr>
            <sz val="10"/>
            <color rgb="FF000000"/>
            <rFont val="Arial"/>
            <scheme val="minor"/>
          </rPr>
          <t>Andrey Semenov:
Lower beta but regulatory risk; use 9%</t>
        </r>
      </text>
    </comment>
    <comment ref="D24" authorId="0" shapeId="0" xr:uid="{00000000-0006-0000-0100-000033000000}">
      <text>
        <r>
          <rPr>
            <sz val="10"/>
            <color rgb="FF000000"/>
            <rFont val="Arial"/>
            <scheme val="minor"/>
          </rPr>
          <t>Andrey Semenov:
Higher risk: China/Hong Kong, EV competition; 11%</t>
        </r>
      </text>
    </comment>
    <comment ref="E24" authorId="0" shapeId="0" xr:uid="{00000000-0006-0000-0100-000034000000}">
      <text>
        <r>
          <rPr>
            <sz val="10"/>
            <color rgb="FF000000"/>
            <rFont val="Arial"/>
            <scheme val="minor"/>
          </rPr>
          <t>Andrey Semenov:
Cyclical homebuilder; 10%</t>
        </r>
      </text>
    </comment>
    <comment ref="G24" authorId="0" shapeId="0" xr:uid="{00000000-0006-0000-0100-000035000000}">
      <text>
        <r>
          <rPr>
            <sz val="10"/>
            <color rgb="FF000000"/>
            <rFont val="Arial"/>
            <scheme val="minor"/>
          </rPr>
          <t>Andrey Semenov:
Oil major; some commodity risk; 9%</t>
        </r>
      </text>
    </comment>
    <comment ref="H24" authorId="0" shapeId="0" xr:uid="{00000000-0006-0000-0100-000036000000}">
      <text>
        <r>
          <rPr>
            <sz val="10"/>
            <color rgb="FF000000"/>
            <rFont val="Arial"/>
            <scheme val="minor"/>
          </rPr>
          <t>Andrey Semenov:
Higher discount rate — tech concentration risk, China export curbs, valuation risk</t>
        </r>
      </text>
    </comment>
    <comment ref="G25" authorId="0" shapeId="0" xr:uid="{00000000-0006-0000-0100-000037000000}">
      <text>
        <r>
          <rPr>
            <sz val="10"/>
            <color rgb="FF000000"/>
            <rFont val="Arial"/>
            <scheme val="minor"/>
          </rPr>
          <t>Andrey Semenov:
Terminal 0% — oil decline assumption</t>
        </r>
      </text>
    </comment>
    <comment ref="B26" authorId="0" shapeId="0" xr:uid="{00000000-0006-0000-0100-000038000000}">
      <text>
        <r>
          <rPr>
            <sz val="10"/>
            <color rgb="FF000000"/>
            <rFont val="Arial"/>
            <scheme val="minor"/>
          </rPr>
          <t>Andrey Semenov:
DPZ historical avg ~3.4%/yr</t>
        </r>
      </text>
    </comment>
    <comment ref="C26" authorId="0" shapeId="0" xr:uid="{00000000-0006-0000-0100-000039000000}">
      <text>
        <r>
          <rPr>
            <sz val="10"/>
            <color rgb="FF000000"/>
            <rFont val="Arial"/>
            <scheme val="minor"/>
          </rPr>
          <t>Andrey Semenov:
UNH ~2%/yr; just paused MA</t>
        </r>
      </text>
    </comment>
    <comment ref="D26" authorId="0" shapeId="0" xr:uid="{00000000-0006-0000-0100-00003A000000}">
      <text>
        <r>
          <rPr>
            <sz val="10"/>
            <color rgb="FF000000"/>
            <rFont val="Arial"/>
            <scheme val="minor"/>
          </rPr>
          <t>Andrey Semenov:
Xiaomi: NO buybacks, no dividend (growth co)</t>
        </r>
      </text>
    </comment>
    <comment ref="E26" authorId="0" shapeId="0" xr:uid="{00000000-0006-0000-0100-00003B000000}">
      <text>
        <r>
          <rPr>
            <sz val="10"/>
            <color rgb="FF000000"/>
            <rFont val="Arial"/>
            <scheme val="minor"/>
          </rPr>
          <t>Andrey Semenov:
LEN: $1.7B/yr buybacks = ~7% but cyclical; haircut to 4%</t>
        </r>
      </text>
    </comment>
    <comment ref="F26" authorId="0" shapeId="0" xr:uid="{00000000-0006-0000-0100-00003C000000}">
      <text>
        <r>
          <rPr>
            <sz val="10"/>
            <color rgb="FF000000"/>
            <rFont val="Arial"/>
            <scheme val="minor"/>
          </rPr>
          <t>Andrey Semenov:
POOL: $341M/$8.6B mkt = ~4%; haircut to 3%</t>
        </r>
      </text>
    </comment>
    <comment ref="G26" authorId="0" shapeId="0" xr:uid="{00000000-0006-0000-0100-00003D000000}">
      <text>
        <r>
          <rPr>
            <sz val="10"/>
            <color rgb="FF000000"/>
            <rFont val="Arial"/>
            <scheme val="minor"/>
          </rPr>
          <t>Andrey Semenov:
TTE: $7.5B/$200B mkt = ~3.5%/yr</t>
        </r>
      </text>
    </comment>
    <comment ref="H26" authorId="0" shapeId="0" xr:uid="{00000000-0006-0000-0100-00003E000000}">
      <text>
        <r>
          <rPr>
            <sz val="10"/>
            <color rgb="FF000000"/>
            <rFont val="Arial"/>
            <scheme val="minor"/>
          </rPr>
          <t>Andrey Semenov:
Source: $40.1B buyback / $5.3T mkt cap = ~0.76%; but accelerating, plus offsets SBC dilution. Effective net ~1.8%/yr.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Andrey Semenov</author>
  </authors>
  <commentList>
    <comment ref="B8" authorId="0" shapeId="0" xr:uid="{828460E8-9150-2A48-8051-C02B48889C06}">
      <text>
        <r>
          <rPr>
            <b/>
            <sz val="10"/>
            <color rgb="FF000000"/>
            <rFont val="Tahoma"/>
            <family val="2"/>
          </rPr>
          <t>Andrey Semenov:</t>
        </r>
        <r>
          <rPr>
            <sz val="10"/>
            <color rgb="FF000000"/>
            <rFont val="Tahoma"/>
            <family val="2"/>
          </rPr>
          <t xml:space="preserve">
Source: Sacra/Bloomberg; pre-split ~1B shares, May 2026 5-for-1 split = ~5B post-split shares</t>
        </r>
      </text>
    </comment>
    <comment ref="B9" authorId="0" shapeId="0" xr:uid="{1E13DA22-47DD-A649-BE20-87430184836A}">
      <text>
        <r>
          <rPr>
            <b/>
            <sz val="10"/>
            <color rgb="FF000000"/>
            <rFont val="Tahoma"/>
            <family val="2"/>
          </rPr>
          <t>Andrey Semenov:</t>
        </r>
        <r>
          <rPr>
            <sz val="10"/>
            <color rgb="FF000000"/>
            <rFont val="Tahoma"/>
            <family val="2"/>
          </rPr>
          <t xml:space="preserve">
Source: Sacra; Dec 2025 insider sale at $421.06/sh pre-split = $84.21 post 5-for-1 split</t>
        </r>
      </text>
    </comment>
    <comment ref="D43" authorId="0" shapeId="0" xr:uid="{D3DA83DE-4426-9849-9092-1BF3F0643CEC}">
      <text>
        <r>
          <rPr>
            <b/>
            <sz val="10"/>
            <color rgb="FF000000"/>
            <rFont val="Tahoma"/>
            <family val="2"/>
          </rPr>
          <t>Andrey Semenov:</t>
        </r>
        <r>
          <rPr>
            <sz val="10"/>
            <color rgb="FF000000"/>
            <rFont val="Tahoma"/>
            <family val="2"/>
          </rPr>
          <t xml:space="preserve">
Source: Estimated based on capital-intensive Starlink constellation + Launch infra. ~12% D&amp;A reflects ongoing satellite depreciation</t>
        </r>
      </text>
    </comment>
    <comment ref="G43" authorId="0" shapeId="0" xr:uid="{B3FD3E67-05B5-4E43-B5ED-59BC648C85F3}">
      <text>
        <r>
          <rPr>
            <b/>
            <sz val="10"/>
            <color rgb="FF000000"/>
            <rFont val="Tahoma"/>
            <family val="2"/>
          </rPr>
          <t>Andrey Semenov:</t>
        </r>
        <r>
          <rPr>
            <sz val="10"/>
            <color rgb="FF000000"/>
            <rFont val="Tahoma"/>
            <family val="2"/>
          </rPr>
          <t xml:space="preserve">
Source: Estimated based on capital-intensive Starlink constellation + Launch infra. ~12% D&amp;A reflects ongoing satellite depreciation</t>
        </r>
      </text>
    </comment>
    <comment ref="D44" authorId="0" shapeId="0" xr:uid="{8FA8EB61-B003-D149-971D-BA32C7A15861}">
      <text>
        <r>
          <rPr>
            <b/>
            <sz val="10"/>
            <color rgb="FF000000"/>
            <rFont val="Tahoma"/>
            <family val="2"/>
          </rPr>
          <t>Andrey Semenov:</t>
        </r>
        <r>
          <rPr>
            <sz val="10"/>
            <color rgb="FF000000"/>
            <rFont val="Tahoma"/>
            <family val="2"/>
          </rPr>
          <t xml:space="preserve">
Source: Heavy CapEx for Starlink satellite launches, Starship development, xAI compute. Tapers as scale builds toward 12-13% in terminal</t>
        </r>
      </text>
    </comment>
    <comment ref="G44" authorId="0" shapeId="0" xr:uid="{95A4C1B3-D9B6-BB44-B87E-A97DE899AD4D}">
      <text>
        <r>
          <rPr>
            <b/>
            <sz val="10"/>
            <color rgb="FF000000"/>
            <rFont val="Tahoma"/>
            <family val="2"/>
          </rPr>
          <t>Andrey Semenov:</t>
        </r>
        <r>
          <rPr>
            <sz val="10"/>
            <color rgb="FF000000"/>
            <rFont val="Tahoma"/>
            <family val="2"/>
          </rPr>
          <t xml:space="preserve">
Source: Heavy CapEx for Starlink satellite launches, Starship development, xAI compute. Tapers as scale builds</t>
        </r>
      </text>
    </comment>
    <comment ref="D45" authorId="0" shapeId="0" xr:uid="{8F0B845F-787F-5641-B9A1-39D08659113F}">
      <text>
        <r>
          <rPr>
            <b/>
            <sz val="10"/>
            <color rgb="FF000000"/>
            <rFont val="Tahoma"/>
            <family val="2"/>
          </rPr>
          <t>Andrey Semenov:</t>
        </r>
        <r>
          <rPr>
            <sz val="10"/>
            <color rgb="FF000000"/>
            <rFont val="Tahoma"/>
            <family val="2"/>
          </rPr>
          <t xml:space="preserve">
Source: Modest working capital build for subscription business (deferred rev mostly offsets receivables)</t>
        </r>
      </text>
    </comment>
    <comment ref="G45" authorId="0" shapeId="0" xr:uid="{3A04AD31-59BA-394D-9062-D9507ED6ED9B}">
      <text>
        <r>
          <rPr>
            <b/>
            <sz val="10"/>
            <color rgb="FF000000"/>
            <rFont val="Tahoma"/>
            <family val="2"/>
          </rPr>
          <t>Andrey Semenov:</t>
        </r>
        <r>
          <rPr>
            <sz val="10"/>
            <color rgb="FF000000"/>
            <rFont val="Tahoma"/>
            <family val="2"/>
          </rPr>
          <t xml:space="preserve">
Source: Modest working capital build for subscription business (deferred rev mostly offsets)</t>
        </r>
      </text>
    </comment>
    <comment ref="C48" authorId="0" shapeId="0" xr:uid="{D579CF78-A49E-9341-B328-F2E783E3CA37}">
      <text>
        <r>
          <rPr>
            <b/>
            <sz val="10"/>
            <color rgb="FF000000"/>
            <rFont val="Tahoma"/>
            <family val="2"/>
          </rPr>
          <t>Andrey Semenov:</t>
        </r>
        <r>
          <rPr>
            <sz val="10"/>
            <color rgb="FF000000"/>
            <rFont val="Tahoma"/>
            <family val="2"/>
          </rPr>
          <t xml:space="preserve">
Source: Sacra/IPO draft prospectus reporting, 2025A Starlink revenue $11.4B (61% of total)</t>
        </r>
      </text>
    </comment>
    <comment ref="C49" authorId="0" shapeId="0" xr:uid="{1DA233FD-73B8-5F44-9E9D-9DE9D1AB6716}">
      <text>
        <r>
          <rPr>
            <b/>
            <sz val="10"/>
            <color rgb="FF000000"/>
            <rFont val="Tahoma"/>
            <family val="2"/>
          </rPr>
          <t>Andrey Semenov:</t>
        </r>
        <r>
          <rPr>
            <sz val="10"/>
            <color rgb="FF000000"/>
            <rFont val="Tahoma"/>
            <family val="2"/>
          </rPr>
          <t xml:space="preserve">
Source: Sacra 2025A Launch revenue $4.1B (3rd-party launches; +8% YoY)</t>
        </r>
      </text>
    </comment>
    <comment ref="C50" authorId="0" shapeId="0" xr:uid="{D5B05ED4-E94E-304E-93F6-ECB49829CB53}">
      <text>
        <r>
          <rPr>
            <b/>
            <sz val="10"/>
            <color rgb="FF000000"/>
            <rFont val="Tahoma"/>
            <family val="2"/>
          </rPr>
          <t>Andrey Semenov:</t>
        </r>
        <r>
          <rPr>
            <sz val="10"/>
            <color rgb="FF000000"/>
            <rFont val="Tahoma"/>
            <family val="2"/>
          </rPr>
          <t xml:space="preserve">
Source: Implied residual; $18.7B total - $11.4B Starlink - $4.1B Launch = $3.2B (xAI/Grok/X/other consolidated post Feb 2026 acquisition)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Andrey Semenov</author>
  </authors>
  <commentList>
    <comment ref="B5" authorId="0" shapeId="0" xr:uid="{60E58E65-C5D3-D541-A08C-700943BE7B43}">
      <text>
        <r>
          <rPr>
            <b/>
            <sz val="10"/>
            <color rgb="FF000000"/>
            <rFont val="Tahoma"/>
            <family val="2"/>
          </rPr>
          <t>Andrey Semenov:</t>
        </r>
        <r>
          <rPr>
            <sz val="10"/>
            <color rgb="FF000000"/>
            <rFont val="Tahoma"/>
            <family val="2"/>
          </rPr>
          <t xml:space="preserve">
Source: US 10-Year Treasury yield, May 2026, approx 4.25%</t>
        </r>
      </text>
    </comment>
    <comment ref="B6" authorId="0" shapeId="0" xr:uid="{D3F1E507-B1DF-564E-BC54-3F2FA03F4B27}">
      <text>
        <r>
          <rPr>
            <b/>
            <sz val="10"/>
            <color rgb="FF000000"/>
            <rFont val="Tahoma"/>
            <family val="2"/>
          </rPr>
          <t>Andrey Semenov:</t>
        </r>
        <r>
          <rPr>
            <sz val="10"/>
            <color rgb="FF000000"/>
            <rFont val="Tahoma"/>
            <family val="2"/>
          </rPr>
          <t xml:space="preserve">
Source: Damodaran implied ERP for US market, 2025-26 range 5.0-6.0%</t>
        </r>
      </text>
    </comment>
    <comment ref="B7" authorId="0" shapeId="0" xr:uid="{2DF14363-1B19-314E-8225-6EE9360646AF}">
      <text>
        <r>
          <rPr>
            <b/>
            <sz val="10"/>
            <color rgb="FF000000"/>
            <rFont val="Tahoma"/>
            <family val="2"/>
          </rPr>
          <t>Andrey Semenov:</t>
        </r>
        <r>
          <rPr>
            <sz val="10"/>
            <color rgb="FF000000"/>
            <rFont val="Tahoma"/>
            <family val="2"/>
          </rPr>
          <t xml:space="preserve">
Source: Peer beta from Tesla (~2.0), high-growth comms/aerospace peers (RKLB, IRDM ~1.2-1.5). Weighted ~1.4 for consolidated SpaceX given Starlink recurring + Launch + xAI volatility</t>
        </r>
      </text>
    </comment>
    <comment ref="B8" authorId="0" shapeId="0" xr:uid="{663064DF-1ACF-9144-A999-E798B410E20A}">
      <text>
        <r>
          <rPr>
            <b/>
            <sz val="10"/>
            <color rgb="FF000000"/>
            <rFont val="Tahoma"/>
            <family val="2"/>
          </rPr>
          <t>Andrey Semenov:</t>
        </r>
        <r>
          <rPr>
            <sz val="10"/>
            <color rgb="FF000000"/>
            <rFont val="Tahoma"/>
            <family val="2"/>
          </rPr>
          <t xml:space="preserve">
Source: Mega-cap US listing premium of 0.5% applied for governance/execution risk (super-voting Class B, Starship/xAI uncertainty)</t>
        </r>
      </text>
    </comment>
    <comment ref="B12" authorId="0" shapeId="0" xr:uid="{A9A8A4D7-500E-BF42-9074-C12B7DEFC1ED}">
      <text>
        <r>
          <rPr>
            <b/>
            <sz val="10"/>
            <color rgb="FF000000"/>
            <rFont val="Tahoma"/>
            <family val="2"/>
          </rPr>
          <t>Andrey Semenov:</t>
        </r>
        <r>
          <rPr>
            <sz val="10"/>
            <color rgb="FF000000"/>
            <rFont val="Tahoma"/>
            <family val="2"/>
          </rPr>
          <t xml:space="preserve">
Source: Estimated based on BB-equivalent credit profile (unrated), ~10Y UST + 225bps spread</t>
        </r>
      </text>
    </comment>
    <comment ref="B13" authorId="0" shapeId="0" xr:uid="{06F83D8E-FDB8-9A47-8980-2E388506DAD4}">
      <text>
        <r>
          <rPr>
            <b/>
            <sz val="10"/>
            <color rgb="FF000000"/>
            <rFont val="Tahoma"/>
            <family val="2"/>
          </rPr>
          <t>Andrey Semenov:</t>
        </r>
        <r>
          <rPr>
            <sz val="10"/>
            <color rgb="FF000000"/>
            <rFont val="Tahoma"/>
            <family val="2"/>
          </rPr>
          <t xml:space="preserve">
Source: US Federal corporate tax rate; SpaceX expected to have meaningful taxes only post-NOL utilization</t>
        </r>
      </text>
    </comment>
    <comment ref="B17" authorId="0" shapeId="0" xr:uid="{0DA61179-CF04-E24A-9BEE-2CD985D77477}">
      <text>
        <r>
          <rPr>
            <b/>
            <sz val="10"/>
            <color rgb="FF000000"/>
            <rFont val="Tahoma"/>
            <family val="2"/>
          </rPr>
          <t>Andrey Semenov:</t>
        </r>
        <r>
          <rPr>
            <sz val="10"/>
            <color rgb="FF000000"/>
            <rFont val="Tahoma"/>
            <family val="2"/>
          </rPr>
          <t xml:space="preserve">
Source: TechCrunch/WSJ April 2026 reported confidential filing valuation $1.75T base case</t>
        </r>
      </text>
    </comment>
    <comment ref="B18" authorId="0" shapeId="0" xr:uid="{ED1212AD-B239-4841-A743-DA5BFADF43E8}">
      <text>
        <r>
          <rPr>
            <b/>
            <sz val="10"/>
            <color rgb="FF000000"/>
            <rFont val="Tahoma"/>
            <family val="2"/>
          </rPr>
          <t>Andrey Semenov:</t>
        </r>
        <r>
          <rPr>
            <sz val="10"/>
            <color rgb="FF000000"/>
            <rFont val="Tahoma"/>
            <family val="2"/>
          </rPr>
          <t xml:space="preserve">
Source: WSJ late-2025 reporting; SpaceX modest debt balance ~$5B (revolver + notes)</t>
        </r>
      </text>
    </comment>
    <comment ref="B19" authorId="0" shapeId="0" xr:uid="{1AFA42E4-9DD7-7645-8486-2F7ED1B7B739}">
      <text>
        <r>
          <rPr>
            <b/>
            <sz val="10"/>
            <color rgb="FF000000"/>
            <rFont val="Tahoma"/>
            <family val="2"/>
          </rPr>
          <t>Andrey Semenov:</t>
        </r>
        <r>
          <rPr>
            <sz val="10"/>
            <color rgb="FF000000"/>
            <rFont val="Tahoma"/>
            <family val="2"/>
          </rPr>
          <t xml:space="preserve">
Source: WSJ late-2025 reporting; &gt;$3B cash position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Andrey Semenov</author>
  </authors>
  <commentList>
    <comment ref="B12" authorId="0" shapeId="0" xr:uid="{74799E15-1277-2347-8072-7C2A8EA42775}">
      <text>
        <r>
          <rPr>
            <b/>
            <sz val="10"/>
            <color rgb="FF000000"/>
            <rFont val="Tahoma"/>
            <family val="2"/>
          </rPr>
          <t>Andrey Semenov: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Source: WSJ/Reuters Dec 2025 — SpaceX insider tender at $421.06/share = $800B valuation</t>
        </r>
      </text>
    </comment>
    <comment ref="B13" authorId="0" shapeId="0" xr:uid="{1B55BEEF-50B9-354C-9BD2-FC6BC9319B2C}">
      <text>
        <r>
          <rPr>
            <b/>
            <sz val="10"/>
            <color rgb="FF000000"/>
            <rFont val="Tahoma"/>
            <family val="2"/>
          </rPr>
          <t>Andrey Semenov:</t>
        </r>
        <r>
          <rPr>
            <sz val="10"/>
            <color rgb="FF000000"/>
            <rFont val="Tahoma"/>
            <family val="2"/>
          </rPr>
          <t xml:space="preserve">
Source: TechCrunch April 2026, WSJ — SpaceX confidential filing $1.75T base IPO valuation</t>
        </r>
      </text>
    </comment>
    <comment ref="B14" authorId="0" shapeId="0" xr:uid="{674CED00-A9E6-574A-86AF-B5CAF6705B93}">
      <text>
        <r>
          <rPr>
            <b/>
            <sz val="10"/>
            <color rgb="FF000000"/>
            <rFont val="Tahoma"/>
            <family val="2"/>
          </rPr>
          <t>Andrey Semenov:</t>
        </r>
        <r>
          <rPr>
            <sz val="10"/>
            <color rgb="FF000000"/>
            <rFont val="Tahoma"/>
            <family val="2"/>
          </rPr>
          <t xml:space="preserve">
Source: Bloomberg May 2026 — SpaceX raised IPO target above $2T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Andrey Semenov</author>
  </authors>
  <commentList>
    <comment ref="B7" authorId="0" shapeId="0" xr:uid="{00000000-0006-0000-0200-000001000000}">
      <text>
        <r>
          <rPr>
            <sz val="10"/>
            <color rgb="FF000000"/>
            <rFont val="Arial"/>
            <scheme val="minor"/>
          </rPr>
          <t>Andrey Semenov:
Source: Berkshire 13F filing Q3 2024</t>
        </r>
      </text>
    </comment>
    <comment ref="B44" authorId="0" shapeId="0" xr:uid="{00000000-0006-0000-0200-000002000000}">
      <text>
        <r>
          <rPr>
            <sz val="10"/>
            <color rgb="FF000000"/>
            <rFont val="Arial"/>
            <scheme val="minor"/>
          </rPr>
          <t>Andrey Semenov:
Source: Quiver Q1 2026 release Apr 27 2026, missed estimate of $4.31</t>
        </r>
      </text>
    </comment>
    <comment ref="B45" authorId="0" shapeId="0" xr:uid="{00000000-0006-0000-0200-000003000000}">
      <text>
        <r>
          <rPr>
            <sz val="10"/>
            <color rgb="FF000000"/>
            <rFont val="Arial"/>
            <scheme val="minor"/>
          </rPr>
          <t>Andrey Semenov:
Source: Q1 2026 release — +3.5% YoY, missed est by ~$24M</t>
        </r>
      </text>
    </comment>
    <comment ref="B46" authorId="0" shapeId="0" xr:uid="{00000000-0006-0000-0200-000004000000}">
      <text>
        <r>
          <rPr>
            <sz val="10"/>
            <color rgb="FF000000"/>
            <rFont val="Arial"/>
            <scheme val="minor"/>
          </rPr>
          <t>Andrey Semenov:
Source: Q1 2026 8-K Apr 27 2026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Andrey Semenov</author>
  </authors>
  <commentList>
    <comment ref="B9" authorId="0" shapeId="0" xr:uid="{00000000-0006-0000-0300-000001000000}">
      <text>
        <r>
          <rPr>
            <sz val="10"/>
            <color rgb="FF000000"/>
            <rFont val="Arial"/>
            <scheme val="minor"/>
          </rPr>
          <t>Andrey Semenov:
Source: BRK 13F filings Q3 2024 — Berkshire bought DPZ at avg ~$437</t>
        </r>
      </text>
    </comment>
    <comment ref="B13" authorId="0" shapeId="0" xr:uid="{00000000-0006-0000-0300-000002000000}">
      <text>
        <r>
          <rPr>
            <sz val="10"/>
            <color rgb="FF000000"/>
            <rFont val="Arial"/>
            <scheme val="minor"/>
          </rPr>
          <t>Andrey Semenov:
Source: SEC 10-K FY2024</t>
        </r>
      </text>
    </comment>
    <comment ref="C13" authorId="0" shapeId="0" xr:uid="{00000000-0006-0000-0300-000003000000}">
      <text>
        <r>
          <rPr>
            <sz val="10"/>
            <color rgb="FF000000"/>
            <rFont val="Arial"/>
            <scheme val="minor"/>
          </rPr>
          <t>Andrey Semenov:
Source: SEC 10-K FY2024</t>
        </r>
      </text>
    </comment>
    <comment ref="D13" authorId="0" shapeId="0" xr:uid="{00000000-0006-0000-0300-000004000000}">
      <text>
        <r>
          <rPr>
            <sz val="10"/>
            <color rgb="FF000000"/>
            <rFont val="Arial"/>
            <scheme val="minor"/>
          </rPr>
          <t>Andrey Semenov:
Source: SEC 10-K FY2025</t>
        </r>
      </text>
    </comment>
    <comment ref="E13" authorId="0" shapeId="0" xr:uid="{00000000-0006-0000-0300-000005000000}">
      <text>
        <r>
          <rPr>
            <sz val="10"/>
            <color rgb="FF000000"/>
            <rFont val="Arial"/>
            <scheme val="minor"/>
          </rPr>
          <t>Andrey Semenov:
Source: Q1 2026 8-K — LTM rolled (FY25 - Q1'25 + Q1'26)</t>
        </r>
      </text>
    </comment>
    <comment ref="B15" authorId="0" shapeId="0" xr:uid="{00000000-0006-0000-0300-000006000000}">
      <text>
        <r>
          <rPr>
            <sz val="10"/>
            <color rgb="FF000000"/>
            <rFont val="Arial"/>
            <scheme val="minor"/>
          </rPr>
          <t>Andrey Semenov:
Source: SEC 10-K FY2024</t>
        </r>
      </text>
    </comment>
    <comment ref="C15" authorId="0" shapeId="0" xr:uid="{00000000-0006-0000-0300-000007000000}">
      <text>
        <r>
          <rPr>
            <sz val="10"/>
            <color rgb="FF000000"/>
            <rFont val="Arial"/>
            <scheme val="minor"/>
          </rPr>
          <t>Andrey Semenov:
Source: SEC 10-K FY2024</t>
        </r>
      </text>
    </comment>
    <comment ref="D15" authorId="0" shapeId="0" xr:uid="{00000000-0006-0000-0300-000008000000}">
      <text>
        <r>
          <rPr>
            <sz val="10"/>
            <color rgb="FF000000"/>
            <rFont val="Arial"/>
            <scheme val="minor"/>
          </rPr>
          <t>Andrey Semenov:
Source: SEC 10-K FY2025</t>
        </r>
      </text>
    </comment>
    <comment ref="E15" authorId="0" shapeId="0" xr:uid="{00000000-0006-0000-0300-000009000000}">
      <text>
        <r>
          <rPr>
            <sz val="10"/>
            <color rgb="FF000000"/>
            <rFont val="Arial"/>
            <scheme val="minor"/>
          </rPr>
          <t>Andrey Semenov:
Source: Q1 2026 8-K — LTM rolled estimate</t>
        </r>
      </text>
    </comment>
    <comment ref="B17" authorId="0" shapeId="0" xr:uid="{00000000-0006-0000-0300-00000A000000}">
      <text>
        <r>
          <rPr>
            <sz val="10"/>
            <color rgb="FF000000"/>
            <rFont val="Arial"/>
            <scheme val="minor"/>
          </rPr>
          <t>Andrey Semenov:
Source: SEC 10-K</t>
        </r>
      </text>
    </comment>
    <comment ref="C17" authorId="0" shapeId="0" xr:uid="{00000000-0006-0000-0300-00000B000000}">
      <text>
        <r>
          <rPr>
            <sz val="10"/>
            <color rgb="FF000000"/>
            <rFont val="Arial"/>
            <scheme val="minor"/>
          </rPr>
          <t>Andrey Semenov:
Source: SEC 10-K FY2024</t>
        </r>
      </text>
    </comment>
    <comment ref="D17" authorId="0" shapeId="0" xr:uid="{00000000-0006-0000-0300-00000C000000}">
      <text>
        <r>
          <rPr>
            <sz val="10"/>
            <color rgb="FF000000"/>
            <rFont val="Arial"/>
            <scheme val="minor"/>
          </rPr>
          <t>Andrey Semenov:
Source: SEC 10-K FY2025</t>
        </r>
      </text>
    </comment>
    <comment ref="E17" authorId="0" shapeId="0" xr:uid="{00000000-0006-0000-0300-00000D000000}">
      <text>
        <r>
          <rPr>
            <sz val="10"/>
            <color rgb="FF000000"/>
            <rFont val="Arial"/>
            <scheme val="minor"/>
          </rPr>
          <t>Andrey Semenov:
Source: Q1 2026 8-K rolled LTM</t>
        </r>
      </text>
    </comment>
    <comment ref="B18" authorId="0" shapeId="0" xr:uid="{00000000-0006-0000-0300-00000E000000}">
      <text>
        <r>
          <rPr>
            <sz val="10"/>
            <color rgb="FF000000"/>
            <rFont val="Arial"/>
            <scheme val="minor"/>
          </rPr>
          <t>Andrey Semenov:
Source: SEC 10-K</t>
        </r>
      </text>
    </comment>
    <comment ref="C18" authorId="0" shapeId="0" xr:uid="{00000000-0006-0000-0300-00000F000000}">
      <text>
        <r>
          <rPr>
            <sz val="10"/>
            <color rgb="FF000000"/>
            <rFont val="Arial"/>
            <scheme val="minor"/>
          </rPr>
          <t>Andrey Semenov:
Source: SEC 10-K FY2024</t>
        </r>
      </text>
    </comment>
    <comment ref="D18" authorId="0" shapeId="0" xr:uid="{00000000-0006-0000-0300-000010000000}">
      <text>
        <r>
          <rPr>
            <sz val="10"/>
            <color rgb="FF000000"/>
            <rFont val="Arial"/>
            <scheme val="minor"/>
          </rPr>
          <t>Andrey Semenov:
Source: SEC 10-K FY2025</t>
        </r>
      </text>
    </comment>
    <comment ref="E18" authorId="0" shapeId="0" xr:uid="{00000000-0006-0000-0300-000011000000}">
      <text>
        <r>
          <rPr>
            <sz val="10"/>
            <color rgb="FF000000"/>
            <rFont val="Arial"/>
            <scheme val="minor"/>
          </rPr>
          <t>Andrey Semenov:
Estimated LTM — Q1 cash flow not separately disclosed</t>
        </r>
      </text>
    </comment>
    <comment ref="E19" authorId="0" shapeId="0" xr:uid="{00000000-0006-0000-0300-000012000000}">
      <text>
        <r>
          <rPr>
            <sz val="10"/>
            <color rgb="FF000000"/>
            <rFont val="Arial"/>
            <scheme val="minor"/>
          </rPr>
          <t>Andrey Semenov:
Mgmt guidance ~$120M for 2026</t>
        </r>
      </text>
    </comment>
    <comment ref="B24" authorId="0" shapeId="0" xr:uid="{00000000-0006-0000-0300-000013000000}">
      <text>
        <r>
          <rPr>
            <sz val="10"/>
            <color rgb="FF000000"/>
            <rFont val="Arial"/>
            <scheme val="minor"/>
          </rPr>
          <t>Andrey Semenov:
Conservative: DPZ guides 7% LT op income growth; we haircut. Mgmt long-term targets retail sales 6%+, op inc 7%+.</t>
        </r>
      </text>
    </comment>
    <comment ref="B25" authorId="0" shapeId="0" xr:uid="{00000000-0006-0000-0300-000014000000}">
      <text>
        <r>
          <rPr>
            <sz val="10"/>
            <color rgb="FF000000"/>
            <rFont val="Arial"/>
            <scheme val="minor"/>
          </rPr>
          <t>Andrey Semenov:
Buffett conservative — fade toward GDP</t>
        </r>
      </text>
    </comment>
    <comment ref="B26" authorId="0" shapeId="0" xr:uid="{00000000-0006-0000-0300-000015000000}">
      <text>
        <r>
          <rPr>
            <sz val="10"/>
            <color rgb="FF000000"/>
            <rFont val="Arial"/>
            <scheme val="minor"/>
          </rPr>
          <t>Andrey Semenov:
Approaching terminal</t>
        </r>
      </text>
    </comment>
    <comment ref="B27" authorId="0" shapeId="0" xr:uid="{00000000-0006-0000-0300-000016000000}">
      <text>
        <r>
          <rPr>
            <sz val="10"/>
            <color rgb="FF000000"/>
            <rFont val="Arial"/>
            <scheme val="minor"/>
          </rPr>
          <t>Andrey Semenov:
Avg of FY24-25 (~12-14%); franchise model is capital-light</t>
        </r>
      </text>
    </comment>
    <comment ref="B29" authorId="0" shapeId="0" xr:uid="{00000000-0006-0000-0300-000017000000}">
      <text>
        <r>
          <rPr>
            <sz val="10"/>
            <color rgb="FF000000"/>
            <rFont val="Arial"/>
            <scheme val="minor"/>
          </rPr>
          <t>Andrey Semenov:
Buffett uses 9-10% as hurdle rate regardless of CAPM</t>
        </r>
      </text>
    </comment>
    <comment ref="B30" authorId="0" shapeId="0" xr:uid="{00000000-0006-0000-0300-000018000000}">
      <text>
        <r>
          <rPr>
            <sz val="10"/>
            <color rgb="FF000000"/>
            <rFont val="Arial"/>
            <scheme val="minor"/>
          </rPr>
          <t>Andrey Semenov:
Buffett conservative: 2.5% (~LT GDP/inflation)</t>
        </r>
      </text>
    </comment>
    <comment ref="B31" authorId="0" shapeId="0" xr:uid="{00000000-0006-0000-0300-000019000000}">
      <text>
        <r>
          <rPr>
            <sz val="10"/>
            <color rgb="FF000000"/>
            <rFont val="Arial"/>
            <scheme val="minor"/>
          </rPr>
          <t>Andrey Semenov:
Toggle: type 'WACC' or 'Buffett 9%'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Andrey Semenov</author>
  </authors>
  <commentList>
    <comment ref="B10" authorId="0" shapeId="0" xr:uid="{00000000-0006-0000-0400-000001000000}">
      <text>
        <r>
          <rPr>
            <sz val="10"/>
            <color rgb="FF000000"/>
            <rFont val="Arial"/>
            <scheme val="minor"/>
          </rPr>
          <t>Andrey Semenov:
Source: Q1 2026 8-K — new $1B + $459.7M remaining = $1.46B</t>
        </r>
      </text>
    </comment>
    <comment ref="B11" authorId="0" shapeId="0" xr:uid="{00000000-0006-0000-0400-000002000000}">
      <text>
        <r>
          <rPr>
            <sz val="10"/>
            <color rgb="FF000000"/>
            <rFont val="Arial"/>
            <scheme val="minor"/>
          </rPr>
          <t>Andrey Semenov:
DPZ historical pace ~$500-700M/yr; conservative assumption</t>
        </r>
      </text>
    </comment>
    <comment ref="B13" authorId="0" shapeId="0" xr:uid="{00000000-0006-0000-0400-000003000000}">
      <text>
        <r>
          <rPr>
            <sz val="10"/>
            <color rgb="FF000000"/>
            <rFont val="Arial"/>
            <scheme val="minor"/>
          </rPr>
          <t>Andrey Semenov:
Source: $7.96/yr div / $372 price = 2.14%</t>
        </r>
      </text>
    </comment>
    <comment ref="B37" authorId="0" shapeId="0" xr:uid="{00000000-0006-0000-0400-000004000000}">
      <text>
        <r>
          <rPr>
            <sz val="10"/>
            <color rgb="FF000000"/>
            <rFont val="Arial"/>
            <scheme val="minor"/>
          </rPr>
          <t>Andrey Semenov:
Net debt is current; not adjusting for future paydown — conservative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Andrey Semenov</author>
  </authors>
  <commentList>
    <comment ref="B5" authorId="0" shapeId="0" xr:uid="{00000000-0006-0000-0500-000001000000}">
      <text>
        <r>
          <rPr>
            <sz val="10"/>
            <color rgb="FF000000"/>
            <rFont val="Arial"/>
            <scheme val="minor"/>
          </rPr>
          <t>Andrey Semenov:
Source: 10Y UST yield ~4.3% as of Apr 2026</t>
        </r>
      </text>
    </comment>
    <comment ref="B6" authorId="0" shapeId="0" xr:uid="{00000000-0006-0000-0500-000002000000}">
      <text>
        <r>
          <rPr>
            <sz val="10"/>
            <color rgb="FF000000"/>
            <rFont val="Arial"/>
            <scheme val="minor"/>
          </rPr>
          <t>Andrey Semenov:
Source: Yahoo Finance / Bloomberg, DPZ 5Y beta ~0.7</t>
        </r>
      </text>
    </comment>
    <comment ref="B7" authorId="0" shapeId="0" xr:uid="{00000000-0006-0000-0500-000003000000}">
      <text>
        <r>
          <rPr>
            <sz val="10"/>
            <color rgb="FF000000"/>
            <rFont val="Arial"/>
            <scheme val="minor"/>
          </rPr>
          <t>Andrey Semenov:
Source: Damodaran ERP ~5.5%</t>
        </r>
      </text>
    </comment>
    <comment ref="B11" authorId="0" shapeId="0" xr:uid="{00000000-0006-0000-0500-000004000000}">
      <text>
        <r>
          <rPr>
            <sz val="10"/>
            <color rgb="FF000000"/>
            <rFont val="Arial"/>
            <scheme val="minor"/>
          </rPr>
          <t>Andrey Semenov:
Source: 2025 Refinancing notes 4.93%-5.22% avg ~5.2%</t>
        </r>
      </text>
    </comment>
    <comment ref="B12" authorId="0" shapeId="0" xr:uid="{00000000-0006-0000-0500-000005000000}">
      <text>
        <r>
          <rPr>
            <sz val="10"/>
            <color rgb="FF000000"/>
            <rFont val="Arial"/>
            <scheme val="minor"/>
          </rPr>
          <t>Andrey Semenov:
Source: DPZ FY2025 effective tax rate ~22%</t>
        </r>
      </text>
    </comment>
    <comment ref="B16" authorId="0" shapeId="0" xr:uid="{00000000-0006-0000-0500-000006000000}">
      <text>
        <r>
          <rPr>
            <sz val="10"/>
            <color rgb="FF000000"/>
            <rFont val="Arial"/>
            <scheme val="minor"/>
          </rPr>
          <t>Andrey Semenov:
Source: Investing.com / Yahoo Finance, Apr 2026</t>
        </r>
      </text>
    </comment>
    <comment ref="B17" authorId="0" shapeId="0" xr:uid="{00000000-0006-0000-0500-000007000000}">
      <text>
        <r>
          <rPr>
            <sz val="10"/>
            <color rgb="FF000000"/>
            <rFont val="Arial"/>
            <scheme val="minor"/>
          </rPr>
          <t>Andrey Semenov:
Source: Morningstar, DPZ 10-K FY2025</t>
        </r>
      </text>
    </comment>
    <comment ref="B19" authorId="0" shapeId="0" xr:uid="{00000000-0006-0000-0500-000008000000}">
      <text>
        <r>
          <rPr>
            <sz val="10"/>
            <color rgb="FF000000"/>
            <rFont val="Arial"/>
            <scheme val="minor"/>
          </rPr>
          <t>Andrey Semenov:
Source: DPZ 10-K FY2025 — asset-backed securitization notes</t>
        </r>
      </text>
    </comment>
    <comment ref="B20" authorId="0" shapeId="0" xr:uid="{00000000-0006-0000-0500-000009000000}">
      <text>
        <r>
          <rPr>
            <sz val="10"/>
            <color rgb="FF000000"/>
            <rFont val="Arial"/>
            <scheme val="minor"/>
          </rPr>
          <t>Andrey Semenov:
Source: DPZ 10-K FY2025, p.balance sheet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Andrey Semenov</author>
  </authors>
  <commentList>
    <comment ref="C6" authorId="0" shapeId="0" xr:uid="{00000000-0006-0000-0600-000001000000}">
      <text>
        <r>
          <rPr>
            <sz val="10"/>
            <color rgb="FF000000"/>
            <rFont val="Arial"/>
            <scheme val="minor"/>
          </rPr>
          <t>Andrey Semenov:
Source: WallStreetZen, 34 analysts consensus FY2026</t>
        </r>
      </text>
    </comment>
    <comment ref="D6" authorId="0" shapeId="0" xr:uid="{00000000-0006-0000-0600-000002000000}">
      <text>
        <r>
          <rPr>
            <sz val="10"/>
            <color rgb="FF000000"/>
            <rFont val="Arial"/>
            <scheme val="minor"/>
          </rPr>
          <t>Andrey Semenov:
Source: WallStreetZen, 36 analyst consensus EPS CAGR FY26-28</t>
        </r>
      </text>
    </comment>
    <comment ref="E6" authorId="0" shapeId="0" xr:uid="{00000000-0006-0000-0600-000003000000}">
      <text>
        <r>
          <rPr>
            <sz val="10"/>
            <color rgb="FF000000"/>
            <rFont val="Arial"/>
            <scheme val="minor"/>
          </rPr>
          <t>Andrey Semenov:
Q1'26: SSS flat YoY (StockStory). Q4'25 US SSS +1.4%</t>
        </r>
      </text>
    </comment>
    <comment ref="C7" authorId="0" shapeId="0" xr:uid="{00000000-0006-0000-0600-000004000000}">
      <text>
        <r>
          <rPr>
            <sz val="10"/>
            <color rgb="FF000000"/>
            <rFont val="Arial"/>
            <scheme val="minor"/>
          </rPr>
          <t>Andrey Semenov:
Source: consensus est</t>
        </r>
      </text>
    </comment>
    <comment ref="E7" authorId="0" shapeId="0" xr:uid="{00000000-0006-0000-0600-000005000000}">
      <text>
        <r>
          <rPr>
            <sz val="10"/>
            <color rgb="FF000000"/>
            <rFont val="Arial"/>
            <scheme val="minor"/>
          </rPr>
          <t>Andrey Semenov:
Q4'25 SSS declining; fast-casual softness</t>
        </r>
      </text>
    </comment>
    <comment ref="E8" authorId="0" shapeId="0" xr:uid="{00000000-0006-0000-0600-000006000000}">
      <text>
        <r>
          <rPr>
            <sz val="10"/>
            <color rgb="FF000000"/>
            <rFont val="Arial"/>
            <scheme val="minor"/>
          </rPr>
          <t>Andrey Semenov:
Q4'25 -5.8% SSS, but unit growth offsets</t>
        </r>
      </text>
    </comment>
    <comment ref="E9" authorId="0" shapeId="0" xr:uid="{00000000-0006-0000-0600-000007000000}">
      <text>
        <r>
          <rPr>
            <sz val="10"/>
            <color rgb="FF000000"/>
            <rFont val="Arial"/>
            <scheme val="minor"/>
          </rPr>
          <t>Andrey Semenov:
Taco Bell +7%, KFC +1% Q4'25</t>
        </r>
      </text>
    </comment>
    <comment ref="E10" authorId="0" shapeId="0" xr:uid="{00000000-0006-0000-0600-000008000000}">
      <text>
        <r>
          <rPr>
            <sz val="10"/>
            <color rgb="FF000000"/>
            <rFont val="Arial"/>
            <scheme val="minor"/>
          </rPr>
          <t>Andrey Semenov:
Burger King +2.6% Q4'25</t>
        </r>
      </text>
    </comment>
    <comment ref="E11" authorId="0" shapeId="0" xr:uid="{00000000-0006-0000-0600-000009000000}">
      <text>
        <r>
          <rPr>
            <sz val="10"/>
            <color rgb="FF000000"/>
            <rFont val="Arial"/>
            <scheme val="minor"/>
          </rPr>
          <t>Andrey Semenov:
Slow but stable</t>
        </r>
      </text>
    </comment>
    <comment ref="E12" authorId="0" shapeId="0" xr:uid="{00000000-0006-0000-0600-00000A000000}">
      <text>
        <r>
          <rPr>
            <sz val="10"/>
            <color rgb="FF000000"/>
            <rFont val="Arial"/>
            <scheme val="minor"/>
          </rPr>
          <t>Andrey Semenov:
Direct pizza peer, weaker</t>
        </r>
      </text>
    </comment>
    <comment ref="C14" authorId="0" shapeId="0" xr:uid="{00000000-0006-0000-0600-00000B000000}">
      <text>
        <r>
          <rPr>
            <sz val="10"/>
            <color rgb="FF000000"/>
            <rFont val="Arial"/>
            <scheme val="minor"/>
          </rPr>
          <t>Andrey Semenov:
Source: WallStreetZen US Restaurants industry avg</t>
        </r>
      </text>
    </comment>
    <comment ref="D14" authorId="0" shapeId="0" xr:uid="{00000000-0006-0000-0600-00000C000000}">
      <text>
        <r>
          <rPr>
            <sz val="10"/>
            <color rgb="FF000000"/>
            <rFont val="Arial"/>
            <scheme val="minor"/>
          </rPr>
          <t>Andrey Semenov:
Source: WallStreetZen US Restaurants industry avg</t>
        </r>
      </text>
    </comment>
    <comment ref="C15" authorId="0" shapeId="0" xr:uid="{00000000-0006-0000-0600-00000D000000}">
      <text>
        <r>
          <rPr>
            <sz val="10"/>
            <color rgb="FF000000"/>
            <rFont val="Arial"/>
            <scheme val="minor"/>
          </rPr>
          <t>Andrey Semenov:
Source: Mordor Intelligence pizza foodservice forecast</t>
        </r>
      </text>
    </comment>
    <comment ref="C16" authorId="0" shapeId="0" xr:uid="{00000000-0006-0000-0600-00000E000000}">
      <text>
        <r>
          <rPr>
            <sz val="10"/>
            <color rgb="FF000000"/>
            <rFont val="Arial"/>
            <scheme val="minor"/>
          </rPr>
          <t>Andrey Semenov:
Source: DPZ mgmt 'Hungry for MORE' framework: 7%+ op income, 6%+ retail sales</t>
        </r>
      </text>
    </comment>
    <comment ref="D17" authorId="0" shapeId="0" xr:uid="{00000000-0006-0000-0600-00000F000000}">
      <text>
        <r>
          <rPr>
            <sz val="10"/>
            <color rgb="FF000000"/>
            <rFont val="Arial"/>
            <scheme val="minor"/>
          </rPr>
          <t>Andrey Semenov:
Source: DPZ mgmt long-term framework 7%+</t>
        </r>
      </text>
    </comment>
    <comment ref="B21" authorId="0" shapeId="0" xr:uid="{00000000-0006-0000-0600-000010000000}">
      <text>
        <r>
          <rPr>
            <sz val="10"/>
            <color rgb="FF000000"/>
            <rFont val="Arial"/>
            <scheme val="minor"/>
          </rPr>
          <t>Andrey Semenov:
From Per-Share Model row 86 — actual realized 21-yr CAGR</t>
        </r>
      </text>
    </comment>
    <comment ref="B22" authorId="0" shapeId="0" xr:uid="{00000000-0006-0000-0600-000011000000}">
      <text>
        <r>
          <rPr>
            <sz val="10"/>
            <color rgb="FF000000"/>
            <rFont val="Arial"/>
            <scheme val="minor"/>
          </rPr>
          <t>Andrey Semenov:
$220M (FY15) → $671.5M (FY25), 10 yrs</t>
        </r>
      </text>
    </comment>
    <comment ref="B23" authorId="0" shapeId="0" xr:uid="{00000000-0006-0000-0600-000012000000}">
      <text>
        <r>
          <rPr>
            <sz val="10"/>
            <color rgb="FF000000"/>
            <rFont val="Arial"/>
            <scheme val="minor"/>
          </rPr>
          <t>Andrey Semenov:
FY15 rev ~$2.22B → FY25 $4.94B</t>
        </r>
      </text>
    </comment>
    <comment ref="B24" authorId="0" shapeId="0" xr:uid="{00000000-0006-0000-0600-000013000000}">
      <text>
        <r>
          <rPr>
            <sz val="10"/>
            <color rgb="FF000000"/>
            <rFont val="Arial"/>
            <scheme val="minor"/>
          </rPr>
          <t>Andrey Semenov:
WallStreetZen: 34 analysts FY26 consensus 5.51%</t>
        </r>
      </text>
    </comment>
    <comment ref="B25" authorId="0" shapeId="0" xr:uid="{00000000-0006-0000-0600-000014000000}">
      <text>
        <r>
          <rPr>
            <sz val="10"/>
            <color rgb="FF000000"/>
            <rFont val="Arial"/>
            <scheme val="minor"/>
          </rPr>
          <t>Andrey Semenov:
WallStreetZen 36 analysts; EPS grows faster than revenue due to buybacks</t>
        </r>
      </text>
    </comment>
    <comment ref="B26" authorId="0" shapeId="0" xr:uid="{00000000-0006-0000-0600-000015000000}">
      <text>
        <r>
          <rPr>
            <sz val="10"/>
            <color rgb="FF000000"/>
            <rFont val="Arial"/>
            <scheme val="minor"/>
          </rPr>
          <t>Andrey Semenov:
Hungry for MORE LT framework</t>
        </r>
      </text>
    </comment>
    <comment ref="B27" authorId="0" shapeId="0" xr:uid="{00000000-0006-0000-0600-000016000000}">
      <text>
        <r>
          <rPr>
            <sz val="10"/>
            <color rgb="FF000000"/>
            <rFont val="Arial"/>
            <scheme val="minor"/>
          </rPr>
          <t>Andrey Semenov:
Mordor Intelligence forecast 2026-2031</t>
        </r>
      </text>
    </comment>
    <comment ref="B28" authorId="0" shapeId="0" xr:uid="{00000000-0006-0000-0600-000017000000}">
      <text>
        <r>
          <rPr>
            <sz val="10"/>
            <color rgb="FF000000"/>
            <rFont val="Arial"/>
            <scheme val="minor"/>
          </rPr>
          <t>Andrey Semenov:
Industry consensus avg</t>
        </r>
      </text>
    </comment>
  </commentList>
</comments>
</file>

<file path=xl/sharedStrings.xml><?xml version="1.0" encoding="utf-8"?>
<sst xmlns="http://schemas.openxmlformats.org/spreadsheetml/2006/main" count="6850" uniqueCount="2071">
  <si>
    <t>Portfolio Comparison — 5 Names Ranked by Margin of Safety</t>
  </si>
  <si>
    <t>Each model uses Buffett-style conservative assumptions (15-yr horizon, ~9% discount, mid-single-digit growth)</t>
  </si>
  <si>
    <t>RANK</t>
  </si>
  <si>
    <t>Ticker</t>
  </si>
  <si>
    <t>Currency</t>
  </si>
  <si>
    <t>Current Price</t>
  </si>
  <si>
    <t>Intrinsic Value</t>
  </si>
  <si>
    <t>Upside %</t>
  </si>
  <si>
    <t>Verdict</t>
  </si>
  <si>
    <t>Key Risk</t>
  </si>
  <si>
    <t>UNH</t>
  </si>
  <si>
    <t>USD</t>
  </si>
  <si>
    <t>BUY</t>
  </si>
  <si>
    <t>Medicare Advantage margin pressure, regulatory scrutiny</t>
  </si>
  <si>
    <t>LEN</t>
  </si>
  <si>
    <t>Housing cycle bottom — FY25 FCF collapsed; recovery dependent on rates</t>
  </si>
  <si>
    <t>1810.HK</t>
  </si>
  <si>
    <t>HKD</t>
  </si>
  <si>
    <t>FAIR</t>
  </si>
  <si>
    <t>China geopolitical risk, EV competition, no buybacks</t>
  </si>
  <si>
    <t>TTE</t>
  </si>
  <si>
    <t>Oil price cyclicality; energy transition long-term</t>
  </si>
  <si>
    <t>POOL</t>
  </si>
  <si>
    <t>Pool industry slowdown; consumer discretionary</t>
  </si>
  <si>
    <t>DPZ</t>
  </si>
  <si>
    <t>HOLD</t>
  </si>
  <si>
    <t>Fair value at $372; needs better entry — Buffett bought at $437 = ~fair</t>
  </si>
  <si>
    <t>NVDA</t>
  </si>
  <si>
    <t>AVOID</t>
  </si>
  <si>
    <t>Priced for perfection at $5T market cap; 18% growth assumed but discount rate haircut</t>
  </si>
  <si>
    <t>KEY INSIGHTS BY NAME</t>
  </si>
  <si>
    <t>UNH (+76% upside) — BIGGEST OPPORTUNITY</t>
  </si>
  <si>
    <t xml:space="preserve">  • Trading at $354 vs intrinsic $621. Stock crushed in 2025-26 from MA pressure + DOJ probes.</t>
  </si>
  <si>
    <t xml:space="preserve">  • LTM FCF $17.4B is depressed; normalized FCF capacity ~$24B+ with margin recovery</t>
  </si>
  <si>
    <t xml:space="preserve">  • Mgmt RAISED FY26 guide to $18.25 adj EPS in April. Q1'26 beat. Turnaround intact.</t>
  </si>
  <si>
    <t xml:space="preserve">  • Buffett-style: defensive moat + secular tailwind + temp dislocation = Buffett setup</t>
  </si>
  <si>
    <t xml:space="preserve">  • BIGGEST RISK: regulatory (Medicare risk-coding probes) — watch closely</t>
  </si>
  <si>
    <t>LEN (+52% upside) — CYCLICAL CONTRARIAN</t>
  </si>
  <si>
    <t xml:space="preserve">  • Trading at $94 vs intrinsic $143. Stock down 35% on housing slowdown.</t>
  </si>
  <si>
    <t xml:space="preserve">  • FY25 FCF collapsed to $28M (was $2.27B FY24) — we use cycle-avg $1.5B</t>
  </si>
  <si>
    <t xml:space="preserve">  • Aggressive buybacks: $1.7B in FY25 = ~7% share count reduction</t>
  </si>
  <si>
    <t xml:space="preserve">  • Buffett historically buys cyclicals at trough — housing under-supplied long-term</t>
  </si>
  <si>
    <t xml:space="preserve">  • BIGGEST RISK: rate cuts arrive late — longer trough, FCF stays weak</t>
  </si>
  <si>
    <t>1810.HK Xiaomi (+30% upside) — GROWTH AT REASONABLE PRICE</t>
  </si>
  <si>
    <t xml:space="preserve">  • Trading at HKD 31.20 vs intrinsic HKD 40.46. Down 49% from June 2025 peak (HKD 61).</t>
  </si>
  <si>
    <t xml:space="preserve">  • FY25 revenue +25%, NI +76%; smartphone leader China + EV momentum</t>
  </si>
  <si>
    <t xml:space="preserve">  • NET CASH position (~RMB 100B) = balance sheet flexibility</t>
  </si>
  <si>
    <t xml:space="preserve">  • NOT a Buffett name typically: NO buybacks, NO dividend, China political risk</t>
  </si>
  <si>
    <t xml:space="preserve">  • BIGGEST RISK: China geopolitics, EV price war, memory chip cost pressure on smartphones</t>
  </si>
  <si>
    <t>TTE (+26% upside) — OIL MAJOR INCOME STOCK</t>
  </si>
  <si>
    <t xml:space="preserve">  • Trading at $89.79 vs intrinsic $113. Up 36% LTM — less depressed.</t>
  </si>
  <si>
    <t xml:space="preserve">  • Returns 40%+ of CFFO via dividends + buybacks ($7.5B buyback FY25 + 4% div yield)</t>
  </si>
  <si>
    <t xml:space="preserve">  • Mgmt targets +$10B FCF growth by 2030; LNG + renewables diversification</t>
  </si>
  <si>
    <t xml:space="preserve">  • BIGGEST RISK: oil price cyclicality — Brent ~$70/bbl needed; energy transition tail risk</t>
  </si>
  <si>
    <t>POOL (+14% upside) — DEFENSIVE NICHE LEADER</t>
  </si>
  <si>
    <t xml:space="preserve">  • Trading at $234 vs intrinsic $267. Stock down 33% YTD.</t>
  </si>
  <si>
    <t xml:space="preserve">  • Wholesale pool distributor — #1 share, defensive maintenance demand (~70% non-discretionary)</t>
  </si>
  <si>
    <t xml:space="preserve">  • FY25 FCF $336M (down from $595M FY24); 2026 guide $10.85-11.15 EPS = flat</t>
  </si>
  <si>
    <t xml:space="preserve">  • Modest upside — not deep value, but quality compounder waiting for cycle inflection</t>
  </si>
  <si>
    <t xml:space="preserve">  • BIGGEST RISK: weak pool installation cycle persists; new construction headwind</t>
  </si>
  <si>
    <t>PORTFOLIO ALLOCATION SUGGESTION (Buffett style: concentrate in highest conviction)</t>
  </si>
  <si>
    <t>Tier 1 (highest conviction — Buffett-style setups):</t>
  </si>
  <si>
    <t xml:space="preserve">  UNH — large-cap blue chip dislocation, regulated moat, recovery in motion</t>
  </si>
  <si>
    <t xml:space="preserve">  LEN — cyclical trough buy, aggressive buyback engine</t>
  </si>
  <si>
    <t>Tier 2 (fair value, hold/build positions on dips):</t>
  </si>
  <si>
    <t xml:space="preserve">  TTE — income + value at ~6% FCF yield with capital return</t>
  </si>
  <si>
    <t xml:space="preserve">  POOL — wait for clearer cycle inflection; quality biz at fair price</t>
  </si>
  <si>
    <t>Tier 3 (off-style for true Buffett, but compelling):</t>
  </si>
  <si>
    <t xml:space="preserve">  Xiaomi — growth name with optionality but no capital returns; size accordingly</t>
  </si>
  <si>
    <t>NVDA (−23% downside) — PRICED FOR PERFECTION</t>
  </si>
  <si>
    <t xml:space="preserve">  • Trading at $216.61 (ATH today, Apr 27 2026) vs Buffett-style intrinsic $166. $5.3 TRILLION market cap.</t>
  </si>
  <si>
    <t xml:space="preserve">  • FY26 was extraordinary: Revenue $215.9B (+65%), Net Income $120B (+65%), gross margin 71%</t>
  </si>
  <si>
    <t xml:space="preserve">  • FY27 Q1 guide $78B = +47% YoY — still accelerating; AI capex cycle intact</t>
  </si>
  <si>
    <t xml:space="preserve">  • BUT: 18% LT FCF growth + 10% discount + small buybacks = $166 fair value</t>
  </si>
  <si>
    <t xml:space="preserve">  • To justify $216, need ~22%+ FCF CAGR for a decade. Possible but not Buffett-style margin of safety</t>
  </si>
  <si>
    <t xml:space="preserve">  • BIGGEST RISK: AI capex digestion (hyperscalers eventually slow), custom silicon (TPUs, MTIA), China export curbs, valuation re-rating</t>
  </si>
  <si>
    <t xml:space="preserve">  • Buffett historically AVOIDS tech at peak hype. This is exactly that setup.</t>
  </si>
  <si>
    <t>WHAT WOULD MAKE NVDA A BUY?</t>
  </si>
  <si>
    <t xml:space="preserve">  • Stock pullback to $130-150 range (52-wk low was $104)</t>
  </si>
  <si>
    <t xml:space="preserve">  • Confirmation FY28+ growth holds at 20%+ (would justify higher base case)</t>
  </si>
  <si>
    <t xml:space="preserve">  • Significant buyback acceleration absorbing dilution + meaningful share retirement</t>
  </si>
  <si>
    <t>REVISED PORTFOLIO ALLOCATION (with NVDA)</t>
  </si>
  <si>
    <t>Tier 1 (highest conviction): UNH (+76%), LEN (+52%) — deep value w/ catalysts</t>
  </si>
  <si>
    <t>Tier 2 (fair value, accumulate on dips): TTE, 1810.HK, POOL</t>
  </si>
  <si>
    <t>Tier 3 (hold for events): DPZ — wait for $300s entry</t>
  </si>
  <si>
    <t>AVOID: NVDA at current price — watchlist for material pullback</t>
  </si>
  <si>
    <t>Portfolio DCF — 5 Names + DPZ Reference (Buffett Framework)</t>
  </si>
  <si>
    <t>Per-share owner-earnings model. All inputs blue, formulas black, links green. Currency local to each name.</t>
  </si>
  <si>
    <t>MARKET DATA &amp; INPUTS</t>
  </si>
  <si>
    <t>Current price (local ccy)</t>
  </si>
  <si>
    <t>Diluted shares (M)</t>
  </si>
  <si>
    <t>Market cap (local M)</t>
  </si>
  <si>
    <t>Net debt (local M)</t>
  </si>
  <si>
    <t>Enterprise value</t>
  </si>
  <si>
    <t>BUSINESS METRICS (LTM, local M)</t>
  </si>
  <si>
    <t>(Xiaomi: RMB→HKD ~×1.1)</t>
  </si>
  <si>
    <t>Revenue (LTM)</t>
  </si>
  <si>
    <t>Free Cash Flow (LTM)</t>
  </si>
  <si>
    <t>Normalized FCF (cycle-avg)</t>
  </si>
  <si>
    <t>FCF margin (normalized)</t>
  </si>
  <si>
    <t>BUFFETT-STYLE ASSUMPTIONS</t>
  </si>
  <si>
    <t>FCF growth Y1-5 (high-vis)</t>
  </si>
  <si>
    <t>FCF growth Y6-10 (fade)</t>
  </si>
  <si>
    <t>FCF growth Y11-15 (mature)</t>
  </si>
  <si>
    <t>Discount rate (Buffett hurdle)</t>
  </si>
  <si>
    <t>Terminal growth</t>
  </si>
  <si>
    <t>Annual buyback yield (assumed)</t>
  </si>
  <si>
    <t>VALUATION ENGINE (15-yr per-share DCF)</t>
  </si>
  <si>
    <t>Year #</t>
  </si>
  <si>
    <t>Y1</t>
  </si>
  <si>
    <t>Y2</t>
  </si>
  <si>
    <t>Y3</t>
  </si>
  <si>
    <t>Y4</t>
  </si>
  <si>
    <t>Y5</t>
  </si>
  <si>
    <t>Y6</t>
  </si>
  <si>
    <t>Y7</t>
  </si>
  <si>
    <t>Y8</t>
  </si>
  <si>
    <t>Y9</t>
  </si>
  <si>
    <t>Y10</t>
  </si>
  <si>
    <t>Y11</t>
  </si>
  <si>
    <t>Y12</t>
  </si>
  <si>
    <t>Y13</t>
  </si>
  <si>
    <t>Y14</t>
  </si>
  <si>
    <t>Y15</t>
  </si>
  <si>
    <t>VALUATION SUMMARY</t>
  </si>
  <si>
    <t>Sum PV of FCFs (Y1-15)</t>
  </si>
  <si>
    <t>Terminal Value (at Y15)</t>
  </si>
  <si>
    <t>PV of Terminal Value</t>
  </si>
  <si>
    <t>Enterprise Value</t>
  </si>
  <si>
    <t>(−) Net debt</t>
  </si>
  <si>
    <t>Equity Value</t>
  </si>
  <si>
    <t>PER-SHARE VALUATION (with buybacks)</t>
  </si>
  <si>
    <t>FCF per share (LTM normalized)</t>
  </si>
  <si>
    <t>Per-share growth Y1-5</t>
  </si>
  <si>
    <t>Per-share growth Y6-10</t>
  </si>
  <si>
    <t>Per-share growth Y11-15</t>
  </si>
  <si>
    <t>FCF/share Y1-15 projection</t>
  </si>
  <si>
    <t>Sum PV of FCF/share (Y1-15)</t>
  </si>
  <si>
    <t>Per-share TV at Y15</t>
  </si>
  <si>
    <t>PV of TV per-share</t>
  </si>
  <si>
    <t>(−) Net debt per share</t>
  </si>
  <si>
    <t>INTRINSIC VALUE PER SHARE</t>
  </si>
  <si>
    <t>Current price</t>
  </si>
  <si>
    <t>Upside / (Downside) %</t>
  </si>
  <si>
    <t>Domino's Pizza (DPZ) — Valuation Summary</t>
  </si>
  <si>
    <t>Why Buffett bought at $437 — the standard DCF is missing buybacks</t>
  </si>
  <si>
    <t>THE PUZZLE YOU IDENTIFIED</t>
  </si>
  <si>
    <t>Standard 15Y FCF DCF → implied price</t>
  </si>
  <si>
    <t>Current market price</t>
  </si>
  <si>
    <t>Buffett purchased at</t>
  </si>
  <si>
    <t>Standard DCF says current price is overvalued by:</t>
  </si>
  <si>
    <t>WHAT THE STANDARD DCF MISSES</t>
  </si>
  <si>
    <t>1. Capital allocation (buybacks)</t>
  </si>
  <si>
    <t xml:space="preserve">  DPZ retires ~3-4% of shares per year</t>
  </si>
  <si>
    <t xml:space="preserve">  $1.46B buyback authorization (Apr 2026 = $1B new + $459.7M existing)</t>
  </si>
  <si>
    <t xml:space="preserve">  Per-share FCF grows much faster than total FCF</t>
  </si>
  <si>
    <t>2. Negative book equity is a feature, not a bug</t>
  </si>
  <si>
    <t xml:space="preserve">  Stockholders' deficit of -$3.97B reflects $7B+ of cumulative buybacks</t>
  </si>
  <si>
    <t xml:space="preserve">  Capital-light franchise model (99% franchised) needs minimal equity</t>
  </si>
  <si>
    <t xml:space="preserve">  ROIC is enormous because invested capital is tiny</t>
  </si>
  <si>
    <t>3. Defensive moat — lower required return</t>
  </si>
  <si>
    <t xml:space="preserve">  Beta ~0.7, recession-resistant, 99% franchised → capital-light royalty stream</t>
  </si>
  <si>
    <t xml:space="preserve">  Pricing power: low-cost meal occasion, scale advantage in supply chain</t>
  </si>
  <si>
    <t>PER-SHARE OWNER EARNINGS MODEL (Buffett's framework)</t>
  </si>
  <si>
    <t>FCF per share today (LTM Q1'26)</t>
  </si>
  <si>
    <t>Annual buyback yield</t>
  </si>
  <si>
    <t>Dividend yield</t>
  </si>
  <si>
    <t>Total shareholder yield</t>
  </si>
  <si>
    <t>Per-share intrinsic value (15Y, 9% disc, 2.5% term)</t>
  </si>
  <si>
    <t>VS THE TWO REFERENCE POINTS</t>
  </si>
  <si>
    <t>Upside vs current price ($372)</t>
  </si>
  <si>
    <t>Margin of safety vs Buffett's $437</t>
  </si>
  <si>
    <t>CONCLUSION</t>
  </si>
  <si>
    <t>Buffett did NOT buy on a standard DCF — he bought a per-share compounding machine.</t>
  </si>
  <si>
    <t>At $437, Buffett got DPZ at ~fair value of intrinsic per-share, with the buyback engine</t>
  </si>
  <si>
    <t>doing the heavy lifting on returns. At $372 today, you have ~16% upside before</t>
  </si>
  <si>
    <t>even counting the buybacks accelerating with the new $1B authorization.</t>
  </si>
  <si>
    <t>TODAY'S Q1'26 EARNINGS (Apr 27, 2026)</t>
  </si>
  <si>
    <t>Q1 EPS</t>
  </si>
  <si>
    <t>Q1 Revenue</t>
  </si>
  <si>
    <t>NEW $1B buyback authorization announced today</t>
  </si>
  <si>
    <t>+ existing $459.7M = $1.46B total firepower</t>
  </si>
  <si>
    <t>Implication: Q1 was a slight miss but BUYBACK was a clear bullish signal.</t>
  </si>
  <si>
    <t>Mgmt is signaling confidence in the per-share compounding model.</t>
  </si>
  <si>
    <t>Date: April 27, 2026 | FYE: Late December | All $ in millions except per-share</t>
  </si>
  <si>
    <t>MARKET DATA</t>
  </si>
  <si>
    <t>Market cap ($M)</t>
  </si>
  <si>
    <t>Net debt ($M)</t>
  </si>
  <si>
    <t>Buffett purchase price (Q3 2024)</t>
  </si>
  <si>
    <t>HISTORICAL FINANCIALS ($M)</t>
  </si>
  <si>
    <t>Item</t>
  </si>
  <si>
    <t>FY2023</t>
  </si>
  <si>
    <t>FY2024</t>
  </si>
  <si>
    <t>FY2025</t>
  </si>
  <si>
    <t>Q1'26 LTM*</t>
  </si>
  <si>
    <t>Revenue</t>
  </si>
  <si>
    <t xml:space="preserve">  Revenue growth %</t>
  </si>
  <si>
    <t>EBIT (Income from operations)</t>
  </si>
  <si>
    <t xml:space="preserve">  EBIT margin %</t>
  </si>
  <si>
    <t>Net income</t>
  </si>
  <si>
    <t>Operating cash flow</t>
  </si>
  <si>
    <t>CapEx</t>
  </si>
  <si>
    <t>Free Cash Flow</t>
  </si>
  <si>
    <t xml:space="preserve">  FCF margin %</t>
  </si>
  <si>
    <t>BUFFETT-STYLE ASSUMPTIONS (Conservative)</t>
  </si>
  <si>
    <t>Revenue growth Y1-5 (high-vis)</t>
  </si>
  <si>
    <t>Revenue growth Y6-10 (fade)</t>
  </si>
  <si>
    <t>Revenue growth Y11-15 (mature)</t>
  </si>
  <si>
    <t>Steady-state FCF margin</t>
  </si>
  <si>
    <t>WACC (discount rate)</t>
  </si>
  <si>
    <t>Buffett discount rate (alt)</t>
  </si>
  <si>
    <t>Terminal growth rate</t>
  </si>
  <si>
    <t>Use which discount rate?</t>
  </si>
  <si>
    <t>Buffett 9%</t>
  </si>
  <si>
    <t>Selected discount rate</t>
  </si>
  <si>
    <t>15-YEAR FCF PROJECTION ($M)</t>
  </si>
  <si>
    <t>FY26E</t>
  </si>
  <si>
    <t>FY27E</t>
  </si>
  <si>
    <t>FY28E</t>
  </si>
  <si>
    <t>FY29E</t>
  </si>
  <si>
    <t>FY30E</t>
  </si>
  <si>
    <t>FY31E</t>
  </si>
  <si>
    <t>FY32E</t>
  </si>
  <si>
    <t>FY33E</t>
  </si>
  <si>
    <t>FY34E</t>
  </si>
  <si>
    <t>FY35E</t>
  </si>
  <si>
    <t>FY36E</t>
  </si>
  <si>
    <t>FY37E</t>
  </si>
  <si>
    <t>FY38E</t>
  </si>
  <si>
    <t>FY39E</t>
  </si>
  <si>
    <t>FY40E</t>
  </si>
  <si>
    <t>Revenue growth %</t>
  </si>
  <si>
    <t>FCF margin %</t>
  </si>
  <si>
    <t>Discount period (mid-yr)</t>
  </si>
  <si>
    <t>Discount factor</t>
  </si>
  <si>
    <t>PV of FCF</t>
  </si>
  <si>
    <t>TERMINAL VALUE &amp; VALUATION SUMMARY</t>
  </si>
  <si>
    <t>Terminal Year FCF (Y15)</t>
  </si>
  <si>
    <t>Terminal Value (Gordon Growth) at Y15</t>
  </si>
  <si>
    <t>Sum of PV of FCFs (Y1-15)</t>
  </si>
  <si>
    <t>(+) PV of Terminal Value</t>
  </si>
  <si>
    <t>÷ Diluted shares (M)</t>
  </si>
  <si>
    <t>Implied price per share</t>
  </si>
  <si>
    <t>Buffett purchase ($437)</t>
  </si>
  <si>
    <t>Upside vs current price</t>
  </si>
  <si>
    <t>% of EV from Terminal Value</t>
  </si>
  <si>
    <t>DPZ — PER-SHARE OWNER EARNINGS MODEL (Why Buffett Bought)</t>
  </si>
  <si>
    <t>Key insight: DPZ retires ~3-4% of shares annually. Per-share FCF grows much faster than total FCF.</t>
  </si>
  <si>
    <t>STARTING POINT (LTM as of Q1'26)</t>
  </si>
  <si>
    <t>LTM Free Cash Flow ($M)</t>
  </si>
  <si>
    <t>FCF per share (LTM)</t>
  </si>
  <si>
    <t>BUYBACK YIELD</t>
  </si>
  <si>
    <t>Total buyback authorization (Apr 2026)</t>
  </si>
  <si>
    <t>Annual buyback pace ($M, conservative)</t>
  </si>
  <si>
    <t>Implied annual share retirement %</t>
  </si>
  <si>
    <t>Dividend yield (current)</t>
  </si>
  <si>
    <t>Total shareholder yield (FCF yield + buyback)</t>
  </si>
  <si>
    <t>15-YEAR PER-SHARE FCF PROJECTION</t>
  </si>
  <si>
    <t>Total FCF growth %</t>
  </si>
  <si>
    <t>Total FCF ($M)</t>
  </si>
  <si>
    <t>Share retirement %</t>
  </si>
  <si>
    <t>Shares outstanding (M)</t>
  </si>
  <si>
    <t>FCF per share</t>
  </si>
  <si>
    <t xml:space="preserve">  per-share FCF growth</t>
  </si>
  <si>
    <t>—</t>
  </si>
  <si>
    <t>Discount factor (9%)</t>
  </si>
  <si>
    <t>PV of FCF/share</t>
  </si>
  <si>
    <t>PER-SHARE VALUATION SUMMARY</t>
  </si>
  <si>
    <t>Terminal year FCF/share (Y15)</t>
  </si>
  <si>
    <t>Discount rate</t>
  </si>
  <si>
    <t>Terminal value per share at Y15</t>
  </si>
  <si>
    <t>PV of terminal value per share</t>
  </si>
  <si>
    <t>(+) PV terminal value/share</t>
  </si>
  <si>
    <t>(−) Net debt per share (current)</t>
  </si>
  <si>
    <t>Intrinsic value per share</t>
  </si>
  <si>
    <t>Buffett's purchase price</t>
  </si>
  <si>
    <t>Upside vs current ($372)</t>
  </si>
  <si>
    <t>Margin of safety vs Buffett ($437)</t>
  </si>
  <si>
    <t>SENSITIVITY: Intrinsic Value/Share — Discount Rate vs Terminal Growth</t>
  </si>
  <si>
    <t>Discount \ Term g →</t>
  </si>
  <si>
    <t>HISTORICAL CAPITAL RETURN SINCE IPO (2004) — Source: SEC 10-K filings</t>
  </si>
  <si>
    <t>Year</t>
  </si>
  <si>
    <t>Shares Outstanding (M, year-end)</t>
  </si>
  <si>
    <t>Buyback ($M)</t>
  </si>
  <si>
    <t>Avg Price ($)</t>
  </si>
  <si>
    <t>Share Reduction %</t>
  </si>
  <si>
    <t>FCF ($M)</t>
  </si>
  <si>
    <t>FCF/share ($)</t>
  </si>
  <si>
    <t>FCF/share Growth %</t>
  </si>
  <si>
    <t>FY2004</t>
  </si>
  <si>
    <t>FY2005</t>
  </si>
  <si>
    <t>FY2006</t>
  </si>
  <si>
    <t>FY2007</t>
  </si>
  <si>
    <t>FY2008</t>
  </si>
  <si>
    <t>FY2009</t>
  </si>
  <si>
    <t>FY2010</t>
  </si>
  <si>
    <t>FY2011</t>
  </si>
  <si>
    <t>FY2012</t>
  </si>
  <si>
    <t>FY2013</t>
  </si>
  <si>
    <t>FY2014</t>
  </si>
  <si>
    <t>FY2015</t>
  </si>
  <si>
    <t>FY2016</t>
  </si>
  <si>
    <t>FY2017</t>
  </si>
  <si>
    <t>FY2018</t>
  </si>
  <si>
    <t>FY2019</t>
  </si>
  <si>
    <t>FY2020</t>
  </si>
  <si>
    <t>FY2021</t>
  </si>
  <si>
    <t>FY2022</t>
  </si>
  <si>
    <t>TOTALS / SUMMARY (FY2004 → FY2025)</t>
  </si>
  <si>
    <t>Total $ deployed on buybacks</t>
  </si>
  <si>
    <t>Total cumulative share reduction</t>
  </si>
  <si>
    <t>FCF/share CAGR (2004→2025, 21 yrs)</t>
  </si>
  <si>
    <t>FCF (total) CAGR (2004→2025)</t>
  </si>
  <si>
    <t>Avg annual share reduction (geometric)</t>
  </si>
  <si>
    <t>Avg annual FCF/share growth (geometric)</t>
  </si>
  <si>
    <t>Source: DPZ 10-K filings 2004-2025 (SEC EDGAR). Shares = year-end common stock outstanding.</t>
  </si>
  <si>
    <t>FY2006 buyback includes $13.50/share special dividend recapitalization (Apr 2007 effectively prior period). FY2010 had small reissuance offsetting buybacks.</t>
  </si>
  <si>
    <t>DPZ — WACC Calculation</t>
  </si>
  <si>
    <t>As of April 27, 2026</t>
  </si>
  <si>
    <t>COST OF EQUITY (CAPM)</t>
  </si>
  <si>
    <t>Risk-free rate (10Y Treasury)</t>
  </si>
  <si>
    <t>Beta (5Y monthly)</t>
  </si>
  <si>
    <t>Equity Risk Premium</t>
  </si>
  <si>
    <t>Cost of Equity = Rf + β × ERP</t>
  </si>
  <si>
    <t>COST OF DEBT</t>
  </si>
  <si>
    <t>Pre-tax cost of debt (avg coupon)</t>
  </si>
  <si>
    <t>Tax rate</t>
  </si>
  <si>
    <t>After-tax cost of debt</t>
  </si>
  <si>
    <t>CAPITAL STRUCTURE</t>
  </si>
  <si>
    <t>Share price ($)</t>
  </si>
  <si>
    <t>Total debt ($M)</t>
  </si>
  <si>
    <t>Cash &amp; restricted cash ($M)</t>
  </si>
  <si>
    <t>Enterprise value ($M)</t>
  </si>
  <si>
    <t>Equity weight</t>
  </si>
  <si>
    <t>Debt weight</t>
  </si>
  <si>
    <t>WACC</t>
  </si>
  <si>
    <t>Note: Buffett-style — we'll also test 9-10% as a more conservative discount rate.</t>
  </si>
  <si>
    <t>DPZ vs Peers vs Market Expectations — How Realistic is 5% FCF Growth?</t>
  </si>
  <si>
    <t>Question: Our DCF assumes 5% revenue/FCF growth Y1-5. Is that conservative, base-case, or aggressive?</t>
  </si>
  <si>
    <t>QSR PEER GROWTH PROFILE (Consensus FY26-28)</t>
  </si>
  <si>
    <t>Company</t>
  </si>
  <si>
    <t>Rev Growth FY26E</t>
  </si>
  <si>
    <t>EPS Growth FY26-28E CAGR</t>
  </si>
  <si>
    <t>Q4'25 SSS</t>
  </si>
  <si>
    <t>Business Model</t>
  </si>
  <si>
    <t>Note</t>
  </si>
  <si>
    <t>Domino's Pizza</t>
  </si>
  <si>
    <t>99% franchised + supply chain</t>
  </si>
  <si>
    <t>Most aggressive buyback in QSR</t>
  </si>
  <si>
    <t>Chipotle</t>
  </si>
  <si>
    <t>CMG</t>
  </si>
  <si>
    <t>Company-owned</t>
  </si>
  <si>
    <t>Currently struggling — SSS turned negative</t>
  </si>
  <si>
    <t>Wingstop</t>
  </si>
  <si>
    <t>WING</t>
  </si>
  <si>
    <t>Asset-light franchise</t>
  </si>
  <si>
    <t>High unit growth offsets weak SSS</t>
  </si>
  <si>
    <t>Yum! Brands</t>
  </si>
  <si>
    <t>YUM</t>
  </si>
  <si>
    <t>Multi-brand franchise</t>
  </si>
  <si>
    <t>Closest peer to DPZ scale &amp; model</t>
  </si>
  <si>
    <t>Restaurant Brands</t>
  </si>
  <si>
    <t>QSR</t>
  </si>
  <si>
    <t>BK/THI/Popeyes; mature</t>
  </si>
  <si>
    <t>McDonald's</t>
  </si>
  <si>
    <t>MCD</t>
  </si>
  <si>
    <t>95% franchised</t>
  </si>
  <si>
    <t>Most mature comp</t>
  </si>
  <si>
    <t>Papa John's</t>
  </si>
  <si>
    <t>PZZA</t>
  </si>
  <si>
    <t>Franchise</t>
  </si>
  <si>
    <t>Direct pizza competitor — losing share to DPZ</t>
  </si>
  <si>
    <t>Restaurants Industry Avg (consensus)</t>
  </si>
  <si>
    <t>US Pizza Foodservice Mkt CAGR 26-31</t>
  </si>
  <si>
    <t>DPZ mgmt LT target (US retail sales)</t>
  </si>
  <si>
    <t>DPZ mgmt LT target (op income growth)</t>
  </si>
  <si>
    <t>VERDICT: How likely is 5% FCF growth?</t>
  </si>
  <si>
    <t>Reference point</t>
  </si>
  <si>
    <t>Growth Rate</t>
  </si>
  <si>
    <t>Read</t>
  </si>
  <si>
    <t>DPZ historical FCF CAGR (FY04-FY25, 21yr)</t>
  </si>
  <si>
    <t>Actual track record — well above 5%</t>
  </si>
  <si>
    <t>DPZ historical FCF CAGR (FY15-FY25, 10yr)</t>
  </si>
  <si>
    <t>More recent 10-yr period even stronger</t>
  </si>
  <si>
    <t>DPZ historical Revenue CAGR (FY15-FY25, 10yr)</t>
  </si>
  <si>
    <t>Revenue grew slower than FCF (margin expansion)</t>
  </si>
  <si>
    <t>Analyst consensus FY26 revenue growth</t>
  </si>
  <si>
    <t>Matches our 5% assumption — in line</t>
  </si>
  <si>
    <t>Analyst consensus EPS CAGR FY26-28</t>
  </si>
  <si>
    <t>EPS grows ~2x faster than revenue (buyback effect)</t>
  </si>
  <si>
    <t>Mgmt long-term op income target</t>
  </si>
  <si>
    <t>Mgmt confidence is above our 5%</t>
  </si>
  <si>
    <t>US Pizza foodservice market CAGR</t>
  </si>
  <si>
    <t>Industry growing faster than 5%</t>
  </si>
  <si>
    <t>Restaurants industry avg consensus rev</t>
  </si>
  <si>
    <t>Industry expects 6.7% — we're below</t>
  </si>
  <si>
    <t>OUR DCF ASSUMPTION (Y1-5)</t>
  </si>
  <si>
    <t>BELOW all reference points — conservative</t>
  </si>
  <si>
    <t>PROBABILITY ASSESSMENT</t>
  </si>
  <si>
    <t>Scenario</t>
  </si>
  <si>
    <t>Probability</t>
  </si>
  <si>
    <t>Implied FCF Growth Y1-5</t>
  </si>
  <si>
    <t>Bear: SSS stagnation, traffic loss, competition</t>
  </si>
  <si>
    <t>2-3%</t>
  </si>
  <si>
    <t>Base: 5% (our model) — conservative vs analyst 5.5%, mgmt 6-7%</t>
  </si>
  <si>
    <t>Bull: hits mgmt LT target of 7%+, regains SSS momentum</t>
  </si>
  <si>
    <t>7-9%</t>
  </si>
  <si>
    <t>BOTTOM LINE</t>
  </si>
  <si>
    <t>5% FCF growth is a CONSERVATIVE assumption.</t>
  </si>
  <si>
    <t>• DPZ delivered 10.7% FCF CAGR over 21 years</t>
  </si>
  <si>
    <t>• Analyst consensus FY26 = 5.5%; mgmt LT target = 6-7%</t>
  </si>
  <si>
    <t>• US pizza market CAGR forecast = 7.5%</t>
  </si>
  <si>
    <t>• Q1'26 was a soft quarter (flat SSS) — but mgmt confidence shown via $1B buyback</t>
  </si>
  <si>
    <t>• Real risk: GLP-1 drugs, 3rd-party delivery dilution, beef/labor inflation pressuring franchisee economics</t>
  </si>
  <si>
    <t>What WOULD make 5% wrong on the downside?</t>
  </si>
  <si>
    <t>1. Persistent negative SSS (Q1'26 was already flat — watch closely)</t>
  </si>
  <si>
    <t>2. International store growth slowing (60%+ of new units come from intl)</t>
  </si>
  <si>
    <t>3. Franchisee margin pressure forcing closures (labor, beef)</t>
  </si>
  <si>
    <t>4. Refinancing risk: $1.3B refi due July 2027 — if rates spike, FCF gets pinched</t>
  </si>
  <si>
    <t>S&amp;P 500 Dashboard</t>
  </si>
  <si>
    <t>BRK Q1 2026 13F applied: 2026-05-17 22:43 | IV overlay v4 — click "Update Data" to refresh prices/IV</t>
  </si>
  <si>
    <t>Total: 494 companies | IV: 15-yr Buffett DCF + geo-risk v4 (Iran ceasefire fragile, Brent $104, S&amp;P 7,500 ATH, fwd P/E 21.2, Fed 3.50-3.75% held 8-4) | BRK Q1 2026 13F (filed May 15): $263B portfolio, 29 positions (-13), 16 exits incl V/MA/UNH/DPZ/HEI/CHTR/AON/POOL/LAMR/ALLE, CVX -35%, STZ -95%, GOOGL TRIPLED to $15.6B, new DAL/GOOG/M. Abel cash $380B</t>
  </si>
  <si>
    <t>Run: python update_sp500_dashboard.py</t>
  </si>
  <si>
    <t>▶  UPDATE DATA</t>
  </si>
  <si>
    <t>BRK: 13F thru Q4 2025 + Q1 26 earnings ($397B cash) | KHC exit REVERSED | BAC sell 7th qtr | $234M buyback | Abel "core four": AAPL AXP KO MCO</t>
  </si>
  <si>
    <t>#</t>
  </si>
  <si>
    <t>Industry</t>
  </si>
  <si>
    <t>Share Price ($)</t>
  </si>
  <si>
    <t>1Y Price Change (%)</t>
  </si>
  <si>
    <t>Market Cap ($B)</t>
  </si>
  <si>
    <t>Revenue Growth (%)</t>
  </si>
  <si>
    <t>Gross Margin (%)</t>
  </si>
  <si>
    <t>P/E</t>
  </si>
  <si>
    <t>Intrinsic Value ($B)</t>
  </si>
  <si>
    <t>IV vs MCap Discount (%)</t>
  </si>
  <si>
    <t>P/FCF</t>
  </si>
  <si>
    <t>BRK?</t>
  </si>
  <si>
    <t>BRK Pos ($B)</t>
  </si>
  <si>
    <t>BRK Net Action</t>
  </si>
  <si>
    <t>BRK Avg Cost ($)</t>
  </si>
  <si>
    <t>Activity Detail (2025-Q1 2026)</t>
  </si>
  <si>
    <t>MS</t>
  </si>
  <si>
    <t>Morgan Stanley</t>
  </si>
  <si>
    <t>Capital Markets</t>
  </si>
  <si>
    <t>SCHW</t>
  </si>
  <si>
    <t>Charles Schwab</t>
  </si>
  <si>
    <t>O</t>
  </si>
  <si>
    <t>Realty Income</t>
  </si>
  <si>
    <t>REIT - Retail</t>
  </si>
  <si>
    <t>PLD</t>
  </si>
  <si>
    <t>Prologis</t>
  </si>
  <si>
    <t>REIT - Industrial</t>
  </si>
  <si>
    <t>BAC</t>
  </si>
  <si>
    <t>Bank of America</t>
  </si>
  <si>
    <t>Banks - Diversified</t>
  </si>
  <si>
    <t>YES</t>
  </si>
  <si>
    <t>Sell</t>
  </si>
  <si>
    <t>Sold 48.7M Q1-25 → 26.3M Q2 → 50.8M Q4 → Q1-26: TRIMMED &lt;1% (~4M sh) to 513M. 9.5% of portfolio. $ drop mostly price ($55→$49)</t>
  </si>
  <si>
    <t>VRSN</t>
  </si>
  <si>
    <t>VeriSign</t>
  </si>
  <si>
    <t>Software - Infrastructure</t>
  </si>
  <si>
    <t>Hold</t>
  </si>
  <si>
    <t>Held Q1-Q2-25 → Trimmed Q3-Q4 → Q1-26: UNCHANGED (NOT exited — Kiplinger/Benzinga not in 16-exit list). ~13.5M sh</t>
  </si>
  <si>
    <t>COF</t>
  </si>
  <si>
    <t>Capital One Financial</t>
  </si>
  <si>
    <t>Credit Services</t>
  </si>
  <si>
    <t>~9.9M sh since 2022. Q1-26: UNCHANGED (NOT exited despite Combs-era origin). Held through Combs departure</t>
  </si>
  <si>
    <t>ESS</t>
  </si>
  <si>
    <t>Essex Property Trust</t>
  </si>
  <si>
    <t>REIT - Residential</t>
  </si>
  <si>
    <t>REG</t>
  </si>
  <si>
    <t>Regency Centers</t>
  </si>
  <si>
    <t>V</t>
  </si>
  <si>
    <t>Visa</t>
  </si>
  <si>
    <t>SOLD</t>
  </si>
  <si>
    <t>Sold</t>
  </si>
  <si>
    <t>Held unchanged 2025 → Q1-26: ABEL FULLY EXITED. Combs-era position (since 2011). Symbolic: "no longer a fan of payments processors" (Kiplinger)</t>
  </si>
  <si>
    <t>EXR</t>
  </si>
  <si>
    <t>Extra Space Storage</t>
  </si>
  <si>
    <t>GS</t>
  </si>
  <si>
    <t>Goldman Sachs Group</t>
  </si>
  <si>
    <t>SYF</t>
  </si>
  <si>
    <t>Synchrony Finl</t>
  </si>
  <si>
    <t>SPG</t>
  </si>
  <si>
    <t>Simon Property Group</t>
  </si>
  <si>
    <t>AVB</t>
  </si>
  <si>
    <t>AvalonBay Communities</t>
  </si>
  <si>
    <t>PSA</t>
  </si>
  <si>
    <t>Public Storage</t>
  </si>
  <si>
    <t>KIM</t>
  </si>
  <si>
    <t>Kimco Realty</t>
  </si>
  <si>
    <t>CME</t>
  </si>
  <si>
    <t>CME Group</t>
  </si>
  <si>
    <t>Financial Data &amp; Stock Exchanges</t>
  </si>
  <si>
    <t>MAA</t>
  </si>
  <si>
    <t>Mid-America Apartment</t>
  </si>
  <si>
    <t>STT</t>
  </si>
  <si>
    <t>State Street</t>
  </si>
  <si>
    <t>Asset Management</t>
  </si>
  <si>
    <t>DLR</t>
  </si>
  <si>
    <t>Digital Realty Trust</t>
  </si>
  <si>
    <t>REIT - Office</t>
  </si>
  <si>
    <t>EQR</t>
  </si>
  <si>
    <t>Equity Residential</t>
  </si>
  <si>
    <t>KEY</t>
  </si>
  <si>
    <t>KeyCorp</t>
  </si>
  <si>
    <t>Banks - Regional</t>
  </si>
  <si>
    <t>MKTX</t>
  </si>
  <si>
    <t>MarketAxess Holdings</t>
  </si>
  <si>
    <t>ARE</t>
  </si>
  <si>
    <t>Alexandria Real Estate</t>
  </si>
  <si>
    <t>BIIB</t>
  </si>
  <si>
    <t>Biogen</t>
  </si>
  <si>
    <t>Drug Manufacturers - General</t>
  </si>
  <si>
    <t>MA</t>
  </si>
  <si>
    <t>Mastercard</t>
  </si>
  <si>
    <t>Held since 2011 → Q1-26: ABEL FULLY EXITED with V. Combs-era payments exposure ended entirely</t>
  </si>
  <si>
    <t>RF</t>
  </si>
  <si>
    <t>Regions Financial</t>
  </si>
  <si>
    <t>MSCI</t>
  </si>
  <si>
    <t>AVGO</t>
  </si>
  <si>
    <t>Broadcom</t>
  </si>
  <si>
    <t>Semiconductors</t>
  </si>
  <si>
    <t>PNC</t>
  </si>
  <si>
    <t>PNC Financial Services Gr</t>
  </si>
  <si>
    <t>SBAC</t>
  </si>
  <si>
    <t>SBA Communications</t>
  </si>
  <si>
    <t>REIT - Specialty</t>
  </si>
  <si>
    <t>TXN</t>
  </si>
  <si>
    <t>Texas Instruments</t>
  </si>
  <si>
    <t>BXP</t>
  </si>
  <si>
    <t>Boston Properties</t>
  </si>
  <si>
    <t>SPGI</t>
  </si>
  <si>
    <t>S&amp;P Global</t>
  </si>
  <si>
    <t>NVIDIA</t>
  </si>
  <si>
    <t>UDR</t>
  </si>
  <si>
    <t>ABBV</t>
  </si>
  <si>
    <t>AbbVie</t>
  </si>
  <si>
    <t>MO</t>
  </si>
  <si>
    <t>Altria Group</t>
  </si>
  <si>
    <t>Tobacco</t>
  </si>
  <si>
    <t>AXP</t>
  </si>
  <si>
    <t>American Express</t>
  </si>
  <si>
    <t>151.6M sh, 17.4% of portfolio, 22.2% of AXP outstanding. Q1-26: UNCHANGED. Drop from $56.1B is price ($370→$302). "Core four" forever</t>
  </si>
  <si>
    <t>NTRS</t>
  </si>
  <si>
    <t>Northern Trust</t>
  </si>
  <si>
    <t>GILD</t>
  </si>
  <si>
    <t>Gilead Sciences</t>
  </si>
  <si>
    <t>ADBE</t>
  </si>
  <si>
    <t>Adobe</t>
  </si>
  <si>
    <t>AMGN</t>
  </si>
  <si>
    <t>Amgen</t>
  </si>
  <si>
    <t>AMT</t>
  </si>
  <si>
    <t>American Tower</t>
  </si>
  <si>
    <t>ICE</t>
  </si>
  <si>
    <t>Intercontinental Exchange</t>
  </si>
  <si>
    <t>VRTX</t>
  </si>
  <si>
    <t>Vertex Pharmaceuticals</t>
  </si>
  <si>
    <t>Biotechnology</t>
  </si>
  <si>
    <t>MTB</t>
  </si>
  <si>
    <t>M&amp;T Bank</t>
  </si>
  <si>
    <t>ADI</t>
  </si>
  <si>
    <t>Analog Devices</t>
  </si>
  <si>
    <t>MCO</t>
  </si>
  <si>
    <t>Moody's</t>
  </si>
  <si>
    <t>24.67M sh since 2000. Q1-26: UNCHANGED. ~$485/sh value. "Core four" forever</t>
  </si>
  <si>
    <t>FTNT</t>
  </si>
  <si>
    <t>Fortinet</t>
  </si>
  <si>
    <t>EA</t>
  </si>
  <si>
    <t>Electronic Arts</t>
  </si>
  <si>
    <t>Electronic Gaming &amp; Multimedia</t>
  </si>
  <si>
    <t>HBAN</t>
  </si>
  <si>
    <t>Huntington Bancshares</t>
  </si>
  <si>
    <t>ORCL</t>
  </si>
  <si>
    <t>Oracle</t>
  </si>
  <si>
    <t>PM</t>
  </si>
  <si>
    <t>Philip Morris Intl</t>
  </si>
  <si>
    <t>PRU</t>
  </si>
  <si>
    <t>Prudential Financial</t>
  </si>
  <si>
    <t>Insurance - Life</t>
  </si>
  <si>
    <t>MSFT</t>
  </si>
  <si>
    <t>Microsoft</t>
  </si>
  <si>
    <t>BKNG</t>
  </si>
  <si>
    <t>Booking Holdings</t>
  </si>
  <si>
    <t>Travel Services</t>
  </si>
  <si>
    <t>INTU</t>
  </si>
  <si>
    <t>Intuit</t>
  </si>
  <si>
    <t>Software - Application</t>
  </si>
  <si>
    <t>WELL</t>
  </si>
  <si>
    <t>Welltower</t>
  </si>
  <si>
    <t>REIT - Healthcare Facilities</t>
  </si>
  <si>
    <t>INCY</t>
  </si>
  <si>
    <t>Incyte</t>
  </si>
  <si>
    <t>GL</t>
  </si>
  <si>
    <t>Globe Life</t>
  </si>
  <si>
    <t>CSCO</t>
  </si>
  <si>
    <t>Cisco Systems</t>
  </si>
  <si>
    <t>Communication Equipment</t>
  </si>
  <si>
    <t>QCOM</t>
  </si>
  <si>
    <t>Qualcomm</t>
  </si>
  <si>
    <t>TTWO</t>
  </si>
  <si>
    <t>Take-Two Interactive</t>
  </si>
  <si>
    <t>PAYX</t>
  </si>
  <si>
    <t>Paychex</t>
  </si>
  <si>
    <t>Staffing &amp; Employment Services</t>
  </si>
  <si>
    <t>MCHP</t>
  </si>
  <si>
    <t>Microchip Technology</t>
  </si>
  <si>
    <t>VRSK</t>
  </si>
  <si>
    <t>Verisk Analytics</t>
  </si>
  <si>
    <t>Consulting Services</t>
  </si>
  <si>
    <t>CDNS</t>
  </si>
  <si>
    <t>Cadence Design Systems</t>
  </si>
  <si>
    <t>BMY</t>
  </si>
  <si>
    <t>Bristol-Myers Squibb</t>
  </si>
  <si>
    <t>Restaurants</t>
  </si>
  <si>
    <t>CSX</t>
  </si>
  <si>
    <t>Railroads</t>
  </si>
  <si>
    <t>ISRG</t>
  </si>
  <si>
    <t>Intuitive Surgical</t>
  </si>
  <si>
    <t>Medical Instruments &amp; Supplies</t>
  </si>
  <si>
    <t>ROP</t>
  </si>
  <si>
    <t>Roper Technologies</t>
  </si>
  <si>
    <t>Specialty Industrial Machinery</t>
  </si>
  <si>
    <t>FFIV</t>
  </si>
  <si>
    <t>F5 Networks</t>
  </si>
  <si>
    <t>NOW</t>
  </si>
  <si>
    <t>ServiceNow</t>
  </si>
  <si>
    <t>REGN</t>
  </si>
  <si>
    <t>Regeneron Pharmaceuticals</t>
  </si>
  <si>
    <t>ALGN</t>
  </si>
  <si>
    <t>Align Tech</t>
  </si>
  <si>
    <t>Medical Devices</t>
  </si>
  <si>
    <t>SWKS</t>
  </si>
  <si>
    <t>Skyworks Solutions</t>
  </si>
  <si>
    <t>AFL</t>
  </si>
  <si>
    <t>Aflac</t>
  </si>
  <si>
    <t>JNJ</t>
  </si>
  <si>
    <t>Johnson &amp; Johnson</t>
  </si>
  <si>
    <t>LRCX</t>
  </si>
  <si>
    <t>Lam Research</t>
  </si>
  <si>
    <t>Semiconductor Equipment &amp; Materials</t>
  </si>
  <si>
    <t>QRVO</t>
  </si>
  <si>
    <t>Qorvo</t>
  </si>
  <si>
    <t>AAPL</t>
  </si>
  <si>
    <t>Apple</t>
  </si>
  <si>
    <t>Consumer Electronics</t>
  </si>
  <si>
    <t>227.9M sh, ~22.0% of portfolio. Q1-26 13F: UNCHANGED — Abel paused the trim. Drop from $61.96B is price (Q4 $271→Q1 $254). "Core four" — untouchable</t>
  </si>
  <si>
    <t>CF</t>
  </si>
  <si>
    <t>CF Industries Holdings</t>
  </si>
  <si>
    <t>Agricultural Inputs</t>
  </si>
  <si>
    <t>MNST</t>
  </si>
  <si>
    <t>Monster Beverage</t>
  </si>
  <si>
    <t>Beverages - Non-Alcoholic</t>
  </si>
  <si>
    <t>EBAY</t>
  </si>
  <si>
    <t>eBay</t>
  </si>
  <si>
    <t>Internet Retail</t>
  </si>
  <si>
    <t>UNP</t>
  </si>
  <si>
    <t>Union Pacific</t>
  </si>
  <si>
    <t>KLAC</t>
  </si>
  <si>
    <t>KLA</t>
  </si>
  <si>
    <t>TROW</t>
  </si>
  <si>
    <t>T. Rowe Price Group</t>
  </si>
  <si>
    <t>KO</t>
  </si>
  <si>
    <t>Coca-Cola</t>
  </si>
  <si>
    <t>400M sh (9.3% of KO), 11.6% of portfolio. Q1-26: UNCHANGED. Held since 1988. "Core four" forever</t>
  </si>
  <si>
    <t>CFG</t>
  </si>
  <si>
    <t>Citizens Financial Group</t>
  </si>
  <si>
    <t>PYPL</t>
  </si>
  <si>
    <t>PayPal Holdings</t>
  </si>
  <si>
    <t>CRM</t>
  </si>
  <si>
    <t>Salesforce</t>
  </si>
  <si>
    <t>MDT</t>
  </si>
  <si>
    <t>Medtronic</t>
  </si>
  <si>
    <t>MRK</t>
  </si>
  <si>
    <t>Merck &amp; Co</t>
  </si>
  <si>
    <t>SNPS</t>
  </si>
  <si>
    <t>Synopsys</t>
  </si>
  <si>
    <t>USB</t>
  </si>
  <si>
    <t>U.S. Bancorp</t>
  </si>
  <si>
    <t>ZTS</t>
  </si>
  <si>
    <t>Zoetis</t>
  </si>
  <si>
    <t>Drug Manufacturers - Specialty &amp; Generic</t>
  </si>
  <si>
    <t>EW</t>
  </si>
  <si>
    <t>Edwards Lifesciences</t>
  </si>
  <si>
    <t>FITB</t>
  </si>
  <si>
    <t>Fifth Third Bancorp</t>
  </si>
  <si>
    <t>MSI</t>
  </si>
  <si>
    <t>Motorola Solutions</t>
  </si>
  <si>
    <t>Yum Brands</t>
  </si>
  <si>
    <t>AMAT</t>
  </si>
  <si>
    <t>Applied Materials</t>
  </si>
  <si>
    <t>MET</t>
  </si>
  <si>
    <t>MetLife</t>
  </si>
  <si>
    <t>WAT</t>
  </si>
  <si>
    <t>Waters</t>
  </si>
  <si>
    <t>Diagnostics &amp; Research</t>
  </si>
  <si>
    <t>AME</t>
  </si>
  <si>
    <t>AMETEK</t>
  </si>
  <si>
    <t>NDAQ</t>
  </si>
  <si>
    <t>Nasdaq</t>
  </si>
  <si>
    <t>PFE</t>
  </si>
  <si>
    <t>Pfizer</t>
  </si>
  <si>
    <t>IEX</t>
  </si>
  <si>
    <t>IDEX</t>
  </si>
  <si>
    <t>ITW</t>
  </si>
  <si>
    <t>Illinois Tool Works</t>
  </si>
  <si>
    <t>KEYS</t>
  </si>
  <si>
    <t>Keysight Technologies</t>
  </si>
  <si>
    <t>Scientific &amp; Technical Instruments</t>
  </si>
  <si>
    <t>KMI</t>
  </si>
  <si>
    <t>Kinder Morgan</t>
  </si>
  <si>
    <t>Oil &amp; Gas Midstream</t>
  </si>
  <si>
    <t>WMB</t>
  </si>
  <si>
    <t>Williams Companies</t>
  </si>
  <si>
    <t>STZ</t>
  </si>
  <si>
    <t>Constellation Brands</t>
  </si>
  <si>
    <t>Beverages - Wineries &amp; Distilleries</t>
  </si>
  <si>
    <t>Added Q1-25 → Hold → Trim 0.4M Q4 → Q1-26: CUT 95% — position virtually eliminated (~$55M remnant). One of Abel's most decisive moves</t>
  </si>
  <si>
    <t>CB</t>
  </si>
  <si>
    <t>Chubb</t>
  </si>
  <si>
    <t>Insurance - Property &amp; Casualty</t>
  </si>
  <si>
    <t>34.25M sh. Q1-26: UNCHANGED at this size (after Q3/Q4-25 adds of 7.2M). CB named lead underwriter of US Hormuz shipping insurance</t>
  </si>
  <si>
    <t>DHR</t>
  </si>
  <si>
    <t>Danaher</t>
  </si>
  <si>
    <t>PG</t>
  </si>
  <si>
    <t>Procter &amp; Gamble</t>
  </si>
  <si>
    <t>Household &amp; Personal Products</t>
  </si>
  <si>
    <t>BLK</t>
  </si>
  <si>
    <t>BlackRock</t>
  </si>
  <si>
    <t>CHD</t>
  </si>
  <si>
    <t>Church &amp; Dwight Co</t>
  </si>
  <si>
    <t>HSY</t>
  </si>
  <si>
    <t>Hershey</t>
  </si>
  <si>
    <t>Confectioners</t>
  </si>
  <si>
    <t>LNT</t>
  </si>
  <si>
    <t>Alliant Energy</t>
  </si>
  <si>
    <t>Utilities - Regulated Electric</t>
  </si>
  <si>
    <t>CL</t>
  </si>
  <si>
    <t>Colgate-Palmolive</t>
  </si>
  <si>
    <t>TDG</t>
  </si>
  <si>
    <t>TransDigm Gr</t>
  </si>
  <si>
    <t>Aerospace &amp; Defense</t>
  </si>
  <si>
    <t>GOOG</t>
  </si>
  <si>
    <t>Alphabet</t>
  </si>
  <si>
    <t>Internet Content &amp; Information</t>
  </si>
  <si>
    <t>Buy</t>
  </si>
  <si>
    <t>NEW Q1-26: 3.6M sh ($1B). Alphabet Class C, complementing GOOGL triple. 19th-largest. Total Alphabet exposure now $16.6B</t>
  </si>
  <si>
    <t>GOOGL</t>
  </si>
  <si>
    <t>TRIPLED — Abel added 36M sh to total 54M ($15.6B), 7th-largest holding. 5.9% of portfolio. +224%. First bought Q3-25. AI conviction</t>
  </si>
  <si>
    <t>PAYC</t>
  </si>
  <si>
    <t>Paycom Software</t>
  </si>
  <si>
    <t>AKAM</t>
  </si>
  <si>
    <t>Akamai Technologies</t>
  </si>
  <si>
    <t>CE</t>
  </si>
  <si>
    <t>Celanese</t>
  </si>
  <si>
    <t>Chemicals</t>
  </si>
  <si>
    <t>MTD</t>
  </si>
  <si>
    <t>Mettler-Toledo Intl</t>
  </si>
  <si>
    <t>NTAP</t>
  </si>
  <si>
    <t>NetApp</t>
  </si>
  <si>
    <t>Computer Hardware</t>
  </si>
  <si>
    <t>HON</t>
  </si>
  <si>
    <t>Honeywell International</t>
  </si>
  <si>
    <t>NSC</t>
  </si>
  <si>
    <t>Norfolk Southern</t>
  </si>
  <si>
    <t>TRV</t>
  </si>
  <si>
    <t>Travelers Companies</t>
  </si>
  <si>
    <t>FOX</t>
  </si>
  <si>
    <t>Fox</t>
  </si>
  <si>
    <t>Broadcasting</t>
  </si>
  <si>
    <t>FOXA</t>
  </si>
  <si>
    <t>IVZ</t>
  </si>
  <si>
    <t>Invesco</t>
  </si>
  <si>
    <t>BDX</t>
  </si>
  <si>
    <t>Becton, Dickinson</t>
  </si>
  <si>
    <t>IP</t>
  </si>
  <si>
    <t>International Paper</t>
  </si>
  <si>
    <t>Packaging &amp; Containers</t>
  </si>
  <si>
    <t>T</t>
  </si>
  <si>
    <t>AT&amp;T</t>
  </si>
  <si>
    <t>Telecom Services</t>
  </si>
  <si>
    <t>ROK</t>
  </si>
  <si>
    <t>Rockwell Automation</t>
  </si>
  <si>
    <t>HOLX</t>
  </si>
  <si>
    <t>Hologic</t>
  </si>
  <si>
    <t>TMO</t>
  </si>
  <si>
    <t>Thermo Fisher Scientific</t>
  </si>
  <si>
    <t>LLY</t>
  </si>
  <si>
    <t>Eli Lilly</t>
  </si>
  <si>
    <t>ADP</t>
  </si>
  <si>
    <t>Automatic Data Processing</t>
  </si>
  <si>
    <t>FIS</t>
  </si>
  <si>
    <t>Fidelity National Info</t>
  </si>
  <si>
    <t>Information Technology Services</t>
  </si>
  <si>
    <t>GRMN</t>
  </si>
  <si>
    <t>Garmin</t>
  </si>
  <si>
    <t>IBM</t>
  </si>
  <si>
    <t>PGR</t>
  </si>
  <si>
    <t>Progressive</t>
  </si>
  <si>
    <t>ALLE</t>
  </si>
  <si>
    <t>Allegion</t>
  </si>
  <si>
    <t>Security &amp; Protection Services</t>
  </si>
  <si>
    <t>New Q2-25: 0.8M @~$135 → Held → Q1-26: FULLY EXITED. Tiny position swept clean</t>
  </si>
  <si>
    <t>CINF</t>
  </si>
  <si>
    <t>Cincinnati Financial</t>
  </si>
  <si>
    <t>RMD</t>
  </si>
  <si>
    <t>ResMed</t>
  </si>
  <si>
    <t>GIS</t>
  </si>
  <si>
    <t>General Mills</t>
  </si>
  <si>
    <t>Packaged Foods</t>
  </si>
  <si>
    <t>AON</t>
  </si>
  <si>
    <t>Aon</t>
  </si>
  <si>
    <t>Insurance Brokers</t>
  </si>
  <si>
    <t>Held → Trim Q4-25 → Q1-26: FULLY EXITED. Insurance broker exit (kept CB)</t>
  </si>
  <si>
    <t>CTAS</t>
  </si>
  <si>
    <t>Cintas</t>
  </si>
  <si>
    <t>Specialty Business Services</t>
  </si>
  <si>
    <t>APH</t>
  </si>
  <si>
    <t>Amphenol</t>
  </si>
  <si>
    <t>Electronic Components</t>
  </si>
  <si>
    <t>NEM</t>
  </si>
  <si>
    <t>Newmont</t>
  </si>
  <si>
    <t>Gold</t>
  </si>
  <si>
    <t>ABT</t>
  </si>
  <si>
    <t>Abbott Laboratories</t>
  </si>
  <si>
    <t>SNA</t>
  </si>
  <si>
    <t>Snap-on</t>
  </si>
  <si>
    <t>Tools &amp; Accessories</t>
  </si>
  <si>
    <t>AJG</t>
  </si>
  <si>
    <t>Arthur J. Gallagher</t>
  </si>
  <si>
    <t>EMR</t>
  </si>
  <si>
    <t>Emerson Electric</t>
  </si>
  <si>
    <t>ZBRA</t>
  </si>
  <si>
    <t>Zebra Technologies</t>
  </si>
  <si>
    <t>WRB</t>
  </si>
  <si>
    <t>WR Berkley</t>
  </si>
  <si>
    <t>COP</t>
  </si>
  <si>
    <t>ConocoPhillips</t>
  </si>
  <si>
    <t>Oil &amp; Gas E&amp;P</t>
  </si>
  <si>
    <t>ETN</t>
  </si>
  <si>
    <t>Eaton Corp</t>
  </si>
  <si>
    <t>ACN</t>
  </si>
  <si>
    <t>Accenture</t>
  </si>
  <si>
    <t>CLX</t>
  </si>
  <si>
    <t>Clorox</t>
  </si>
  <si>
    <t>WM</t>
  </si>
  <si>
    <t>Waste Management</t>
  </si>
  <si>
    <t>AOS</t>
  </si>
  <si>
    <t>A.O. Smith</t>
  </si>
  <si>
    <t>LUV</t>
  </si>
  <si>
    <t>Southwest Airlines</t>
  </si>
  <si>
    <t>Airlines</t>
  </si>
  <si>
    <t>MKC</t>
  </si>
  <si>
    <t>McCormick &amp; Co</t>
  </si>
  <si>
    <t>VZ</t>
  </si>
  <si>
    <t>Verizon Communications</t>
  </si>
  <si>
    <t>BSX</t>
  </si>
  <si>
    <t>Boston Scientific</t>
  </si>
  <si>
    <t>EXPE</t>
  </si>
  <si>
    <t>Expedia Group</t>
  </si>
  <si>
    <t>IDXX</t>
  </si>
  <si>
    <t>IDEXX Laboratories</t>
  </si>
  <si>
    <t>LVS</t>
  </si>
  <si>
    <t>Las Vegas Sands</t>
  </si>
  <si>
    <t>Resorts &amp; Casinos</t>
  </si>
  <si>
    <t>CTSH</t>
  </si>
  <si>
    <t>Cognizant Tech Solns</t>
  </si>
  <si>
    <t>HST</t>
  </si>
  <si>
    <t>Host Hotels &amp; Resorts</t>
  </si>
  <si>
    <t>REIT - Hotel &amp; Motel</t>
  </si>
  <si>
    <t>SJM</t>
  </si>
  <si>
    <t>JM Smucker</t>
  </si>
  <si>
    <t>TAP</t>
  </si>
  <si>
    <t>Molson Coors Beverage</t>
  </si>
  <si>
    <t>Beverages - Brewers</t>
  </si>
  <si>
    <t>TFC</t>
  </si>
  <si>
    <t>Truist Financial</t>
  </si>
  <si>
    <t>HLT</t>
  </si>
  <si>
    <t>Hilton Worldwide Holdings</t>
  </si>
  <si>
    <t>Lodging</t>
  </si>
  <si>
    <t>IR</t>
  </si>
  <si>
    <t>Ingersoll Rand</t>
  </si>
  <si>
    <t>NRG</t>
  </si>
  <si>
    <t>NRG Energy</t>
  </si>
  <si>
    <t>Utilities - Independent Power Producers</t>
  </si>
  <si>
    <t>ODFL</t>
  </si>
  <si>
    <t>Old Dominion Freight</t>
  </si>
  <si>
    <t>Trucking</t>
  </si>
  <si>
    <t>VMC</t>
  </si>
  <si>
    <t>Vulcan Materials</t>
  </si>
  <si>
    <t>Building Materials</t>
  </si>
  <si>
    <t>AZO</t>
  </si>
  <si>
    <t>AutoZone</t>
  </si>
  <si>
    <t>Specialty Retail</t>
  </si>
  <si>
    <t>MLM</t>
  </si>
  <si>
    <t>Martin Marietta Materials</t>
  </si>
  <si>
    <t>CMCSA</t>
  </si>
  <si>
    <t>Comcast</t>
  </si>
  <si>
    <t>Entertainment</t>
  </si>
  <si>
    <t>OMC</t>
  </si>
  <si>
    <t>Omnicom Group</t>
  </si>
  <si>
    <t>Advertising Agencies</t>
  </si>
  <si>
    <t>MDLZ</t>
  </si>
  <si>
    <t>Mondelez International</t>
  </si>
  <si>
    <t>EMN</t>
  </si>
  <si>
    <t>Eastman Chemical</t>
  </si>
  <si>
    <t>XYL</t>
  </si>
  <si>
    <t>Xylem</t>
  </si>
  <si>
    <t>DVA</t>
  </si>
  <si>
    <t>DaVita</t>
  </si>
  <si>
    <t>Medical Care Facilities</t>
  </si>
  <si>
    <t>Hold Q1-25 → Trim Q2 → Hold Q3 → Sold 3.8M Q4 → Q1-26: trimmed another ~5% (Weschler position thinning)</t>
  </si>
  <si>
    <t>PKG</t>
  </si>
  <si>
    <t>Packaging Corp of America</t>
  </si>
  <si>
    <t>CPB</t>
  </si>
  <si>
    <t>Campbell Soup</t>
  </si>
  <si>
    <t>LW</t>
  </si>
  <si>
    <t>Lamb Weston Holdings</t>
  </si>
  <si>
    <t>A</t>
  </si>
  <si>
    <t>Agilent Technologies</t>
  </si>
  <si>
    <t>NVR</t>
  </si>
  <si>
    <t>Residential Construction</t>
  </si>
  <si>
    <t>~11K sh (Weschler). Q1-26: UNCHANGED</t>
  </si>
  <si>
    <t>SLB</t>
  </si>
  <si>
    <t>Schlumberger</t>
  </si>
  <si>
    <t>Oil &amp; Gas Equipment &amp; Services</t>
  </si>
  <si>
    <t>STE</t>
  </si>
  <si>
    <t>Steris</t>
  </si>
  <si>
    <t>KHC</t>
  </si>
  <si>
    <t>Kraft Heinz</t>
  </si>
  <si>
    <t>Jan-26: Abel filed sale of 325.6M sh → Mar: REVERSED after KHC cancelled split. Q1-26 13F: UNCHANGED. Abel: "no plans to sell"</t>
  </si>
  <si>
    <t>SHW</t>
  </si>
  <si>
    <t>Sherwin-Williams</t>
  </si>
  <si>
    <t>Specialty Chemicals</t>
  </si>
  <si>
    <t>CCI</t>
  </si>
  <si>
    <t>Crown Castle Intl</t>
  </si>
  <si>
    <t>FAST</t>
  </si>
  <si>
    <t>Fastenal</t>
  </si>
  <si>
    <t>Industrial Distribution</t>
  </si>
  <si>
    <t>PPG</t>
  </si>
  <si>
    <t>PPG Industries</t>
  </si>
  <si>
    <t>RSG</t>
  </si>
  <si>
    <t>Republic Services</t>
  </si>
  <si>
    <t>DGX</t>
  </si>
  <si>
    <t>Quest Diagnostics</t>
  </si>
  <si>
    <t>ECL</t>
  </si>
  <si>
    <t>Ecolab</t>
  </si>
  <si>
    <t>HAS</t>
  </si>
  <si>
    <t>Hasbro</t>
  </si>
  <si>
    <t>Leisure</t>
  </si>
  <si>
    <t>ULTA</t>
  </si>
  <si>
    <t>Ulta Beauty</t>
  </si>
  <si>
    <t>DOV</t>
  </si>
  <si>
    <t>Dover</t>
  </si>
  <si>
    <t>APD</t>
  </si>
  <si>
    <t>Air Products &amp; Chemicals</t>
  </si>
  <si>
    <t>ALL</t>
  </si>
  <si>
    <t>Allstate</t>
  </si>
  <si>
    <t>BR</t>
  </si>
  <si>
    <t>Broadridge Financial Soln</t>
  </si>
  <si>
    <t>ORLY</t>
  </si>
  <si>
    <t>O'Reilly Automotive</t>
  </si>
  <si>
    <t>PNR</t>
  </si>
  <si>
    <t>Pentair</t>
  </si>
  <si>
    <t>EOG</t>
  </si>
  <si>
    <t>EOG Resources</t>
  </si>
  <si>
    <t>SYK</t>
  </si>
  <si>
    <t>Stryker</t>
  </si>
  <si>
    <t>SBUX</t>
  </si>
  <si>
    <t>Starbucks</t>
  </si>
  <si>
    <t>TT</t>
  </si>
  <si>
    <t>Trane Technologies</t>
  </si>
  <si>
    <t>WAB</t>
  </si>
  <si>
    <t>Westinghouse Air Brake</t>
  </si>
  <si>
    <t>CHTR</t>
  </si>
  <si>
    <t>Charter Communications</t>
  </si>
  <si>
    <t>Held unchanged 2025 → Q1-26: FULLY EXITED ~5.3M sh (was thought Weschler). Surprise — cable exit</t>
  </si>
  <si>
    <t>Lennar</t>
  </si>
  <si>
    <t>OTIS</t>
  </si>
  <si>
    <t>Otis Worldwide</t>
  </si>
  <si>
    <t>ROST</t>
  </si>
  <si>
    <t>Ross Stores</t>
  </si>
  <si>
    <t>Apparel Retail</t>
  </si>
  <si>
    <t>HD</t>
  </si>
  <si>
    <t>Home Depot</t>
  </si>
  <si>
    <t>Home Improvement Retail</t>
  </si>
  <si>
    <t>PHM</t>
  </si>
  <si>
    <t>PulteGroup</t>
  </si>
  <si>
    <t>RJF</t>
  </si>
  <si>
    <t>Raymond James Financial</t>
  </si>
  <si>
    <t>IT</t>
  </si>
  <si>
    <t>Gartner</t>
  </si>
  <si>
    <t>LHX</t>
  </si>
  <si>
    <t>L3Harris Technologies</t>
  </si>
  <si>
    <t>LMT</t>
  </si>
  <si>
    <t>Lockheed Martin</t>
  </si>
  <si>
    <t>MAS</t>
  </si>
  <si>
    <t>Masco</t>
  </si>
  <si>
    <t>Building Products &amp; Equipment</t>
  </si>
  <si>
    <t>CARR</t>
  </si>
  <si>
    <t>Carrier Global</t>
  </si>
  <si>
    <t>CVX</t>
  </si>
  <si>
    <t>Chevron</t>
  </si>
  <si>
    <t>Oil &amp; Gas Integrated</t>
  </si>
  <si>
    <t>BIG REVERSAL — Abel sold 45.78M @~$182.59 (-35%) cashing out ~$8.4B. Now 84.2M sh / $17.5B / 6.6% of portfolio. After adding 8M Q4-25</t>
  </si>
  <si>
    <t>NOC</t>
  </si>
  <si>
    <t>Northrop Grumman</t>
  </si>
  <si>
    <t>RL</t>
  </si>
  <si>
    <t>Ralph Lauren</t>
  </si>
  <si>
    <t>Apparel Manufacturing</t>
  </si>
  <si>
    <t>LH</t>
  </si>
  <si>
    <t>Laboratory Corp</t>
  </si>
  <si>
    <t>IFF</t>
  </si>
  <si>
    <t>Intl Flavors &amp; Fragrances</t>
  </si>
  <si>
    <t>FMC</t>
  </si>
  <si>
    <t>LIN</t>
  </si>
  <si>
    <t>Linde</t>
  </si>
  <si>
    <t>EXPD</t>
  </si>
  <si>
    <t>Expeditors International</t>
  </si>
  <si>
    <t>Integrated Freight &amp; Logistics</t>
  </si>
  <si>
    <t>DOW</t>
  </si>
  <si>
    <t>Dow</t>
  </si>
  <si>
    <t>CAG</t>
  </si>
  <si>
    <t>Conagra Brands</t>
  </si>
  <si>
    <t>JPM</t>
  </si>
  <si>
    <t>JPMorgan Chase</t>
  </si>
  <si>
    <t>KMB</t>
  </si>
  <si>
    <t>Kimberly-Clark</t>
  </si>
  <si>
    <t>MGM</t>
  </si>
  <si>
    <t>MGM Resorts Intl</t>
  </si>
  <si>
    <t>NKE</t>
  </si>
  <si>
    <t>Nike</t>
  </si>
  <si>
    <t>Footwear &amp; Accessories</t>
  </si>
  <si>
    <t>PEP</t>
  </si>
  <si>
    <t>PepsiCo</t>
  </si>
  <si>
    <t>RTX</t>
  </si>
  <si>
    <t>United Technologies</t>
  </si>
  <si>
    <t>TPR</t>
  </si>
  <si>
    <t>Tapestry</t>
  </si>
  <si>
    <t>Luxury Goods</t>
  </si>
  <si>
    <t>CAT</t>
  </si>
  <si>
    <t>Caterpillar</t>
  </si>
  <si>
    <t>Farm &amp; Heavy Construction Machinery</t>
  </si>
  <si>
    <t>WFC</t>
  </si>
  <si>
    <t>Wells Fargo</t>
  </si>
  <si>
    <t>AMZN</t>
  </si>
  <si>
    <t>Amazon</t>
  </si>
  <si>
    <t>Held Q1-Q3-25 → 77% cut Q4-25 → Q1-26: REMAINING 2.3M sh fully exited. Combs unwind complete</t>
  </si>
  <si>
    <t>LDOS</t>
  </si>
  <si>
    <t>Leidos Holdings</t>
  </si>
  <si>
    <t>SWK</t>
  </si>
  <si>
    <t>Stanley Black &amp; Decker</t>
  </si>
  <si>
    <t>IQV</t>
  </si>
  <si>
    <t>IQVIA Holdings</t>
  </si>
  <si>
    <t>HPQ</t>
  </si>
  <si>
    <t>HP</t>
  </si>
  <si>
    <t>DAL</t>
  </si>
  <si>
    <t>Delta Air Lines</t>
  </si>
  <si>
    <t>NEW Q1-26: 39.8M sh ($2.6B), 14th-largest holding (~1% wt). First airline bet since 2020 COVID exit. Signal: oil headwind passing for carriers</t>
  </si>
  <si>
    <t>GWW</t>
  </si>
  <si>
    <t>W.W. Grainger</t>
  </si>
  <si>
    <t>URI</t>
  </si>
  <si>
    <t>United Rentals</t>
  </si>
  <si>
    <t>Rental &amp; Leasing Services</t>
  </si>
  <si>
    <t>AVY</t>
  </si>
  <si>
    <t>Avery Dennison</t>
  </si>
  <si>
    <t>Business Equipment &amp; Supplies</t>
  </si>
  <si>
    <t>Chipotle Mexican Grill</t>
  </si>
  <si>
    <t>TJX</t>
  </si>
  <si>
    <t>TJX Companies</t>
  </si>
  <si>
    <t>UnitedHealth Group</t>
  </si>
  <si>
    <t>Healthcare Plans</t>
  </si>
  <si>
    <t>New Q2-25: 5M sh @~$420 ($2.1B) → Held Q3-Q4-25 → Q1-26: ABEL FULLY EXITED. Buffett initiated &lt;1 yr ago; -3% AH on news</t>
  </si>
  <si>
    <t>HCA</t>
  </si>
  <si>
    <t>HCA Healthcare</t>
  </si>
  <si>
    <t>SEE</t>
  </si>
  <si>
    <t>Sealed Air</t>
  </si>
  <si>
    <t>CPRT</t>
  </si>
  <si>
    <t>Copart</t>
  </si>
  <si>
    <t>LYB</t>
  </si>
  <si>
    <t>LyondellBasell Industries</t>
  </si>
  <si>
    <t>F</t>
  </si>
  <si>
    <t>Ford Motor</t>
  </si>
  <si>
    <t>Auto Manufacturers</t>
  </si>
  <si>
    <t>HRL</t>
  </si>
  <si>
    <t>Hormel Foods</t>
  </si>
  <si>
    <t>LKQ</t>
  </si>
  <si>
    <t>Auto Parts</t>
  </si>
  <si>
    <t>RCL</t>
  </si>
  <si>
    <t>Royal Caribbean Cruises</t>
  </si>
  <si>
    <t>APTV</t>
  </si>
  <si>
    <t>Aptiv</t>
  </si>
  <si>
    <t>HSIC</t>
  </si>
  <si>
    <t>Henry Schein</t>
  </si>
  <si>
    <t>Medical Distribution</t>
  </si>
  <si>
    <t>NUE</t>
  </si>
  <si>
    <t>Nucor</t>
  </si>
  <si>
    <t>Steel</t>
  </si>
  <si>
    <t>DHI</t>
  </si>
  <si>
    <t>D.R. Horton</t>
  </si>
  <si>
    <t>CI</t>
  </si>
  <si>
    <t>Cigna</t>
  </si>
  <si>
    <t>FRT</t>
  </si>
  <si>
    <t>Federal Realty Investment</t>
  </si>
  <si>
    <t>UAL</t>
  </si>
  <si>
    <t>United Airlines Holdings</t>
  </si>
  <si>
    <t>BWA</t>
  </si>
  <si>
    <t>BorgWarner</t>
  </si>
  <si>
    <t>IRM</t>
  </si>
  <si>
    <t>Iron Mountain</t>
  </si>
  <si>
    <t>TGT</t>
  </si>
  <si>
    <t>Target</t>
  </si>
  <si>
    <t>Discount Stores</t>
  </si>
  <si>
    <t>DG</t>
  </si>
  <si>
    <t>Dollar General</t>
  </si>
  <si>
    <t>GD</t>
  </si>
  <si>
    <t>General Dynamics</t>
  </si>
  <si>
    <t>TXT</t>
  </si>
  <si>
    <t>Textron</t>
  </si>
  <si>
    <t>CHRW</t>
  </si>
  <si>
    <t>C.H. Robinson Worldwide</t>
  </si>
  <si>
    <t>MAR</t>
  </si>
  <si>
    <t>Marriott Intl</t>
  </si>
  <si>
    <t>L</t>
  </si>
  <si>
    <t>Loews</t>
  </si>
  <si>
    <t>CDW</t>
  </si>
  <si>
    <t>EVRG</t>
  </si>
  <si>
    <t>Evergy</t>
  </si>
  <si>
    <t>AMD</t>
  </si>
  <si>
    <t>Advanced Micro Devices</t>
  </si>
  <si>
    <t>BBY</t>
  </si>
  <si>
    <t>Best Buy Co</t>
  </si>
  <si>
    <t>HAL</t>
  </si>
  <si>
    <t>Halliburton</t>
  </si>
  <si>
    <t>HII</t>
  </si>
  <si>
    <t>Huntington Ingalls Indus</t>
  </si>
  <si>
    <t>CBRE</t>
  </si>
  <si>
    <t>CBRE Group</t>
  </si>
  <si>
    <t>Real Estate Services</t>
  </si>
  <si>
    <t>BKR</t>
  </si>
  <si>
    <t>Baker Hughes</t>
  </si>
  <si>
    <t>LOW</t>
  </si>
  <si>
    <t>Lowe's Companies</t>
  </si>
  <si>
    <t>OXY</t>
  </si>
  <si>
    <t>Occidental Petroleum</t>
  </si>
  <si>
    <t>~265M sh (28% of OXY). Q1-26: essentially unchanged (small add per one source). Brent $104 tailwind continues</t>
  </si>
  <si>
    <t>DLTR</t>
  </si>
  <si>
    <t>Dollar Tree</t>
  </si>
  <si>
    <t>PCAR</t>
  </si>
  <si>
    <t>PACCAR</t>
  </si>
  <si>
    <t>MPC</t>
  </si>
  <si>
    <t>Marathon Petroleum</t>
  </si>
  <si>
    <t>Oil &amp; Gas Refining &amp; Marketing</t>
  </si>
  <si>
    <t>VLO</t>
  </si>
  <si>
    <t>Valero Energy</t>
  </si>
  <si>
    <t>CCL</t>
  </si>
  <si>
    <t>Carnival</t>
  </si>
  <si>
    <t>GPC</t>
  </si>
  <si>
    <t>Genuine Parts</t>
  </si>
  <si>
    <t>TSN</t>
  </si>
  <si>
    <t>Tyson Foods</t>
  </si>
  <si>
    <t>Farm Products</t>
  </si>
  <si>
    <t>HPE</t>
  </si>
  <si>
    <t>Hewlett Packard</t>
  </si>
  <si>
    <t>UPS</t>
  </si>
  <si>
    <t>United Parcel Service</t>
  </si>
  <si>
    <t>WMT</t>
  </si>
  <si>
    <t>Walmart</t>
  </si>
  <si>
    <t>JBHT</t>
  </si>
  <si>
    <t>JB Hunt Transport Servs</t>
  </si>
  <si>
    <t>MU</t>
  </si>
  <si>
    <t>Micron Technology</t>
  </si>
  <si>
    <t>COST</t>
  </si>
  <si>
    <t>Costco Wholesale</t>
  </si>
  <si>
    <t>DE</t>
  </si>
  <si>
    <t>Deere</t>
  </si>
  <si>
    <t>GE</t>
  </si>
  <si>
    <t>General Electric</t>
  </si>
  <si>
    <t>PWR</t>
  </si>
  <si>
    <t>Quanta Services</t>
  </si>
  <si>
    <t>Engineering &amp; Construction</t>
  </si>
  <si>
    <t>SYY</t>
  </si>
  <si>
    <t>Sysco</t>
  </si>
  <si>
    <t>Food Distribution</t>
  </si>
  <si>
    <t>AMCR</t>
  </si>
  <si>
    <t>Amcor</t>
  </si>
  <si>
    <t>NWSA</t>
  </si>
  <si>
    <t>News</t>
  </si>
  <si>
    <t>XOM</t>
  </si>
  <si>
    <t>Exxon Mobil</t>
  </si>
  <si>
    <t>DVN</t>
  </si>
  <si>
    <t>Devon Energy</t>
  </si>
  <si>
    <t>D</t>
  </si>
  <si>
    <t>Dominion Energy</t>
  </si>
  <si>
    <t>Utilities - Diversified</t>
  </si>
  <si>
    <t>MCK</t>
  </si>
  <si>
    <t>McKesson</t>
  </si>
  <si>
    <t>KR</t>
  </si>
  <si>
    <t>Kroger</t>
  </si>
  <si>
    <t>Grocery Stores</t>
  </si>
  <si>
    <t>~50M sh. Q1-26: UNCHANGED. Defensive grocer</t>
  </si>
  <si>
    <t>CAH</t>
  </si>
  <si>
    <t>Cardinal Health</t>
  </si>
  <si>
    <t>CNC</t>
  </si>
  <si>
    <t>Centene</t>
  </si>
  <si>
    <t>PSX</t>
  </si>
  <si>
    <t>Phillips 66</t>
  </si>
  <si>
    <t>WEC</t>
  </si>
  <si>
    <t>WEC Energy Gr</t>
  </si>
  <si>
    <t>LYV</t>
  </si>
  <si>
    <t>Live Nation Entertainment</t>
  </si>
  <si>
    <t>GLW</t>
  </si>
  <si>
    <t>Corning</t>
  </si>
  <si>
    <t>DIS</t>
  </si>
  <si>
    <t>Walt Disney</t>
  </si>
  <si>
    <t>CTVA</t>
  </si>
  <si>
    <t>Corteva</t>
  </si>
  <si>
    <t>AAL</t>
  </si>
  <si>
    <t>American Airlines Group</t>
  </si>
  <si>
    <t>HWM</t>
  </si>
  <si>
    <t>Howmet Aerospace</t>
  </si>
  <si>
    <t>TMUS</t>
  </si>
  <si>
    <t>T-Mobile US</t>
  </si>
  <si>
    <t>Already fully exited Q2-25 @~$195</t>
  </si>
  <si>
    <t>FDX</t>
  </si>
  <si>
    <t>FedEx</t>
  </si>
  <si>
    <t>APA</t>
  </si>
  <si>
    <t>Apache</t>
  </si>
  <si>
    <t>FE</t>
  </si>
  <si>
    <t>FirstEnergy</t>
  </si>
  <si>
    <t>EQIX</t>
  </si>
  <si>
    <t>Equinix</t>
  </si>
  <si>
    <t>EXC</t>
  </si>
  <si>
    <t>Exelon</t>
  </si>
  <si>
    <t>AIG</t>
  </si>
  <si>
    <t>American Intl Gr</t>
  </si>
  <si>
    <t>Insurance - Diversified</t>
  </si>
  <si>
    <t>MOS</t>
  </si>
  <si>
    <t>Mosaic</t>
  </si>
  <si>
    <t>KMX</t>
  </si>
  <si>
    <t>CarMax</t>
  </si>
  <si>
    <t>Auto &amp; Truck Dealerships</t>
  </si>
  <si>
    <t>EFX</t>
  </si>
  <si>
    <t>Equifax</t>
  </si>
  <si>
    <t>WYNN</t>
  </si>
  <si>
    <t>Wynn Resorts</t>
  </si>
  <si>
    <t>ED</t>
  </si>
  <si>
    <t>Consolidated Edison</t>
  </si>
  <si>
    <t>DTE</t>
  </si>
  <si>
    <t>DTE Energy</t>
  </si>
  <si>
    <t>J</t>
  </si>
  <si>
    <t>Jacobs Engineering Group</t>
  </si>
  <si>
    <t>ALB</t>
  </si>
  <si>
    <t>Albemarle</t>
  </si>
  <si>
    <t>DD</t>
  </si>
  <si>
    <t>DuPont de Nemours</t>
  </si>
  <si>
    <t>NI</t>
  </si>
  <si>
    <t>NiSource</t>
  </si>
  <si>
    <t>Utilities - Regulated Gas</t>
  </si>
  <si>
    <t>AEE</t>
  </si>
  <si>
    <t>Ameren</t>
  </si>
  <si>
    <t>BEN</t>
  </si>
  <si>
    <t>Franklin Resources</t>
  </si>
  <si>
    <t>SRE</t>
  </si>
  <si>
    <t>Sempra Energy</t>
  </si>
  <si>
    <t>BA</t>
  </si>
  <si>
    <t>Boeing</t>
  </si>
  <si>
    <t>GM</t>
  </si>
  <si>
    <t>General Motors</t>
  </si>
  <si>
    <t>BK</t>
  </si>
  <si>
    <t>Bank of New York Mellon</t>
  </si>
  <si>
    <t>CMS</t>
  </si>
  <si>
    <t>CMS Energy</t>
  </si>
  <si>
    <t>PNW</t>
  </si>
  <si>
    <t>Pinnacle West Capital</t>
  </si>
  <si>
    <t>CNP</t>
  </si>
  <si>
    <t>CenterPoint Energy</t>
  </si>
  <si>
    <t>FCX</t>
  </si>
  <si>
    <t>Freeport-McMoRan</t>
  </si>
  <si>
    <t>Copper</t>
  </si>
  <si>
    <t>SO</t>
  </si>
  <si>
    <t>Southern</t>
  </si>
  <si>
    <t>PPL</t>
  </si>
  <si>
    <t>XEL</t>
  </si>
  <si>
    <t>Xcel Energy</t>
  </si>
  <si>
    <t>ADM</t>
  </si>
  <si>
    <t>Archer-Daniels Midland</t>
  </si>
  <si>
    <t>AWK</t>
  </si>
  <si>
    <t>American Water Works Co</t>
  </si>
  <si>
    <t>Utilities - Regulated Water</t>
  </si>
  <si>
    <t>ES</t>
  </si>
  <si>
    <t>Eversource Energy</t>
  </si>
  <si>
    <t>DUK</t>
  </si>
  <si>
    <t>Duke Energy</t>
  </si>
  <si>
    <t>AEP</t>
  </si>
  <si>
    <t>American Electric Power</t>
  </si>
  <si>
    <t>NEE</t>
  </si>
  <si>
    <t>NextEra Energy</t>
  </si>
  <si>
    <t>NFLX</t>
  </si>
  <si>
    <t>Netflix</t>
  </si>
  <si>
    <t>ETR</t>
  </si>
  <si>
    <t>Entergy</t>
  </si>
  <si>
    <t>OKE</t>
  </si>
  <si>
    <t>ONEOK</t>
  </si>
  <si>
    <t>C</t>
  </si>
  <si>
    <t>Citigroup</t>
  </si>
  <si>
    <t>Already fully exited Q1-25 @~$73 — 14.6M sh sold</t>
  </si>
  <si>
    <t>FANG</t>
  </si>
  <si>
    <t>Diamondback Energy</t>
  </si>
  <si>
    <t>ATO</t>
  </si>
  <si>
    <t>Atmos Energy</t>
  </si>
  <si>
    <t>EIX</t>
  </si>
  <si>
    <t>Edison Intl</t>
  </si>
  <si>
    <t>ABNB</t>
  </si>
  <si>
    <t>Airbnb Inc</t>
  </si>
  <si>
    <t>Consumer Discretionary</t>
  </si>
  <si>
    <t>ALLY</t>
  </si>
  <si>
    <t>Ally Financial Inc</t>
  </si>
  <si>
    <t>Financials</t>
  </si>
  <si>
    <t>~29M sh. Q1-26: UNCHANGED. Held through Combs departure</t>
  </si>
  <si>
    <t>APP</t>
  </si>
  <si>
    <t>AppLovin Corp</t>
  </si>
  <si>
    <t>Technology</t>
  </si>
  <si>
    <t>ARM</t>
  </si>
  <si>
    <t>Arm Holdings plc</t>
  </si>
  <si>
    <t>AXON</t>
  </si>
  <si>
    <t>Axon Enterprise</t>
  </si>
  <si>
    <t>Industrials</t>
  </si>
  <si>
    <t>BALL</t>
  </si>
  <si>
    <t>Ball Corp</t>
  </si>
  <si>
    <t>Materials</t>
  </si>
  <si>
    <t>BG</t>
  </si>
  <si>
    <t>Bunge Global SA</t>
  </si>
  <si>
    <t>Consumer Staples</t>
  </si>
  <si>
    <t>BLDR</t>
  </si>
  <si>
    <t>Builders FirstSource</t>
  </si>
  <si>
    <t>BRO</t>
  </si>
  <si>
    <t>Brown &amp; Brown Inc</t>
  </si>
  <si>
    <t>CBOE</t>
  </si>
  <si>
    <t>Cboe Global Markets</t>
  </si>
  <si>
    <t>CEG</t>
  </si>
  <si>
    <t>Constellation Energy</t>
  </si>
  <si>
    <t>Utilities</t>
  </si>
  <si>
    <t>COIN</t>
  </si>
  <si>
    <t>Coinbase Global</t>
  </si>
  <si>
    <t>COR</t>
  </si>
  <si>
    <t>Cencora Inc</t>
  </si>
  <si>
    <t>Healthcare</t>
  </si>
  <si>
    <t>CPT</t>
  </si>
  <si>
    <t>Camden Property Trust</t>
  </si>
  <si>
    <t>Real Estate</t>
  </si>
  <si>
    <t>CRWD</t>
  </si>
  <si>
    <t>CrowdStrike Holdings</t>
  </si>
  <si>
    <t>CTRA</t>
  </si>
  <si>
    <t>Coterra Energy</t>
  </si>
  <si>
    <t>Energy</t>
  </si>
  <si>
    <t>CZR</t>
  </si>
  <si>
    <t>Caesars Entertainment</t>
  </si>
  <si>
    <t>DASH</t>
  </si>
  <si>
    <t>DoorDash Inc</t>
  </si>
  <si>
    <t>DDOG</t>
  </si>
  <si>
    <t>Datadog Inc</t>
  </si>
  <si>
    <t>DECK</t>
  </si>
  <si>
    <t>Deckers Outdoor</t>
  </si>
  <si>
    <t>DELL</t>
  </si>
  <si>
    <t>Dell Technologies</t>
  </si>
  <si>
    <t>DKNG</t>
  </si>
  <si>
    <t>DraftKings Inc</t>
  </si>
  <si>
    <t>Domino's Pizza Inc</t>
  </si>
  <si>
    <t>Added Q1-Q4-25 every quarter to ~2.4M sh → Q1-26: FULLY EXITED. Sharp reversal after consistent buying</t>
  </si>
  <si>
    <t>DXCM</t>
  </si>
  <si>
    <t>DexCom Inc</t>
  </si>
  <si>
    <t>ELV</t>
  </si>
  <si>
    <t>Elevance Health Inc</t>
  </si>
  <si>
    <t>ENPH</t>
  </si>
  <si>
    <t>Enphase Energy</t>
  </si>
  <si>
    <t>EPAM</t>
  </si>
  <si>
    <t>EPAM Systems</t>
  </si>
  <si>
    <t>EQT</t>
  </si>
  <si>
    <t>EQT Corp</t>
  </si>
  <si>
    <t>ERIE</t>
  </si>
  <si>
    <t>Erie Indemnity Co</t>
  </si>
  <si>
    <t>ETSY</t>
  </si>
  <si>
    <t>Etsy Inc</t>
  </si>
  <si>
    <t>FDS</t>
  </si>
  <si>
    <t>FactSet Research Systems</t>
  </si>
  <si>
    <t>FICO</t>
  </si>
  <si>
    <t>Fair Isaac Corp</t>
  </si>
  <si>
    <t>FSLR</t>
  </si>
  <si>
    <t>First Solar Inc</t>
  </si>
  <si>
    <t>GDDY</t>
  </si>
  <si>
    <t>GoDaddy Inc</t>
  </si>
  <si>
    <t>GEHC</t>
  </si>
  <si>
    <t>GE HealthCare Technologies</t>
  </si>
  <si>
    <t>GEN</t>
  </si>
  <si>
    <t>Gen Digital Inc</t>
  </si>
  <si>
    <t>GEV</t>
  </si>
  <si>
    <t>GE Vernova</t>
  </si>
  <si>
    <t>GNRC</t>
  </si>
  <si>
    <t>Generac Holdings</t>
  </si>
  <si>
    <t>HEI</t>
  </si>
  <si>
    <t>HEICO Corp</t>
  </si>
  <si>
    <t>New Q4-24: 5.6M sh @~$265 → Held all 2025 → Q1-26: FULLY EXITED. Aerospace/defense bet undone</t>
  </si>
  <si>
    <t>HUBB</t>
  </si>
  <si>
    <t>Hubbell Inc</t>
  </si>
  <si>
    <t>INVH</t>
  </si>
  <si>
    <t>Invitation Homes</t>
  </si>
  <si>
    <t>KVUE</t>
  </si>
  <si>
    <t>Kenvue Inc</t>
  </si>
  <si>
    <t>LAMR</t>
  </si>
  <si>
    <t>Lamar Advertising</t>
  </si>
  <si>
    <t>New Q2-25: 2M @~$120 → Added Q3-Q4-25 → Q1-26: FULLY EXITED</t>
  </si>
  <si>
    <t>LPX</t>
  </si>
  <si>
    <t>Louisiana-Pacific Corp</t>
  </si>
  <si>
    <t>~11M sh. Q1-26: UNCHANGED</t>
  </si>
  <si>
    <t>LULU</t>
  </si>
  <si>
    <t>Lululemon Athletica</t>
  </si>
  <si>
    <t>META</t>
  </si>
  <si>
    <t>Meta Platforms Inc</t>
  </si>
  <si>
    <t>Communication Services</t>
  </si>
  <si>
    <t>MNDY</t>
  </si>
  <si>
    <t>monday.com Ltd</t>
  </si>
  <si>
    <t>MOH</t>
  </si>
  <si>
    <t>Molina Healthcare</t>
  </si>
  <si>
    <t>MPWR</t>
  </si>
  <si>
    <t>Monolithic Power Systems</t>
  </si>
  <si>
    <t>MRNA</t>
  </si>
  <si>
    <t>Moderna Inc</t>
  </si>
  <si>
    <t>MSTR</t>
  </si>
  <si>
    <t>MicroStrategy Inc</t>
  </si>
  <si>
    <t>MTCH</t>
  </si>
  <si>
    <t>Match Group Inc</t>
  </si>
  <si>
    <t>NDSN</t>
  </si>
  <si>
    <t>Nordson Corp</t>
  </si>
  <si>
    <t>NET</t>
  </si>
  <si>
    <t>Cloudflare Inc</t>
  </si>
  <si>
    <t>NTNX</t>
  </si>
  <si>
    <t>Nutanix Inc</t>
  </si>
  <si>
    <t>NWS</t>
  </si>
  <si>
    <t>News Corp Class B</t>
  </si>
  <si>
    <t>NXPI</t>
  </si>
  <si>
    <t>NXP Semiconductors</t>
  </si>
  <si>
    <t>ON</t>
  </si>
  <si>
    <t>ON Semiconductor</t>
  </si>
  <si>
    <t>PANW</t>
  </si>
  <si>
    <t>Palo Alto Networks</t>
  </si>
  <si>
    <t>PCG</t>
  </si>
  <si>
    <t>PG&amp;E Corp</t>
  </si>
  <si>
    <t>PLTR</t>
  </si>
  <si>
    <t>Palantir Technologies</t>
  </si>
  <si>
    <t>PODD</t>
  </si>
  <si>
    <t>Insulet Corp</t>
  </si>
  <si>
    <t>Pool Corp</t>
  </si>
  <si>
    <t>Added Q1-Q2-25 → Trimmed Q4 → Q1-26: FULLY EXITED (Combs-era position)</t>
  </si>
  <si>
    <t>PTC</t>
  </si>
  <si>
    <t>PTC Inc</t>
  </si>
  <si>
    <t>RVTY</t>
  </si>
  <si>
    <t>Revvity Inc</t>
  </si>
  <si>
    <t>SEDG</t>
  </si>
  <si>
    <t>SolarEdge Technologies</t>
  </si>
  <si>
    <t>SIRI</t>
  </si>
  <si>
    <t>Sirius XM Holdings</t>
  </si>
  <si>
    <t>Added 13M Q1-25 → 7M Q2 → 8M Q3 → Hold Q4 → Q1-26: small add per filings (Weschler)</t>
  </si>
  <si>
    <t>SMCI</t>
  </si>
  <si>
    <t>Super Micro Computer</t>
  </si>
  <si>
    <t>SNOW</t>
  </si>
  <si>
    <t>Snowflake Inc</t>
  </si>
  <si>
    <t>SOLV</t>
  </si>
  <si>
    <t>Solventum Corp</t>
  </si>
  <si>
    <t>SPOT</t>
  </si>
  <si>
    <t>Spotify Technology</t>
  </si>
  <si>
    <t>STLD</t>
  </si>
  <si>
    <t>Steel Dynamics</t>
  </si>
  <si>
    <t>TDY</t>
  </si>
  <si>
    <t>Teledyne Technologies</t>
  </si>
  <si>
    <t>TECH</t>
  </si>
  <si>
    <t>Bio-Techne Corp</t>
  </si>
  <si>
    <t>TER</t>
  </si>
  <si>
    <t>Teradyne Inc</t>
  </si>
  <si>
    <t>TPL</t>
  </si>
  <si>
    <t>Texas Pacific Land</t>
  </si>
  <si>
    <t>TRGP</t>
  </si>
  <si>
    <t>Targa Resources</t>
  </si>
  <si>
    <t>TRMB</t>
  </si>
  <si>
    <t>Trimble Inc</t>
  </si>
  <si>
    <t>TSLA</t>
  </si>
  <si>
    <t>Tesla Inc</t>
  </si>
  <si>
    <t>TYL</t>
  </si>
  <si>
    <t>Tyler Technologies</t>
  </si>
  <si>
    <t>UBER</t>
  </si>
  <si>
    <t>Uber Technologies</t>
  </si>
  <si>
    <t>VICI</t>
  </si>
  <si>
    <t>VICI Properties</t>
  </si>
  <si>
    <t>VLTO</t>
  </si>
  <si>
    <t>Veralto Corp</t>
  </si>
  <si>
    <t>VST</t>
  </si>
  <si>
    <t>Vistra Corp</t>
  </si>
  <si>
    <t>VTRS</t>
  </si>
  <si>
    <t>Viatris Inc</t>
  </si>
  <si>
    <t>WBD</t>
  </si>
  <si>
    <t>Warner Bros Discovery</t>
  </si>
  <si>
    <t>WDAY</t>
  </si>
  <si>
    <t>Workday Inc</t>
  </si>
  <si>
    <t>WSM</t>
  </si>
  <si>
    <t>Williams-Sonoma</t>
  </si>
  <si>
    <t>WSO</t>
  </si>
  <si>
    <t>Watsco Inc</t>
  </si>
  <si>
    <t>WST</t>
  </si>
  <si>
    <t>West Pharmaceutical</t>
  </si>
  <si>
    <t>ZS</t>
  </si>
  <si>
    <t>Zscaler Inc</t>
  </si>
  <si>
    <t>ADSK</t>
  </si>
  <si>
    <t>Autodesk Inc</t>
  </si>
  <si>
    <t>AES</t>
  </si>
  <si>
    <t>AES Corp</t>
  </si>
  <si>
    <t>AMP</t>
  </si>
  <si>
    <t>Ameriprise Financial</t>
  </si>
  <si>
    <t>ANET</t>
  </si>
  <si>
    <t>Arista Networks</t>
  </si>
  <si>
    <t>BAX</t>
  </si>
  <si>
    <t>Baxter International</t>
  </si>
  <si>
    <t>CMI</t>
  </si>
  <si>
    <t>Cummins Inc</t>
  </si>
  <si>
    <t>CVS</t>
  </si>
  <si>
    <t>CVS Health Corp</t>
  </si>
  <si>
    <t>DRI</t>
  </si>
  <si>
    <t>Darden Restaurants</t>
  </si>
  <si>
    <t>EL</t>
  </si>
  <si>
    <t>Estée Lauder Cos</t>
  </si>
  <si>
    <t>FISV</t>
  </si>
  <si>
    <t>Fiserv Inc</t>
  </si>
  <si>
    <t>FTV</t>
  </si>
  <si>
    <t>Fortive Corp</t>
  </si>
  <si>
    <t>GPN</t>
  </si>
  <si>
    <t>Global Payments</t>
  </si>
  <si>
    <t>HIG</t>
  </si>
  <si>
    <t>Hartford Financial Services</t>
  </si>
  <si>
    <t>ILMN</t>
  </si>
  <si>
    <t>Illumina Inc</t>
  </si>
  <si>
    <t>INTC</t>
  </si>
  <si>
    <t>Intel Corp</t>
  </si>
  <si>
    <t>JCI</t>
  </si>
  <si>
    <t>Johnson Controls Intl</t>
  </si>
  <si>
    <t>PEG</t>
  </si>
  <si>
    <t>Public Service Enterprise</t>
  </si>
  <si>
    <t>PFG</t>
  </si>
  <si>
    <t>Principal Financial Group</t>
  </si>
  <si>
    <t>PH</t>
  </si>
  <si>
    <t>Parker-Hannifin</t>
  </si>
  <si>
    <t>ROL</t>
  </si>
  <si>
    <t>Rollins Inc</t>
  </si>
  <si>
    <t>STX</t>
  </si>
  <si>
    <t>Seagate Technology</t>
  </si>
  <si>
    <t>TEL</t>
  </si>
  <si>
    <t>TE Connectivity</t>
  </si>
  <si>
    <t>TSCO</t>
  </si>
  <si>
    <t>Tractor Supply Co</t>
  </si>
  <si>
    <t>UHS</t>
  </si>
  <si>
    <t>Universal Health Services</t>
  </si>
  <si>
    <t>WDC</t>
  </si>
  <si>
    <t>Western Digital</t>
  </si>
  <si>
    <t>WY</t>
  </si>
  <si>
    <t>Weyerhaeuser Co</t>
  </si>
  <si>
    <t>ZBH</t>
  </si>
  <si>
    <t>Zimmer Biomet Holdings</t>
  </si>
  <si>
    <t>№</t>
  </si>
  <si>
    <t>Share price</t>
  </si>
  <si>
    <t>1 year change</t>
  </si>
  <si>
    <t>Market Cap</t>
  </si>
  <si>
    <t>IV</t>
  </si>
  <si>
    <t>Discount</t>
  </si>
  <si>
    <t>Growth annual</t>
  </si>
  <si>
    <t>Margin (gross)</t>
  </si>
  <si>
    <t>Beta</t>
  </si>
  <si>
    <t>Tangible book value/share</t>
  </si>
  <si>
    <t>USD/RUB</t>
  </si>
  <si>
    <t>HKD/USD</t>
  </si>
  <si>
    <t>$</t>
  </si>
  <si>
    <t>%</t>
  </si>
  <si>
    <t>mkn $</t>
  </si>
  <si>
    <t>mln $</t>
  </si>
  <si>
    <t>Severstal' PAO</t>
  </si>
  <si>
    <t>SVST</t>
  </si>
  <si>
    <t>Sberbank Rossii PAO</t>
  </si>
  <si>
    <t>SBRCY</t>
  </si>
  <si>
    <t>DouYu International Holdings Ltd</t>
  </si>
  <si>
    <t>DOYU</t>
  </si>
  <si>
    <t>TCS Group Holding PLC</t>
  </si>
  <si>
    <t>TCSG</t>
  </si>
  <si>
    <t>Boeing Co</t>
  </si>
  <si>
    <t>GameStop Corp.</t>
  </si>
  <si>
    <t>GME</t>
  </si>
  <si>
    <t>Baidu Inc</t>
  </si>
  <si>
    <t>BIDU</t>
  </si>
  <si>
    <t>Southwest Airlines Co</t>
  </si>
  <si>
    <t>American Airlines Group Inc</t>
  </si>
  <si>
    <t>Synchrony</t>
  </si>
  <si>
    <t>JPMorgan Chase &amp; Co.</t>
  </si>
  <si>
    <t>United Airlines Holdings Inc</t>
  </si>
  <si>
    <t>Bank of America Corp</t>
  </si>
  <si>
    <t>Delta Air Lines, Inc.</t>
  </si>
  <si>
    <t>Kraft Heinz Co</t>
  </si>
  <si>
    <t>VANGUARD IX FUN/S&amp;P 500 ETF SHS NEW</t>
  </si>
  <si>
    <t>VOO</t>
  </si>
  <si>
    <t>Wells Fargo &amp; Co</t>
  </si>
  <si>
    <t>Berkshire Hathaway Inc. Class B</t>
  </si>
  <si>
    <t>BRK.B</t>
  </si>
  <si>
    <t>Apple Inc.</t>
  </si>
  <si>
    <t>TotalEnergies SE</t>
  </si>
  <si>
    <t>Capital Product Partners L.P.</t>
  </si>
  <si>
    <t>CPLP</t>
  </si>
  <si>
    <t>Occidental Petroleum Corporation</t>
  </si>
  <si>
    <t>Suncor Energy Inc.</t>
  </si>
  <si>
    <t>SU</t>
  </si>
  <si>
    <t>Western Midstream Partners LP</t>
  </si>
  <si>
    <t>WES</t>
  </si>
  <si>
    <t>PNC Financial Services Group Inc</t>
  </si>
  <si>
    <t>Silvergate Capital Corporation</t>
  </si>
  <si>
    <t>SI</t>
  </si>
  <si>
    <t>Alphabet Inc Class A</t>
  </si>
  <si>
    <t>Amazon.com, Inc.</t>
  </si>
  <si>
    <t>Microsoft Corporation</t>
  </si>
  <si>
    <t>Meta Platforms, Inc.</t>
  </si>
  <si>
    <t>Park Hotels &amp; Resorts Inc.</t>
  </si>
  <si>
    <t>PK</t>
  </si>
  <si>
    <t>The Howard Hughes Corporation</t>
  </si>
  <si>
    <t>HHC</t>
  </si>
  <si>
    <t xml:space="preserve">Charles Schwab Corp. </t>
  </si>
  <si>
    <t>Restaurant Brands International Inc.</t>
  </si>
  <si>
    <t>Xilinx Inc.</t>
  </si>
  <si>
    <t>XLNX</t>
  </si>
  <si>
    <t>Walt Disney Co.</t>
  </si>
  <si>
    <t>TD Ameritrade</t>
  </si>
  <si>
    <t>AMTD</t>
  </si>
  <si>
    <t>Mail.ru Group Ltd GDR</t>
  </si>
  <si>
    <t>MLRYY</t>
  </si>
  <si>
    <t>American Express Co</t>
  </si>
  <si>
    <t>Bank of New York Mellon Corp</t>
  </si>
  <si>
    <t>Bristol-Myers Squibb Company</t>
  </si>
  <si>
    <t>T-Mobile US, Inc.</t>
  </si>
  <si>
    <t>Pfizer Inc.</t>
  </si>
  <si>
    <t>AbbVie Inc.</t>
  </si>
  <si>
    <t>Merck &amp; Co., Inc.</t>
  </si>
  <si>
    <t>The Kroger Co.</t>
  </si>
  <si>
    <t>General Motors Company</t>
  </si>
  <si>
    <t>Globe Life Inc</t>
  </si>
  <si>
    <t>AirBNB</t>
  </si>
  <si>
    <t>Nano-X Imaging Ltd</t>
  </si>
  <si>
    <t>NNOX</t>
  </si>
  <si>
    <t>Ozon Holdings</t>
  </si>
  <si>
    <t>OZON</t>
  </si>
  <si>
    <t>DoorDash, Inc.</t>
  </si>
  <si>
    <t>Alibaba Group Holding Ltd ADR</t>
  </si>
  <si>
    <t>BABA</t>
  </si>
  <si>
    <t>Verizon Communications Inc</t>
  </si>
  <si>
    <t>POSCO</t>
  </si>
  <si>
    <t>PKX</t>
  </si>
  <si>
    <t>Chevron Corp</t>
  </si>
  <si>
    <t>The E W Scripps Co Class A</t>
  </si>
  <si>
    <t>SSP</t>
  </si>
  <si>
    <t>Marsh &amp; McLennan Companies Inc</t>
  </si>
  <si>
    <t>MMC</t>
  </si>
  <si>
    <t>Segezha Group</t>
  </si>
  <si>
    <t>Elaton Group Plc</t>
  </si>
  <si>
    <t>ETLN</t>
  </si>
  <si>
    <t>Wise plc</t>
  </si>
  <si>
    <t>WISE.L</t>
  </si>
  <si>
    <t>Coinbase Global Inc Ordinary Shares - Class A - Stock Quote</t>
  </si>
  <si>
    <t>Ally Financial Inc.</t>
  </si>
  <si>
    <t>Celanese Corporation</t>
  </si>
  <si>
    <t>Paramount Global</t>
  </si>
  <si>
    <t>PARA</t>
  </si>
  <si>
    <t>Markel Corporation</t>
  </si>
  <si>
    <t>MKL</t>
  </si>
  <si>
    <t>McKesson Corporation</t>
  </si>
  <si>
    <t>NVDIA</t>
  </si>
  <si>
    <t>CRCL</t>
  </si>
  <si>
    <t>BYD</t>
  </si>
  <si>
    <t>XIAOMI</t>
  </si>
  <si>
    <t>Decision</t>
  </si>
  <si>
    <t>Round</t>
  </si>
  <si>
    <t>Cap, M$</t>
  </si>
  <si>
    <t>ARR, M$</t>
  </si>
  <si>
    <t>Growth %/month</t>
  </si>
  <si>
    <t xml:space="preserve">Lead </t>
  </si>
  <si>
    <t>Deal link</t>
  </si>
  <si>
    <t>P/ARR</t>
  </si>
  <si>
    <t>ARR/raised</t>
  </si>
  <si>
    <t>No</t>
  </si>
  <si>
    <t>Humand</t>
  </si>
  <si>
    <t>A+</t>
  </si>
  <si>
    <t>Pioner+angels</t>
  </si>
  <si>
    <t>https://venture.angellist.com/v/andrey-a-semenov/i/invest/durovc-humand-series-a-ext</t>
  </si>
  <si>
    <t>Bios</t>
  </si>
  <si>
    <t>DSN+Ester Dyson</t>
  </si>
  <si>
    <t>https://venture.angellist.com/v/andrey-a-semenov/i/invest/daniel-gould-bioz-series-a</t>
  </si>
  <si>
    <t>Yes</t>
  </si>
  <si>
    <t>Eventeny</t>
  </si>
  <si>
    <t>Seed+</t>
  </si>
  <si>
    <t>Zach Coelius</t>
  </si>
  <si>
    <t>https://venture.angellist.com/v/andrey-a-semenov/i/invest/zach-coelius-eventeny-seed-ext-prorata</t>
  </si>
  <si>
    <t>InchFab</t>
  </si>
  <si>
    <t>Seed</t>
  </si>
  <si>
    <t>Tim Draper</t>
  </si>
  <si>
    <t>https://venture.angellist.com/v/andrey-a-semenov/i/invest/rv-inchfab-seed</t>
  </si>
  <si>
    <t>Anello Photonics</t>
  </si>
  <si>
    <t>https://venture.angellist.com/v/andrey-a-semenov/i/invest/mana-ventures-anello-photonics-seed</t>
  </si>
  <si>
    <t>Ale's age</t>
  </si>
  <si>
    <t>Growth</t>
  </si>
  <si>
    <t>COVID economic downturm</t>
  </si>
  <si>
    <t>Pershing</t>
  </si>
  <si>
    <t>Blackstone</t>
  </si>
  <si>
    <t>$/share</t>
  </si>
  <si>
    <t>Moscow</t>
  </si>
  <si>
    <t>New York</t>
  </si>
  <si>
    <t>autocratn</t>
  </si>
  <si>
    <t>autocratp</t>
  </si>
  <si>
    <t>dataSheetName</t>
  </si>
  <si>
    <t>"Все компании"</t>
  </si>
  <si>
    <t>v</t>
  </si>
  <si>
    <t>"5.1"</t>
  </si>
  <si>
    <t>dataSheetId</t>
  </si>
  <si>
    <t>"0.0"</t>
  </si>
  <si>
    <t>updateTime</t>
  </si>
  <si>
    <t>"1.770887443575E12"</t>
  </si>
  <si>
    <t>vp</t>
  </si>
  <si>
    <t>ssId</t>
  </si>
  <si>
    <t>"14Zw71JCwsHTLVyzE-P3vUVB7yMzE_sIAHjSgD3W8wsE"</t>
  </si>
  <si>
    <t>S&amp;P 500 companies</t>
  </si>
  <si>
    <t>Debt / Equity</t>
  </si>
  <si>
    <t>Current Ratio</t>
  </si>
  <si>
    <t>Quick Ratio</t>
  </si>
  <si>
    <t>Gross Margin</t>
  </si>
  <si>
    <t>Operating Margin</t>
  </si>
  <si>
    <t>Net Margin</t>
  </si>
  <si>
    <t>FCF as a % of Sales</t>
  </si>
  <si>
    <t>FCF as a % of Net Income</t>
  </si>
  <si>
    <t xml:space="preserve">- </t>
  </si>
  <si>
    <t>ETFC</t>
  </si>
  <si>
    <t>E*TRADE Financial</t>
  </si>
  <si>
    <t>DFS</t>
  </si>
  <si>
    <t>Discover Financial</t>
  </si>
  <si>
    <t>AGN</t>
  </si>
  <si>
    <t>Allergan</t>
  </si>
  <si>
    <t>PEAK</t>
  </si>
  <si>
    <t>Healthpeak Properties</t>
  </si>
  <si>
    <t>Autodesk</t>
  </si>
  <si>
    <t>FLT</t>
  </si>
  <si>
    <t>Fleetcor Technologies</t>
  </si>
  <si>
    <t>ALXN</t>
  </si>
  <si>
    <t>Alexion Pharmaceuticals</t>
  </si>
  <si>
    <t>VNO</t>
  </si>
  <si>
    <t>Vornado Realty</t>
  </si>
  <si>
    <t>MXIM</t>
  </si>
  <si>
    <t>Maxim Integrated Products</t>
  </si>
  <si>
    <t>SIVB</t>
  </si>
  <si>
    <t>SVB Financial</t>
  </si>
  <si>
    <t>COG</t>
  </si>
  <si>
    <t>Cabot Oil &amp; Gas</t>
  </si>
  <si>
    <t>Xilinx</t>
  </si>
  <si>
    <t>DRE</t>
  </si>
  <si>
    <t>Duke Realty</t>
  </si>
  <si>
    <t>ABMD</t>
  </si>
  <si>
    <t>Abiomed</t>
  </si>
  <si>
    <t>SLG</t>
  </si>
  <si>
    <t>SL Green Realty</t>
  </si>
  <si>
    <t>CMA</t>
  </si>
  <si>
    <t>Comerica</t>
  </si>
  <si>
    <t>ANSS</t>
  </si>
  <si>
    <t>Ansys</t>
  </si>
  <si>
    <t>FB</t>
  </si>
  <si>
    <t>Facebook</t>
  </si>
  <si>
    <t>DISCA</t>
  </si>
  <si>
    <t>Discovery</t>
  </si>
  <si>
    <t>DISCK</t>
  </si>
  <si>
    <t>ATVI</t>
  </si>
  <si>
    <t>Activision Blizzard</t>
  </si>
  <si>
    <t>NLOK</t>
  </si>
  <si>
    <t>NortonLifeLock</t>
  </si>
  <si>
    <t>Illumina</t>
  </si>
  <si>
    <t>CTXS</t>
  </si>
  <si>
    <t>Citrix Systems</t>
  </si>
  <si>
    <t>FRC</t>
  </si>
  <si>
    <t>First Republic Bank</t>
  </si>
  <si>
    <t>Intel</t>
  </si>
  <si>
    <t>VTR</t>
  </si>
  <si>
    <t>Ventas</t>
  </si>
  <si>
    <t>RE</t>
  </si>
  <si>
    <t>Everest Re Group</t>
  </si>
  <si>
    <t>Insurance - Reinsurance</t>
  </si>
  <si>
    <t>TWTR</t>
  </si>
  <si>
    <t>Twitter</t>
  </si>
  <si>
    <t>ZION</t>
  </si>
  <si>
    <t>Zions Bancorp</t>
  </si>
  <si>
    <t>Fiserv</t>
  </si>
  <si>
    <t>INFO</t>
  </si>
  <si>
    <t>IHS Markit</t>
  </si>
  <si>
    <t>ADS</t>
  </si>
  <si>
    <t>Alliance Data Systems</t>
  </si>
  <si>
    <t>KSU</t>
  </si>
  <si>
    <t>Kansas City Southern</t>
  </si>
  <si>
    <t>BF.B</t>
  </si>
  <si>
    <t>Brown-Forman</t>
  </si>
  <si>
    <t>FLIR</t>
  </si>
  <si>
    <t>FLIR Systems</t>
  </si>
  <si>
    <t>JKHY</t>
  </si>
  <si>
    <t>Jack Henry &amp; Associates</t>
  </si>
  <si>
    <t>COO</t>
  </si>
  <si>
    <t>Cooper Companies</t>
  </si>
  <si>
    <t>Helmerich &amp; Payne</t>
  </si>
  <si>
    <t>Oil &amp; Gas Drilling</t>
  </si>
  <si>
    <t>MMM</t>
  </si>
  <si>
    <t>3M</t>
  </si>
  <si>
    <t>Hartford Finl Servs Gr</t>
  </si>
  <si>
    <t>Fortive</t>
  </si>
  <si>
    <t>WU</t>
  </si>
  <si>
    <t>The Western Union</t>
  </si>
  <si>
    <t>IPGP</t>
  </si>
  <si>
    <t>IPG Photonics</t>
  </si>
  <si>
    <t>Rollins</t>
  </si>
  <si>
    <t>Personal Services</t>
  </si>
  <si>
    <t>XRX</t>
  </si>
  <si>
    <t>Xerox Holdings</t>
  </si>
  <si>
    <t>CTL</t>
  </si>
  <si>
    <t>CenturyLink</t>
  </si>
  <si>
    <t>IPG</t>
  </si>
  <si>
    <t>Interpublic Gr of Cos</t>
  </si>
  <si>
    <t>UNM</t>
  </si>
  <si>
    <t>Unum</t>
  </si>
  <si>
    <t>TFX</t>
  </si>
  <si>
    <t>Teleflex</t>
  </si>
  <si>
    <t>AIZ</t>
  </si>
  <si>
    <t>Assurant</t>
  </si>
  <si>
    <t>Insurance - Specialty</t>
  </si>
  <si>
    <t>HOG</t>
  </si>
  <si>
    <t>Harley-Davidson</t>
  </si>
  <si>
    <t>Recreational Vehicles</t>
  </si>
  <si>
    <t>XRAY</t>
  </si>
  <si>
    <t>Dentsply Sirona</t>
  </si>
  <si>
    <t>Parker Hannifin</t>
  </si>
  <si>
    <t>MYL</t>
  </si>
  <si>
    <t>Mylan</t>
  </si>
  <si>
    <t>Marsh &amp; McLennan</t>
  </si>
  <si>
    <t>ALK</t>
  </si>
  <si>
    <t>Alaska Air Group</t>
  </si>
  <si>
    <t>LEG</t>
  </si>
  <si>
    <t>Leggett &amp; Platt</t>
  </si>
  <si>
    <t>Furnishings, Fixtures &amp; Appliances</t>
  </si>
  <si>
    <t>Estee Lauder Cos</t>
  </si>
  <si>
    <t>HRB</t>
  </si>
  <si>
    <t>H&amp;R Block</t>
  </si>
  <si>
    <t>Cummins</t>
  </si>
  <si>
    <t>HBI</t>
  </si>
  <si>
    <t>Hanesbrands</t>
  </si>
  <si>
    <t>PKI</t>
  </si>
  <si>
    <t>PerkinElmer</t>
  </si>
  <si>
    <t>DXC</t>
  </si>
  <si>
    <t>DXC Technology</t>
  </si>
  <si>
    <t>PBCT</t>
  </si>
  <si>
    <t>People's United Finl</t>
  </si>
  <si>
    <t>CERN</t>
  </si>
  <si>
    <t>Cerner</t>
  </si>
  <si>
    <t>Health Information Services</t>
  </si>
  <si>
    <t>JNPR</t>
  </si>
  <si>
    <t>Juniper Networks</t>
  </si>
  <si>
    <t>DISH</t>
  </si>
  <si>
    <t>DISH Network</t>
  </si>
  <si>
    <t>FBHS</t>
  </si>
  <si>
    <t>Fortune Brands Home</t>
  </si>
  <si>
    <t>Weyerhaeuser</t>
  </si>
  <si>
    <t>MHK</t>
  </si>
  <si>
    <t>Mohawk Industries</t>
  </si>
  <si>
    <t>WLTW</t>
  </si>
  <si>
    <t>Willis Towers Watson</t>
  </si>
  <si>
    <t>NLSN</t>
  </si>
  <si>
    <t>Nielsen Holdings</t>
  </si>
  <si>
    <t>NWL</t>
  </si>
  <si>
    <t>Newell Brands</t>
  </si>
  <si>
    <t>BLL</t>
  </si>
  <si>
    <t>Ball</t>
  </si>
  <si>
    <t>VAR</t>
  </si>
  <si>
    <t>Varian Medical Systems</t>
  </si>
  <si>
    <t>CPRI</t>
  </si>
  <si>
    <t>Capri Holdings</t>
  </si>
  <si>
    <t>TIF</t>
  </si>
  <si>
    <t>Tiffany</t>
  </si>
  <si>
    <t>RHI</t>
  </si>
  <si>
    <t>Robert Half International</t>
  </si>
  <si>
    <t>HFC</t>
  </si>
  <si>
    <t>HollyFrontier</t>
  </si>
  <si>
    <t>Tractor Supply</t>
  </si>
  <si>
    <t>UA</t>
  </si>
  <si>
    <t>Under Armour</t>
  </si>
  <si>
    <t>UAA</t>
  </si>
  <si>
    <t>Berkshire Hathaway</t>
  </si>
  <si>
    <t>HUM</t>
  </si>
  <si>
    <t>Humana</t>
  </si>
  <si>
    <t>PVH</t>
  </si>
  <si>
    <t>COTY</t>
  </si>
  <si>
    <t>Coty</t>
  </si>
  <si>
    <t>VFC</t>
  </si>
  <si>
    <t>VF</t>
  </si>
  <si>
    <t>FLS</t>
  </si>
  <si>
    <t>Flowserve</t>
  </si>
  <si>
    <t>LB</t>
  </si>
  <si>
    <t>L Brands</t>
  </si>
  <si>
    <t>NOV</t>
  </si>
  <si>
    <t>National Oilwell Varco</t>
  </si>
  <si>
    <t>WRK</t>
  </si>
  <si>
    <t>WestRock</t>
  </si>
  <si>
    <t>PRGO</t>
  </si>
  <si>
    <t>Perrigo</t>
  </si>
  <si>
    <t>ANTM</t>
  </si>
  <si>
    <t>Anthem</t>
  </si>
  <si>
    <t>K</t>
  </si>
  <si>
    <t>Kellogg</t>
  </si>
  <si>
    <t>AAP</t>
  </si>
  <si>
    <t>Advance Auto Parts</t>
  </si>
  <si>
    <t>CVS Health</t>
  </si>
  <si>
    <t>KSS</t>
  </si>
  <si>
    <t>Kohl's</t>
  </si>
  <si>
    <t>Department Stores</t>
  </si>
  <si>
    <t>MRO</t>
  </si>
  <si>
    <t>Marathon Oil</t>
  </si>
  <si>
    <t>WBA</t>
  </si>
  <si>
    <t>Walgreens Boots Alliance</t>
  </si>
  <si>
    <t>Pharmaceutical Retailers</t>
  </si>
  <si>
    <t>WHR</t>
  </si>
  <si>
    <t>Whirlpool</t>
  </si>
  <si>
    <t>VIAC</t>
  </si>
  <si>
    <t>ViacomCBS</t>
  </si>
  <si>
    <t>FTI</t>
  </si>
  <si>
    <t>TechnipFMC</t>
  </si>
  <si>
    <t>NCLH</t>
  </si>
  <si>
    <t>Norwegian Cruise Line</t>
  </si>
  <si>
    <t>GPS</t>
  </si>
  <si>
    <t>Gap</t>
  </si>
  <si>
    <t>JWN</t>
  </si>
  <si>
    <t>Nordstrom</t>
  </si>
  <si>
    <t>PXD</t>
  </si>
  <si>
    <t>Pioneer Natural Resources</t>
  </si>
  <si>
    <t>ABC</t>
  </si>
  <si>
    <t>AmerisourceBergen</t>
  </si>
  <si>
    <t>AIV</t>
  </si>
  <si>
    <t>Apartment Inv &amp; Mgmt</t>
  </si>
  <si>
    <t>CXO</t>
  </si>
  <si>
    <t>Concho Resources</t>
  </si>
  <si>
    <t>NBL</t>
  </si>
  <si>
    <t>Noble Energy</t>
  </si>
  <si>
    <t>LNC</t>
  </si>
  <si>
    <t>Lincoln National</t>
  </si>
  <si>
    <t>HES</t>
  </si>
  <si>
    <t>Hess</t>
  </si>
  <si>
    <t>SpaceX — Weighted Average Cost of Capital</t>
  </si>
  <si>
    <t>Pre-IPO consolidated entity (incl. Starlink, Launch, xAI/SpaceXAI)</t>
  </si>
  <si>
    <t>Risk-Free Rate (10Y UST)</t>
  </si>
  <si>
    <t>Beta (peer-derived, levered)</t>
  </si>
  <si>
    <t>Country/Size Premium</t>
  </si>
  <si>
    <t>Cost of Equity</t>
  </si>
  <si>
    <t>Pre-Tax Cost of Debt</t>
  </si>
  <si>
    <t>Tax Rate</t>
  </si>
  <si>
    <t>After-Tax Cost of Debt</t>
  </si>
  <si>
    <t>CAPITAL STRUCTURE (at IPO)</t>
  </si>
  <si>
    <t>Market Cap at IPO ($B)</t>
  </si>
  <si>
    <t>Total Debt ($B)</t>
  </si>
  <si>
    <t>Cash &amp; Equivalents ($B)</t>
  </si>
  <si>
    <t>Net Debt ($B)</t>
  </si>
  <si>
    <t>Enterprise Value ($B)</t>
  </si>
  <si>
    <t>Equity Weight</t>
  </si>
  <si>
    <t>Debt Weight</t>
  </si>
  <si>
    <t>SpaceX (SPCX) — DCF Valuation Model</t>
  </si>
  <si>
    <t>Pre-IPO 2026 | Consolidated: Starlink + Launch + xAI/SpaceXAI | FYE Dec</t>
  </si>
  <si>
    <t>Case Selector (1=Bear, 2=Base, 3=Bull)</t>
  </si>
  <si>
    <t>Selected Case</t>
  </si>
  <si>
    <t>MARKET DATA &amp; KEY INPUTS</t>
  </si>
  <si>
    <t>Diluted Shares Outstanding (B, post 5-for-1 split)</t>
  </si>
  <si>
    <t>Insider Sale Price Dec 2025 ($/sh, post-split)</t>
  </si>
  <si>
    <t>PROJECTION YEARS</t>
  </si>
  <si>
    <t>FY2025A</t>
  </si>
  <si>
    <t>FY2026E</t>
  </si>
  <si>
    <t>FY2027E</t>
  </si>
  <si>
    <t>FY2028E</t>
  </si>
  <si>
    <t>FY2029E</t>
  </si>
  <si>
    <t>FY2030E</t>
  </si>
  <si>
    <t>BEAR CASE ASSUMPTIONS</t>
  </si>
  <si>
    <t>Starlink Revenue Growth %</t>
  </si>
  <si>
    <t>Launch Revenue Growth %</t>
  </si>
  <si>
    <t>xAI/Other Revenue Growth %</t>
  </si>
  <si>
    <t>EBIT Margin %</t>
  </si>
  <si>
    <t>Terminal Growth Rate</t>
  </si>
  <si>
    <t>BASE CASE ASSUMPTIONS</t>
  </si>
  <si>
    <t>BULL CASE ASSUMPTIONS</t>
  </si>
  <si>
    <t>ACTIVE CASE (auto-pulled)</t>
  </si>
  <si>
    <t>Starlink Growth</t>
  </si>
  <si>
    <t>Launch Growth</t>
  </si>
  <si>
    <t>xAI/Other Growth</t>
  </si>
  <si>
    <t>EBIT Margin</t>
  </si>
  <si>
    <t>Terminal Growth</t>
  </si>
  <si>
    <t>D&amp;A % of Revenue</t>
  </si>
  <si>
    <t>CapEx % of Revenue</t>
  </si>
  <si>
    <t>Δ NWC % of ΔRev</t>
  </si>
  <si>
    <t>REVENUE BUILD ($B)</t>
  </si>
  <si>
    <t>Starlink Revenue</t>
  </si>
  <si>
    <t>Launch Revenue</t>
  </si>
  <si>
    <t>xAI/Other Revenue</t>
  </si>
  <si>
    <t>Total Revenue</t>
  </si>
  <si>
    <t xml:space="preserve">  Growth %</t>
  </si>
  <si>
    <t>FREE CASH FLOW BUILD ($B)</t>
  </si>
  <si>
    <t>EBIT</t>
  </si>
  <si>
    <t xml:space="preserve">  EBIT Margin</t>
  </si>
  <si>
    <t>Less: Taxes</t>
  </si>
  <si>
    <t>NOPAT</t>
  </si>
  <si>
    <t>Plus: D&amp;A</t>
  </si>
  <si>
    <t>Less: CapEx</t>
  </si>
  <si>
    <t>Less: Δ NWC</t>
  </si>
  <si>
    <t>Unlevered FCF</t>
  </si>
  <si>
    <t xml:space="preserve">  FCF Margin</t>
  </si>
  <si>
    <t>DISCOUNTING (Mid-Year Convention)</t>
  </si>
  <si>
    <t>Discount Period (years)</t>
  </si>
  <si>
    <t>Discount Factor</t>
  </si>
  <si>
    <t>PV of Unlevered FCF ($B)</t>
  </si>
  <si>
    <t>TERMINAL VALUE</t>
  </si>
  <si>
    <t>Terminal FCF (FY2031, $B)</t>
  </si>
  <si>
    <t>Terminal Value ($B)</t>
  </si>
  <si>
    <t>PV of Terminal Value ($B)</t>
  </si>
  <si>
    <t>TV as % of EV</t>
  </si>
  <si>
    <t>Sum of PV Explicit FCFs ($B)</t>
  </si>
  <si>
    <t>(+) PV of Terminal Value ($B)</t>
  </si>
  <si>
    <t>= Enterprise Value ($B)</t>
  </si>
  <si>
    <t>(-) Net Debt ($B)</t>
  </si>
  <si>
    <t>= Equity Value ($B)</t>
  </si>
  <si>
    <t>Diluted Shares Outstanding (B)</t>
  </si>
  <si>
    <t>Implied Price per Share ($)</t>
  </si>
  <si>
    <t>Insider Price (Dec 2025, post-split)</t>
  </si>
  <si>
    <t>Broker IPO Price ($1.75T / shares)</t>
  </si>
  <si>
    <t>Upside/(Downside) vs Insider</t>
  </si>
  <si>
    <t>Upside/(Downside) vs Broker IPO</t>
  </si>
  <si>
    <t>SENSITIVITY: WACC vs Terminal Growth — Implied Share Price ($)</t>
  </si>
  <si>
    <t>WACC ↓ / Term g →</t>
  </si>
  <si>
    <t>SENSITIVITY: FY2030 EBIT Margin vs Terminal Growth — Implied Share Price ($)</t>
  </si>
  <si>
    <t>EBIT Mgn ↓ / Term g →</t>
  </si>
  <si>
    <t>SpaceX — Intrinsic Value vs Broker IPO Price</t>
  </si>
  <si>
    <t>Change Case Selector on 'SpaceX DCF'!B4 to toggle Bear (1) / Base (2) / Bull (3)</t>
  </si>
  <si>
    <t>VALUATION SUMMARY (Active Case)</t>
  </si>
  <si>
    <t>Active Case</t>
  </si>
  <si>
    <t>Equity Value ($B)</t>
  </si>
  <si>
    <t>Implied Share Price ($)</t>
  </si>
  <si>
    <t>BROKER IPO PRICE BENCHMARKS</t>
  </si>
  <si>
    <t>Valuation ($B)</t>
  </si>
  <si>
    <t>Price/Share ($)</t>
  </si>
  <si>
    <t>EV/2025 Rev (x)</t>
  </si>
  <si>
    <t>vs Intrinsic</t>
  </si>
  <si>
    <t>Insider Sale (Dec 2025)</t>
  </si>
  <si>
    <t>TechCrunch/WSJ Base IPO Target</t>
  </si>
  <si>
    <t>Bloomberg Stretch IPO Target</t>
  </si>
  <si>
    <t>INTERPRETATION</t>
  </si>
  <si>
    <t>Base case DCF (Starlink to $22B by FY30, Launch +3-5%/yr) yields ~$6.50/share intrinsic value.</t>
  </si>
  <si>
    <t>Broker IPO price of $350 (at $1.75T) implies a 98% premium to standalone DCF.</t>
  </si>
  <si>
    <t>This gap reflects:</t>
  </si>
  <si>
    <t xml:space="preserve">  1) Starship/Mars option value (not modeled in 5-year FCF horizon)</t>
  </si>
  <si>
    <t xml:space="preserve">  2) xAI/SpaceXAI long-term AI infrastructure optionality</t>
  </si>
  <si>
    <t xml:space="preserve">  3) Scarcity premium - the only listed pure-play LEO/launch leader</t>
  </si>
  <si>
    <t xml:space="preserve">  4) Passive index demand if added to S&amp;P 500 / Nasdaq-100 fast-entry</t>
  </si>
  <si>
    <t xml:space="preserve">  5) Trading-multiple-based pricing (~87x P/S 2026E) vs intrinsic DCF</t>
  </si>
  <si>
    <t>EV/Sales context: $1.75T = ~94x 2025 revenue ($18.7B) - more than 2x Nvidia AI-peak multiple.</t>
  </si>
  <si>
    <t>For DCF to support $350/share, Starlink must reach ~$60-80B revenue or terminal margins ~35-40%.</t>
  </si>
  <si>
    <t>RECOMMENDATION</t>
  </si>
  <si>
    <t>Standalone DCF cannot justify the IPO valuation. The Bull case (Starlink $30B+ by FY30) still implies</t>
  </si>
  <si>
    <t>deep downside to $350. Investors buying at IPO are paying for speculative optionality (Starship,</t>
  </si>
  <si>
    <t>xAI, orbital data centers) and scarcity, not for current discounted cash flows.</t>
  </si>
  <si>
    <t>See sensitivity tables on 'SpaceX DCF' (rows 91-107) for the assumption combinations needed to close the gap.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</si>
</sst>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9">
    <numFmt numFmtId="164" formatCode="&quot;$&quot;#,##0.00"/>
    <numFmt numFmtId="165" formatCode="&quot;$&quot;#,##0"/>
    <numFmt numFmtId="166" formatCode="0.0"/>
    <numFmt numFmtId="167" formatCode="\$#,##0.00"/>
    <numFmt numFmtId="168" formatCode="0.0%"/>
    <numFmt numFmtId="169" formatCode="#,##0.0"/>
    <numFmt numFmtId="170" formatCode="0.000"/>
    <numFmt numFmtId="171" formatCode="&quot;$&quot;#,##0;\(&quot;$&quot;#,##0\)"/>
    <numFmt numFmtId="172" formatCode="&quot;$&quot;#,##0.00;\(&quot;$&quot;#,##0.00\)"/>
    <numFmt numFmtId="173" formatCode="&quot;$&quot;#,##0.0"/>
    <numFmt numFmtId="174" formatCode="#,##0;\(#,##0\)"/>
    <numFmt numFmtId="175" formatCode="#,##0.00;\(#,##0.00\)"/>
    <numFmt numFmtId="176" formatCode="&quot;$&quot;#,##0;\(&quot;$&quot;#,##0\);\-"/>
    <numFmt numFmtId="177" formatCode="&quot;$&quot;#,##0.0;\(&quot;$&quot;#,##0.0\)"/>
    <numFmt numFmtId="178" formatCode="0.0000"/>
    <numFmt numFmtId="180" formatCode="&quot;$&quot;#,##0.0;\(&quot;$&quot;#,##0.0\);\-"/>
    <numFmt numFmtId="181" formatCode="0.0%;\(0.0%\);\-"/>
    <numFmt numFmtId="182" formatCode="0.0&quot;x&quot;"/>
    <numFmt numFmtId="183" formatCode="0.0%;\(0.0%\)"/>
  </numFmts>
  <fonts count="49" x14ac:knownFonts="1">
    <font>
      <sz val="10"/>
      <color rgb="FF000000"/>
      <name val="Arial"/>
      <scheme val="minor"/>
    </font>
    <font>
      <sz val="11"/>
      <color rgb="FF000000"/>
      <name val="Roboto"/>
    </font>
    <font>
      <sz val="11"/>
      <color theme="1"/>
      <name val="PT Sans"/>
    </font>
    <font>
      <u/>
      <sz val="11"/>
      <color rgb="FF000000"/>
      <name val="Roboto"/>
    </font>
    <font>
      <sz val="11"/>
      <color rgb="FF222222"/>
      <name val="Roboto"/>
    </font>
    <font>
      <sz val="11"/>
      <color theme="1"/>
      <name val="Roboto"/>
    </font>
    <font>
      <sz val="11"/>
      <color rgb="FF000000"/>
      <name val="PT Sans"/>
    </font>
    <font>
      <sz val="10"/>
      <color theme="1"/>
      <name val="Arial"/>
      <scheme val="minor"/>
    </font>
    <font>
      <u/>
      <sz val="10"/>
      <color rgb="FF0000FF"/>
      <name val="Arial"/>
    </font>
    <font>
      <b/>
      <sz val="10"/>
      <color theme="1"/>
      <name val="Arial"/>
      <scheme val="minor"/>
    </font>
    <font>
      <u/>
      <sz val="12"/>
      <color rgb="FF0000FF"/>
      <name val="Arial"/>
    </font>
    <font>
      <sz val="12"/>
      <color theme="1"/>
      <name val="Arial"/>
      <scheme val="minor"/>
    </font>
    <font>
      <b/>
      <sz val="10"/>
      <color rgb="FFFFFFFF"/>
      <name val="Arial"/>
    </font>
    <font>
      <sz val="9"/>
      <color rgb="FF999999"/>
      <name val="Arial"/>
    </font>
    <font>
      <b/>
      <sz val="9"/>
      <color rgb="FF1F4E79"/>
      <name val="Arial"/>
    </font>
    <font>
      <sz val="9"/>
      <name val="Arial"/>
    </font>
    <font>
      <sz val="8"/>
      <color rgb="FF666666"/>
      <name val="Arial"/>
    </font>
    <font>
      <b/>
      <sz val="14"/>
      <color rgb="FFFFFFFF"/>
      <name val="Arial"/>
      <family val="2"/>
      <scheme val="minor"/>
    </font>
    <font>
      <i/>
      <sz val="10"/>
      <color rgb="FF595959"/>
      <name val="Arial"/>
      <family val="2"/>
      <scheme val="minor"/>
    </font>
    <font>
      <b/>
      <sz val="10"/>
      <color rgb="FF000000"/>
      <name val="Arial"/>
      <family val="2"/>
      <scheme val="minor"/>
    </font>
    <font>
      <sz val="10"/>
      <color rgb="FF0000FF"/>
      <name val="Arial"/>
      <family val="2"/>
      <scheme val="minor"/>
    </font>
    <font>
      <b/>
      <sz val="12"/>
      <color rgb="FF000000"/>
      <name val="Arial"/>
      <family val="2"/>
      <scheme val="minor"/>
    </font>
    <font>
      <sz val="10"/>
      <color rgb="FF000000"/>
      <name val="Tahoma"/>
      <family val="2"/>
    </font>
    <font>
      <b/>
      <sz val="10"/>
      <color rgb="FF000000"/>
      <name val="Tahoma"/>
      <family val="2"/>
    </font>
    <font>
      <b/>
      <sz val="10"/>
      <color rgb="FFFFFFFF"/>
      <name val="Arial"/>
      <family val="2"/>
      <scheme val="minor"/>
    </font>
    <font>
      <sz val="10"/>
      <color rgb="FF008000"/>
      <name val="Arial"/>
      <family val="2"/>
      <scheme val="minor"/>
    </font>
    <font>
      <i/>
      <sz val="10"/>
      <color rgb="FF000000"/>
      <name val="Arial"/>
      <family val="2"/>
      <scheme val="minor"/>
    </font>
    <font>
      <i/>
      <sz val="10"/>
      <color rgb="FF0000FF"/>
      <name val="Arial"/>
      <family val="2"/>
      <scheme val="minor"/>
    </font>
    <font>
      <b/>
      <i/>
      <sz val="10"/>
      <color rgb="FF000000"/>
      <name val="Arial"/>
      <family val="2"/>
      <scheme val="minor"/>
    </font>
    <font>
      <b/>
      <sz val="10"/>
      <color rgb="FF0000FF"/>
      <name val="Arial"/>
      <family val="2"/>
      <scheme val="minor"/>
    </font>
    <font>
      <b/>
      <sz val="14"/>
      <color rgb="FF000000"/>
      <name val="Arial"/>
      <family val="2"/>
      <scheme val="minor"/>
    </font>
    <font>
      <b/>
      <sz val="16"/>
      <color rgb="FFFFFFFF"/>
      <name val="Arial"/>
      <family val="2"/>
      <scheme val="minor"/>
    </font>
    <font>
      <i/>
      <sz val="11"/>
      <color rgb="FF595959"/>
      <name val="Arial"/>
      <family val="2"/>
      <scheme val="minor"/>
    </font>
    <font>
      <b/>
      <sz val="10"/>
      <color rgb="FFC00000"/>
      <name val="Arial"/>
      <family val="2"/>
      <scheme val="minor"/>
    </font>
    <font>
      <b/>
      <sz val="10"/>
      <color rgb="FF006100"/>
      <name val="Arial"/>
      <family val="2"/>
      <scheme val="minor"/>
    </font>
    <font>
      <b/>
      <i/>
      <sz val="10"/>
      <color rgb="FFFFFFFF"/>
      <name val="Arial"/>
      <family val="2"/>
      <scheme val="minor"/>
    </font>
    <font>
      <b/>
      <i/>
      <sz val="10"/>
      <color rgb="FFFFFF00"/>
      <name val="Arial"/>
      <family val="2"/>
      <scheme val="minor"/>
    </font>
    <font>
      <b/>
      <sz val="10"/>
      <color rgb="FF008000"/>
      <name val="Arial"/>
      <family val="2"/>
      <scheme val="minor"/>
    </font>
    <font>
      <b/>
      <sz val="9"/>
      <color rgb="FF006100"/>
      <name val="Arial"/>
    </font>
    <font>
      <sz val="9"/>
      <color rgb="FFCCCCCC"/>
      <name val="Arial"/>
    </font>
    <font>
      <b/>
      <sz val="9"/>
      <color rgb="FF9C0006"/>
      <name val="Arial"/>
    </font>
    <font>
      <sz val="10"/>
      <color rgb="FF666666"/>
      <name val="Arial"/>
    </font>
    <font>
      <b/>
      <sz val="10"/>
      <color rgb="FFFFFFFF"/>
      <name val="Arial"/>
    </font>
    <font>
      <b/>
      <sz val="16"/>
      <color rgb="FF1F4E79"/>
      <name val="Arial"/>
    </font>
    <font>
      <i/>
      <sz val="9"/>
      <color rgb="FF888888"/>
      <name val="Arial"/>
    </font>
    <font>
      <b/>
      <sz val="11"/>
      <color rgb="FFFFFFFF"/>
      <name val="Arial"/>
    </font>
    <font>
      <i/>
      <sz val="8"/>
      <color rgb="FF8B0000"/>
      <name val="Arial"/>
    </font>
    <font>
      <i/>
      <sz val="10"/>
      <color rgb="FF1F4E79"/>
      <name val="Arial"/>
      <family val="2"/>
      <scheme val="minor"/>
    </font>
    <font>
      <sz val="10"/>
      <color rgb="FF000000"/>
      <name val="Arial"/>
      <family val="2"/>
      <scheme val="minor"/>
    </font>
  </fonts>
  <fills count="23">
    <fill>
      <patternFill patternType="none"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theme="0"/>
      </patternFill>
    </fill>
    <fill>
      <patternFill patternType="solid">
        <fgColor rgb="FF1F4E79"/>
      </patternFill>
    </fill>
    <fill>
      <patternFill patternType="solid">
        <fgColor rgb="FFF2F7FB"/>
      </patternFill>
    </fill>
    <fill>
      <patternFill patternType="solid">
        <fgColor rgb="FFFFFFFF"/>
      </patternFill>
    </fill>
    <fill>
      <patternFill patternType="solid">
        <fgColor rgb="FF1F4E79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2F7FB"/>
      </patternFill>
    </fill>
    <fill>
      <patternFill patternType="solid">
        <fgColor rgb="FFC6EFCE"/>
      </patternFill>
    </fill>
    <fill>
      <patternFill patternType="solid">
        <fgColor rgb="FFFFFFFF"/>
      </patternFill>
    </fill>
    <fill>
      <patternFill patternType="solid">
        <fgColor rgb="FFFFC7CE"/>
      </patternFill>
    </fill>
    <fill>
      <patternFill patternType="solid">
        <fgColor rgb="FF8B0000"/>
      </patternFill>
    </fill>
    <fill>
      <patternFill patternType="solid">
        <fgColor rgb="FF2E75B6"/>
      </patternFill>
    </fill>
  </fills>
  <borders count="1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rgb="FF1F4E79"/>
      </left>
      <right style="thin">
        <color rgb="FF1F4E79"/>
      </right>
      <top style="medium">
        <color rgb="FF1F4E79"/>
      </top>
      <bottom style="medium">
        <color rgb="FF1F4E79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8B0000"/>
      </left>
      <right style="thin">
        <color rgb="FF8B0000"/>
      </right>
      <top style="medium">
        <color rgb="FF8B0000"/>
      </top>
      <bottom style="medium">
        <color rgb="FF8B0000"/>
      </bottom>
      <diagonal/>
    </border>
    <border>
      <left style="medium">
        <color rgb="FF1F4E79"/>
      </left>
      <right style="medium">
        <color rgb="FF1F4E79"/>
      </right>
      <top style="medium">
        <color rgb="FF1F4E79"/>
      </top>
      <bottom style="medium">
        <color rgb="FF1F4E79"/>
      </bottom>
      <diagonal/>
    </border>
    <border>
      <left/>
      <right style="medium">
        <color rgb="FF1F4E79"/>
      </right>
      <top style="medium">
        <color rgb="FF1F4E79"/>
      </top>
      <bottom style="medium">
        <color rgb="FF1F4E7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62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2" fillId="0" borderId="0" xfId="0" applyFont="1"/>
    <xf numFmtId="0" fontId="1" fillId="2" borderId="3" xfId="0" applyFont="1" applyFill="1" applyBorder="1" applyAlignment="1">
      <alignment horizontal="center" vertical="center"/>
    </xf>
    <xf numFmtId="0" fontId="1" fillId="0" borderId="2" xfId="0" applyFont="1" applyBorder="1" applyAlignment="1">
      <alignment wrapText="1"/>
    </xf>
    <xf numFmtId="0" fontId="3" fillId="0" borderId="2" xfId="0" applyFont="1" applyBorder="1" applyAlignment="1">
      <alignment wrapText="1"/>
    </xf>
    <xf numFmtId="164" fontId="1" fillId="3" borderId="2" xfId="0" applyNumberFormat="1" applyFont="1" applyFill="1" applyBorder="1"/>
    <xf numFmtId="9" fontId="1" fillId="3" borderId="2" xfId="0" applyNumberFormat="1" applyFont="1" applyFill="1" applyBorder="1" applyAlignment="1">
      <alignment horizontal="center"/>
    </xf>
    <xf numFmtId="165" fontId="1" fillId="3" borderId="2" xfId="0" applyNumberFormat="1" applyFont="1" applyFill="1" applyBorder="1" applyAlignment="1">
      <alignment horizontal="center"/>
    </xf>
    <xf numFmtId="1" fontId="1" fillId="3" borderId="2" xfId="0" applyNumberFormat="1" applyFont="1" applyFill="1" applyBorder="1" applyAlignment="1">
      <alignment horizontal="center"/>
    </xf>
    <xf numFmtId="166" fontId="1" fillId="3" borderId="2" xfId="0" applyNumberFormat="1" applyFont="1" applyFill="1" applyBorder="1" applyAlignment="1">
      <alignment horizontal="center"/>
    </xf>
    <xf numFmtId="166" fontId="1" fillId="3" borderId="0" xfId="0" applyNumberFormat="1" applyFont="1" applyFill="1" applyAlignment="1">
      <alignment horizontal="center"/>
    </xf>
    <xf numFmtId="0" fontId="1" fillId="4" borderId="2" xfId="0" applyFont="1" applyFill="1" applyBorder="1" applyAlignment="1">
      <alignment wrapText="1"/>
    </xf>
    <xf numFmtId="0" fontId="4" fillId="3" borderId="2" xfId="0" applyFont="1" applyFill="1" applyBorder="1"/>
    <xf numFmtId="0" fontId="1" fillId="3" borderId="2" xfId="0" applyFont="1" applyFill="1" applyBorder="1"/>
    <xf numFmtId="0" fontId="1" fillId="0" borderId="2" xfId="0" applyFont="1" applyBorder="1"/>
    <xf numFmtId="0" fontId="5" fillId="0" borderId="2" xfId="0" applyFont="1" applyBorder="1"/>
    <xf numFmtId="0" fontId="1" fillId="5" borderId="2" xfId="0" applyFont="1" applyFill="1" applyBorder="1" applyAlignment="1">
      <alignment wrapText="1"/>
    </xf>
    <xf numFmtId="0" fontId="5" fillId="0" borderId="2" xfId="0" applyFont="1" applyBorder="1" applyAlignment="1">
      <alignment horizontal="left"/>
    </xf>
    <xf numFmtId="0" fontId="1" fillId="0" borderId="2" xfId="0" applyFont="1" applyBorder="1" applyAlignment="1">
      <alignment horizontal="left"/>
    </xf>
    <xf numFmtId="0" fontId="1" fillId="3" borderId="2" xfId="0" applyFont="1" applyFill="1" applyBorder="1" applyAlignment="1">
      <alignment wrapText="1"/>
    </xf>
    <xf numFmtId="0" fontId="5" fillId="3" borderId="2" xfId="0" applyFont="1" applyFill="1" applyBorder="1" applyAlignment="1">
      <alignment horizontal="left"/>
    </xf>
    <xf numFmtId="0" fontId="1" fillId="3" borderId="2" xfId="0" applyFont="1" applyFill="1" applyBorder="1" applyAlignment="1">
      <alignment horizontal="left"/>
    </xf>
    <xf numFmtId="0" fontId="6" fillId="0" borderId="0" xfId="0" applyFont="1" applyAlignment="1">
      <alignment horizontal="center" wrapText="1"/>
    </xf>
    <xf numFmtId="0" fontId="6" fillId="0" borderId="0" xfId="0" applyFont="1" applyAlignment="1">
      <alignment wrapText="1"/>
    </xf>
    <xf numFmtId="10" fontId="6" fillId="0" borderId="0" xfId="0" applyNumberFormat="1" applyFont="1" applyAlignment="1">
      <alignment horizontal="center" wrapText="1"/>
    </xf>
    <xf numFmtId="0" fontId="7" fillId="0" borderId="0" xfId="0" applyFont="1"/>
    <xf numFmtId="10" fontId="7" fillId="0" borderId="0" xfId="0" applyNumberFormat="1" applyFont="1"/>
    <xf numFmtId="0" fontId="8" fillId="0" borderId="0" xfId="0" applyFont="1"/>
    <xf numFmtId="0" fontId="9" fillId="0" borderId="0" xfId="0" applyFont="1"/>
    <xf numFmtId="0" fontId="7" fillId="0" borderId="0" xfId="0" applyFont="1" applyAlignment="1">
      <alignment vertical="top"/>
    </xf>
    <xf numFmtId="0" fontId="7" fillId="0" borderId="0" xfId="0" applyFont="1" applyAlignment="1">
      <alignment vertical="top" wrapText="1"/>
    </xf>
    <xf numFmtId="0" fontId="7" fillId="0" borderId="0" xfId="0" applyFont="1" applyAlignment="1">
      <alignment horizontal="center" vertical="center" wrapText="1"/>
    </xf>
    <xf numFmtId="0" fontId="10" fillId="0" borderId="0" xfId="0" applyFont="1" applyAlignment="1">
      <alignment vertical="top"/>
    </xf>
    <xf numFmtId="0" fontId="11" fillId="0" borderId="0" xfId="0" applyFont="1"/>
    <xf numFmtId="0" fontId="11" fillId="0" borderId="0" xfId="0" applyFont="1" applyAlignment="1">
      <alignment vertical="top"/>
    </xf>
    <xf numFmtId="0" fontId="7" fillId="0" borderId="4" xfId="0" applyFont="1" applyBorder="1" applyAlignment="1">
      <alignment vertical="top"/>
    </xf>
    <xf numFmtId="0" fontId="7" fillId="0" borderId="4" xfId="0" applyFont="1" applyBorder="1" applyAlignment="1">
      <alignment vertical="top" wrapText="1"/>
    </xf>
    <xf numFmtId="0" fontId="7" fillId="0" borderId="4" xfId="0" applyFont="1" applyBorder="1" applyAlignment="1">
      <alignment horizontal="center" vertical="top" wrapText="1"/>
    </xf>
    <xf numFmtId="0" fontId="7" fillId="0" borderId="5" xfId="0" applyFont="1" applyBorder="1" applyAlignment="1">
      <alignment vertical="top"/>
    </xf>
    <xf numFmtId="0" fontId="7" fillId="0" borderId="5" xfId="0" applyFont="1" applyBorder="1" applyAlignment="1">
      <alignment vertical="top" wrapText="1"/>
    </xf>
    <xf numFmtId="0" fontId="7" fillId="0" borderId="5" xfId="0" applyFont="1" applyBorder="1" applyAlignment="1">
      <alignment horizontal="center" vertical="center" wrapText="1"/>
    </xf>
    <xf numFmtId="10" fontId="7" fillId="0" borderId="5" xfId="0" applyNumberFormat="1" applyFont="1" applyBorder="1" applyAlignment="1">
      <alignment horizontal="center" vertical="center" wrapText="1"/>
    </xf>
    <xf numFmtId="0" fontId="7" fillId="0" borderId="6" xfId="0" applyFont="1" applyBorder="1" applyAlignment="1">
      <alignment vertical="top"/>
    </xf>
    <xf numFmtId="0" fontId="7" fillId="0" borderId="6" xfId="0" applyFont="1" applyBorder="1" applyAlignment="1">
      <alignment vertical="top" wrapText="1"/>
    </xf>
    <xf numFmtId="0" fontId="7" fillId="0" borderId="6" xfId="0" applyFont="1" applyBorder="1" applyAlignment="1">
      <alignment horizontal="center" vertical="center" wrapText="1"/>
    </xf>
    <xf numFmtId="10" fontId="7" fillId="0" borderId="6" xfId="0" applyNumberFormat="1" applyFont="1" applyBorder="1" applyAlignment="1">
      <alignment horizontal="center" vertical="center" wrapText="1"/>
    </xf>
    <xf numFmtId="0" fontId="12" fillId="6" borderId="7" xfId="0" applyFont="1" applyFill="1" applyBorder="1" applyAlignment="1">
      <alignment horizontal="center" vertical="center" wrapText="1"/>
    </xf>
    <xf numFmtId="0" fontId="13" fillId="7" borderId="8" xfId="0" applyFont="1" applyFill="1" applyBorder="1" applyAlignment="1">
      <alignment horizontal="center"/>
    </xf>
    <xf numFmtId="0" fontId="14" fillId="7" borderId="8" xfId="0" applyFont="1" applyFill="1" applyBorder="1" applyAlignment="1">
      <alignment horizontal="center"/>
    </xf>
    <xf numFmtId="0" fontId="15" fillId="7" borderId="8" xfId="0" applyFont="1" applyFill="1" applyBorder="1" applyAlignment="1">
      <alignment horizontal="left"/>
    </xf>
    <xf numFmtId="0" fontId="16" fillId="7" borderId="8" xfId="0" applyFont="1" applyFill="1" applyBorder="1" applyAlignment="1">
      <alignment horizontal="left"/>
    </xf>
    <xf numFmtId="0" fontId="13" fillId="8" borderId="8" xfId="0" applyFont="1" applyFill="1" applyBorder="1" applyAlignment="1">
      <alignment horizontal="center"/>
    </xf>
    <xf numFmtId="0" fontId="14" fillId="8" borderId="8" xfId="0" applyFont="1" applyFill="1" applyBorder="1" applyAlignment="1">
      <alignment horizontal="center"/>
    </xf>
    <xf numFmtId="0" fontId="15" fillId="8" borderId="8" xfId="0" applyFont="1" applyFill="1" applyBorder="1" applyAlignment="1">
      <alignment horizontal="left"/>
    </xf>
    <xf numFmtId="0" fontId="16" fillId="8" borderId="8" xfId="0" applyFont="1" applyFill="1" applyBorder="1" applyAlignment="1">
      <alignment horizontal="left"/>
    </xf>
    <xf numFmtId="0" fontId="17" fillId="9" borderId="0" xfId="0" applyFont="1" applyFill="1"/>
    <xf numFmtId="0" fontId="18" fillId="0" borderId="0" xfId="0" applyFont="1"/>
    <xf numFmtId="0" fontId="19" fillId="0" borderId="0" xfId="0" applyFont="1"/>
    <xf numFmtId="0" fontId="19" fillId="10" borderId="0" xfId="0" applyFont="1" applyFill="1"/>
    <xf numFmtId="0" fontId="0" fillId="10" borderId="0" xfId="0" applyFill="1"/>
    <xf numFmtId="10" fontId="20" fillId="0" borderId="0" xfId="0" applyNumberFormat="1" applyFont="1"/>
    <xf numFmtId="2" fontId="20" fillId="0" borderId="0" xfId="0" applyNumberFormat="1" applyFont="1"/>
    <xf numFmtId="10" fontId="0" fillId="0" borderId="0" xfId="0" applyNumberFormat="1"/>
    <xf numFmtId="10" fontId="19" fillId="0" borderId="0" xfId="0" applyNumberFormat="1" applyFont="1"/>
    <xf numFmtId="10" fontId="19" fillId="11" borderId="0" xfId="0" applyNumberFormat="1" applyFont="1" applyFill="1"/>
    <xf numFmtId="164" fontId="20" fillId="0" borderId="0" xfId="0" applyNumberFormat="1" applyFont="1"/>
    <xf numFmtId="169" fontId="20" fillId="0" borderId="0" xfId="0" applyNumberFormat="1" applyFont="1"/>
    <xf numFmtId="164" fontId="0" fillId="0" borderId="0" xfId="0" applyNumberFormat="1"/>
    <xf numFmtId="165" fontId="0" fillId="0" borderId="0" xfId="0" applyNumberFormat="1"/>
    <xf numFmtId="165" fontId="20" fillId="0" borderId="0" xfId="0" applyNumberFormat="1" applyFont="1"/>
    <xf numFmtId="165" fontId="19" fillId="0" borderId="0" xfId="0" applyNumberFormat="1" applyFont="1"/>
    <xf numFmtId="168" fontId="0" fillId="0" borderId="0" xfId="0" applyNumberFormat="1"/>
    <xf numFmtId="0" fontId="21" fillId="0" borderId="0" xfId="0" applyFont="1"/>
    <xf numFmtId="10" fontId="21" fillId="11" borderId="0" xfId="0" applyNumberFormat="1" applyFont="1" applyFill="1"/>
    <xf numFmtId="0" fontId="24" fillId="9" borderId="0" xfId="0" applyFont="1" applyFill="1"/>
    <xf numFmtId="0" fontId="0" fillId="9" borderId="0" xfId="0" applyFill="1"/>
    <xf numFmtId="164" fontId="25" fillId="0" borderId="0" xfId="0" applyNumberFormat="1" applyFont="1"/>
    <xf numFmtId="169" fontId="25" fillId="0" borderId="0" xfId="0" applyNumberFormat="1" applyFont="1"/>
    <xf numFmtId="165" fontId="25" fillId="0" borderId="0" xfId="0" applyNumberFormat="1" applyFont="1"/>
    <xf numFmtId="0" fontId="19" fillId="10" borderId="0" xfId="0" applyFont="1" applyFill="1" applyAlignment="1">
      <alignment horizontal="center"/>
    </xf>
    <xf numFmtId="0" fontId="26" fillId="0" borderId="0" xfId="0" applyFont="1"/>
    <xf numFmtId="168" fontId="18" fillId="0" borderId="0" xfId="0" applyNumberFormat="1" applyFont="1"/>
    <xf numFmtId="168" fontId="27" fillId="0" borderId="0" xfId="0" applyNumberFormat="1" applyFont="1"/>
    <xf numFmtId="165" fontId="27" fillId="0" borderId="0" xfId="0" applyNumberFormat="1" applyFont="1"/>
    <xf numFmtId="0" fontId="28" fillId="0" borderId="0" xfId="0" applyFont="1"/>
    <xf numFmtId="168" fontId="26" fillId="0" borderId="0" xfId="0" applyNumberFormat="1" applyFont="1"/>
    <xf numFmtId="168" fontId="20" fillId="0" borderId="0" xfId="0" applyNumberFormat="1" applyFont="1"/>
    <xf numFmtId="10" fontId="25" fillId="0" borderId="0" xfId="0" applyNumberFormat="1" applyFont="1"/>
    <xf numFmtId="0" fontId="29" fillId="12" borderId="0" xfId="0" applyFont="1" applyFill="1"/>
    <xf numFmtId="0" fontId="19" fillId="11" borderId="0" xfId="0" applyFont="1" applyFill="1"/>
    <xf numFmtId="0" fontId="26" fillId="0" borderId="0" xfId="0" applyFont="1" applyAlignment="1">
      <alignment horizontal="center"/>
    </xf>
    <xf numFmtId="166" fontId="0" fillId="0" borderId="0" xfId="0" applyNumberFormat="1"/>
    <xf numFmtId="170" fontId="0" fillId="0" borderId="0" xfId="0" applyNumberFormat="1"/>
    <xf numFmtId="0" fontId="19" fillId="13" borderId="0" xfId="0" applyFont="1" applyFill="1"/>
    <xf numFmtId="165" fontId="19" fillId="13" borderId="0" xfId="0" applyNumberFormat="1" applyFont="1" applyFill="1"/>
    <xf numFmtId="165" fontId="21" fillId="11" borderId="0" xfId="0" applyNumberFormat="1" applyFont="1" applyFill="1"/>
    <xf numFmtId="171" fontId="0" fillId="0" borderId="0" xfId="0" applyNumberFormat="1"/>
    <xf numFmtId="165" fontId="19" fillId="11" borderId="0" xfId="0" applyNumberFormat="1" applyFont="1" applyFill="1"/>
    <xf numFmtId="169" fontId="0" fillId="0" borderId="0" xfId="0" applyNumberFormat="1"/>
    <xf numFmtId="164" fontId="21" fillId="11" borderId="0" xfId="0" applyNumberFormat="1" applyFont="1" applyFill="1"/>
    <xf numFmtId="168" fontId="19" fillId="0" borderId="0" xfId="0" applyNumberFormat="1" applyFont="1"/>
    <xf numFmtId="164" fontId="19" fillId="11" borderId="0" xfId="0" applyNumberFormat="1" applyFont="1" applyFill="1"/>
    <xf numFmtId="10" fontId="18" fillId="0" borderId="0" xfId="0" applyNumberFormat="1" applyFont="1"/>
    <xf numFmtId="164" fontId="19" fillId="0" borderId="0" xfId="0" applyNumberFormat="1" applyFont="1"/>
    <xf numFmtId="164" fontId="19" fillId="13" borderId="0" xfId="0" applyNumberFormat="1" applyFont="1" applyFill="1"/>
    <xf numFmtId="168" fontId="25" fillId="0" borderId="0" xfId="0" applyNumberFormat="1" applyFont="1"/>
    <xf numFmtId="172" fontId="0" fillId="0" borderId="0" xfId="0" applyNumberFormat="1"/>
    <xf numFmtId="0" fontId="30" fillId="0" borderId="0" xfId="0" applyFont="1"/>
    <xf numFmtId="164" fontId="30" fillId="11" borderId="0" xfId="0" applyNumberFormat="1" applyFont="1" applyFill="1"/>
    <xf numFmtId="168" fontId="19" fillId="11" borderId="0" xfId="0" applyNumberFormat="1" applyFont="1" applyFill="1"/>
    <xf numFmtId="0" fontId="31" fillId="9" borderId="0" xfId="0" applyFont="1" applyFill="1"/>
    <xf numFmtId="0" fontId="32" fillId="0" borderId="0" xfId="0" applyFont="1"/>
    <xf numFmtId="168" fontId="33" fillId="0" borderId="0" xfId="0" applyNumberFormat="1" applyFont="1"/>
    <xf numFmtId="0" fontId="34" fillId="0" borderId="0" xfId="0" applyFont="1"/>
    <xf numFmtId="168" fontId="34" fillId="0" borderId="0" xfId="0" applyNumberFormat="1" applyFont="1"/>
    <xf numFmtId="0" fontId="19" fillId="14" borderId="0" xfId="0" applyFont="1" applyFill="1"/>
    <xf numFmtId="173" fontId="20" fillId="0" borderId="0" xfId="0" applyNumberFormat="1" applyFont="1"/>
    <xf numFmtId="168" fontId="19" fillId="10" borderId="0" xfId="0" applyNumberFormat="1" applyFont="1" applyFill="1"/>
    <xf numFmtId="0" fontId="19" fillId="10" borderId="0" xfId="0" applyFont="1" applyFill="1" applyAlignment="1">
      <alignment horizontal="center" wrapText="1"/>
    </xf>
    <xf numFmtId="169" fontId="20" fillId="0" borderId="0" xfId="0" applyNumberFormat="1" applyFont="1" applyAlignment="1">
      <alignment horizontal="right"/>
    </xf>
    <xf numFmtId="165" fontId="20" fillId="0" borderId="0" xfId="0" applyNumberFormat="1" applyFont="1" applyAlignment="1">
      <alignment horizontal="right"/>
    </xf>
    <xf numFmtId="168" fontId="0" fillId="0" borderId="0" xfId="0" applyNumberFormat="1" applyAlignment="1">
      <alignment horizontal="right"/>
    </xf>
    <xf numFmtId="164" fontId="0" fillId="0" borderId="0" xfId="0" applyNumberFormat="1" applyAlignment="1">
      <alignment horizontal="right"/>
    </xf>
    <xf numFmtId="0" fontId="20" fillId="0" borderId="0" xfId="0" applyFont="1" applyAlignment="1">
      <alignment horizontal="left"/>
    </xf>
    <xf numFmtId="0" fontId="29" fillId="13" borderId="0" xfId="0" applyFont="1" applyFill="1" applyAlignment="1">
      <alignment horizontal="left"/>
    </xf>
    <xf numFmtId="169" fontId="29" fillId="13" borderId="0" xfId="0" applyNumberFormat="1" applyFont="1" applyFill="1" applyAlignment="1">
      <alignment horizontal="right"/>
    </xf>
    <xf numFmtId="165" fontId="29" fillId="13" borderId="0" xfId="0" applyNumberFormat="1" applyFont="1" applyFill="1" applyAlignment="1">
      <alignment horizontal="right"/>
    </xf>
    <xf numFmtId="168" fontId="19" fillId="13" borderId="0" xfId="0" applyNumberFormat="1" applyFont="1" applyFill="1" applyAlignment="1">
      <alignment horizontal="right"/>
    </xf>
    <xf numFmtId="164" fontId="19" fillId="13" borderId="0" xfId="0" applyNumberFormat="1" applyFont="1" applyFill="1" applyAlignment="1">
      <alignment horizontal="right"/>
    </xf>
    <xf numFmtId="0" fontId="24" fillId="9" borderId="0" xfId="0" applyFont="1" applyFill="1" applyAlignment="1">
      <alignment horizontal="left"/>
    </xf>
    <xf numFmtId="168" fontId="20" fillId="14" borderId="0" xfId="0" applyNumberFormat="1" applyFont="1" applyFill="1"/>
    <xf numFmtId="0" fontId="0" fillId="14" borderId="0" xfId="0" applyFill="1"/>
    <xf numFmtId="0" fontId="0" fillId="0" borderId="0" xfId="0" applyAlignment="1">
      <alignment horizontal="center"/>
    </xf>
    <xf numFmtId="0" fontId="35" fillId="9" borderId="0" xfId="0" applyFont="1" applyFill="1"/>
    <xf numFmtId="0" fontId="28" fillId="10" borderId="0" xfId="0" applyFont="1" applyFill="1"/>
    <xf numFmtId="168" fontId="20" fillId="0" borderId="0" xfId="0" applyNumberFormat="1" applyFont="1" applyAlignment="1">
      <alignment horizontal="center"/>
    </xf>
    <xf numFmtId="168" fontId="29" fillId="11" borderId="0" xfId="0" applyNumberFormat="1" applyFont="1" applyFill="1" applyAlignment="1">
      <alignment horizontal="center"/>
    </xf>
    <xf numFmtId="9" fontId="20" fillId="0" borderId="0" xfId="0" applyNumberFormat="1" applyFont="1" applyAlignment="1">
      <alignment horizontal="center"/>
    </xf>
    <xf numFmtId="9" fontId="29" fillId="0" borderId="0" xfId="0" applyNumberFormat="1" applyFont="1" applyAlignment="1">
      <alignment horizontal="center"/>
    </xf>
    <xf numFmtId="9" fontId="19" fillId="0" borderId="0" xfId="0" applyNumberFormat="1" applyFont="1" applyAlignment="1">
      <alignment horizontal="center"/>
    </xf>
    <xf numFmtId="0" fontId="24" fillId="9" borderId="0" xfId="0" applyFont="1" applyFill="1" applyAlignment="1">
      <alignment horizontal="center"/>
    </xf>
    <xf numFmtId="4" fontId="20" fillId="0" borderId="0" xfId="0" applyNumberFormat="1" applyFont="1"/>
    <xf numFmtId="3" fontId="20" fillId="0" borderId="0" xfId="0" applyNumberFormat="1" applyFont="1"/>
    <xf numFmtId="3" fontId="0" fillId="0" borderId="0" xfId="0" applyNumberFormat="1"/>
    <xf numFmtId="174" fontId="20" fillId="0" borderId="0" xfId="0" applyNumberFormat="1" applyFont="1"/>
    <xf numFmtId="3" fontId="19" fillId="0" borderId="0" xfId="0" applyNumberFormat="1" applyFont="1"/>
    <xf numFmtId="3" fontId="27" fillId="0" borderId="0" xfId="0" applyNumberFormat="1" applyFont="1"/>
    <xf numFmtId="0" fontId="36" fillId="9" borderId="0" xfId="0" applyFont="1" applyFill="1"/>
    <xf numFmtId="174" fontId="0" fillId="0" borderId="0" xfId="0" applyNumberFormat="1"/>
    <xf numFmtId="4" fontId="0" fillId="0" borderId="0" xfId="0" applyNumberFormat="1"/>
    <xf numFmtId="175" fontId="0" fillId="0" borderId="0" xfId="0" applyNumberFormat="1"/>
    <xf numFmtId="4" fontId="21" fillId="11" borderId="0" xfId="0" applyNumberFormat="1" applyFont="1" applyFill="1"/>
    <xf numFmtId="0" fontId="19" fillId="0" borderId="0" xfId="0" applyFont="1" applyAlignment="1">
      <alignment horizontal="center"/>
    </xf>
    <xf numFmtId="168" fontId="37" fillId="15" borderId="0" xfId="0" applyNumberFormat="1" applyFont="1" applyFill="1"/>
    <xf numFmtId="0" fontId="19" fillId="15" borderId="0" xfId="0" applyFont="1" applyFill="1"/>
    <xf numFmtId="0" fontId="19" fillId="15" borderId="0" xfId="0" applyFont="1" applyFill="1" applyAlignment="1">
      <alignment horizontal="center"/>
    </xf>
    <xf numFmtId="168" fontId="37" fillId="14" borderId="0" xfId="0" applyNumberFormat="1" applyFont="1" applyFill="1"/>
    <xf numFmtId="0" fontId="19" fillId="14" borderId="0" xfId="0" applyFont="1" applyFill="1" applyAlignment="1">
      <alignment horizontal="center"/>
    </xf>
    <xf numFmtId="0" fontId="0" fillId="15" borderId="0" xfId="0" applyFill="1"/>
    <xf numFmtId="0" fontId="0" fillId="15" borderId="0" xfId="0" applyFill="1" applyAlignment="1">
      <alignment horizontal="center"/>
    </xf>
    <xf numFmtId="164" fontId="25" fillId="15" borderId="0" xfId="0" applyNumberFormat="1" applyFont="1" applyFill="1"/>
    <xf numFmtId="164" fontId="37" fillId="15" borderId="0" xfId="0" applyNumberFormat="1" applyFont="1" applyFill="1"/>
    <xf numFmtId="0" fontId="0" fillId="14" borderId="0" xfId="0" applyFill="1" applyAlignment="1">
      <alignment horizontal="center"/>
    </xf>
    <xf numFmtId="4" fontId="25" fillId="14" borderId="0" xfId="0" applyNumberFormat="1" applyFont="1" applyFill="1"/>
    <xf numFmtId="4" fontId="37" fillId="14" borderId="0" xfId="0" applyNumberFormat="1" applyFont="1" applyFill="1"/>
    <xf numFmtId="164" fontId="25" fillId="14" borderId="0" xfId="0" applyNumberFormat="1" applyFont="1" applyFill="1"/>
    <xf numFmtId="164" fontId="37" fillId="14" borderId="0" xfId="0" applyNumberFormat="1" applyFont="1" applyFill="1"/>
    <xf numFmtId="0" fontId="19" fillId="13" borderId="0" xfId="0" applyFont="1" applyFill="1" applyAlignment="1">
      <alignment horizontal="center"/>
    </xf>
    <xf numFmtId="0" fontId="0" fillId="13" borderId="0" xfId="0" applyFill="1" applyAlignment="1">
      <alignment horizontal="center"/>
    </xf>
    <xf numFmtId="0" fontId="0" fillId="13" borderId="0" xfId="0" applyFill="1"/>
    <xf numFmtId="164" fontId="25" fillId="13" borderId="0" xfId="0" applyNumberFormat="1" applyFont="1" applyFill="1"/>
    <xf numFmtId="164" fontId="37" fillId="13" borderId="0" xfId="0" applyNumberFormat="1" applyFont="1" applyFill="1"/>
    <xf numFmtId="168" fontId="37" fillId="13" borderId="0" xfId="0" applyNumberFormat="1" applyFont="1" applyFill="1"/>
    <xf numFmtId="0" fontId="19" fillId="16" borderId="0" xfId="0" applyFont="1" applyFill="1" applyAlignment="1">
      <alignment horizontal="center"/>
    </xf>
    <xf numFmtId="0" fontId="0" fillId="16" borderId="0" xfId="0" applyFill="1" applyAlignment="1">
      <alignment horizontal="center"/>
    </xf>
    <xf numFmtId="0" fontId="0" fillId="16" borderId="0" xfId="0" applyFill="1"/>
    <xf numFmtId="164" fontId="25" fillId="16" borderId="0" xfId="0" applyNumberFormat="1" applyFont="1" applyFill="1"/>
    <xf numFmtId="164" fontId="37" fillId="16" borderId="0" xfId="0" applyNumberFormat="1" applyFont="1" applyFill="1"/>
    <xf numFmtId="168" fontId="37" fillId="16" borderId="0" xfId="0" applyNumberFormat="1" applyFont="1" applyFill="1"/>
    <xf numFmtId="0" fontId="19" fillId="16" borderId="0" xfId="0" applyFont="1" applyFill="1"/>
    <xf numFmtId="167" fontId="15" fillId="17" borderId="9" xfId="0" applyNumberFormat="1" applyFont="1" applyFill="1" applyBorder="1" applyAlignment="1">
      <alignment horizontal="center"/>
    </xf>
    <xf numFmtId="168" fontId="38" fillId="18" borderId="9" xfId="0" applyNumberFormat="1" applyFont="1" applyFill="1" applyBorder="1" applyAlignment="1">
      <alignment horizontal="center"/>
    </xf>
    <xf numFmtId="169" fontId="15" fillId="17" borderId="9" xfId="0" applyNumberFormat="1" applyFont="1" applyFill="1" applyBorder="1" applyAlignment="1">
      <alignment horizontal="center"/>
    </xf>
    <xf numFmtId="168" fontId="15" fillId="17" borderId="9" xfId="0" applyNumberFormat="1" applyFont="1" applyFill="1" applyBorder="1" applyAlignment="1">
      <alignment horizontal="center"/>
    </xf>
    <xf numFmtId="166" fontId="15" fillId="17" borderId="9" xfId="0" applyNumberFormat="1" applyFont="1" applyFill="1" applyBorder="1" applyAlignment="1">
      <alignment horizontal="center"/>
    </xf>
    <xf numFmtId="0" fontId="39" fillId="17" borderId="9" xfId="0" applyFont="1" applyFill="1" applyBorder="1" applyAlignment="1">
      <alignment horizontal="center"/>
    </xf>
    <xf numFmtId="167" fontId="15" fillId="19" borderId="9" xfId="0" applyNumberFormat="1" applyFont="1" applyFill="1" applyBorder="1" applyAlignment="1">
      <alignment horizontal="center"/>
    </xf>
    <xf numFmtId="169" fontId="15" fillId="19" borderId="9" xfId="0" applyNumberFormat="1" applyFont="1" applyFill="1" applyBorder="1" applyAlignment="1">
      <alignment horizontal="center"/>
    </xf>
    <xf numFmtId="168" fontId="15" fillId="19" borderId="9" xfId="0" applyNumberFormat="1" applyFont="1" applyFill="1" applyBorder="1" applyAlignment="1">
      <alignment horizontal="center"/>
    </xf>
    <xf numFmtId="166" fontId="15" fillId="19" borderId="9" xfId="0" applyNumberFormat="1" applyFont="1" applyFill="1" applyBorder="1" applyAlignment="1">
      <alignment horizontal="center"/>
    </xf>
    <xf numFmtId="0" fontId="39" fillId="19" borderId="9" xfId="0" applyFont="1" applyFill="1" applyBorder="1" applyAlignment="1">
      <alignment horizontal="center"/>
    </xf>
    <xf numFmtId="3" fontId="15" fillId="17" borderId="9" xfId="0" applyNumberFormat="1" applyFont="1" applyFill="1" applyBorder="1" applyAlignment="1">
      <alignment horizontal="center"/>
    </xf>
    <xf numFmtId="168" fontId="40" fillId="20" borderId="9" xfId="0" applyNumberFormat="1" applyFont="1" applyFill="1" applyBorder="1" applyAlignment="1">
      <alignment horizontal="center"/>
    </xf>
    <xf numFmtId="3" fontId="39" fillId="19" borderId="9" xfId="0" applyNumberFormat="1" applyFont="1" applyFill="1" applyBorder="1" applyAlignment="1">
      <alignment horizontal="center"/>
    </xf>
    <xf numFmtId="169" fontId="39" fillId="19" borderId="9" xfId="0" applyNumberFormat="1" applyFont="1" applyFill="1" applyBorder="1" applyAlignment="1">
      <alignment horizontal="center"/>
    </xf>
    <xf numFmtId="168" fontId="39" fillId="19" borderId="9" xfId="0" applyNumberFormat="1" applyFont="1" applyFill="1" applyBorder="1" applyAlignment="1">
      <alignment horizontal="center"/>
    </xf>
    <xf numFmtId="166" fontId="39" fillId="19" borderId="9" xfId="0" applyNumberFormat="1" applyFont="1" applyFill="1" applyBorder="1" applyAlignment="1">
      <alignment horizontal="center"/>
    </xf>
    <xf numFmtId="3" fontId="15" fillId="19" borderId="9" xfId="0" applyNumberFormat="1" applyFont="1" applyFill="1" applyBorder="1" applyAlignment="1">
      <alignment horizontal="center"/>
    </xf>
    <xf numFmtId="3" fontId="39" fillId="17" borderId="9" xfId="0" applyNumberFormat="1" applyFont="1" applyFill="1" applyBorder="1" applyAlignment="1">
      <alignment horizontal="center"/>
    </xf>
    <xf numFmtId="169" fontId="39" fillId="17" borderId="9" xfId="0" applyNumberFormat="1" applyFont="1" applyFill="1" applyBorder="1" applyAlignment="1">
      <alignment horizontal="center"/>
    </xf>
    <xf numFmtId="168" fontId="39" fillId="17" borderId="9" xfId="0" applyNumberFormat="1" applyFont="1" applyFill="1" applyBorder="1" applyAlignment="1">
      <alignment horizontal="center"/>
    </xf>
    <xf numFmtId="166" fontId="39" fillId="17" borderId="9" xfId="0" applyNumberFormat="1" applyFont="1" applyFill="1" applyBorder="1" applyAlignment="1">
      <alignment horizontal="center"/>
    </xf>
    <xf numFmtId="0" fontId="42" fillId="21" borderId="10" xfId="0" applyFont="1" applyFill="1" applyBorder="1" applyAlignment="1">
      <alignment horizontal="center" vertical="center" wrapText="1"/>
    </xf>
    <xf numFmtId="0" fontId="39" fillId="17" borderId="9" xfId="0" applyFont="1" applyFill="1" applyBorder="1" applyAlignment="1">
      <alignment horizontal="center" vertical="center" wrapText="1"/>
    </xf>
    <xf numFmtId="0" fontId="39" fillId="19" borderId="9" xfId="0" applyFont="1" applyFill="1" applyBorder="1" applyAlignment="1">
      <alignment horizontal="center" vertical="center" wrapText="1"/>
    </xf>
    <xf numFmtId="0" fontId="15" fillId="17" borderId="9" xfId="0" applyFont="1" applyFill="1" applyBorder="1" applyAlignment="1">
      <alignment horizontal="center"/>
    </xf>
    <xf numFmtId="4" fontId="15" fillId="17" borderId="9" xfId="0" applyNumberFormat="1" applyFont="1" applyFill="1" applyBorder="1" applyAlignment="1">
      <alignment horizontal="center"/>
    </xf>
    <xf numFmtId="0" fontId="15" fillId="17" borderId="9" xfId="0" applyFont="1" applyFill="1" applyBorder="1" applyAlignment="1">
      <alignment horizontal="left" vertical="center"/>
    </xf>
    <xf numFmtId="0" fontId="15" fillId="19" borderId="9" xfId="0" applyFont="1" applyFill="1" applyBorder="1" applyAlignment="1">
      <alignment horizontal="center"/>
    </xf>
    <xf numFmtId="4" fontId="15" fillId="19" borderId="9" xfId="0" applyNumberFormat="1" applyFont="1" applyFill="1" applyBorder="1" applyAlignment="1">
      <alignment horizontal="center"/>
    </xf>
    <xf numFmtId="0" fontId="15" fillId="19" borderId="9" xfId="0" applyFont="1" applyFill="1" applyBorder="1" applyAlignment="1">
      <alignment horizontal="left" vertical="center"/>
    </xf>
    <xf numFmtId="0" fontId="17" fillId="9" borderId="0" xfId="0" applyFont="1" applyFill="1"/>
    <xf numFmtId="0" fontId="0" fillId="0" borderId="0" xfId="0"/>
    <xf numFmtId="0" fontId="24" fillId="9" borderId="0" xfId="0" applyFont="1" applyFill="1"/>
    <xf numFmtId="0" fontId="43" fillId="0" borderId="0" xfId="0" applyFont="1" applyAlignment="1">
      <alignment horizontal="left" vertical="center"/>
    </xf>
    <xf numFmtId="0" fontId="44" fillId="0" borderId="0" xfId="0" applyFont="1" applyAlignment="1">
      <alignment horizontal="left" vertical="center"/>
    </xf>
    <xf numFmtId="0" fontId="44" fillId="0" borderId="0" xfId="0" applyFont="1" applyAlignment="1">
      <alignment horizontal="right" vertical="center"/>
    </xf>
    <xf numFmtId="0" fontId="45" fillId="22" borderId="11" xfId="0" applyFont="1" applyFill="1" applyBorder="1" applyAlignment="1">
      <alignment horizontal="center" vertical="center"/>
    </xf>
    <xf numFmtId="0" fontId="0" fillId="0" borderId="12" xfId="0" applyBorder="1"/>
    <xf numFmtId="0" fontId="41" fillId="0" borderId="0" xfId="0" applyFont="1" applyAlignment="1">
      <alignment horizontal="left"/>
    </xf>
    <xf numFmtId="0" fontId="46" fillId="0" borderId="0" xfId="0" applyFont="1" applyAlignment="1">
      <alignment horizontal="center" vertical="center"/>
    </xf>
    <xf numFmtId="0" fontId="7" fillId="0" borderId="0" xfId="0" applyFont="1" applyAlignment="1">
      <alignment vertical="top"/>
    </xf>
    <xf numFmtId="0" fontId="47" fillId="0" borderId="0" xfId="0" applyFont="1"/>
    <xf numFmtId="176" fontId="0" fillId="0" borderId="0" xfId="0" applyNumberFormat="1"/>
    <xf numFmtId="0" fontId="21" fillId="11" borderId="0" xfId="0" applyFont="1" applyFill="1"/>
    <xf numFmtId="0" fontId="29" fillId="14" borderId="0" xfId="0" applyFont="1" applyFill="1" applyAlignment="1">
      <alignment horizontal="center"/>
    </xf>
    <xf numFmtId="164" fontId="48" fillId="0" borderId="0" xfId="0" applyNumberFormat="1" applyFont="1"/>
    <xf numFmtId="176" fontId="25" fillId="0" borderId="0" xfId="0" applyNumberFormat="1" applyFont="1"/>
    <xf numFmtId="1" fontId="19" fillId="10" borderId="0" xfId="0" applyNumberFormat="1" applyFont="1" applyFill="1" applyAlignment="1">
      <alignment horizontal="center"/>
    </xf>
    <xf numFmtId="168" fontId="28" fillId="0" borderId="0" xfId="0" applyNumberFormat="1" applyFont="1"/>
    <xf numFmtId="173" fontId="0" fillId="0" borderId="0" xfId="0" applyNumberFormat="1"/>
    <xf numFmtId="173" fontId="19" fillId="10" borderId="0" xfId="0" applyNumberFormat="1" applyFont="1" applyFill="1"/>
    <xf numFmtId="177" fontId="0" fillId="0" borderId="0" xfId="0" applyNumberFormat="1"/>
    <xf numFmtId="173" fontId="19" fillId="0" borderId="0" xfId="0" applyNumberFormat="1" applyFont="1"/>
    <xf numFmtId="173" fontId="19" fillId="11" borderId="0" xfId="0" applyNumberFormat="1" applyFont="1" applyFill="1"/>
    <xf numFmtId="168" fontId="29" fillId="0" borderId="0" xfId="0" applyNumberFormat="1" applyFont="1"/>
    <xf numFmtId="166" fontId="20" fillId="0" borderId="0" xfId="0" applyNumberFormat="1" applyFont="1"/>
    <xf numFmtId="178" fontId="0" fillId="0" borderId="0" xfId="0" applyNumberFormat="1"/>
    <xf numFmtId="180" fontId="19" fillId="0" borderId="0" xfId="0" applyNumberFormat="1" applyFont="1"/>
    <xf numFmtId="180" fontId="0" fillId="0" borderId="0" xfId="0" applyNumberFormat="1"/>
    <xf numFmtId="176" fontId="19" fillId="0" borderId="0" xfId="0" applyNumberFormat="1" applyFont="1"/>
    <xf numFmtId="176" fontId="19" fillId="11" borderId="0" xfId="0" applyNumberFormat="1" applyFont="1" applyFill="1"/>
    <xf numFmtId="0" fontId="19" fillId="0" borderId="0" xfId="0" quotePrefix="1" applyFont="1"/>
    <xf numFmtId="180" fontId="25" fillId="0" borderId="0" xfId="0" applyNumberFormat="1" applyFont="1"/>
    <xf numFmtId="4" fontId="25" fillId="0" borderId="0" xfId="0" applyNumberFormat="1" applyFont="1"/>
    <xf numFmtId="181" fontId="19" fillId="0" borderId="0" xfId="0" applyNumberFormat="1" applyFont="1"/>
    <xf numFmtId="181" fontId="19" fillId="11" borderId="0" xfId="0" applyNumberFormat="1" applyFont="1" applyFill="1"/>
    <xf numFmtId="0" fontId="19" fillId="10" borderId="13" xfId="0" applyFont="1" applyFill="1" applyBorder="1" applyAlignment="1">
      <alignment horizontal="center"/>
    </xf>
    <xf numFmtId="168" fontId="19" fillId="10" borderId="13" xfId="0" applyNumberFormat="1" applyFont="1" applyFill="1" applyBorder="1" applyAlignment="1">
      <alignment horizontal="center"/>
    </xf>
    <xf numFmtId="168" fontId="19" fillId="10" borderId="13" xfId="0" applyNumberFormat="1" applyFont="1" applyFill="1" applyBorder="1"/>
    <xf numFmtId="164" fontId="0" fillId="0" borderId="13" xfId="0" applyNumberFormat="1" applyBorder="1"/>
    <xf numFmtId="164" fontId="19" fillId="11" borderId="13" xfId="0" applyNumberFormat="1" applyFont="1" applyFill="1" applyBorder="1"/>
    <xf numFmtId="0" fontId="37" fillId="0" borderId="0" xfId="0" applyFont="1"/>
    <xf numFmtId="164" fontId="37" fillId="11" borderId="0" xfId="0" applyNumberFormat="1" applyFont="1" applyFill="1"/>
    <xf numFmtId="182" fontId="0" fillId="0" borderId="0" xfId="0" applyNumberFormat="1"/>
    <xf numFmtId="183" fontId="0" fillId="0" borderId="0" xfId="0" applyNumberFormat="1"/>
    <xf numFmtId="165" fontId="29" fillId="0" borderId="0" xfId="0" applyNumberFormat="1" applyFont="1"/>
    <xf numFmtId="182" fontId="19" fillId="0" borderId="0" xfId="0" applyNumberFormat="1" applyFont="1"/>
    <xf numFmtId="183" fontId="19" fillId="11" borderId="0" xfId="0" applyNumberFormat="1" applyFont="1" applyFill="1"/>
  </cellXfs>
  <cellStyles count="1">
    <cellStyle name="Normal" xfId="0" builtinId="0"/>
  </cellStyles>
  <dxfs count="3">
    <dxf>
      <font>
        <color rgb="FFFFFFFF"/>
      </font>
      <fill>
        <patternFill patternType="solid">
          <fgColor theme="5"/>
          <bgColor theme="5"/>
        </patternFill>
      </fill>
    </dxf>
    <dxf>
      <font>
        <color rgb="FFFFFFFF"/>
      </font>
      <fill>
        <patternFill patternType="solid">
          <fgColor rgb="FF34A853"/>
          <bgColor rgb="FF34A853"/>
        </patternFill>
      </fill>
    </dxf>
    <dxf>
      <font>
        <color rgb="FFFFFFFF"/>
      </font>
      <fill>
        <patternFill patternType="solid">
          <fgColor theme="4"/>
          <bgColor theme="4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microsoft.com/office/2017/10/relationships/person" Target="persons/perso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EAEAF6CE-B1C8-A445-AF1E-4A78F8893C4E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a484d09c-41f9-4475-95c3-b51815049b29&quot;"/>
  </we:properties>
  <we:bindings/>
  <we:snapshot xmlns:r="http://schemas.openxmlformats.org/officeDocument/2006/relationships"/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hyperlink" Target="https://venture.angellist.com/v/andrey-a-semenov/i/invest/zach-coelius-eventeny-seed-ext-prorata" TargetMode="External"/><Relationship Id="rId2" Type="http://schemas.openxmlformats.org/officeDocument/2006/relationships/hyperlink" Target="https://venture.angellist.com/v/andrey-a-semenov/i/invest/daniel-gould-bioz-series-a" TargetMode="External"/><Relationship Id="rId1" Type="http://schemas.openxmlformats.org/officeDocument/2006/relationships/hyperlink" Target="https://venture.angellist.com/v/andrey-a-semenov/i/invest/durovc-humand-series-a-ext" TargetMode="External"/><Relationship Id="rId5" Type="http://schemas.openxmlformats.org/officeDocument/2006/relationships/hyperlink" Target="https://venture.angellist.com/v/andrey-a-semenov/i/invest/mana-ventures-anello-photonics-seed" TargetMode="External"/><Relationship Id="rId4" Type="http://schemas.openxmlformats.org/officeDocument/2006/relationships/hyperlink" Target="https://venture.angellist.com/v/andrey-a-semenov/i/invest/rv-inchfab-se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75"/>
  <sheetViews>
    <sheetView workbookViewId="0">
      <selection activeCell="D11" sqref="D11"/>
    </sheetView>
  </sheetViews>
  <sheetFormatPr baseColWidth="10" defaultRowHeight="13" x14ac:dyDescent="0.15"/>
  <cols>
    <col min="1" max="1" width="80" customWidth="1"/>
    <col min="2" max="7" width="21.6640625" customWidth="1"/>
    <col min="8" max="8" width="63.33203125" customWidth="1"/>
  </cols>
  <sheetData>
    <row r="1" spans="1:8" ht="18" customHeight="1" x14ac:dyDescent="0.2">
      <c r="A1" s="58" t="s">
        <v>0</v>
      </c>
    </row>
    <row r="2" spans="1:8" x14ac:dyDescent="0.15">
      <c r="A2" s="59" t="s">
        <v>1</v>
      </c>
    </row>
    <row r="4" spans="1:8" x14ac:dyDescent="0.15">
      <c r="A4" s="82" t="s">
        <v>2</v>
      </c>
      <c r="B4" s="82" t="s">
        <v>3</v>
      </c>
      <c r="C4" s="82" t="s">
        <v>4</v>
      </c>
      <c r="D4" s="82" t="s">
        <v>5</v>
      </c>
      <c r="E4" s="82" t="s">
        <v>6</v>
      </c>
      <c r="F4" s="82" t="s">
        <v>7</v>
      </c>
      <c r="G4" s="82" t="s">
        <v>8</v>
      </c>
      <c r="H4" s="82" t="s">
        <v>9</v>
      </c>
    </row>
    <row r="5" spans="1:8" x14ac:dyDescent="0.15">
      <c r="A5" s="158">
        <v>1</v>
      </c>
      <c r="B5" s="158" t="s">
        <v>10</v>
      </c>
      <c r="C5" s="162" t="s">
        <v>11</v>
      </c>
      <c r="D5" s="163">
        <f>'Portfolio DCF'!C85</f>
        <v>354</v>
      </c>
      <c r="E5" s="164">
        <f>'Portfolio DCF'!C84</f>
        <v>621.36051900511939</v>
      </c>
      <c r="F5" s="156">
        <f>'Portfolio DCF'!C86</f>
        <v>0.75525570340429216</v>
      </c>
      <c r="G5" s="158" t="s">
        <v>12</v>
      </c>
      <c r="H5" s="161" t="s">
        <v>13</v>
      </c>
    </row>
    <row r="6" spans="1:8" x14ac:dyDescent="0.15">
      <c r="A6" s="158">
        <v>2</v>
      </c>
      <c r="B6" s="158" t="s">
        <v>14</v>
      </c>
      <c r="C6" s="162" t="s">
        <v>11</v>
      </c>
      <c r="D6" s="163">
        <f>'Portfolio DCF'!E85</f>
        <v>94</v>
      </c>
      <c r="E6" s="164">
        <f>'Portfolio DCF'!E84</f>
        <v>143.21472315790012</v>
      </c>
      <c r="F6" s="156">
        <f>'Portfolio DCF'!E86</f>
        <v>0.52356088465851203</v>
      </c>
      <c r="G6" s="158" t="s">
        <v>12</v>
      </c>
      <c r="H6" s="161" t="s">
        <v>15</v>
      </c>
    </row>
    <row r="7" spans="1:8" x14ac:dyDescent="0.15">
      <c r="A7" s="160">
        <v>3</v>
      </c>
      <c r="B7" s="160" t="s">
        <v>16</v>
      </c>
      <c r="C7" s="165" t="s">
        <v>17</v>
      </c>
      <c r="D7" s="166">
        <f>'Portfolio DCF'!D85</f>
        <v>31.2</v>
      </c>
      <c r="E7" s="167">
        <f>'Portfolio DCF'!D84</f>
        <v>40.456838969132235</v>
      </c>
      <c r="F7" s="159">
        <f>'Portfolio DCF'!D86</f>
        <v>0.29669355670295627</v>
      </c>
      <c r="G7" s="160" t="s">
        <v>18</v>
      </c>
      <c r="H7" s="134" t="s">
        <v>19</v>
      </c>
    </row>
    <row r="8" spans="1:8" x14ac:dyDescent="0.15">
      <c r="A8" s="160">
        <v>4</v>
      </c>
      <c r="B8" s="160" t="s">
        <v>20</v>
      </c>
      <c r="C8" s="165" t="s">
        <v>11</v>
      </c>
      <c r="D8" s="168">
        <f>'Portfolio DCF'!G85</f>
        <v>89.79</v>
      </c>
      <c r="E8" s="169">
        <f>'Portfolio DCF'!G84</f>
        <v>113.05991335949145</v>
      </c>
      <c r="F8" s="159">
        <f>'Portfolio DCF'!G86</f>
        <v>0.25915929791169878</v>
      </c>
      <c r="G8" s="160" t="s">
        <v>18</v>
      </c>
      <c r="H8" s="134" t="s">
        <v>21</v>
      </c>
    </row>
    <row r="9" spans="1:8" x14ac:dyDescent="0.15">
      <c r="A9" s="160">
        <v>5</v>
      </c>
      <c r="B9" s="160" t="s">
        <v>22</v>
      </c>
      <c r="C9" s="165" t="s">
        <v>11</v>
      </c>
      <c r="D9" s="168">
        <f>'Portfolio DCF'!F85</f>
        <v>234</v>
      </c>
      <c r="E9" s="169">
        <f>'Portfolio DCF'!F84</f>
        <v>266.53695212387402</v>
      </c>
      <c r="F9" s="159">
        <f>'Portfolio DCF'!F86</f>
        <v>0.13904680394817959</v>
      </c>
      <c r="G9" s="160" t="s">
        <v>18</v>
      </c>
      <c r="H9" s="134" t="s">
        <v>23</v>
      </c>
    </row>
    <row r="10" spans="1:8" x14ac:dyDescent="0.15">
      <c r="A10" s="170">
        <v>6</v>
      </c>
      <c r="B10" s="170" t="s">
        <v>24</v>
      </c>
      <c r="C10" s="171" t="s">
        <v>11</v>
      </c>
      <c r="D10" s="173">
        <f>'Portfolio DCF'!B85</f>
        <v>372</v>
      </c>
      <c r="E10" s="174">
        <f>'Portfolio DCF'!B84</f>
        <v>363.6794335671658</v>
      </c>
      <c r="F10" s="175">
        <f>'Portfolio DCF'!B86</f>
        <v>-2.236711406675862E-2</v>
      </c>
      <c r="G10" s="170" t="s">
        <v>25</v>
      </c>
      <c r="H10" s="172" t="s">
        <v>26</v>
      </c>
    </row>
    <row r="11" spans="1:8" x14ac:dyDescent="0.15">
      <c r="A11" s="176">
        <v>7</v>
      </c>
      <c r="B11" s="176" t="s">
        <v>27</v>
      </c>
      <c r="C11" s="177" t="s">
        <v>11</v>
      </c>
      <c r="D11" s="179">
        <f>'Portfolio DCF'!H85</f>
        <v>216.61</v>
      </c>
      <c r="E11" s="180">
        <f>'Portfolio DCF'!H84</f>
        <v>166.41635951775527</v>
      </c>
      <c r="F11" s="181">
        <f>'Portfolio DCF'!H86</f>
        <v>-0.23172356069546529</v>
      </c>
      <c r="G11" s="176" t="s">
        <v>28</v>
      </c>
      <c r="H11" s="178" t="s">
        <v>29</v>
      </c>
    </row>
    <row r="12" spans="1:8" x14ac:dyDescent="0.15">
      <c r="A12" s="77" t="s">
        <v>30</v>
      </c>
    </row>
    <row r="13" spans="1:8" x14ac:dyDescent="0.15">
      <c r="A13" s="157" t="s">
        <v>31</v>
      </c>
    </row>
    <row r="14" spans="1:8" x14ac:dyDescent="0.15">
      <c r="A14" t="s">
        <v>32</v>
      </c>
    </row>
    <row r="15" spans="1:8" x14ac:dyDescent="0.15">
      <c r="A15" t="s">
        <v>33</v>
      </c>
    </row>
    <row r="16" spans="1:8" x14ac:dyDescent="0.15">
      <c r="A16" t="s">
        <v>34</v>
      </c>
    </row>
    <row r="17" spans="1:1" x14ac:dyDescent="0.15">
      <c r="A17" t="s">
        <v>35</v>
      </c>
    </row>
    <row r="18" spans="1:1" x14ac:dyDescent="0.15">
      <c r="A18" t="s">
        <v>36</v>
      </c>
    </row>
    <row r="20" spans="1:1" x14ac:dyDescent="0.15">
      <c r="A20" s="157" t="s">
        <v>37</v>
      </c>
    </row>
    <row r="21" spans="1:1" x14ac:dyDescent="0.15">
      <c r="A21" t="s">
        <v>38</v>
      </c>
    </row>
    <row r="22" spans="1:1" x14ac:dyDescent="0.15">
      <c r="A22" t="s">
        <v>39</v>
      </c>
    </row>
    <row r="23" spans="1:1" x14ac:dyDescent="0.15">
      <c r="A23" t="s">
        <v>40</v>
      </c>
    </row>
    <row r="24" spans="1:1" x14ac:dyDescent="0.15">
      <c r="A24" t="s">
        <v>41</v>
      </c>
    </row>
    <row r="25" spans="1:1" x14ac:dyDescent="0.15">
      <c r="A25" t="s">
        <v>42</v>
      </c>
    </row>
    <row r="27" spans="1:1" x14ac:dyDescent="0.15">
      <c r="A27" s="118" t="s">
        <v>43</v>
      </c>
    </row>
    <row r="28" spans="1:1" x14ac:dyDescent="0.15">
      <c r="A28" t="s">
        <v>44</v>
      </c>
    </row>
    <row r="29" spans="1:1" x14ac:dyDescent="0.15">
      <c r="A29" t="s">
        <v>45</v>
      </c>
    </row>
    <row r="30" spans="1:1" x14ac:dyDescent="0.15">
      <c r="A30" t="s">
        <v>46</v>
      </c>
    </row>
    <row r="31" spans="1:1" x14ac:dyDescent="0.15">
      <c r="A31" t="s">
        <v>47</v>
      </c>
    </row>
    <row r="32" spans="1:1" x14ac:dyDescent="0.15">
      <c r="A32" t="s">
        <v>48</v>
      </c>
    </row>
    <row r="34" spans="1:1" x14ac:dyDescent="0.15">
      <c r="A34" s="118" t="s">
        <v>49</v>
      </c>
    </row>
    <row r="35" spans="1:1" x14ac:dyDescent="0.15">
      <c r="A35" t="s">
        <v>50</v>
      </c>
    </row>
    <row r="36" spans="1:1" x14ac:dyDescent="0.15">
      <c r="A36" t="s">
        <v>51</v>
      </c>
    </row>
    <row r="37" spans="1:1" x14ac:dyDescent="0.15">
      <c r="A37" t="s">
        <v>52</v>
      </c>
    </row>
    <row r="38" spans="1:1" x14ac:dyDescent="0.15">
      <c r="A38" t="s">
        <v>53</v>
      </c>
    </row>
    <row r="40" spans="1:1" x14ac:dyDescent="0.15">
      <c r="A40" s="118" t="s">
        <v>54</v>
      </c>
    </row>
    <row r="41" spans="1:1" x14ac:dyDescent="0.15">
      <c r="A41" t="s">
        <v>55</v>
      </c>
    </row>
    <row r="42" spans="1:1" x14ac:dyDescent="0.15">
      <c r="A42" t="s">
        <v>56</v>
      </c>
    </row>
    <row r="43" spans="1:1" x14ac:dyDescent="0.15">
      <c r="A43" t="s">
        <v>57</v>
      </c>
    </row>
    <row r="44" spans="1:1" x14ac:dyDescent="0.15">
      <c r="A44" t="s">
        <v>58</v>
      </c>
    </row>
    <row r="45" spans="1:1" x14ac:dyDescent="0.15">
      <c r="A45" t="s">
        <v>59</v>
      </c>
    </row>
    <row r="47" spans="1:1" x14ac:dyDescent="0.15">
      <c r="A47" s="77" t="s">
        <v>60</v>
      </c>
    </row>
    <row r="48" spans="1:1" x14ac:dyDescent="0.15">
      <c r="A48" t="s">
        <v>61</v>
      </c>
    </row>
    <row r="49" spans="1:1" x14ac:dyDescent="0.15">
      <c r="A49" t="s">
        <v>62</v>
      </c>
    </row>
    <row r="50" spans="1:1" x14ac:dyDescent="0.15">
      <c r="A50" t="s">
        <v>63</v>
      </c>
    </row>
    <row r="51" spans="1:1" x14ac:dyDescent="0.15">
      <c r="A51" t="s">
        <v>64</v>
      </c>
    </row>
    <row r="52" spans="1:1" x14ac:dyDescent="0.15">
      <c r="A52" t="s">
        <v>65</v>
      </c>
    </row>
    <row r="53" spans="1:1" x14ac:dyDescent="0.15">
      <c r="A53" t="s">
        <v>66</v>
      </c>
    </row>
    <row r="54" spans="1:1" x14ac:dyDescent="0.15">
      <c r="A54" t="s">
        <v>67</v>
      </c>
    </row>
    <row r="55" spans="1:1" x14ac:dyDescent="0.15">
      <c r="A55" t="s">
        <v>68</v>
      </c>
    </row>
    <row r="57" spans="1:1" x14ac:dyDescent="0.15">
      <c r="A57" s="182" t="s">
        <v>69</v>
      </c>
    </row>
    <row r="58" spans="1:1" x14ac:dyDescent="0.15">
      <c r="A58" t="s">
        <v>70</v>
      </c>
    </row>
    <row r="59" spans="1:1" x14ac:dyDescent="0.15">
      <c r="A59" t="s">
        <v>71</v>
      </c>
    </row>
    <row r="60" spans="1:1" x14ac:dyDescent="0.15">
      <c r="A60" t="s">
        <v>72</v>
      </c>
    </row>
    <row r="61" spans="1:1" x14ac:dyDescent="0.15">
      <c r="A61" t="s">
        <v>73</v>
      </c>
    </row>
    <row r="62" spans="1:1" x14ac:dyDescent="0.15">
      <c r="A62" t="s">
        <v>74</v>
      </c>
    </row>
    <row r="63" spans="1:1" x14ac:dyDescent="0.15">
      <c r="A63" t="s">
        <v>75</v>
      </c>
    </row>
    <row r="64" spans="1:1" x14ac:dyDescent="0.15">
      <c r="A64" t="s">
        <v>76</v>
      </c>
    </row>
    <row r="66" spans="1:1" x14ac:dyDescent="0.15">
      <c r="A66" s="60" t="s">
        <v>77</v>
      </c>
    </row>
    <row r="67" spans="1:1" x14ac:dyDescent="0.15">
      <c r="A67" t="s">
        <v>78</v>
      </c>
    </row>
    <row r="68" spans="1:1" x14ac:dyDescent="0.15">
      <c r="A68" t="s">
        <v>79</v>
      </c>
    </row>
    <row r="69" spans="1:1" x14ac:dyDescent="0.15">
      <c r="A69" t="s">
        <v>80</v>
      </c>
    </row>
    <row r="71" spans="1:1" x14ac:dyDescent="0.15">
      <c r="A71" s="77" t="s">
        <v>81</v>
      </c>
    </row>
    <row r="72" spans="1:1" x14ac:dyDescent="0.15">
      <c r="A72" t="s">
        <v>82</v>
      </c>
    </row>
    <row r="73" spans="1:1" x14ac:dyDescent="0.15">
      <c r="A73" t="s">
        <v>83</v>
      </c>
    </row>
    <row r="74" spans="1:1" x14ac:dyDescent="0.15">
      <c r="A74" t="s">
        <v>84</v>
      </c>
    </row>
    <row r="75" spans="1:1" x14ac:dyDescent="0.15">
      <c r="A75" t="s">
        <v>85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87"/>
  <sheetViews>
    <sheetView topLeftCell="A66" workbookViewId="0">
      <selection activeCell="B84" sqref="B84"/>
    </sheetView>
  </sheetViews>
  <sheetFormatPr baseColWidth="10" defaultRowHeight="13" x14ac:dyDescent="0.15"/>
  <cols>
    <col min="1" max="7" width="21.6640625" customWidth="1"/>
  </cols>
  <sheetData>
    <row r="1" spans="1:8" ht="18" customHeight="1" x14ac:dyDescent="0.2">
      <c r="A1" s="214" t="s">
        <v>86</v>
      </c>
      <c r="B1" s="215"/>
      <c r="C1" s="215"/>
      <c r="D1" s="215"/>
      <c r="E1" s="215"/>
      <c r="F1" s="215"/>
      <c r="G1" s="215"/>
    </row>
    <row r="2" spans="1:8" x14ac:dyDescent="0.15">
      <c r="A2" s="59" t="s">
        <v>87</v>
      </c>
    </row>
    <row r="4" spans="1:8" x14ac:dyDescent="0.15">
      <c r="A4" s="143" t="s">
        <v>3</v>
      </c>
      <c r="B4" s="143" t="s">
        <v>24</v>
      </c>
      <c r="C4" s="143" t="s">
        <v>10</v>
      </c>
      <c r="D4" s="143" t="s">
        <v>16</v>
      </c>
      <c r="E4" s="143" t="s">
        <v>14</v>
      </c>
      <c r="F4" s="143" t="s">
        <v>22</v>
      </c>
      <c r="G4" s="143" t="s">
        <v>20</v>
      </c>
      <c r="H4" s="143" t="s">
        <v>27</v>
      </c>
    </row>
    <row r="5" spans="1:8" x14ac:dyDescent="0.15">
      <c r="A5" s="93" t="s">
        <v>4</v>
      </c>
      <c r="B5" s="93" t="s">
        <v>11</v>
      </c>
      <c r="C5" s="93" t="s">
        <v>11</v>
      </c>
      <c r="D5" s="93" t="s">
        <v>17</v>
      </c>
      <c r="E5" s="93" t="s">
        <v>11</v>
      </c>
      <c r="F5" s="93" t="s">
        <v>11</v>
      </c>
      <c r="G5" s="93" t="s">
        <v>11</v>
      </c>
      <c r="H5" s="93" t="s">
        <v>11</v>
      </c>
    </row>
    <row r="7" spans="1:8" x14ac:dyDescent="0.15">
      <c r="A7" s="77" t="s">
        <v>88</v>
      </c>
      <c r="B7" s="78"/>
      <c r="C7" s="78"/>
      <c r="D7" s="78"/>
      <c r="E7" s="78"/>
      <c r="F7" s="78"/>
      <c r="G7" s="78"/>
      <c r="H7" s="78"/>
    </row>
    <row r="8" spans="1:8" x14ac:dyDescent="0.15">
      <c r="A8" s="60" t="s">
        <v>89</v>
      </c>
      <c r="B8" s="144">
        <v>372</v>
      </c>
      <c r="C8" s="144">
        <v>354</v>
      </c>
      <c r="D8" s="144">
        <v>31.2</v>
      </c>
      <c r="E8" s="144">
        <v>94</v>
      </c>
      <c r="F8" s="144">
        <v>234</v>
      </c>
      <c r="G8" s="144">
        <v>89.79</v>
      </c>
      <c r="H8" s="144">
        <v>216.61</v>
      </c>
    </row>
    <row r="9" spans="1:8" x14ac:dyDescent="0.15">
      <c r="A9" t="s">
        <v>90</v>
      </c>
      <c r="B9" s="69">
        <v>33.6</v>
      </c>
      <c r="C9" s="69">
        <v>908.2</v>
      </c>
      <c r="D9" s="145">
        <v>25500</v>
      </c>
      <c r="E9" s="69">
        <v>247.6</v>
      </c>
      <c r="F9" s="69">
        <v>36.700000000000003</v>
      </c>
      <c r="G9" s="145">
        <v>2130</v>
      </c>
      <c r="H9" s="145">
        <v>24300</v>
      </c>
    </row>
    <row r="10" spans="1:8" x14ac:dyDescent="0.15">
      <c r="A10" t="s">
        <v>91</v>
      </c>
      <c r="B10" s="146">
        <f t="shared" ref="B10:H10" si="0">B8*B9</f>
        <v>12499.2</v>
      </c>
      <c r="C10" s="146">
        <f t="shared" si="0"/>
        <v>321502.8</v>
      </c>
      <c r="D10" s="146">
        <f t="shared" si="0"/>
        <v>795600</v>
      </c>
      <c r="E10" s="146">
        <f t="shared" si="0"/>
        <v>23274.399999999998</v>
      </c>
      <c r="F10" s="146">
        <f t="shared" si="0"/>
        <v>8587.8000000000011</v>
      </c>
      <c r="G10" s="146">
        <f t="shared" si="0"/>
        <v>191252.7</v>
      </c>
      <c r="H10" s="146">
        <f t="shared" si="0"/>
        <v>5263623</v>
      </c>
    </row>
    <row r="11" spans="1:8" x14ac:dyDescent="0.15">
      <c r="A11" t="s">
        <v>92</v>
      </c>
      <c r="B11" s="145">
        <v>4784</v>
      </c>
      <c r="C11" s="145">
        <v>80000</v>
      </c>
      <c r="D11" s="147">
        <v>-100000</v>
      </c>
      <c r="E11" s="145">
        <v>2100</v>
      </c>
      <c r="F11" s="145">
        <v>1175</v>
      </c>
      <c r="G11" s="145">
        <v>20200</v>
      </c>
      <c r="H11" s="147">
        <v>-38000</v>
      </c>
    </row>
    <row r="12" spans="1:8" x14ac:dyDescent="0.15">
      <c r="A12" s="60" t="s">
        <v>93</v>
      </c>
      <c r="B12" s="148">
        <f t="shared" ref="B12:H12" si="1">B10+B11</f>
        <v>17283.2</v>
      </c>
      <c r="C12" s="148">
        <f t="shared" si="1"/>
        <v>401502.8</v>
      </c>
      <c r="D12" s="148">
        <f t="shared" si="1"/>
        <v>695600</v>
      </c>
      <c r="E12" s="148">
        <f t="shared" si="1"/>
        <v>25374.399999999998</v>
      </c>
      <c r="F12" s="148">
        <f t="shared" si="1"/>
        <v>9762.8000000000011</v>
      </c>
      <c r="G12" s="148">
        <f t="shared" si="1"/>
        <v>211452.7</v>
      </c>
      <c r="H12" s="148">
        <f t="shared" si="1"/>
        <v>5225623</v>
      </c>
    </row>
    <row r="14" spans="1:8" x14ac:dyDescent="0.15">
      <c r="A14" s="77" t="s">
        <v>94</v>
      </c>
      <c r="B14" s="78"/>
      <c r="C14" s="78"/>
      <c r="D14" s="150" t="s">
        <v>95</v>
      </c>
      <c r="E14" s="78"/>
      <c r="F14" s="78"/>
      <c r="G14" s="78"/>
      <c r="H14" s="78"/>
    </row>
    <row r="15" spans="1:8" x14ac:dyDescent="0.15">
      <c r="A15" t="s">
        <v>96</v>
      </c>
      <c r="B15" s="145">
        <v>5008</v>
      </c>
      <c r="C15" s="145">
        <v>449710</v>
      </c>
      <c r="D15" s="145">
        <v>457290</v>
      </c>
      <c r="E15" s="145">
        <v>34200</v>
      </c>
      <c r="F15" s="145">
        <v>5300</v>
      </c>
      <c r="G15" s="145">
        <v>200000</v>
      </c>
      <c r="H15" s="145">
        <v>215900</v>
      </c>
    </row>
    <row r="16" spans="1:8" x14ac:dyDescent="0.15">
      <c r="A16" t="s">
        <v>97</v>
      </c>
      <c r="B16" s="145">
        <v>680</v>
      </c>
      <c r="C16" s="145">
        <v>17400</v>
      </c>
      <c r="D16" s="145">
        <v>32000</v>
      </c>
      <c r="E16" s="145">
        <v>28</v>
      </c>
      <c r="F16" s="145">
        <v>336</v>
      </c>
      <c r="G16" s="145">
        <v>11400</v>
      </c>
      <c r="H16" s="145">
        <v>72000</v>
      </c>
    </row>
    <row r="17" spans="1:8" x14ac:dyDescent="0.15">
      <c r="A17" s="83" t="s">
        <v>98</v>
      </c>
      <c r="B17" s="149">
        <v>600</v>
      </c>
      <c r="C17" s="149">
        <v>24000</v>
      </c>
      <c r="D17" s="149">
        <v>35000</v>
      </c>
      <c r="E17" s="149">
        <v>1500</v>
      </c>
      <c r="F17" s="149">
        <v>380</v>
      </c>
      <c r="G17" s="149">
        <v>13000</v>
      </c>
      <c r="H17" s="149">
        <v>95000</v>
      </c>
    </row>
    <row r="18" spans="1:8" x14ac:dyDescent="0.15">
      <c r="A18" t="s">
        <v>99</v>
      </c>
      <c r="B18" s="74">
        <f t="shared" ref="B18:H18" si="2">B17/B15</f>
        <v>0.11980830670926518</v>
      </c>
      <c r="C18" s="74">
        <f t="shared" si="2"/>
        <v>5.3367725867781463E-2</v>
      </c>
      <c r="D18" s="74">
        <f t="shared" si="2"/>
        <v>7.6537864374904327E-2</v>
      </c>
      <c r="E18" s="74">
        <f t="shared" si="2"/>
        <v>4.3859649122807015E-2</v>
      </c>
      <c r="F18" s="74">
        <f t="shared" si="2"/>
        <v>7.1698113207547168E-2</v>
      </c>
      <c r="G18" s="74">
        <f t="shared" si="2"/>
        <v>6.5000000000000002E-2</v>
      </c>
      <c r="H18" s="74">
        <f t="shared" si="2"/>
        <v>0.44001852709587774</v>
      </c>
    </row>
    <row r="20" spans="1:8" x14ac:dyDescent="0.15">
      <c r="A20" s="77" t="s">
        <v>100</v>
      </c>
      <c r="B20" s="78"/>
      <c r="C20" s="78"/>
      <c r="D20" s="78"/>
      <c r="E20" s="78"/>
      <c r="F20" s="78"/>
      <c r="G20" s="78"/>
      <c r="H20" s="78"/>
    </row>
    <row r="21" spans="1:8" x14ac:dyDescent="0.15">
      <c r="A21" t="s">
        <v>101</v>
      </c>
      <c r="B21" s="89">
        <v>0.05</v>
      </c>
      <c r="C21" s="89">
        <v>0.06</v>
      </c>
      <c r="D21" s="89">
        <v>0.12</v>
      </c>
      <c r="E21" s="89">
        <v>0.05</v>
      </c>
      <c r="F21" s="89">
        <v>0.05</v>
      </c>
      <c r="G21" s="89">
        <v>0.03</v>
      </c>
      <c r="H21" s="89">
        <v>0.18</v>
      </c>
    </row>
    <row r="22" spans="1:8" x14ac:dyDescent="0.15">
      <c r="A22" t="s">
        <v>102</v>
      </c>
      <c r="B22" s="89">
        <v>0.04</v>
      </c>
      <c r="C22" s="89">
        <v>0.05</v>
      </c>
      <c r="D22" s="89">
        <v>0.08</v>
      </c>
      <c r="E22" s="89">
        <v>0.04</v>
      </c>
      <c r="F22" s="89">
        <v>0.05</v>
      </c>
      <c r="G22" s="89">
        <v>0.02</v>
      </c>
      <c r="H22" s="89">
        <v>0.08</v>
      </c>
    </row>
    <row r="23" spans="1:8" x14ac:dyDescent="0.15">
      <c r="A23" t="s">
        <v>103</v>
      </c>
      <c r="B23" s="89">
        <v>0.03</v>
      </c>
      <c r="C23" s="89">
        <v>0.04</v>
      </c>
      <c r="D23" s="89">
        <v>0.05</v>
      </c>
      <c r="E23" s="89">
        <v>0.03</v>
      </c>
      <c r="F23" s="89">
        <v>0.04</v>
      </c>
      <c r="G23" s="89">
        <v>0.01</v>
      </c>
      <c r="H23" s="89">
        <v>0.04</v>
      </c>
    </row>
    <row r="24" spans="1:8" x14ac:dyDescent="0.15">
      <c r="A24" t="s">
        <v>104</v>
      </c>
      <c r="B24" s="63">
        <v>0.09</v>
      </c>
      <c r="C24" s="63">
        <v>0.09</v>
      </c>
      <c r="D24" s="63">
        <v>0.11</v>
      </c>
      <c r="E24" s="63">
        <v>0.1</v>
      </c>
      <c r="F24" s="63">
        <v>0.09</v>
      </c>
      <c r="G24" s="63">
        <v>0.09</v>
      </c>
      <c r="H24" s="63">
        <v>0.1</v>
      </c>
    </row>
    <row r="25" spans="1:8" x14ac:dyDescent="0.15">
      <c r="A25" t="s">
        <v>105</v>
      </c>
      <c r="B25" s="89">
        <v>2.5000000000000001E-2</v>
      </c>
      <c r="C25" s="89">
        <v>2.5000000000000001E-2</v>
      </c>
      <c r="D25" s="89">
        <v>0.03</v>
      </c>
      <c r="E25" s="89">
        <v>0.02</v>
      </c>
      <c r="F25" s="89">
        <v>2.5000000000000001E-2</v>
      </c>
      <c r="G25" s="89">
        <v>0</v>
      </c>
      <c r="H25" s="89">
        <v>0.03</v>
      </c>
    </row>
    <row r="26" spans="1:8" x14ac:dyDescent="0.15">
      <c r="A26" t="s">
        <v>106</v>
      </c>
      <c r="B26" s="63">
        <v>3.4000000000000002E-2</v>
      </c>
      <c r="C26" s="63">
        <v>0.02</v>
      </c>
      <c r="D26" s="63">
        <v>0</v>
      </c>
      <c r="E26" s="63">
        <v>0.04</v>
      </c>
      <c r="F26" s="63">
        <v>0.03</v>
      </c>
      <c r="G26" s="63">
        <v>3.5000000000000003E-2</v>
      </c>
      <c r="H26" s="63">
        <v>1.7999999999999999E-2</v>
      </c>
    </row>
    <row r="29" spans="1:8" x14ac:dyDescent="0.15">
      <c r="A29" s="77" t="s">
        <v>107</v>
      </c>
      <c r="B29" s="77"/>
      <c r="C29" s="77"/>
      <c r="D29" s="77"/>
      <c r="E29" s="77"/>
      <c r="F29" s="77"/>
      <c r="G29" s="77"/>
    </row>
    <row r="30" spans="1:8" x14ac:dyDescent="0.15">
      <c r="A30" s="61" t="s">
        <v>108</v>
      </c>
    </row>
    <row r="31" spans="1:8" x14ac:dyDescent="0.15">
      <c r="A31" t="s">
        <v>109</v>
      </c>
      <c r="B31" s="146">
        <f t="shared" ref="B31:H31" si="3">B$17*(1+B$21)</f>
        <v>630</v>
      </c>
      <c r="C31" s="146">
        <f t="shared" si="3"/>
        <v>25440</v>
      </c>
      <c r="D31" s="146">
        <f t="shared" si="3"/>
        <v>39200.000000000007</v>
      </c>
      <c r="E31" s="146">
        <f t="shared" si="3"/>
        <v>1575</v>
      </c>
      <c r="F31" s="146">
        <f t="shared" si="3"/>
        <v>399</v>
      </c>
      <c r="G31" s="146">
        <f t="shared" si="3"/>
        <v>13390</v>
      </c>
      <c r="H31" s="146">
        <f t="shared" si="3"/>
        <v>112100</v>
      </c>
    </row>
    <row r="32" spans="1:8" x14ac:dyDescent="0.15">
      <c r="A32" t="s">
        <v>110</v>
      </c>
      <c r="B32" s="146">
        <f t="shared" ref="B32:H35" si="4">B31*(1+B$21)</f>
        <v>661.5</v>
      </c>
      <c r="C32" s="146">
        <f t="shared" si="4"/>
        <v>26966.400000000001</v>
      </c>
      <c r="D32" s="146">
        <f t="shared" si="4"/>
        <v>43904.000000000015</v>
      </c>
      <c r="E32" s="146">
        <f t="shared" si="4"/>
        <v>1653.75</v>
      </c>
      <c r="F32" s="146">
        <f t="shared" si="4"/>
        <v>418.95000000000005</v>
      </c>
      <c r="G32" s="146">
        <f t="shared" si="4"/>
        <v>13791.7</v>
      </c>
      <c r="H32" s="146">
        <f t="shared" si="4"/>
        <v>132278</v>
      </c>
    </row>
    <row r="33" spans="1:8" x14ac:dyDescent="0.15">
      <c r="A33" t="s">
        <v>111</v>
      </c>
      <c r="B33" s="146">
        <f t="shared" si="4"/>
        <v>694.57500000000005</v>
      </c>
      <c r="C33" s="146">
        <f t="shared" si="4"/>
        <v>28584.384000000002</v>
      </c>
      <c r="D33" s="146">
        <f t="shared" si="4"/>
        <v>49172.480000000018</v>
      </c>
      <c r="E33" s="146">
        <f t="shared" si="4"/>
        <v>1736.4375</v>
      </c>
      <c r="F33" s="146">
        <f t="shared" si="4"/>
        <v>439.89750000000009</v>
      </c>
      <c r="G33" s="146">
        <f t="shared" si="4"/>
        <v>14205.451000000001</v>
      </c>
      <c r="H33" s="146">
        <f t="shared" si="4"/>
        <v>156088.03999999998</v>
      </c>
    </row>
    <row r="34" spans="1:8" x14ac:dyDescent="0.15">
      <c r="A34" t="s">
        <v>112</v>
      </c>
      <c r="B34" s="146">
        <f t="shared" si="4"/>
        <v>729.30375000000004</v>
      </c>
      <c r="C34" s="146">
        <f t="shared" si="4"/>
        <v>30299.447040000003</v>
      </c>
      <c r="D34" s="146">
        <f t="shared" si="4"/>
        <v>55073.177600000025</v>
      </c>
      <c r="E34" s="146">
        <f t="shared" si="4"/>
        <v>1823.2593750000001</v>
      </c>
      <c r="F34" s="146">
        <f t="shared" si="4"/>
        <v>461.89237500000013</v>
      </c>
      <c r="G34" s="146">
        <f t="shared" si="4"/>
        <v>14631.614530000001</v>
      </c>
      <c r="H34" s="146">
        <f t="shared" si="4"/>
        <v>184183.88719999997</v>
      </c>
    </row>
    <row r="35" spans="1:8" x14ac:dyDescent="0.15">
      <c r="A35" t="s">
        <v>113</v>
      </c>
      <c r="B35" s="146">
        <f t="shared" si="4"/>
        <v>765.76893750000011</v>
      </c>
      <c r="C35" s="146">
        <f t="shared" si="4"/>
        <v>32117.413862400004</v>
      </c>
      <c r="D35" s="146">
        <f t="shared" si="4"/>
        <v>61681.958912000031</v>
      </c>
      <c r="E35" s="146">
        <f t="shared" si="4"/>
        <v>1914.4223437500002</v>
      </c>
      <c r="F35" s="146">
        <f t="shared" si="4"/>
        <v>484.98699375000018</v>
      </c>
      <c r="G35" s="146">
        <f t="shared" si="4"/>
        <v>15070.562965900001</v>
      </c>
      <c r="H35" s="146">
        <f t="shared" si="4"/>
        <v>217336.98689599996</v>
      </c>
    </row>
    <row r="36" spans="1:8" x14ac:dyDescent="0.15">
      <c r="A36" t="s">
        <v>114</v>
      </c>
      <c r="B36" s="146">
        <f t="shared" ref="B36:H40" si="5">B35*(1+B$22)</f>
        <v>796.39969500000018</v>
      </c>
      <c r="C36" s="146">
        <f t="shared" si="5"/>
        <v>33723.284555520004</v>
      </c>
      <c r="D36" s="146">
        <f t="shared" si="5"/>
        <v>66616.51562496004</v>
      </c>
      <c r="E36" s="146">
        <f t="shared" si="5"/>
        <v>1990.9992375000004</v>
      </c>
      <c r="F36" s="146">
        <f t="shared" si="5"/>
        <v>509.23634343750024</v>
      </c>
      <c r="G36" s="146">
        <f t="shared" si="5"/>
        <v>15371.974225218</v>
      </c>
      <c r="H36" s="146">
        <f t="shared" si="5"/>
        <v>234723.94584767998</v>
      </c>
    </row>
    <row r="37" spans="1:8" x14ac:dyDescent="0.15">
      <c r="A37" t="s">
        <v>115</v>
      </c>
      <c r="B37" s="146">
        <f t="shared" si="5"/>
        <v>828.25568280000016</v>
      </c>
      <c r="C37" s="146">
        <f t="shared" si="5"/>
        <v>35409.448783296008</v>
      </c>
      <c r="D37" s="146">
        <f t="shared" si="5"/>
        <v>71945.836874956847</v>
      </c>
      <c r="E37" s="146">
        <f t="shared" si="5"/>
        <v>2070.6392070000006</v>
      </c>
      <c r="F37" s="146">
        <f t="shared" si="5"/>
        <v>534.69816060937524</v>
      </c>
      <c r="G37" s="146">
        <f t="shared" si="5"/>
        <v>15679.413709722361</v>
      </c>
      <c r="H37" s="146">
        <f t="shared" si="5"/>
        <v>253501.86151549438</v>
      </c>
    </row>
    <row r="38" spans="1:8" x14ac:dyDescent="0.15">
      <c r="A38" t="s">
        <v>116</v>
      </c>
      <c r="B38" s="146">
        <f t="shared" si="5"/>
        <v>861.38591011200015</v>
      </c>
      <c r="C38" s="146">
        <f t="shared" si="5"/>
        <v>37179.921222460813</v>
      </c>
      <c r="D38" s="146">
        <f t="shared" si="5"/>
        <v>77701.503824953397</v>
      </c>
      <c r="E38" s="146">
        <f t="shared" si="5"/>
        <v>2153.4647752800006</v>
      </c>
      <c r="F38" s="146">
        <f t="shared" si="5"/>
        <v>561.43306863984401</v>
      </c>
      <c r="G38" s="146">
        <f t="shared" si="5"/>
        <v>15993.001983916809</v>
      </c>
      <c r="H38" s="146">
        <f t="shared" si="5"/>
        <v>273782.01043673395</v>
      </c>
    </row>
    <row r="39" spans="1:8" x14ac:dyDescent="0.15">
      <c r="A39" t="s">
        <v>117</v>
      </c>
      <c r="B39" s="146">
        <f t="shared" si="5"/>
        <v>895.84134651648014</v>
      </c>
      <c r="C39" s="146">
        <f t="shared" si="5"/>
        <v>39038.917283583854</v>
      </c>
      <c r="D39" s="146">
        <f t="shared" si="5"/>
        <v>83917.624130949669</v>
      </c>
      <c r="E39" s="146">
        <f t="shared" si="5"/>
        <v>2239.6033662912005</v>
      </c>
      <c r="F39" s="146">
        <f t="shared" si="5"/>
        <v>589.50472207183623</v>
      </c>
      <c r="G39" s="146">
        <f t="shared" si="5"/>
        <v>16312.862023595146</v>
      </c>
      <c r="H39" s="146">
        <f t="shared" si="5"/>
        <v>295684.57127167267</v>
      </c>
    </row>
    <row r="40" spans="1:8" x14ac:dyDescent="0.15">
      <c r="A40" t="s">
        <v>118</v>
      </c>
      <c r="B40" s="146">
        <f t="shared" si="5"/>
        <v>931.67500037713933</v>
      </c>
      <c r="C40" s="146">
        <f t="shared" si="5"/>
        <v>40990.863147763048</v>
      </c>
      <c r="D40" s="146">
        <f t="shared" si="5"/>
        <v>90631.034061425642</v>
      </c>
      <c r="E40" s="146">
        <f t="shared" si="5"/>
        <v>2329.1875009428486</v>
      </c>
      <c r="F40" s="146">
        <f t="shared" si="5"/>
        <v>618.97995817542801</v>
      </c>
      <c r="G40" s="146">
        <f t="shared" si="5"/>
        <v>16639.119264067049</v>
      </c>
      <c r="H40" s="146">
        <f t="shared" si="5"/>
        <v>319339.33697340649</v>
      </c>
    </row>
    <row r="41" spans="1:8" x14ac:dyDescent="0.15">
      <c r="A41" t="s">
        <v>119</v>
      </c>
      <c r="B41" s="146">
        <f t="shared" ref="B41:H45" si="6">B40*(1+B$23)</f>
        <v>959.62525038845354</v>
      </c>
      <c r="C41" s="146">
        <f t="shared" si="6"/>
        <v>42630.49767367357</v>
      </c>
      <c r="D41" s="146">
        <f t="shared" si="6"/>
        <v>95162.585764496922</v>
      </c>
      <c r="E41" s="146">
        <f t="shared" si="6"/>
        <v>2399.063125971134</v>
      </c>
      <c r="F41" s="146">
        <f t="shared" si="6"/>
        <v>643.7391565024451</v>
      </c>
      <c r="G41" s="146">
        <f t="shared" si="6"/>
        <v>16805.510456707718</v>
      </c>
      <c r="H41" s="146">
        <f t="shared" si="6"/>
        <v>332112.91045234277</v>
      </c>
    </row>
    <row r="42" spans="1:8" x14ac:dyDescent="0.15">
      <c r="A42" t="s">
        <v>120</v>
      </c>
      <c r="B42" s="146">
        <f t="shared" si="6"/>
        <v>988.41400790010721</v>
      </c>
      <c r="C42" s="146">
        <f t="shared" si="6"/>
        <v>44335.717580620512</v>
      </c>
      <c r="D42" s="146">
        <f t="shared" si="6"/>
        <v>99920.715052721775</v>
      </c>
      <c r="E42" s="146">
        <f t="shared" si="6"/>
        <v>2471.035019750268</v>
      </c>
      <c r="F42" s="146">
        <f t="shared" si="6"/>
        <v>669.48872276254292</v>
      </c>
      <c r="G42" s="146">
        <f t="shared" si="6"/>
        <v>16973.565561274794</v>
      </c>
      <c r="H42" s="146">
        <f t="shared" si="6"/>
        <v>345397.42687043647</v>
      </c>
    </row>
    <row r="43" spans="1:8" x14ac:dyDescent="0.15">
      <c r="A43" t="s">
        <v>121</v>
      </c>
      <c r="B43" s="146">
        <f t="shared" si="6"/>
        <v>1018.0664281371105</v>
      </c>
      <c r="C43" s="146">
        <f t="shared" si="6"/>
        <v>46109.146283845337</v>
      </c>
      <c r="D43" s="146">
        <f t="shared" si="6"/>
        <v>104916.75080535786</v>
      </c>
      <c r="E43" s="146">
        <f t="shared" si="6"/>
        <v>2545.166070342776</v>
      </c>
      <c r="F43" s="146">
        <f t="shared" si="6"/>
        <v>696.26827167304464</v>
      </c>
      <c r="G43" s="146">
        <f t="shared" si="6"/>
        <v>17143.301216887543</v>
      </c>
      <c r="H43" s="146">
        <f t="shared" si="6"/>
        <v>359213.32394525391</v>
      </c>
    </row>
    <row r="44" spans="1:8" x14ac:dyDescent="0.15">
      <c r="A44" t="s">
        <v>122</v>
      </c>
      <c r="B44" s="146">
        <f t="shared" si="6"/>
        <v>1048.6084209812238</v>
      </c>
      <c r="C44" s="146">
        <f t="shared" si="6"/>
        <v>47953.512135199155</v>
      </c>
      <c r="D44" s="146">
        <f t="shared" si="6"/>
        <v>110162.58834562576</v>
      </c>
      <c r="E44" s="146">
        <f t="shared" si="6"/>
        <v>2621.5210524530594</v>
      </c>
      <c r="F44" s="146">
        <f t="shared" si="6"/>
        <v>724.11900253996646</v>
      </c>
      <c r="G44" s="146">
        <f t="shared" si="6"/>
        <v>17314.734229056419</v>
      </c>
      <c r="H44" s="146">
        <f t="shared" si="6"/>
        <v>373581.85690306406</v>
      </c>
    </row>
    <row r="45" spans="1:8" x14ac:dyDescent="0.15">
      <c r="A45" t="s">
        <v>123</v>
      </c>
      <c r="B45" s="146">
        <f t="shared" si="6"/>
        <v>1080.0666736106607</v>
      </c>
      <c r="C45" s="146">
        <f t="shared" si="6"/>
        <v>49871.652620607121</v>
      </c>
      <c r="D45" s="146">
        <f t="shared" si="6"/>
        <v>115670.71776290705</v>
      </c>
      <c r="E45" s="146">
        <f t="shared" si="6"/>
        <v>2700.1666840266512</v>
      </c>
      <c r="F45" s="146">
        <f t="shared" si="6"/>
        <v>753.08376264156516</v>
      </c>
      <c r="G45" s="146">
        <f t="shared" si="6"/>
        <v>17487.881571346985</v>
      </c>
      <c r="H45" s="146">
        <f t="shared" si="6"/>
        <v>388525.13117918663</v>
      </c>
    </row>
    <row r="47" spans="1:8" x14ac:dyDescent="0.15">
      <c r="A47" s="77" t="s">
        <v>124</v>
      </c>
      <c r="B47" s="77"/>
      <c r="C47" s="77"/>
      <c r="D47" s="77"/>
      <c r="E47" s="77"/>
      <c r="F47" s="77"/>
      <c r="G47" s="77"/>
    </row>
    <row r="48" spans="1:8" x14ac:dyDescent="0.15">
      <c r="A48" t="s">
        <v>125</v>
      </c>
      <c r="B48" s="146">
        <f t="array" ref="B48">SUMPRODUCT(B31:B45 / (1+B$24)^(ROW(B31:B45)-30-0.5))</f>
        <v>6804.3690631867485</v>
      </c>
      <c r="C48" s="146">
        <f t="array" ref="C48">SUMPRODUCT(C31:C45 / (1+C$24)^(ROW(C31:C45)-30-0.5))</f>
        <v>291535.26808109495</v>
      </c>
      <c r="D48" s="146">
        <f t="array" ref="D48">SUMPRODUCT(D31:D45 / (1+D$24)^(ROW(D31:D45)-30-0.5))</f>
        <v>509928.30789853376</v>
      </c>
      <c r="E48" s="146">
        <f t="array" ref="E48">SUMPRODUCT(E31:E45 / (1+E$24)^(ROW(E31:E45)-30-0.5))</f>
        <v>16023.921544512074</v>
      </c>
      <c r="F48" s="146">
        <f t="array" ref="F48">SUMPRODUCT(F31:F45 / (1+F$24)^(ROW(F31:F45)-30-0.5))</f>
        <v>4436.7327262907138</v>
      </c>
      <c r="G48" s="146">
        <f t="array" ref="G48">SUMPRODUCT(G31:G45 / (1+G$24)^(ROW(G31:G45)-30-0.5))</f>
        <v>128888.13323532783</v>
      </c>
      <c r="H48" s="146">
        <f t="array" ref="H48">SUMPRODUCT(H31:H45 / (1+H$24)^(ROW(H31:H45)-30-0.5))</f>
        <v>1835380.5063188155</v>
      </c>
    </row>
    <row r="49" spans="1:8" x14ac:dyDescent="0.15">
      <c r="A49" t="s">
        <v>126</v>
      </c>
      <c r="B49" s="146">
        <f t="shared" ref="B49:H49" si="7">B45*(1+B$25)/(B$24-B$25)</f>
        <v>17031.820622321953</v>
      </c>
      <c r="C49" s="146">
        <f t="shared" si="7"/>
        <v>786437.59901726607</v>
      </c>
      <c r="D49" s="146">
        <f t="shared" si="7"/>
        <v>1489260.4911974284</v>
      </c>
      <c r="E49" s="146">
        <f t="shared" si="7"/>
        <v>34427.125221339804</v>
      </c>
      <c r="F49" s="146">
        <f t="shared" si="7"/>
        <v>11875.551641655449</v>
      </c>
      <c r="G49" s="146">
        <f t="shared" si="7"/>
        <v>194309.79523718872</v>
      </c>
      <c r="H49" s="146">
        <f t="shared" si="7"/>
        <v>5716869.7873508884</v>
      </c>
    </row>
    <row r="50" spans="1:8" x14ac:dyDescent="0.15">
      <c r="A50" t="s">
        <v>127</v>
      </c>
      <c r="B50" s="146">
        <f t="shared" ref="B50:H50" si="8">B49/(1+B$24)^14.5</f>
        <v>4881.7648312595893</v>
      </c>
      <c r="C50" s="146">
        <f t="shared" si="8"/>
        <v>225413.56546645693</v>
      </c>
      <c r="D50" s="146">
        <f t="shared" si="8"/>
        <v>327934.77729498612</v>
      </c>
      <c r="E50" s="146">
        <f t="shared" si="8"/>
        <v>8643.8420904865598</v>
      </c>
      <c r="F50" s="146">
        <f t="shared" si="8"/>
        <v>3403.8434082648937</v>
      </c>
      <c r="G50" s="146">
        <f t="shared" si="8"/>
        <v>55694.264623416435</v>
      </c>
      <c r="H50" s="146">
        <f t="shared" si="8"/>
        <v>1435371.6546481785</v>
      </c>
    </row>
    <row r="51" spans="1:8" x14ac:dyDescent="0.15">
      <c r="A51" s="60" t="s">
        <v>128</v>
      </c>
      <c r="B51" s="148">
        <f t="shared" ref="B51:H51" si="9">B48+B50</f>
        <v>11686.133894446339</v>
      </c>
      <c r="C51" s="148">
        <f t="shared" si="9"/>
        <v>516948.83354755188</v>
      </c>
      <c r="D51" s="148">
        <f t="shared" si="9"/>
        <v>837863.08519351995</v>
      </c>
      <c r="E51" s="148">
        <f t="shared" si="9"/>
        <v>24667.763634998635</v>
      </c>
      <c r="F51" s="148">
        <f t="shared" si="9"/>
        <v>7840.5761345556075</v>
      </c>
      <c r="G51" s="148">
        <f t="shared" si="9"/>
        <v>184582.39785874425</v>
      </c>
      <c r="H51" s="148">
        <f t="shared" si="9"/>
        <v>3270752.1609669942</v>
      </c>
    </row>
    <row r="52" spans="1:8" x14ac:dyDescent="0.15">
      <c r="A52" t="s">
        <v>129</v>
      </c>
      <c r="B52" s="151">
        <f t="shared" ref="B52:H52" si="10">-B11</f>
        <v>-4784</v>
      </c>
      <c r="C52" s="151">
        <f t="shared" si="10"/>
        <v>-80000</v>
      </c>
      <c r="D52" s="151">
        <f t="shared" si="10"/>
        <v>100000</v>
      </c>
      <c r="E52" s="151">
        <f t="shared" si="10"/>
        <v>-2100</v>
      </c>
      <c r="F52" s="151">
        <f t="shared" si="10"/>
        <v>-1175</v>
      </c>
      <c r="G52" s="151">
        <f t="shared" si="10"/>
        <v>-20200</v>
      </c>
      <c r="H52" s="151">
        <f t="shared" si="10"/>
        <v>38000</v>
      </c>
    </row>
    <row r="53" spans="1:8" x14ac:dyDescent="0.15">
      <c r="A53" s="60" t="s">
        <v>130</v>
      </c>
      <c r="B53" s="148">
        <f t="shared" ref="B53:H53" si="11">B51+B52</f>
        <v>6902.1338944463387</v>
      </c>
      <c r="C53" s="148">
        <f t="shared" si="11"/>
        <v>436948.83354755188</v>
      </c>
      <c r="D53" s="148">
        <f t="shared" si="11"/>
        <v>937863.08519351995</v>
      </c>
      <c r="E53" s="148">
        <f t="shared" si="11"/>
        <v>22567.763634998635</v>
      </c>
      <c r="F53" s="148">
        <f t="shared" si="11"/>
        <v>6665.5761345556075</v>
      </c>
      <c r="G53" s="148">
        <f t="shared" si="11"/>
        <v>164382.39785874425</v>
      </c>
      <c r="H53" s="148">
        <f t="shared" si="11"/>
        <v>3308752.1609669942</v>
      </c>
    </row>
    <row r="55" spans="1:8" x14ac:dyDescent="0.15">
      <c r="A55" s="77" t="s">
        <v>131</v>
      </c>
      <c r="B55" s="77"/>
      <c r="C55" s="77"/>
      <c r="D55" s="77"/>
      <c r="E55" s="77"/>
      <c r="F55" s="77"/>
      <c r="G55" s="77"/>
    </row>
    <row r="56" spans="1:8" x14ac:dyDescent="0.15">
      <c r="A56" t="s">
        <v>132</v>
      </c>
      <c r="B56" s="152">
        <f>B17/B9</f>
        <v>17.857142857142858</v>
      </c>
      <c r="C56" s="152">
        <f>C17/C9</f>
        <v>26.425897379431841</v>
      </c>
      <c r="D56" s="152">
        <f>D17*1.1/D9</f>
        <v>1.5098039215686274</v>
      </c>
      <c r="E56" s="152">
        <f>E17/E9</f>
        <v>6.0581583198707598</v>
      </c>
      <c r="F56" s="152">
        <f>F17/F9</f>
        <v>10.354223433242506</v>
      </c>
      <c r="G56" s="152">
        <f>G17/G9</f>
        <v>6.103286384976526</v>
      </c>
      <c r="H56" s="152">
        <f>H17/H9</f>
        <v>3.9094650205761319</v>
      </c>
    </row>
    <row r="57" spans="1:8" x14ac:dyDescent="0.15">
      <c r="A57" t="s">
        <v>133</v>
      </c>
      <c r="B57" s="74">
        <f t="shared" ref="B57:H57" si="12">(1+B21)/(1-B26)-1</f>
        <v>8.6956521739130599E-2</v>
      </c>
      <c r="C57" s="74">
        <f t="shared" si="12"/>
        <v>8.163265306122458E-2</v>
      </c>
      <c r="D57" s="74">
        <f t="shared" si="12"/>
        <v>0.12000000000000011</v>
      </c>
      <c r="E57" s="74">
        <f t="shared" si="12"/>
        <v>9.375E-2</v>
      </c>
      <c r="F57" s="74">
        <f t="shared" si="12"/>
        <v>8.2474226804123862E-2</v>
      </c>
      <c r="G57" s="74">
        <f t="shared" si="12"/>
        <v>6.7357512953367893E-2</v>
      </c>
      <c r="H57" s="74">
        <f t="shared" si="12"/>
        <v>0.20162932790224031</v>
      </c>
    </row>
    <row r="58" spans="1:8" x14ac:dyDescent="0.15">
      <c r="A58" t="s">
        <v>134</v>
      </c>
      <c r="B58" s="74">
        <f t="shared" ref="B58:H58" si="13">(1+B22)/(1-B26)-1</f>
        <v>7.660455486542439E-2</v>
      </c>
      <c r="C58" s="74">
        <f t="shared" si="13"/>
        <v>7.1428571428571397E-2</v>
      </c>
      <c r="D58" s="74">
        <f t="shared" si="13"/>
        <v>8.0000000000000071E-2</v>
      </c>
      <c r="E58" s="74">
        <f t="shared" si="13"/>
        <v>8.3333333333333481E-2</v>
      </c>
      <c r="F58" s="74">
        <f t="shared" si="13"/>
        <v>8.2474226804123862E-2</v>
      </c>
      <c r="G58" s="74">
        <f t="shared" si="13"/>
        <v>5.6994818652849721E-2</v>
      </c>
      <c r="H58" s="74">
        <f t="shared" si="13"/>
        <v>9.97963340122201E-2</v>
      </c>
    </row>
    <row r="59" spans="1:8" x14ac:dyDescent="0.15">
      <c r="A59" t="s">
        <v>135</v>
      </c>
      <c r="B59" s="74">
        <f t="shared" ref="B59:H59" si="14">(1+B23)/(1-B26)-1</f>
        <v>6.6252587991718404E-2</v>
      </c>
      <c r="C59" s="74">
        <f t="shared" si="14"/>
        <v>6.1224489795918435E-2</v>
      </c>
      <c r="D59" s="74">
        <f t="shared" si="14"/>
        <v>5.0000000000000044E-2</v>
      </c>
      <c r="E59" s="74">
        <f t="shared" si="14"/>
        <v>7.2916666666666741E-2</v>
      </c>
      <c r="F59" s="74">
        <f t="shared" si="14"/>
        <v>7.2164948453608213E-2</v>
      </c>
      <c r="G59" s="74">
        <f t="shared" si="14"/>
        <v>4.663212435233155E-2</v>
      </c>
      <c r="H59" s="74">
        <f t="shared" si="14"/>
        <v>5.9063136456211973E-2</v>
      </c>
    </row>
    <row r="62" spans="1:8" x14ac:dyDescent="0.15">
      <c r="A62" s="83" t="s">
        <v>136</v>
      </c>
    </row>
    <row r="63" spans="1:8" x14ac:dyDescent="0.15">
      <c r="B63" s="152">
        <f t="shared" ref="B63:H63" si="15">B56*(1+B57)</f>
        <v>19.409937888198762</v>
      </c>
      <c r="C63" s="152">
        <f t="shared" si="15"/>
        <v>28.583113492038525</v>
      </c>
      <c r="D63" s="152">
        <f t="shared" si="15"/>
        <v>1.6909803921568629</v>
      </c>
      <c r="E63" s="152">
        <f t="shared" si="15"/>
        <v>6.6261106623586432</v>
      </c>
      <c r="F63" s="152">
        <f t="shared" si="15"/>
        <v>11.208180005056322</v>
      </c>
      <c r="G63" s="152">
        <f t="shared" si="15"/>
        <v>6.5143885767106964</v>
      </c>
      <c r="H63" s="152">
        <f t="shared" si="15"/>
        <v>4.6977278251322154</v>
      </c>
    </row>
    <row r="64" spans="1:8" x14ac:dyDescent="0.15">
      <c r="B64" s="152">
        <f t="shared" ref="B64:H64" si="16">B63*(1+B57)</f>
        <v>21.097758574129092</v>
      </c>
      <c r="C64" s="152">
        <f t="shared" si="16"/>
        <v>30.916428879143712</v>
      </c>
      <c r="D64" s="152">
        <f t="shared" si="16"/>
        <v>1.8938980392156866</v>
      </c>
      <c r="E64" s="152">
        <f t="shared" si="16"/>
        <v>7.2473085369547663</v>
      </c>
      <c r="F64" s="152">
        <f t="shared" si="16"/>
        <v>12.132565984854784</v>
      </c>
      <c r="G64" s="152">
        <f t="shared" si="16"/>
        <v>6.9531815896497591</v>
      </c>
      <c r="H64" s="152">
        <f t="shared" si="16"/>
        <v>5.6449275291812775</v>
      </c>
    </row>
    <row r="65" spans="1:8" x14ac:dyDescent="0.15">
      <c r="B65" s="152">
        <f t="shared" ref="B65:H65" si="17">B64*(1+B57)</f>
        <v>22.932346276227278</v>
      </c>
      <c r="C65" s="152">
        <f t="shared" si="17"/>
        <v>33.440218991726873</v>
      </c>
      <c r="D65" s="152">
        <f t="shared" si="17"/>
        <v>2.1211658039215693</v>
      </c>
      <c r="E65" s="152">
        <f t="shared" si="17"/>
        <v>7.9267437122942752</v>
      </c>
      <c r="F65" s="152">
        <f t="shared" si="17"/>
        <v>13.133189983605696</v>
      </c>
      <c r="G65" s="152">
        <f t="shared" si="17"/>
        <v>7.4215306086417119</v>
      </c>
      <c r="H65" s="152">
        <f t="shared" si="17"/>
        <v>6.7831104729469525</v>
      </c>
    </row>
    <row r="66" spans="1:8" x14ac:dyDescent="0.15">
      <c r="B66" s="152">
        <f t="shared" ref="B66:H66" si="18">B65*(1+B57)</f>
        <v>24.926463343725306</v>
      </c>
      <c r="C66" s="152">
        <f t="shared" si="18"/>
        <v>36.170032786969884</v>
      </c>
      <c r="D66" s="152">
        <f t="shared" si="18"/>
        <v>2.375705700392158</v>
      </c>
      <c r="E66" s="152">
        <f t="shared" si="18"/>
        <v>8.6698759353218637</v>
      </c>
      <c r="F66" s="152">
        <f t="shared" si="18"/>
        <v>14.21633967297524</v>
      </c>
      <c r="G66" s="152">
        <f t="shared" si="18"/>
        <v>7.9214264527471121</v>
      </c>
      <c r="H66" s="152">
        <f t="shared" si="18"/>
        <v>8.1507844786938932</v>
      </c>
    </row>
    <row r="67" spans="1:8" x14ac:dyDescent="0.15">
      <c r="B67" s="152">
        <f t="shared" ref="B67:H68" si="19">B66*(1+B57)</f>
        <v>27.093981895353597</v>
      </c>
      <c r="C67" s="152">
        <f t="shared" si="19"/>
        <v>39.122688524681713</v>
      </c>
      <c r="D67" s="152">
        <f t="shared" si="19"/>
        <v>2.6607903844392173</v>
      </c>
      <c r="E67" s="152">
        <f t="shared" si="19"/>
        <v>9.4826768042582881</v>
      </c>
      <c r="F67" s="152">
        <f t="shared" si="19"/>
        <v>15.388821295488663</v>
      </c>
      <c r="G67" s="152">
        <f t="shared" si="19"/>
        <v>8.4549940376471771</v>
      </c>
      <c r="H67" s="152">
        <f t="shared" si="19"/>
        <v>9.7942216750089557</v>
      </c>
    </row>
    <row r="68" spans="1:8" x14ac:dyDescent="0.15">
      <c r="B68" s="152">
        <f t="shared" si="19"/>
        <v>29.169504317979026</v>
      </c>
      <c r="C68" s="152">
        <f t="shared" si="19"/>
        <v>41.917166276444689</v>
      </c>
      <c r="D68" s="152">
        <f t="shared" si="19"/>
        <v>2.873653615194355</v>
      </c>
      <c r="E68" s="152">
        <f t="shared" si="19"/>
        <v>10.272899871279813</v>
      </c>
      <c r="F68" s="152">
        <f t="shared" si="19"/>
        <v>16.658002433260926</v>
      </c>
      <c r="G68" s="152">
        <f t="shared" si="19"/>
        <v>8.936884889533804</v>
      </c>
      <c r="H68" s="152">
        <f t="shared" si="19"/>
        <v>10.771649092677876</v>
      </c>
    </row>
    <row r="69" spans="1:8" x14ac:dyDescent="0.15">
      <c r="B69" s="152">
        <f t="shared" ref="B69:H69" si="20">B68*(1+B58)</f>
        <v>31.404021211902883</v>
      </c>
      <c r="C69" s="152">
        <f t="shared" si="20"/>
        <v>44.911249581905025</v>
      </c>
      <c r="D69" s="152">
        <f t="shared" si="20"/>
        <v>3.1035459044099034</v>
      </c>
      <c r="E69" s="152">
        <f t="shared" si="20"/>
        <v>11.128974860553132</v>
      </c>
      <c r="F69" s="152">
        <f t="shared" si="20"/>
        <v>18.031858304045333</v>
      </c>
      <c r="G69" s="152">
        <f t="shared" si="20"/>
        <v>9.446241023134176</v>
      </c>
      <c r="H69" s="152">
        <f t="shared" si="20"/>
        <v>11.846620183393185</v>
      </c>
    </row>
    <row r="70" spans="1:8" x14ac:dyDescent="0.15">
      <c r="B70" s="152">
        <f t="shared" ref="B70:H70" si="21">B69*(1+B58)</f>
        <v>33.809712277825049</v>
      </c>
      <c r="C70" s="152">
        <f t="shared" si="21"/>
        <v>48.119195980612524</v>
      </c>
      <c r="D70" s="152">
        <f t="shared" si="21"/>
        <v>3.3518295767626958</v>
      </c>
      <c r="E70" s="152">
        <f t="shared" si="21"/>
        <v>12.056389432265895</v>
      </c>
      <c r="F70" s="152">
        <f t="shared" si="21"/>
        <v>19.519021875512991</v>
      </c>
      <c r="G70" s="152">
        <f t="shared" si="21"/>
        <v>9.9846278171988185</v>
      </c>
      <c r="H70" s="152">
        <f t="shared" si="21"/>
        <v>13.028869448130999</v>
      </c>
    </row>
    <row r="71" spans="1:8" x14ac:dyDescent="0.15">
      <c r="B71" s="152">
        <f t="shared" ref="B71:H71" si="22">B70*(1+B58)</f>
        <v>36.399690236995909</v>
      </c>
      <c r="C71" s="152">
        <f t="shared" si="22"/>
        <v>51.556281407799133</v>
      </c>
      <c r="D71" s="152">
        <f t="shared" si="22"/>
        <v>3.6199759429037117</v>
      </c>
      <c r="E71" s="152">
        <f t="shared" si="22"/>
        <v>13.061088551621388</v>
      </c>
      <c r="F71" s="152">
        <f t="shared" si="22"/>
        <v>21.128838112668703</v>
      </c>
      <c r="G71" s="152">
        <f t="shared" si="22"/>
        <v>10.553699868956263</v>
      </c>
      <c r="H71" s="152">
        <f t="shared" si="22"/>
        <v>14.32910285537829</v>
      </c>
    </row>
    <row r="72" spans="1:8" x14ac:dyDescent="0.15">
      <c r="B72" s="152">
        <f t="shared" ref="B72:H73" si="23">B71*(1+B58)</f>
        <v>39.188072304840311</v>
      </c>
      <c r="C72" s="152">
        <f t="shared" si="23"/>
        <v>55.238872936927642</v>
      </c>
      <c r="D72" s="152">
        <f t="shared" si="23"/>
        <v>3.9095740183360088</v>
      </c>
      <c r="E72" s="152">
        <f t="shared" si="23"/>
        <v>14.149512597589839</v>
      </c>
      <c r="F72" s="152">
        <f t="shared" si="23"/>
        <v>22.871422699280558</v>
      </c>
      <c r="G72" s="152">
        <f t="shared" si="23"/>
        <v>11.15520607910403</v>
      </c>
      <c r="H72" s="152">
        <f t="shared" si="23"/>
        <v>15.759094790029078</v>
      </c>
    </row>
    <row r="73" spans="1:8" x14ac:dyDescent="0.15">
      <c r="B73" s="152">
        <f t="shared" si="23"/>
        <v>41.78438351344257</v>
      </c>
      <c r="C73" s="152">
        <f t="shared" si="23"/>
        <v>58.620844749392603</v>
      </c>
      <c r="D73" s="152">
        <f t="shared" si="23"/>
        <v>4.105052719252809</v>
      </c>
      <c r="E73" s="152">
        <f t="shared" si="23"/>
        <v>15.181247891164098</v>
      </c>
      <c r="F73" s="152">
        <f t="shared" si="23"/>
        <v>24.521937739434826</v>
      </c>
      <c r="G73" s="152">
        <f t="shared" si="23"/>
        <v>11.675397036160694</v>
      </c>
      <c r="H73" s="152">
        <f t="shared" si="23"/>
        <v>16.689876356038944</v>
      </c>
    </row>
    <row r="74" spans="1:8" x14ac:dyDescent="0.15">
      <c r="B74" s="152">
        <f t="shared" ref="B74:H74" si="24">B73*(1+B59)</f>
        <v>44.552707058846629</v>
      </c>
      <c r="C74" s="152">
        <f t="shared" si="24"/>
        <v>62.209876060579909</v>
      </c>
      <c r="D74" s="152">
        <f t="shared" si="24"/>
        <v>4.3103053552154496</v>
      </c>
      <c r="E74" s="152">
        <f t="shared" si="24"/>
        <v>16.288213883228149</v>
      </c>
      <c r="F74" s="152">
        <f t="shared" si="24"/>
        <v>26.29156211238373</v>
      </c>
      <c r="G74" s="152">
        <f t="shared" si="24"/>
        <v>12.219845602613782</v>
      </c>
      <c r="H74" s="152">
        <f t="shared" si="24"/>
        <v>17.675632800692977</v>
      </c>
    </row>
    <row r="75" spans="1:8" x14ac:dyDescent="0.15">
      <c r="B75" s="152">
        <f t="shared" ref="B75:H75" si="25">B74*(1+B59)</f>
        <v>47.504439203532115</v>
      </c>
      <c r="C75" s="152">
        <f t="shared" si="25"/>
        <v>66.018643982656229</v>
      </c>
      <c r="D75" s="152">
        <f t="shared" si="25"/>
        <v>4.5258206229762221</v>
      </c>
      <c r="E75" s="152">
        <f t="shared" si="25"/>
        <v>17.475896145546869</v>
      </c>
      <c r="F75" s="152">
        <f t="shared" si="25"/>
        <v>28.188891336988739</v>
      </c>
      <c r="G75" s="152">
        <f t="shared" si="25"/>
        <v>12.789682962321161</v>
      </c>
      <c r="H75" s="152">
        <f t="shared" si="25"/>
        <v>18.719611112750204</v>
      </c>
    </row>
    <row r="76" spans="1:8" x14ac:dyDescent="0.15">
      <c r="B76" s="152">
        <f t="shared" ref="B76:H76" si="26">B75*(1+B59)</f>
        <v>50.651731241861363</v>
      </c>
      <c r="C76" s="152">
        <f t="shared" si="26"/>
        <v>70.060601777512744</v>
      </c>
      <c r="D76" s="152">
        <f t="shared" si="26"/>
        <v>4.7521116541250334</v>
      </c>
      <c r="E76" s="152">
        <f t="shared" si="26"/>
        <v>18.750180239492998</v>
      </c>
      <c r="F76" s="152">
        <f t="shared" si="26"/>
        <v>30.223141227286895</v>
      </c>
      <c r="G76" s="152">
        <f t="shared" si="26"/>
        <v>13.386093048647018</v>
      </c>
      <c r="H76" s="152">
        <f t="shared" si="26"/>
        <v>19.825250058309791</v>
      </c>
    </row>
    <row r="77" spans="1:8" x14ac:dyDescent="0.15">
      <c r="B77" s="152">
        <f t="shared" ref="B77:H77" si="27">B76*(1+B59)</f>
        <v>54.007539522895655</v>
      </c>
      <c r="C77" s="152">
        <f t="shared" si="27"/>
        <v>74.350026376135972</v>
      </c>
      <c r="D77" s="152">
        <f t="shared" si="27"/>
        <v>4.989717236831285</v>
      </c>
      <c r="E77" s="152">
        <f t="shared" si="27"/>
        <v>20.117380881956031</v>
      </c>
      <c r="F77" s="152">
        <f t="shared" si="27"/>
        <v>32.404192656060175</v>
      </c>
      <c r="G77" s="152">
        <f t="shared" si="27"/>
        <v>14.010315004283406</v>
      </c>
      <c r="H77" s="152">
        <f t="shared" si="27"/>
        <v>20.996191507782267</v>
      </c>
    </row>
    <row r="79" spans="1:8" x14ac:dyDescent="0.15">
      <c r="A79" t="s">
        <v>137</v>
      </c>
      <c r="B79" s="152">
        <f t="array" ref="B79">SUMPRODUCT(B63:B77 / (1+B24)^(ROW(B63:B77)-62-0.5))</f>
        <v>261.95313450932889</v>
      </c>
      <c r="C79" s="152">
        <f t="array" ref="C79">SUMPRODUCT(C63:C77 / (1+C24)^(ROW(C63:C77)-62-0.5))</f>
        <v>373.39412312359877</v>
      </c>
      <c r="D79" s="152">
        <f t="array" ref="D79">SUMPRODUCT(D63:D77 / (1+D24)^(ROW(D63:D77)-62-0.5))</f>
        <v>21.9969073995446</v>
      </c>
      <c r="E79" s="152">
        <f t="array" ref="E79">SUMPRODUCT(E63:E77 / (1+E24)^(ROW(E63:E77)-62-0.5))</f>
        <v>87.295874760729319</v>
      </c>
      <c r="F79" s="152">
        <f t="array" ref="F79">SUMPRODUCT(F63:F77 / (1+F24)^(ROW(F63:F77)-62-0.5))</f>
        <v>152.09044637329373</v>
      </c>
      <c r="G79" s="152">
        <f t="array" ref="G79">SUMPRODUCT(G63:G77 / (1+G24)^(ROW(G63:G77)-62-0.5))</f>
        <v>77.924343998062213</v>
      </c>
      <c r="H79" s="152">
        <f t="array" ref="H79">SUMPRODUCT(H63:H77 / (1+H24)^(ROW(H63:H77)-62-0.5))</f>
        <v>87.284005282373968</v>
      </c>
    </row>
    <row r="80" spans="1:8" x14ac:dyDescent="0.15">
      <c r="A80" t="s">
        <v>138</v>
      </c>
      <c r="B80" s="152">
        <f t="shared" ref="B80:H80" si="28">B77*(1+B25)/(B24-B25)</f>
        <v>851.65735401489292</v>
      </c>
      <c r="C80" s="152">
        <f t="shared" si="28"/>
        <v>1172.4427236236825</v>
      </c>
      <c r="D80" s="152">
        <f t="shared" si="28"/>
        <v>64.242609424202797</v>
      </c>
      <c r="E80" s="152">
        <f t="shared" si="28"/>
        <v>256.49660624493941</v>
      </c>
      <c r="F80" s="152">
        <f t="shared" si="28"/>
        <v>510.98919188402573</v>
      </c>
      <c r="G80" s="152">
        <f t="shared" si="28"/>
        <v>155.67016671426006</v>
      </c>
      <c r="H80" s="152">
        <f t="shared" si="28"/>
        <v>308.94396075736762</v>
      </c>
    </row>
    <row r="81" spans="1:8" x14ac:dyDescent="0.15">
      <c r="A81" t="s">
        <v>139</v>
      </c>
      <c r="B81" s="152">
        <f t="shared" ref="B81:H81" si="29">B80/(1+B24)^14.5</f>
        <v>244.10725143878932</v>
      </c>
      <c r="C81" s="152">
        <f t="shared" si="29"/>
        <v>336.05272047962666</v>
      </c>
      <c r="D81" s="152">
        <f t="shared" si="29"/>
        <v>14.146206079391559</v>
      </c>
      <c r="E81" s="152">
        <f t="shared" si="29"/>
        <v>64.400270044989867</v>
      </c>
      <c r="F81" s="152">
        <f t="shared" si="29"/>
        <v>146.46285452442226</v>
      </c>
      <c r="G81" s="152">
        <f t="shared" si="29"/>
        <v>44.619137436546609</v>
      </c>
      <c r="H81" s="152">
        <f t="shared" si="29"/>
        <v>77.568568227150834</v>
      </c>
    </row>
    <row r="82" spans="1:8" x14ac:dyDescent="0.15">
      <c r="A82" t="s">
        <v>140</v>
      </c>
      <c r="B82" s="153">
        <f>-B11/B9</f>
        <v>-142.38095238095238</v>
      </c>
      <c r="C82" s="153">
        <f>-C11/C9</f>
        <v>-88.086324598106145</v>
      </c>
      <c r="D82" s="153">
        <f>-D11*1.1/D9</f>
        <v>4.3137254901960791</v>
      </c>
      <c r="E82" s="153">
        <f>-E11/E9</f>
        <v>-8.4814216478190634</v>
      </c>
      <c r="F82" s="153">
        <f>-F11/F9</f>
        <v>-32.016348773841962</v>
      </c>
      <c r="G82" s="153">
        <f>-G11/G9</f>
        <v>-9.4835680751173701</v>
      </c>
      <c r="H82" s="153">
        <f>-H11/H9</f>
        <v>1.5637860082304527</v>
      </c>
    </row>
    <row r="84" spans="1:8" ht="16" customHeight="1" x14ac:dyDescent="0.2">
      <c r="A84" s="118" t="s">
        <v>141</v>
      </c>
      <c r="B84" s="154">
        <f t="shared" ref="B84:H84" si="30">B79+B81+B82</f>
        <v>363.6794335671658</v>
      </c>
      <c r="C84" s="154">
        <f t="shared" si="30"/>
        <v>621.36051900511939</v>
      </c>
      <c r="D84" s="154">
        <f t="shared" si="30"/>
        <v>40.456838969132235</v>
      </c>
      <c r="E84" s="154">
        <f t="shared" si="30"/>
        <v>143.21472315790012</v>
      </c>
      <c r="F84" s="154">
        <f t="shared" si="30"/>
        <v>266.53695212387402</v>
      </c>
      <c r="G84" s="154">
        <f t="shared" si="30"/>
        <v>113.05991335949145</v>
      </c>
      <c r="H84" s="154">
        <f t="shared" si="30"/>
        <v>166.41635951775527</v>
      </c>
    </row>
    <row r="85" spans="1:8" x14ac:dyDescent="0.15">
      <c r="A85" t="s">
        <v>142</v>
      </c>
      <c r="B85" s="152">
        <f t="shared" ref="B85:H85" si="31">B8</f>
        <v>372</v>
      </c>
      <c r="C85" s="152">
        <f t="shared" si="31"/>
        <v>354</v>
      </c>
      <c r="D85" s="152">
        <f t="shared" si="31"/>
        <v>31.2</v>
      </c>
      <c r="E85" s="152">
        <f t="shared" si="31"/>
        <v>94</v>
      </c>
      <c r="F85" s="152">
        <f t="shared" si="31"/>
        <v>234</v>
      </c>
      <c r="G85" s="152">
        <f t="shared" si="31"/>
        <v>89.79</v>
      </c>
      <c r="H85" s="152">
        <f t="shared" si="31"/>
        <v>216.61</v>
      </c>
    </row>
    <row r="86" spans="1:8" x14ac:dyDescent="0.15">
      <c r="A86" s="60" t="s">
        <v>143</v>
      </c>
      <c r="B86" s="103">
        <f t="shared" ref="B86:H86" si="32">B84/B85-1</f>
        <v>-2.236711406675862E-2</v>
      </c>
      <c r="C86" s="103">
        <f t="shared" si="32"/>
        <v>0.75525570340429216</v>
      </c>
      <c r="D86" s="103">
        <f t="shared" si="32"/>
        <v>0.29669355670295627</v>
      </c>
      <c r="E86" s="103">
        <f t="shared" si="32"/>
        <v>0.52356088465851203</v>
      </c>
      <c r="F86" s="103">
        <f t="shared" si="32"/>
        <v>0.13904680394817959</v>
      </c>
      <c r="G86" s="103">
        <f t="shared" si="32"/>
        <v>0.25915929791169878</v>
      </c>
      <c r="H86" s="103">
        <f t="shared" si="32"/>
        <v>-0.23172356069546529</v>
      </c>
    </row>
    <row r="87" spans="1:8" x14ac:dyDescent="0.15">
      <c r="A87" t="s">
        <v>8</v>
      </c>
      <c r="B87" s="155" t="str">
        <f t="shared" ref="B87:H87" si="33">IF(B86&gt;0.3,"BUY",IF(B86&gt;0.1,"FAIR",IF(B86&gt;-0.1,"HOLD","AVOID")))</f>
        <v>HOLD</v>
      </c>
      <c r="C87" s="155" t="str">
        <f t="shared" si="33"/>
        <v>BUY</v>
      </c>
      <c r="D87" s="155" t="str">
        <f t="shared" si="33"/>
        <v>FAIR</v>
      </c>
      <c r="E87" s="155" t="str">
        <f t="shared" si="33"/>
        <v>BUY</v>
      </c>
      <c r="F87" s="155" t="str">
        <f t="shared" si="33"/>
        <v>FAIR</v>
      </c>
      <c r="G87" s="155" t="str">
        <f t="shared" si="33"/>
        <v>FAIR</v>
      </c>
      <c r="H87" s="155" t="str">
        <f t="shared" si="33"/>
        <v>AVOID</v>
      </c>
    </row>
  </sheetData>
  <mergeCells count="1">
    <mergeCell ref="A1:G1"/>
  </mergeCells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4F1355-882A-004B-8658-F234D8CFEBD6}">
  <dimension ref="A1:H107"/>
  <sheetViews>
    <sheetView workbookViewId="0"/>
  </sheetViews>
  <sheetFormatPr baseColWidth="10" defaultRowHeight="13" x14ac:dyDescent="0.15"/>
  <cols>
    <col min="1" max="4" width="30" customWidth="1"/>
  </cols>
  <sheetData>
    <row r="1" spans="1:8" ht="18" x14ac:dyDescent="0.2">
      <c r="A1" s="58" t="s">
        <v>1970</v>
      </c>
    </row>
    <row r="2" spans="1:8" x14ac:dyDescent="0.15">
      <c r="A2" s="225" t="s">
        <v>1971</v>
      </c>
    </row>
    <row r="4" spans="1:8" x14ac:dyDescent="0.15">
      <c r="A4" s="60" t="s">
        <v>1972</v>
      </c>
      <c r="B4" s="228">
        <v>2</v>
      </c>
    </row>
    <row r="5" spans="1:8" x14ac:dyDescent="0.15">
      <c r="A5" s="60" t="s">
        <v>1973</v>
      </c>
      <c r="B5" s="160" t="str">
        <f>IF(B4=1,"Bear",IF(B4=2,"Base","Bull"))</f>
        <v>Base</v>
      </c>
    </row>
    <row r="7" spans="1:8" x14ac:dyDescent="0.15">
      <c r="A7" s="77" t="s">
        <v>1974</v>
      </c>
      <c r="B7" s="78"/>
      <c r="C7" s="78"/>
      <c r="D7" s="78"/>
    </row>
    <row r="8" spans="1:8" x14ac:dyDescent="0.15">
      <c r="A8" t="s">
        <v>1975</v>
      </c>
      <c r="B8" s="64">
        <v>5</v>
      </c>
    </row>
    <row r="9" spans="1:8" x14ac:dyDescent="0.15">
      <c r="A9" t="s">
        <v>1976</v>
      </c>
      <c r="B9" s="229">
        <f>421.06/5</f>
        <v>84.212000000000003</v>
      </c>
    </row>
    <row r="10" spans="1:8" x14ac:dyDescent="0.15">
      <c r="A10" t="s">
        <v>1966</v>
      </c>
      <c r="B10" s="230">
        <f>'SpaceX WACC'!B20</f>
        <v>2</v>
      </c>
    </row>
    <row r="11" spans="1:8" x14ac:dyDescent="0.15">
      <c r="A11" t="s">
        <v>335</v>
      </c>
      <c r="B11" s="90">
        <f>'SpaceX WACC'!B26</f>
        <v>0.12441649543378995</v>
      </c>
    </row>
    <row r="12" spans="1:8" x14ac:dyDescent="0.15">
      <c r="A12" t="s">
        <v>1960</v>
      </c>
      <c r="B12" s="108">
        <f>'SpaceX WACC'!B13</f>
        <v>0.21</v>
      </c>
    </row>
    <row r="14" spans="1:8" x14ac:dyDescent="0.15">
      <c r="A14" s="77" t="s">
        <v>1977</v>
      </c>
      <c r="C14" s="231" t="s">
        <v>1978</v>
      </c>
      <c r="D14" s="231" t="s">
        <v>1979</v>
      </c>
      <c r="E14" s="231" t="s">
        <v>1980</v>
      </c>
      <c r="F14" s="231" t="s">
        <v>1981</v>
      </c>
      <c r="G14" s="231" t="s">
        <v>1982</v>
      </c>
      <c r="H14" s="231" t="s">
        <v>1983</v>
      </c>
    </row>
    <row r="16" spans="1:8" x14ac:dyDescent="0.15">
      <c r="A16" s="77" t="s">
        <v>1984</v>
      </c>
    </row>
    <row r="17" spans="1:8" x14ac:dyDescent="0.15">
      <c r="A17" s="83" t="s">
        <v>1985</v>
      </c>
      <c r="D17" s="89">
        <v>0.4</v>
      </c>
      <c r="E17" s="89">
        <v>0.25</v>
      </c>
      <c r="F17" s="89">
        <v>0.15</v>
      </c>
      <c r="G17" s="89">
        <v>0.08</v>
      </c>
      <c r="H17" s="89">
        <v>0.05</v>
      </c>
    </row>
    <row r="18" spans="1:8" x14ac:dyDescent="0.15">
      <c r="A18" s="83" t="s">
        <v>1986</v>
      </c>
      <c r="D18" s="89">
        <v>0.05</v>
      </c>
      <c r="E18" s="89">
        <v>0.05</v>
      </c>
      <c r="F18" s="89">
        <v>0.04</v>
      </c>
      <c r="G18" s="89">
        <v>0.03</v>
      </c>
      <c r="H18" s="89">
        <v>0.03</v>
      </c>
    </row>
    <row r="19" spans="1:8" x14ac:dyDescent="0.15">
      <c r="A19" s="83" t="s">
        <v>1987</v>
      </c>
      <c r="D19" s="89">
        <v>0.3</v>
      </c>
      <c r="E19" s="89">
        <v>0.2</v>
      </c>
      <c r="F19" s="89">
        <v>0.1</v>
      </c>
      <c r="G19" s="89">
        <v>0.05</v>
      </c>
      <c r="H19" s="89">
        <v>0.05</v>
      </c>
    </row>
    <row r="20" spans="1:8" x14ac:dyDescent="0.15">
      <c r="A20" s="83" t="s">
        <v>1988</v>
      </c>
      <c r="D20" s="89">
        <v>0.05</v>
      </c>
      <c r="E20" s="89">
        <v>0.08</v>
      </c>
      <c r="F20" s="89">
        <v>0.1</v>
      </c>
      <c r="G20" s="89">
        <v>0.12</v>
      </c>
      <c r="H20" s="89">
        <v>0.13</v>
      </c>
    </row>
    <row r="21" spans="1:8" x14ac:dyDescent="0.15">
      <c r="A21" s="83" t="s">
        <v>1989</v>
      </c>
      <c r="D21" s="89">
        <v>2.5000000000000001E-2</v>
      </c>
    </row>
    <row r="23" spans="1:8" x14ac:dyDescent="0.15">
      <c r="A23" s="136" t="s">
        <v>1990</v>
      </c>
    </row>
    <row r="24" spans="1:8" x14ac:dyDescent="0.15">
      <c r="A24" s="83" t="s">
        <v>1985</v>
      </c>
      <c r="D24" s="89">
        <v>0.25</v>
      </c>
      <c r="E24" s="89">
        <v>0.2</v>
      </c>
      <c r="F24" s="89">
        <v>0.15</v>
      </c>
      <c r="G24" s="89">
        <v>0.1</v>
      </c>
      <c r="H24" s="89">
        <v>0.08</v>
      </c>
    </row>
    <row r="25" spans="1:8" x14ac:dyDescent="0.15">
      <c r="A25" s="83" t="s">
        <v>1986</v>
      </c>
      <c r="D25" s="89">
        <v>0.1</v>
      </c>
      <c r="E25" s="89">
        <v>0.1</v>
      </c>
      <c r="F25" s="89">
        <v>0.08</v>
      </c>
      <c r="G25" s="89">
        <v>0.06</v>
      </c>
      <c r="H25" s="89">
        <v>0.05</v>
      </c>
    </row>
    <row r="26" spans="1:8" x14ac:dyDescent="0.15">
      <c r="A26" s="83" t="s">
        <v>1987</v>
      </c>
      <c r="D26" s="89">
        <v>0.5</v>
      </c>
      <c r="E26" s="89">
        <v>0.35</v>
      </c>
      <c r="F26" s="89">
        <v>0.2</v>
      </c>
      <c r="G26" s="89">
        <v>0.12</v>
      </c>
      <c r="H26" s="89">
        <v>0.08</v>
      </c>
    </row>
    <row r="27" spans="1:8" x14ac:dyDescent="0.15">
      <c r="A27" s="83" t="s">
        <v>1988</v>
      </c>
      <c r="D27" s="89">
        <v>0.08</v>
      </c>
      <c r="E27" s="89">
        <v>0.13</v>
      </c>
      <c r="F27" s="89">
        <v>0.17</v>
      </c>
      <c r="G27" s="89">
        <v>0.2</v>
      </c>
      <c r="H27" s="89">
        <v>0.22</v>
      </c>
    </row>
    <row r="28" spans="1:8" x14ac:dyDescent="0.15">
      <c r="A28" s="83" t="s">
        <v>1989</v>
      </c>
      <c r="D28" s="89">
        <v>0.03</v>
      </c>
    </row>
    <row r="30" spans="1:8" x14ac:dyDescent="0.15">
      <c r="A30" s="136" t="s">
        <v>1991</v>
      </c>
    </row>
    <row r="31" spans="1:8" x14ac:dyDescent="0.15">
      <c r="A31" s="83" t="s">
        <v>1985</v>
      </c>
      <c r="D31" s="89">
        <v>0.6</v>
      </c>
      <c r="E31" s="89">
        <v>0.45</v>
      </c>
      <c r="F31" s="89">
        <v>0.3</v>
      </c>
      <c r="G31" s="89">
        <v>0.2</v>
      </c>
      <c r="H31" s="89">
        <v>0.12</v>
      </c>
    </row>
    <row r="32" spans="1:8" x14ac:dyDescent="0.15">
      <c r="A32" s="83" t="s">
        <v>1986</v>
      </c>
      <c r="D32" s="89">
        <v>0.15</v>
      </c>
      <c r="E32" s="89">
        <v>0.15</v>
      </c>
      <c r="F32" s="89">
        <v>0.12</v>
      </c>
      <c r="G32" s="89">
        <v>0.1</v>
      </c>
      <c r="H32" s="89">
        <v>0.08</v>
      </c>
    </row>
    <row r="33" spans="1:8" x14ac:dyDescent="0.15">
      <c r="A33" s="83" t="s">
        <v>1987</v>
      </c>
      <c r="D33" s="89">
        <v>0.8</v>
      </c>
      <c r="E33" s="89">
        <v>0.5</v>
      </c>
      <c r="F33" s="89">
        <v>0.3</v>
      </c>
      <c r="G33" s="89">
        <v>0.2</v>
      </c>
      <c r="H33" s="89">
        <v>0.12</v>
      </c>
    </row>
    <row r="34" spans="1:8" x14ac:dyDescent="0.15">
      <c r="A34" s="83" t="s">
        <v>1988</v>
      </c>
      <c r="D34" s="89">
        <v>0.1</v>
      </c>
      <c r="E34" s="89">
        <v>0.16</v>
      </c>
      <c r="F34" s="89">
        <v>0.22</v>
      </c>
      <c r="G34" s="89">
        <v>0.26</v>
      </c>
      <c r="H34" s="89">
        <v>0.28000000000000003</v>
      </c>
    </row>
    <row r="35" spans="1:8" x14ac:dyDescent="0.15">
      <c r="A35" s="83" t="s">
        <v>1989</v>
      </c>
      <c r="D35" s="89">
        <v>3.5000000000000003E-2</v>
      </c>
    </row>
    <row r="37" spans="1:8" x14ac:dyDescent="0.15">
      <c r="A37" s="136" t="s">
        <v>1992</v>
      </c>
      <c r="D37" s="136" t="s">
        <v>1992</v>
      </c>
    </row>
    <row r="38" spans="1:8" x14ac:dyDescent="0.15">
      <c r="A38" s="87" t="s">
        <v>1993</v>
      </c>
      <c r="D38" s="232">
        <f>CHOOSE($B$4,D17,D24,D31)</f>
        <v>0.25</v>
      </c>
      <c r="E38" s="74">
        <f>CHOOSE($B$4,E17,E24,E31)</f>
        <v>0.2</v>
      </c>
      <c r="F38" s="74">
        <f>CHOOSE($B$4,F17,F24,F31)</f>
        <v>0.15</v>
      </c>
      <c r="G38" s="74">
        <f>CHOOSE($B$4,G17,G24,G31)</f>
        <v>0.1</v>
      </c>
      <c r="H38" s="74">
        <f>CHOOSE($B$4,H17,H24,H31)</f>
        <v>0.08</v>
      </c>
    </row>
    <row r="39" spans="1:8" x14ac:dyDescent="0.15">
      <c r="A39" s="60" t="s">
        <v>1994</v>
      </c>
      <c r="D39" s="103">
        <f>CHOOSE($B$4,D18,D25,D32)</f>
        <v>0.1</v>
      </c>
      <c r="E39" s="74">
        <f>CHOOSE($B$4,E18,E25,E32)</f>
        <v>0.1</v>
      </c>
      <c r="F39" s="74">
        <f>CHOOSE($B$4,F18,F25,F32)</f>
        <v>0.08</v>
      </c>
      <c r="G39" s="74">
        <f>CHOOSE($B$4,G18,G25,G32)</f>
        <v>0.06</v>
      </c>
      <c r="H39" s="74">
        <f>CHOOSE($B$4,H18,H25,H32)</f>
        <v>0.05</v>
      </c>
    </row>
    <row r="40" spans="1:8" x14ac:dyDescent="0.15">
      <c r="A40" s="60" t="s">
        <v>1995</v>
      </c>
      <c r="D40" s="103">
        <f>CHOOSE($B$4,D19,D26,D33)</f>
        <v>0.5</v>
      </c>
      <c r="E40" s="74">
        <f>CHOOSE($B$4,E19,E26,E33)</f>
        <v>0.35</v>
      </c>
      <c r="F40" s="74">
        <f>CHOOSE($B$4,F19,F26,F33)</f>
        <v>0.2</v>
      </c>
      <c r="G40" s="74">
        <f>CHOOSE($B$4,G19,G26,G33)</f>
        <v>0.12</v>
      </c>
      <c r="H40" s="74">
        <f>CHOOSE($B$4,H19,H26,H33)</f>
        <v>0.08</v>
      </c>
    </row>
    <row r="41" spans="1:8" x14ac:dyDescent="0.15">
      <c r="A41" s="60" t="s">
        <v>1996</v>
      </c>
      <c r="D41" s="103">
        <f>CHOOSE($B$4,D20,D27,D34)</f>
        <v>0.08</v>
      </c>
      <c r="E41" s="74">
        <f>CHOOSE($B$4,E20,E27,E34)</f>
        <v>0.13</v>
      </c>
      <c r="F41" s="74">
        <f>CHOOSE($B$4,F20,F27,F34)</f>
        <v>0.17</v>
      </c>
      <c r="G41" s="74">
        <f>CHOOSE($B$4,G20,G27,G34)</f>
        <v>0.2</v>
      </c>
      <c r="H41" s="74">
        <f>CHOOSE($B$4,H20,H27,H34)</f>
        <v>0.22</v>
      </c>
    </row>
    <row r="42" spans="1:8" x14ac:dyDescent="0.15">
      <c r="A42" s="60" t="s">
        <v>1997</v>
      </c>
      <c r="D42" s="103">
        <f>CHOOSE($B$4,$D$21,$D$28,$D$35)</f>
        <v>0.03</v>
      </c>
      <c r="G42" s="74"/>
    </row>
    <row r="43" spans="1:8" x14ac:dyDescent="0.15">
      <c r="A43" s="60" t="s">
        <v>1998</v>
      </c>
      <c r="D43" s="238">
        <v>0.12</v>
      </c>
      <c r="E43" s="74">
        <f>$D$43</f>
        <v>0.12</v>
      </c>
      <c r="F43" s="74">
        <f>$D$43</f>
        <v>0.12</v>
      </c>
      <c r="G43" s="89">
        <f>$D$43</f>
        <v>0.12</v>
      </c>
      <c r="H43" s="74">
        <f>$D$43</f>
        <v>0.12</v>
      </c>
    </row>
    <row r="44" spans="1:8" x14ac:dyDescent="0.15">
      <c r="A44" s="60" t="s">
        <v>1999</v>
      </c>
      <c r="D44" s="238">
        <v>0.18</v>
      </c>
      <c r="E44" s="74">
        <f>$D$44</f>
        <v>0.18</v>
      </c>
      <c r="F44" s="74">
        <f>$D$44</f>
        <v>0.18</v>
      </c>
      <c r="G44" s="89">
        <f>$D$44</f>
        <v>0.18</v>
      </c>
      <c r="H44" s="74">
        <f>$D$44</f>
        <v>0.18</v>
      </c>
    </row>
    <row r="45" spans="1:8" x14ac:dyDescent="0.15">
      <c r="A45" s="60" t="s">
        <v>2000</v>
      </c>
      <c r="D45" s="238">
        <v>0.05</v>
      </c>
      <c r="E45" s="74">
        <f>$D$45</f>
        <v>0.05</v>
      </c>
      <c r="F45" s="74">
        <f>$D$45</f>
        <v>0.05</v>
      </c>
      <c r="G45" s="89">
        <f>$D$45</f>
        <v>0.05</v>
      </c>
      <c r="H45" s="74">
        <f>$D$45</f>
        <v>0.05</v>
      </c>
    </row>
    <row r="47" spans="1:8" x14ac:dyDescent="0.15">
      <c r="A47" s="77" t="s">
        <v>2001</v>
      </c>
    </row>
    <row r="48" spans="1:8" x14ac:dyDescent="0.15">
      <c r="A48" s="60" t="s">
        <v>2002</v>
      </c>
      <c r="C48" s="119">
        <v>11.4</v>
      </c>
      <c r="D48" s="233">
        <f>C48*(1+D38)</f>
        <v>14.25</v>
      </c>
      <c r="E48" s="233">
        <f>D48*(1+E38)</f>
        <v>17.099999999999998</v>
      </c>
      <c r="F48" s="233">
        <f>E48*(1+F38)</f>
        <v>19.664999999999996</v>
      </c>
      <c r="G48" s="233">
        <f>F48*(1+G38)</f>
        <v>21.631499999999996</v>
      </c>
      <c r="H48" s="233">
        <f>G48*(1+H38)</f>
        <v>23.362019999999998</v>
      </c>
    </row>
    <row r="49" spans="1:8" x14ac:dyDescent="0.15">
      <c r="A49" s="60" t="s">
        <v>2003</v>
      </c>
      <c r="C49" s="119">
        <v>4.0999999999999996</v>
      </c>
      <c r="D49" s="233">
        <f>C49*(1+D39)</f>
        <v>4.51</v>
      </c>
      <c r="E49" s="233">
        <f>D49*(1+E39)</f>
        <v>4.9610000000000003</v>
      </c>
      <c r="F49" s="233">
        <f>E49*(1+F39)</f>
        <v>5.3578800000000006</v>
      </c>
      <c r="G49" s="233">
        <f>F49*(1+G39)</f>
        <v>5.6793528000000011</v>
      </c>
      <c r="H49" s="233">
        <f>G49*(1+H39)</f>
        <v>5.9633204400000013</v>
      </c>
    </row>
    <row r="50" spans="1:8" x14ac:dyDescent="0.15">
      <c r="A50" s="60" t="s">
        <v>2004</v>
      </c>
      <c r="C50" s="119">
        <v>3.2</v>
      </c>
      <c r="D50" s="233">
        <f>C50*(1+D40)</f>
        <v>4.8000000000000007</v>
      </c>
      <c r="E50" s="233">
        <f>D50*(1+E40)</f>
        <v>6.4800000000000013</v>
      </c>
      <c r="F50" s="233">
        <f>E50*(1+F40)</f>
        <v>7.7760000000000016</v>
      </c>
      <c r="G50" s="233">
        <f>F50*(1+G40)</f>
        <v>8.7091200000000022</v>
      </c>
      <c r="H50" s="233">
        <f>G50*(1+H40)</f>
        <v>9.4058496000000034</v>
      </c>
    </row>
    <row r="51" spans="1:8" x14ac:dyDescent="0.15">
      <c r="A51" s="61" t="s">
        <v>2005</v>
      </c>
      <c r="C51" s="234">
        <f>SUM(C48:C50)</f>
        <v>18.7</v>
      </c>
      <c r="D51" s="234">
        <f>SUM(D48:D50)</f>
        <v>23.56</v>
      </c>
      <c r="E51" s="234">
        <f>SUM(E48:E50)</f>
        <v>28.541</v>
      </c>
      <c r="F51" s="234">
        <f>SUM(F48:F50)</f>
        <v>32.798879999999997</v>
      </c>
      <c r="G51" s="234">
        <f>SUM(G48:G50)</f>
        <v>36.019972799999998</v>
      </c>
      <c r="H51" s="234">
        <f>SUM(H48:H50)</f>
        <v>38.731190040000001</v>
      </c>
    </row>
    <row r="52" spans="1:8" x14ac:dyDescent="0.15">
      <c r="A52" s="87" t="s">
        <v>2006</v>
      </c>
      <c r="D52" s="88">
        <f>D51/C51-1</f>
        <v>0.25989304812834213</v>
      </c>
      <c r="E52" s="88">
        <f>E51/D51-1</f>
        <v>0.21141765704584059</v>
      </c>
      <c r="F52" s="88">
        <f>F51/E51-1</f>
        <v>0.14918468168599541</v>
      </c>
      <c r="G52" s="88">
        <f>G51/F51-1</f>
        <v>9.8207402203977834E-2</v>
      </c>
      <c r="H52" s="88">
        <f>H51/G51-1</f>
        <v>7.5269830298150708E-2</v>
      </c>
    </row>
    <row r="54" spans="1:8" x14ac:dyDescent="0.15">
      <c r="A54" s="77" t="s">
        <v>2007</v>
      </c>
      <c r="D54" s="77" t="s">
        <v>2007</v>
      </c>
    </row>
    <row r="55" spans="1:8" x14ac:dyDescent="0.15">
      <c r="A55" t="s">
        <v>2008</v>
      </c>
      <c r="D55" s="233">
        <f>D51*D41</f>
        <v>1.8848</v>
      </c>
      <c r="E55" s="233">
        <f>E51*E41</f>
        <v>3.7103300000000004</v>
      </c>
      <c r="F55" s="233">
        <f>F51*F41</f>
        <v>5.5758095999999995</v>
      </c>
      <c r="G55" s="233">
        <f>G51*G41</f>
        <v>7.2039945599999999</v>
      </c>
      <c r="H55" s="233">
        <f>H51*H41</f>
        <v>8.5208618088000012</v>
      </c>
    </row>
    <row r="56" spans="1:8" x14ac:dyDescent="0.15">
      <c r="A56" s="83" t="s">
        <v>2009</v>
      </c>
      <c r="D56" s="88">
        <f>D55/D51</f>
        <v>0.08</v>
      </c>
      <c r="E56" s="88">
        <f>E55/E51</f>
        <v>0.13</v>
      </c>
      <c r="F56" s="88">
        <f>F55/F51</f>
        <v>0.17</v>
      </c>
      <c r="G56" s="88">
        <f>G55/G51</f>
        <v>0.2</v>
      </c>
      <c r="H56" s="88">
        <f>H55/H51</f>
        <v>0.22000000000000003</v>
      </c>
    </row>
    <row r="57" spans="1:8" x14ac:dyDescent="0.15">
      <c r="A57" t="s">
        <v>2010</v>
      </c>
      <c r="D57" s="235">
        <f>-D55*$B$12</f>
        <v>-0.39580799999999999</v>
      </c>
      <c r="E57" s="235">
        <f>-E55*$B$12</f>
        <v>-0.77916930000000006</v>
      </c>
      <c r="F57" s="235">
        <f>-F55*$B$12</f>
        <v>-1.170920016</v>
      </c>
      <c r="G57" s="235">
        <f>-G55*$B$12</f>
        <v>-1.5128388576</v>
      </c>
      <c r="H57" s="235">
        <f>-H55*$B$12</f>
        <v>-1.7893809798480003</v>
      </c>
    </row>
    <row r="58" spans="1:8" x14ac:dyDescent="0.15">
      <c r="A58" s="60" t="s">
        <v>2011</v>
      </c>
      <c r="D58" s="236">
        <f>D55+D57</f>
        <v>1.4889920000000001</v>
      </c>
      <c r="E58" s="236">
        <f>E55+E57</f>
        <v>2.9311607000000004</v>
      </c>
      <c r="F58" s="236">
        <f>F55+F57</f>
        <v>4.4048895839999993</v>
      </c>
      <c r="G58" s="236">
        <f>G55+G57</f>
        <v>5.6911557023999997</v>
      </c>
      <c r="H58" s="236">
        <f>H55+H57</f>
        <v>6.7314808289520007</v>
      </c>
    </row>
    <row r="59" spans="1:8" x14ac:dyDescent="0.15">
      <c r="A59" t="s">
        <v>2012</v>
      </c>
      <c r="D59" s="233">
        <f>D51*D43</f>
        <v>2.8271999999999999</v>
      </c>
      <c r="E59" s="233">
        <f>E51*E43</f>
        <v>3.4249199999999997</v>
      </c>
      <c r="F59" s="233">
        <f>F51*F43</f>
        <v>3.9358655999999996</v>
      </c>
      <c r="G59" s="233">
        <f>G51*G43</f>
        <v>4.322396736</v>
      </c>
      <c r="H59" s="233">
        <f>H51*H43</f>
        <v>4.6477428048</v>
      </c>
    </row>
    <row r="60" spans="1:8" x14ac:dyDescent="0.15">
      <c r="A60" t="s">
        <v>2013</v>
      </c>
      <c r="D60" s="235">
        <f>-D51*D44</f>
        <v>-4.2407999999999992</v>
      </c>
      <c r="E60" s="235">
        <f>-E51*E44</f>
        <v>-5.1373800000000003</v>
      </c>
      <c r="F60" s="235">
        <f>-F51*F44</f>
        <v>-5.9037983999999994</v>
      </c>
      <c r="G60" s="235">
        <f>-G51*G44</f>
        <v>-6.4835951039999991</v>
      </c>
      <c r="H60" s="235">
        <f>-H51*H44</f>
        <v>-6.9716142072</v>
      </c>
    </row>
    <row r="61" spans="1:8" x14ac:dyDescent="0.15">
      <c r="A61" t="s">
        <v>2014</v>
      </c>
      <c r="D61" s="235">
        <f>-(D51-C51)*D45</f>
        <v>-0.24299999999999999</v>
      </c>
      <c r="E61" s="235">
        <f>-(E51-D51)*E45</f>
        <v>-0.2490500000000001</v>
      </c>
      <c r="F61" s="235">
        <f>-(F51-E51)*F45</f>
        <v>-0.21289399999999983</v>
      </c>
      <c r="G61" s="235">
        <f>-(G51-F51)*G45</f>
        <v>-0.16105464000000005</v>
      </c>
      <c r="H61" s="235">
        <f>-(H51-G51)*H45</f>
        <v>-0.13556086200000017</v>
      </c>
    </row>
    <row r="62" spans="1:8" x14ac:dyDescent="0.15">
      <c r="A62" s="92" t="s">
        <v>2015</v>
      </c>
      <c r="D62" s="237">
        <f>D58+D59+D60+D61</f>
        <v>-0.1676079999999992</v>
      </c>
      <c r="E62" s="237">
        <f>E58+E59+E60+E61</f>
        <v>0.96965069999999931</v>
      </c>
      <c r="F62" s="237">
        <f>F58+F59+F60+F61</f>
        <v>2.2240627839999996</v>
      </c>
      <c r="G62" s="237">
        <f>G58+G59+G60+G61</f>
        <v>3.3689026944000005</v>
      </c>
      <c r="H62" s="237">
        <f>H58+H59+H60+H61</f>
        <v>4.2720485645520014</v>
      </c>
    </row>
    <row r="63" spans="1:8" x14ac:dyDescent="0.15">
      <c r="A63" s="83" t="s">
        <v>2016</v>
      </c>
      <c r="D63" s="88">
        <f>D62/D51</f>
        <v>-7.1140916808149074E-3</v>
      </c>
      <c r="E63" s="88">
        <f>E62/E51</f>
        <v>3.3973956763953587E-2</v>
      </c>
      <c r="F63" s="88">
        <f>F62/F51</f>
        <v>6.7809107628065343E-2</v>
      </c>
      <c r="G63" s="88">
        <f>G62/G51</f>
        <v>9.3528740654684805E-2</v>
      </c>
      <c r="H63" s="88">
        <f>H62/H51</f>
        <v>0.11029995618879779</v>
      </c>
    </row>
    <row r="65" spans="1:8" x14ac:dyDescent="0.15">
      <c r="A65" s="77" t="s">
        <v>2017</v>
      </c>
    </row>
    <row r="66" spans="1:8" x14ac:dyDescent="0.15">
      <c r="A66" t="s">
        <v>2018</v>
      </c>
      <c r="D66" s="239">
        <v>0.5</v>
      </c>
      <c r="E66" s="239">
        <v>1.5</v>
      </c>
      <c r="F66" s="239">
        <v>2.5</v>
      </c>
      <c r="G66" s="239">
        <v>3.5</v>
      </c>
      <c r="H66" s="239">
        <v>4.5</v>
      </c>
    </row>
    <row r="67" spans="1:8" x14ac:dyDescent="0.15">
      <c r="A67" t="s">
        <v>2019</v>
      </c>
      <c r="D67" s="240">
        <f>1/(1+$B$11)^D66</f>
        <v>0.94305364046069751</v>
      </c>
      <c r="E67" s="240">
        <f>1/(1+$B$11)^E66</f>
        <v>0.83870491431813787</v>
      </c>
      <c r="F67" s="240">
        <f>1/(1+$B$11)^F66</f>
        <v>0.74590235711063013</v>
      </c>
      <c r="G67" s="240">
        <f>1/(1+$B$11)^G66</f>
        <v>0.66336838719434443</v>
      </c>
      <c r="H67" s="240">
        <f>1/(1+$B$11)^H66</f>
        <v>0.58996678711870265</v>
      </c>
    </row>
    <row r="68" spans="1:8" x14ac:dyDescent="0.15">
      <c r="A68" s="60" t="s">
        <v>2020</v>
      </c>
      <c r="D68" s="241">
        <f>D62*D67</f>
        <v>-0.15806333457033583</v>
      </c>
      <c r="E68" s="241">
        <f>E62*E67</f>
        <v>0.81325080726202181</v>
      </c>
      <c r="F68" s="241">
        <f>F62*F67</f>
        <v>1.6589336729476298</v>
      </c>
      <c r="G68" s="241">
        <f>G62*G67</f>
        <v>2.2348235469988098</v>
      </c>
      <c r="H68" s="241">
        <f>H62*H67</f>
        <v>2.5203667660438098</v>
      </c>
    </row>
    <row r="70" spans="1:8" x14ac:dyDescent="0.15">
      <c r="A70" s="77" t="s">
        <v>2021</v>
      </c>
    </row>
    <row r="71" spans="1:8" x14ac:dyDescent="0.15">
      <c r="A71" t="s">
        <v>1989</v>
      </c>
      <c r="B71" s="74">
        <f>D42</f>
        <v>0.03</v>
      </c>
    </row>
    <row r="72" spans="1:8" x14ac:dyDescent="0.15">
      <c r="A72" t="s">
        <v>2022</v>
      </c>
      <c r="B72" s="242">
        <f>H62*(1+B71)</f>
        <v>4.4002100214885616</v>
      </c>
    </row>
    <row r="73" spans="1:8" x14ac:dyDescent="0.15">
      <c r="A73" t="s">
        <v>2023</v>
      </c>
      <c r="B73" s="243">
        <f>B72/($B$11-B71)</f>
        <v>46.60425067963078</v>
      </c>
    </row>
    <row r="74" spans="1:8" x14ac:dyDescent="0.15">
      <c r="A74" t="s">
        <v>2024</v>
      </c>
      <c r="B74" s="244">
        <f>B73*H67</f>
        <v>27.494960039536387</v>
      </c>
    </row>
    <row r="75" spans="1:8" x14ac:dyDescent="0.15">
      <c r="A75" t="s">
        <v>2025</v>
      </c>
      <c r="B75" s="74">
        <f>B74/B80</f>
        <v>0.79547344259674801</v>
      </c>
    </row>
    <row r="77" spans="1:8" x14ac:dyDescent="0.15">
      <c r="A77" s="77" t="s">
        <v>124</v>
      </c>
    </row>
    <row r="78" spans="1:8" x14ac:dyDescent="0.15">
      <c r="A78" t="s">
        <v>2026</v>
      </c>
      <c r="B78" s="242">
        <f>SUM(D68:H68)</f>
        <v>7.069311458681935</v>
      </c>
    </row>
    <row r="79" spans="1:8" x14ac:dyDescent="0.15">
      <c r="A79" t="s">
        <v>2027</v>
      </c>
      <c r="B79" s="242">
        <f>B74</f>
        <v>27.494960039536387</v>
      </c>
    </row>
    <row r="80" spans="1:8" x14ac:dyDescent="0.15">
      <c r="A80" s="245" t="s">
        <v>2028</v>
      </c>
      <c r="B80" s="244">
        <f>B78+B79</f>
        <v>34.564271498218325</v>
      </c>
    </row>
    <row r="81" spans="1:6" x14ac:dyDescent="0.15">
      <c r="A81" t="s">
        <v>2029</v>
      </c>
      <c r="B81" s="246">
        <f>B10</f>
        <v>2</v>
      </c>
    </row>
    <row r="82" spans="1:6" x14ac:dyDescent="0.15">
      <c r="A82" s="245" t="s">
        <v>2030</v>
      </c>
      <c r="B82" s="244">
        <f>B80-B81</f>
        <v>32.564271498218325</v>
      </c>
    </row>
    <row r="83" spans="1:6" x14ac:dyDescent="0.15">
      <c r="A83" t="s">
        <v>2031</v>
      </c>
      <c r="B83" s="247">
        <f>B8</f>
        <v>5</v>
      </c>
    </row>
    <row r="84" spans="1:6" ht="18" x14ac:dyDescent="0.2">
      <c r="A84" s="60" t="s">
        <v>2032</v>
      </c>
      <c r="B84" s="111">
        <f>B82/B83</f>
        <v>6.5128542996436654</v>
      </c>
    </row>
    <row r="86" spans="1:6" x14ac:dyDescent="0.15">
      <c r="A86" t="s">
        <v>2033</v>
      </c>
      <c r="B86" s="79">
        <f>B9</f>
        <v>84.212000000000003</v>
      </c>
    </row>
    <row r="87" spans="1:6" x14ac:dyDescent="0.15">
      <c r="A87" t="s">
        <v>2034</v>
      </c>
      <c r="B87" s="79">
        <f>1750/B8</f>
        <v>350</v>
      </c>
    </row>
    <row r="88" spans="1:6" x14ac:dyDescent="0.15">
      <c r="A88" t="s">
        <v>2035</v>
      </c>
      <c r="B88" s="248">
        <f>B84/B86-1</f>
        <v>-0.92266120862058065</v>
      </c>
    </row>
    <row r="89" spans="1:6" x14ac:dyDescent="0.15">
      <c r="A89" t="s">
        <v>2036</v>
      </c>
      <c r="B89" s="249">
        <f>B84/B87-1</f>
        <v>-0.981391844858161</v>
      </c>
    </row>
    <row r="91" spans="1:6" x14ac:dyDescent="0.15">
      <c r="A91" s="77" t="s">
        <v>2037</v>
      </c>
    </row>
    <row r="93" spans="1:6" x14ac:dyDescent="0.15">
      <c r="A93" s="250" t="s">
        <v>2038</v>
      </c>
      <c r="B93" s="251">
        <v>0.02</v>
      </c>
      <c r="C93" s="251">
        <v>2.5000000000000001E-2</v>
      </c>
      <c r="D93" s="251">
        <v>0.03</v>
      </c>
      <c r="E93" s="251">
        <v>3.5000000000000003E-2</v>
      </c>
      <c r="F93" s="251">
        <v>0.04</v>
      </c>
    </row>
    <row r="94" spans="1:6" x14ac:dyDescent="0.15">
      <c r="A94" s="252">
        <v>0.10440000000000001</v>
      </c>
      <c r="B94" s="253">
        <f>(($D$62/(1+$A94)^0.5+$E$62/(1+$A94)^1.5+$F$62/(1+$A94)^2.5+$G$62/(1+$A94)^3.5+$H$62/(1+$A94)^4.5)+($H$62*(1+B$93)/($A94-B$93))/(1+$A94)^4.5-$B$10)/$B$8</f>
        <v>7.7094252724010515</v>
      </c>
      <c r="C94" s="253">
        <f>(($D$62/(1+$A94)^0.5+$E$62/(1+$A94)^1.5+$F$62/(1+$A94)^2.5+$G$62/(1+$A94)^3.5+$H$62/(1+$A94)^4.5)+($H$62*(1+C$93)/($A94-C$93))/(1+$A94)^4.5-$B$10)/$B$8</f>
        <v>8.1597552303900294</v>
      </c>
      <c r="D94" s="253">
        <f>(($D$62/(1+$A94)^0.5+$E$62/(1+$A94)^1.5+$F$62/(1+$A94)^2.5+$G$62/(1+$A94)^3.5+$H$62/(1+$A94)^4.5)+($H$62*(1+D$93)/($A94-D$93))/(1+$A94)^4.5-$B$10)/$B$8</f>
        <v>8.6706134085388165</v>
      </c>
      <c r="E94" s="253">
        <f>(($D$62/(1+$A94)^0.5+$E$62/(1+$A94)^1.5+$F$62/(1+$A94)^2.5+$G$62/(1+$A94)^3.5+$H$62/(1+$A94)^4.5)+($H$62*(1+E$93)/($A94-E$93))/(1+$A94)^4.5-$B$10)/$B$8</f>
        <v>9.2550822751816622</v>
      </c>
      <c r="F94" s="253">
        <f>(($D$62/(1+$A94)^0.5+$E$62/(1+$A94)^1.5+$F$62/(1+$A94)^2.5+$G$62/(1+$A94)^3.5+$H$62/(1+$A94)^4.5)+($H$62*(1+F$93)/($A94-F$93))/(1+$A94)^4.5-$B$10)/$B$8</f>
        <v>9.9303071770174984</v>
      </c>
    </row>
    <row r="95" spans="1:6" x14ac:dyDescent="0.15">
      <c r="A95" s="252">
        <v>0.1144</v>
      </c>
      <c r="B95" s="253">
        <f>(($D$62/(1+$A95)^0.5+$E$62/(1+$A95)^1.5+$F$62/(1+$A95)^2.5+$G$62/(1+$A95)^3.5+$H$62/(1+$A95)^4.5)+($H$62*(1+B$93)/($A95-B$93))/(1+$A95)^4.5-$B$10)/$B$8</f>
        <v>6.7286989992896409</v>
      </c>
      <c r="C95" s="253">
        <f>(($D$62/(1+$A95)^0.5+$E$62/(1+$A95)^1.5+$F$62/(1+$A95)^2.5+$G$62/(1+$A95)^3.5+$H$62/(1+$A95)^4.5)+($H$62*(1+C$93)/($A95-C$93))/(1+$A95)^4.5-$B$10)/$B$8</f>
        <v>7.0751826973717993</v>
      </c>
      <c r="D95" s="253">
        <f>(($D$62/(1+$A95)^0.5+$E$62/(1+$A95)^1.5+$F$62/(1+$A95)^2.5+$G$62/(1+$A95)^3.5+$H$62/(1+$A95)^4.5)+($H$62*(1+D$93)/($A95-D$93))/(1+$A95)^4.5-$B$10)/$B$8</f>
        <v>7.4627189663167766</v>
      </c>
      <c r="E95" s="253">
        <f>(($D$62/(1+$A95)^0.5+$E$62/(1+$A95)^1.5+$F$62/(1+$A95)^2.5+$G$62/(1+$A95)^3.5+$H$62/(1+$A95)^4.5)+($H$62*(1+E$93)/($A95-E$93))/(1+$A95)^4.5-$B$10)/$B$8</f>
        <v>7.8990633295873165</v>
      </c>
      <c r="F95" s="253">
        <f>(($D$62/(1+$A95)^0.5+$E$62/(1+$A95)^1.5+$F$62/(1+$A95)^2.5+$G$62/(1+$A95)^3.5+$H$62/(1+$A95)^4.5)+($H$62*(1+F$93)/($A95-F$93))/(1+$A95)^4.5-$B$10)/$B$8</f>
        <v>8.3940561287813189</v>
      </c>
    </row>
    <row r="96" spans="1:6" x14ac:dyDescent="0.15">
      <c r="A96" s="252">
        <v>0.1244</v>
      </c>
      <c r="B96" s="253">
        <f>(($D$62/(1+$A96)^0.5+$E$62/(1+$A96)^1.5+$F$62/(1+$A96)^2.5+$G$62/(1+$A96)^3.5+$H$62/(1+$A96)^4.5)+($H$62*(1+B$93)/($A96-B$93))/(1+$A96)^4.5-$B$10)/$B$8</f>
        <v>5.9391137691080083</v>
      </c>
      <c r="C96" s="253">
        <f>(($D$62/(1+$A96)^0.5+$E$62/(1+$A96)^1.5+$F$62/(1+$A96)^2.5+$G$62/(1+$A96)^3.5+$H$62/(1+$A96)^4.5)+($H$62*(1+C$93)/($A96-C$93))/(1+$A96)^4.5-$B$10)/$B$8</f>
        <v>6.2122167049208574</v>
      </c>
      <c r="D96" s="254">
        <f>(($D$62/(1+$A96)^0.5+$E$62/(1+$A96)^1.5+$F$62/(1+$A96)^2.5+$G$62/(1+$A96)^3.5+$H$62/(1+$A96)^4.5)+($H$62*(1+D$93)/($A96-D$93))/(1+$A96)^4.5-$B$10)/$B$8</f>
        <v>6.5142500364765938</v>
      </c>
      <c r="E96" s="253">
        <f>(($D$62/(1+$A96)^0.5+$E$62/(1+$A96)^1.5+$F$62/(1+$A96)^2.5+$G$62/(1+$A96)^3.5+$H$62/(1+$A96)^4.5)+($H$62*(1+E$93)/($A96-E$93))/(1+$A96)^4.5-$B$10)/$B$8</f>
        <v>6.850067857020667</v>
      </c>
      <c r="F96" s="253">
        <f>(($D$62/(1+$A96)^0.5+$E$62/(1+$A96)^1.5+$F$62/(1+$A96)^2.5+$G$62/(1+$A96)^3.5+$H$62/(1+$A96)^4.5)+($H$62*(1+F$93)/($A96-F$93))/(1+$A96)^4.5-$B$10)/$B$8</f>
        <v>7.22567451886143</v>
      </c>
    </row>
    <row r="97" spans="1:6" x14ac:dyDescent="0.15">
      <c r="A97" s="252">
        <v>0.13439999999999999</v>
      </c>
      <c r="B97" s="253">
        <f>(($D$62/(1+$A97)^0.5+$E$62/(1+$A97)^1.5+$F$62/(1+$A97)^2.5+$G$62/(1+$A97)^3.5+$H$62/(1+$A97)^4.5)+($H$62*(1+B$93)/($A97-B$93))/(1+$A97)^4.5-$B$10)/$B$8</f>
        <v>5.2904239370660138</v>
      </c>
      <c r="C97" s="253">
        <f>(($D$62/(1+$A97)^0.5+$E$62/(1+$A97)^1.5+$F$62/(1+$A97)^2.5+$G$62/(1+$A97)^3.5+$H$62/(1+$A97)^4.5)+($H$62*(1+C$93)/($A97-C$93))/(1+$A97)^4.5-$B$10)/$B$8</f>
        <v>5.5099626289817643</v>
      </c>
      <c r="D97" s="253">
        <f>(($D$62/(1+$A97)^0.5+$E$62/(1+$A97)^1.5+$F$62/(1+$A97)^2.5+$G$62/(1+$A97)^3.5+$H$62/(1+$A97)^4.5)+($H$62*(1+D$93)/($A97-D$93))/(1+$A97)^4.5-$B$10)/$B$8</f>
        <v>5.7505299312342748</v>
      </c>
      <c r="E97" s="253">
        <f>(($D$62/(1+$A97)^0.5+$E$62/(1+$A97)^1.5+$F$62/(1+$A97)^2.5+$G$62/(1+$A97)^3.5+$H$62/(1+$A97)^4.5)+($H$62*(1+E$93)/($A97-E$93))/(1+$A97)^4.5-$B$10)/$B$8</f>
        <v>6.0152991753632943</v>
      </c>
      <c r="F97" s="253">
        <f>(($D$62/(1+$A97)^0.5+$E$62/(1+$A97)^1.5+$F$62/(1+$A97)^2.5+$G$62/(1+$A97)^3.5+$H$62/(1+$A97)^4.5)+($H$62*(1+F$93)/($A97-F$93))/(1+$A97)^4.5-$B$10)/$B$8</f>
        <v>6.3081160089127621</v>
      </c>
    </row>
    <row r="98" spans="1:6" x14ac:dyDescent="0.15">
      <c r="A98" s="252">
        <v>0.1444</v>
      </c>
      <c r="B98" s="253">
        <f>(($D$62/(1+$A98)^0.5+$E$62/(1+$A98)^1.5+$F$62/(1+$A98)^2.5+$G$62/(1+$A98)^3.5+$H$62/(1+$A98)^4.5)+($H$62*(1+B$93)/($A98-B$93))/(1+$A98)^4.5-$B$10)/$B$8</f>
        <v>4.7485456344072663</v>
      </c>
      <c r="C98" s="253">
        <f>(($D$62/(1+$A98)^0.5+$E$62/(1+$A98)^1.5+$F$62/(1+$A98)^2.5+$G$62/(1+$A98)^3.5+$H$62/(1+$A98)^4.5)+($H$62*(1+C$93)/($A98-C$93))/(1+$A98)^4.5-$B$10)/$B$8</f>
        <v>4.9279318227710771</v>
      </c>
      <c r="D98" s="253">
        <f>(($D$62/(1+$A98)^0.5+$E$62/(1+$A98)^1.5+$F$62/(1+$A98)^2.5+$G$62/(1+$A98)^3.5+$H$62/(1+$A98)^4.5)+($H$62*(1+D$93)/($A98-D$93))/(1+$A98)^4.5-$B$10)/$B$8</f>
        <v>5.1229986220058503</v>
      </c>
      <c r="E98" s="253">
        <f>(($D$62/(1+$A98)^0.5+$E$62/(1+$A98)^1.5+$F$62/(1+$A98)^2.5+$G$62/(1+$A98)^3.5+$H$62/(1+$A98)^4.5)+($H$62*(1+E$93)/($A98-E$93))/(1+$A98)^4.5-$B$10)/$B$8</f>
        <v>5.3358960244613538</v>
      </c>
      <c r="F98" s="253">
        <f>(($D$62/(1+$A98)^0.5+$E$62/(1+$A98)^1.5+$F$62/(1+$A98)^2.5+$G$62/(1+$A98)^3.5+$H$62/(1+$A98)^4.5)+($H$62*(1+F$93)/($A98-F$93))/(1+$A98)^4.5-$B$10)/$B$8</f>
        <v>5.5691858984164249</v>
      </c>
    </row>
    <row r="100" spans="1:6" x14ac:dyDescent="0.15">
      <c r="A100" s="77" t="s">
        <v>2039</v>
      </c>
    </row>
    <row r="102" spans="1:6" x14ac:dyDescent="0.15">
      <c r="A102" s="250" t="s">
        <v>2040</v>
      </c>
      <c r="B102" s="252">
        <v>0.02</v>
      </c>
      <c r="C102" s="252">
        <v>2.5000000000000001E-2</v>
      </c>
      <c r="D102" s="252">
        <v>0.03</v>
      </c>
      <c r="E102" s="252">
        <v>3.5000000000000003E-2</v>
      </c>
      <c r="F102" s="252">
        <v>0.04</v>
      </c>
    </row>
    <row r="103" spans="1:6" x14ac:dyDescent="0.15">
      <c r="A103" s="252">
        <v>0.15</v>
      </c>
      <c r="B103" s="253">
        <f>($B$78+(($H$51*(1+B$102)*($A103*(1-$B$12)+0.12-0.13))/($B$11-B$102))/(1+$B$11)^4.5-$B$10)/$B$8</f>
        <v>5.8575841566701978</v>
      </c>
      <c r="C103" s="253">
        <f>($B$78+(($H$51*(1+C$102)*($A103*(1-$B$12)+0.12-0.13))/($B$11-C$102))/(1+$B$11)^4.5-$B$10)/$B$8</f>
        <v>6.1261296004314474</v>
      </c>
      <c r="D103" s="253">
        <f>($B$78+(($H$51*(1+D$102)*($A103*(1-$B$12)+0.12-0.13))/($B$11-D$102))/(1+$B$11)^4.5-$B$10)/$B$8</f>
        <v>6.4231176847003155</v>
      </c>
      <c r="E103" s="253">
        <f>($B$78+(($H$51*(1+E$102)*($A103*(1-$B$12)+0.12-0.13))/($B$11-E$102))/(1+$B$11)^4.5-$B$10)/$B$8</f>
        <v>6.7533197842163801</v>
      </c>
      <c r="F103" s="253">
        <f>($B$78+(($H$51*(1+F$102)*($A103*(1-$B$12)+0.12-0.13))/($B$11-F$102))/(1+$B$11)^4.5-$B$10)/$B$8</f>
        <v>7.1226377103039269</v>
      </c>
    </row>
    <row r="104" spans="1:6" x14ac:dyDescent="0.15">
      <c r="A104" s="252">
        <v>0.2</v>
      </c>
      <c r="B104" s="253">
        <f>($B$78+(($H$51*(1+B$102)*($A104*(1-$B$12)+0.12-0.13))/($B$11-B$102))/(1+$B$11)^4.5-$B$10)/$B$8</f>
        <v>7.6209667710931086</v>
      </c>
      <c r="C104" s="253">
        <f>($B$78+(($H$51*(1+C$102)*($A104*(1-$B$12)+0.12-0.13))/($B$11-C$102))/(1+$B$11)^4.5-$B$10)/$B$8</f>
        <v>7.9872776068227394</v>
      </c>
      <c r="D104" s="253">
        <f>($B$78+(($H$51*(1+D$102)*($A104*(1-$B$12)+0.12-0.13))/($B$11-D$102))/(1+$B$11)^4.5-$B$10)/$B$8</f>
        <v>8.3923857770696735</v>
      </c>
      <c r="E104" s="253">
        <f>($B$78+(($H$51*(1+E$102)*($A104*(1-$B$12)+0.12-0.13))/($B$11-E$102))/(1+$B$11)^4.5-$B$10)/$B$8</f>
        <v>8.8427997008335204</v>
      </c>
      <c r="F104" s="253">
        <f>($B$78+(($H$51*(1+F$102)*($A104*(1-$B$12)+0.12-0.13))/($B$11-F$102))/(1+$B$11)^4.5-$B$10)/$B$8</f>
        <v>9.3465697751280565</v>
      </c>
    </row>
    <row r="105" spans="1:6" x14ac:dyDescent="0.15">
      <c r="A105" s="252">
        <v>0.25</v>
      </c>
      <c r="B105" s="253">
        <f>($B$78+(($H$51*(1+B$102)*($A105*(1-$B$12)+0.12-0.13))/($B$11-B$102))/(1+$B$11)^4.5-$B$10)/$B$8</f>
        <v>9.3843493855160141</v>
      </c>
      <c r="C105" s="253">
        <f>($B$78+(($H$51*(1+C$102)*($A105*(1-$B$12)+0.12-0.13))/($B$11-C$102))/(1+$B$11)^4.5-$B$10)/$B$8</f>
        <v>9.8484256132140278</v>
      </c>
      <c r="D105" s="254">
        <f>($B$78+(($H$51*(1+D$102)*($A105*(1-$B$12)+0.12-0.13))/($B$11-D$102))/(1+$B$11)^4.5-$B$10)/$B$8</f>
        <v>10.36165386943903</v>
      </c>
      <c r="E105" s="253">
        <f>($B$78+(($H$51*(1+E$102)*($A105*(1-$B$12)+0.12-0.13))/($B$11-E$102))/(1+$B$11)^4.5-$B$10)/$B$8</f>
        <v>10.932279617450659</v>
      </c>
      <c r="F105" s="253">
        <f>($B$78+(($H$51*(1+F$102)*($A105*(1-$B$12)+0.12-0.13))/($B$11-F$102))/(1+$B$11)^4.5-$B$10)/$B$8</f>
        <v>11.570501839952183</v>
      </c>
    </row>
    <row r="106" spans="1:6" x14ac:dyDescent="0.15">
      <c r="A106" s="252">
        <v>0.3</v>
      </c>
      <c r="B106" s="253">
        <f>($B$78+(($H$51*(1+B$102)*($A106*(1-$B$12)+0.12-0.13))/($B$11-B$102))/(1+$B$11)^4.5-$B$10)/$B$8</f>
        <v>11.147731999938923</v>
      </c>
      <c r="C106" s="253">
        <f>($B$78+(($H$51*(1+C$102)*($A106*(1-$B$12)+0.12-0.13))/($B$11-C$102))/(1+$B$11)^4.5-$B$10)/$B$8</f>
        <v>11.709573619605315</v>
      </c>
      <c r="D106" s="253">
        <f>($B$78+(($H$51*(1+D$102)*($A106*(1-$B$12)+0.12-0.13))/($B$11-D$102))/(1+$B$11)^4.5-$B$10)/$B$8</f>
        <v>12.330921961808386</v>
      </c>
      <c r="E106" s="253">
        <f>($B$78+(($H$51*(1+E$102)*($A106*(1-$B$12)+0.12-0.13))/($B$11-E$102))/(1+$B$11)^4.5-$B$10)/$B$8</f>
        <v>13.021759534067797</v>
      </c>
      <c r="F106" s="253">
        <f>($B$78+(($H$51*(1+F$102)*($A106*(1-$B$12)+0.12-0.13))/($B$11-F$102))/(1+$B$11)^4.5-$B$10)/$B$8</f>
        <v>13.794433904776309</v>
      </c>
    </row>
    <row r="107" spans="1:6" x14ac:dyDescent="0.15">
      <c r="A107" s="252">
        <v>0.35</v>
      </c>
      <c r="B107" s="253">
        <f>($B$78+(($H$51*(1+B$102)*($A107*(1-$B$12)+0.12-0.13))/($B$11-B$102))/(1+$B$11)^4.5-$B$10)/$B$8</f>
        <v>12.91111461436183</v>
      </c>
      <c r="C107" s="253">
        <f>($B$78+(($H$51*(1+C$102)*($A107*(1-$B$12)+0.12-0.13))/($B$11-C$102))/(1+$B$11)^4.5-$B$10)/$B$8</f>
        <v>13.570721625996603</v>
      </c>
      <c r="D107" s="253">
        <f>($B$78+(($H$51*(1+D$102)*($A107*(1-$B$12)+0.12-0.13))/($B$11-D$102))/(1+$B$11)^4.5-$B$10)/$B$8</f>
        <v>14.300190054177742</v>
      </c>
      <c r="E107" s="253">
        <f>($B$78+(($H$51*(1+E$102)*($A107*(1-$B$12)+0.12-0.13))/($B$11-E$102))/(1+$B$11)^4.5-$B$10)/$B$8</f>
        <v>15.111239450684939</v>
      </c>
      <c r="F107" s="253">
        <f>($B$78+(($H$51*(1+F$102)*($A107*(1-$B$12)+0.12-0.13))/($B$11-F$102))/(1+$B$11)^4.5-$B$10)/$B$8</f>
        <v>16.018365969600435</v>
      </c>
    </row>
  </sheetData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06522B-1BB8-F041-ACD0-AD31C7EBE5EF}">
  <dimension ref="A1:B26"/>
  <sheetViews>
    <sheetView workbookViewId="0"/>
  </sheetViews>
  <sheetFormatPr baseColWidth="10" defaultRowHeight="13" x14ac:dyDescent="0.15"/>
  <cols>
    <col min="1" max="2" width="33.33203125" customWidth="1"/>
  </cols>
  <sheetData>
    <row r="1" spans="1:2" ht="18" x14ac:dyDescent="0.2">
      <c r="A1" s="58" t="s">
        <v>1953</v>
      </c>
    </row>
    <row r="2" spans="1:2" x14ac:dyDescent="0.15">
      <c r="A2" s="225" t="s">
        <v>1954</v>
      </c>
    </row>
    <row r="4" spans="1:2" x14ac:dyDescent="0.15">
      <c r="A4" s="77" t="s">
        <v>319</v>
      </c>
      <c r="B4" s="78"/>
    </row>
    <row r="5" spans="1:2" x14ac:dyDescent="0.15">
      <c r="A5" s="60" t="s">
        <v>1955</v>
      </c>
      <c r="B5" s="63">
        <v>4.2500000000000003E-2</v>
      </c>
    </row>
    <row r="6" spans="1:2" x14ac:dyDescent="0.15">
      <c r="A6" s="60" t="s">
        <v>322</v>
      </c>
      <c r="B6" s="63">
        <v>5.5E-2</v>
      </c>
    </row>
    <row r="7" spans="1:2" x14ac:dyDescent="0.15">
      <c r="A7" s="60" t="s">
        <v>1956</v>
      </c>
      <c r="B7" s="64">
        <v>1.4</v>
      </c>
    </row>
    <row r="8" spans="1:2" x14ac:dyDescent="0.15">
      <c r="A8" s="60" t="s">
        <v>1957</v>
      </c>
      <c r="B8" s="63">
        <v>5.0000000000000001E-3</v>
      </c>
    </row>
    <row r="9" spans="1:2" x14ac:dyDescent="0.15">
      <c r="A9" s="92" t="s">
        <v>1958</v>
      </c>
      <c r="B9" s="67">
        <f>B5+B7*B6+B8</f>
        <v>0.1245</v>
      </c>
    </row>
    <row r="11" spans="1:2" x14ac:dyDescent="0.15">
      <c r="A11" s="77" t="s">
        <v>324</v>
      </c>
      <c r="B11" s="78"/>
    </row>
    <row r="12" spans="1:2" x14ac:dyDescent="0.15">
      <c r="A12" s="60" t="s">
        <v>1959</v>
      </c>
      <c r="B12" s="63">
        <v>6.5000000000000002E-2</v>
      </c>
    </row>
    <row r="13" spans="1:2" x14ac:dyDescent="0.15">
      <c r="A13" s="60" t="s">
        <v>1960</v>
      </c>
      <c r="B13" s="63">
        <v>0.21</v>
      </c>
    </row>
    <row r="14" spans="1:2" x14ac:dyDescent="0.15">
      <c r="A14" s="92" t="s">
        <v>1961</v>
      </c>
      <c r="B14" s="67">
        <f>B12*(1-B13)</f>
        <v>5.1350000000000007E-2</v>
      </c>
    </row>
    <row r="16" spans="1:2" x14ac:dyDescent="0.15">
      <c r="A16" s="77" t="s">
        <v>1962</v>
      </c>
      <c r="B16" s="78"/>
    </row>
    <row r="17" spans="1:2" x14ac:dyDescent="0.15">
      <c r="A17" s="60" t="s">
        <v>1963</v>
      </c>
      <c r="B17" s="72">
        <v>1750</v>
      </c>
    </row>
    <row r="18" spans="1:2" x14ac:dyDescent="0.15">
      <c r="A18" s="60" t="s">
        <v>1964</v>
      </c>
      <c r="B18" s="72">
        <v>5</v>
      </c>
    </row>
    <row r="19" spans="1:2" x14ac:dyDescent="0.15">
      <c r="A19" s="60" t="s">
        <v>1965</v>
      </c>
      <c r="B19" s="72">
        <v>3</v>
      </c>
    </row>
    <row r="20" spans="1:2" x14ac:dyDescent="0.15">
      <c r="A20" s="60" t="s">
        <v>1966</v>
      </c>
      <c r="B20" s="226">
        <f>B18-B19</f>
        <v>2</v>
      </c>
    </row>
    <row r="21" spans="1:2" x14ac:dyDescent="0.15">
      <c r="A21" s="60" t="s">
        <v>1967</v>
      </c>
      <c r="B21" s="71">
        <f>B17+B20</f>
        <v>1752</v>
      </c>
    </row>
    <row r="22" spans="1:2" x14ac:dyDescent="0.15">
      <c r="A22" s="60" t="s">
        <v>1968</v>
      </c>
      <c r="B22" s="74">
        <f>B17/B21</f>
        <v>0.99885844748858443</v>
      </c>
    </row>
    <row r="23" spans="1:2" x14ac:dyDescent="0.15">
      <c r="A23" s="60" t="s">
        <v>1969</v>
      </c>
      <c r="B23" s="74">
        <f>B20/B21</f>
        <v>1.1415525114155251E-3</v>
      </c>
    </row>
    <row r="25" spans="1:2" x14ac:dyDescent="0.15">
      <c r="A25" s="77" t="s">
        <v>335</v>
      </c>
      <c r="B25" s="78"/>
    </row>
    <row r="26" spans="1:2" ht="16" x14ac:dyDescent="0.2">
      <c r="A26" s="227" t="s">
        <v>335</v>
      </c>
      <c r="B26" s="76">
        <f>B9*B22+B14*B23</f>
        <v>0.12441649543378995</v>
      </c>
    </row>
  </sheetData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3520D2-3782-5A48-B691-E1B3873C6981}">
  <dimension ref="A1:E34"/>
  <sheetViews>
    <sheetView tabSelected="1" workbookViewId="0">
      <selection activeCell="D15" sqref="D15"/>
    </sheetView>
  </sheetViews>
  <sheetFormatPr baseColWidth="10" defaultRowHeight="13" x14ac:dyDescent="0.15"/>
  <cols>
    <col min="1" max="1" width="53.33203125" customWidth="1"/>
    <col min="2" max="5" width="21.6640625" customWidth="1"/>
  </cols>
  <sheetData>
    <row r="1" spans="1:5" ht="20" x14ac:dyDescent="0.2">
      <c r="A1" s="113" t="s">
        <v>2041</v>
      </c>
    </row>
    <row r="2" spans="1:5" x14ac:dyDescent="0.15">
      <c r="A2" s="83" t="s">
        <v>2042</v>
      </c>
    </row>
    <row r="4" spans="1:5" x14ac:dyDescent="0.15">
      <c r="A4" s="77" t="s">
        <v>2043</v>
      </c>
    </row>
    <row r="5" spans="1:5" x14ac:dyDescent="0.15">
      <c r="A5" t="s">
        <v>2044</v>
      </c>
      <c r="B5" s="255" t="str">
        <f>'SpaceX DCF'!B5</f>
        <v>Base</v>
      </c>
    </row>
    <row r="6" spans="1:5" x14ac:dyDescent="0.15">
      <c r="A6" t="s">
        <v>1967</v>
      </c>
      <c r="B6" s="230">
        <f>'SpaceX DCF'!B80</f>
        <v>34.564271498218325</v>
      </c>
    </row>
    <row r="7" spans="1:5" x14ac:dyDescent="0.15">
      <c r="A7" t="s">
        <v>2045</v>
      </c>
      <c r="B7" s="230">
        <f>'SpaceX DCF'!B82</f>
        <v>32.564271498218325</v>
      </c>
    </row>
    <row r="8" spans="1:5" x14ac:dyDescent="0.15">
      <c r="A8" t="s">
        <v>2046</v>
      </c>
      <c r="B8" s="256">
        <f>'SpaceX DCF'!B84</f>
        <v>6.5128542996436654</v>
      </c>
    </row>
    <row r="10" spans="1:5" x14ac:dyDescent="0.15">
      <c r="A10" s="77" t="s">
        <v>2047</v>
      </c>
    </row>
    <row r="11" spans="1:5" x14ac:dyDescent="0.15">
      <c r="A11" s="61" t="s">
        <v>399</v>
      </c>
      <c r="B11" s="61" t="s">
        <v>2048</v>
      </c>
      <c r="C11" s="61" t="s">
        <v>2049</v>
      </c>
      <c r="D11" s="61" t="s">
        <v>2050</v>
      </c>
      <c r="E11" s="61" t="s">
        <v>2051</v>
      </c>
    </row>
    <row r="12" spans="1:5" x14ac:dyDescent="0.15">
      <c r="A12" s="83" t="s">
        <v>2052</v>
      </c>
      <c r="B12" s="72">
        <v>800</v>
      </c>
      <c r="C12" s="70">
        <f>B12/'SpaceX DCF'!$B$8</f>
        <v>160</v>
      </c>
      <c r="D12" s="257">
        <f>B12/'SpaceX DCF'!$C$51</f>
        <v>42.780748663101605</v>
      </c>
      <c r="E12" s="258">
        <f>'SpaceX DCF'!$B$84/C12-1</f>
        <v>-0.95929466062722712</v>
      </c>
    </row>
    <row r="13" spans="1:5" x14ac:dyDescent="0.15">
      <c r="A13" s="60" t="s">
        <v>2053</v>
      </c>
      <c r="B13" s="259">
        <v>1750</v>
      </c>
      <c r="C13" s="106">
        <f>B13/'SpaceX DCF'!$B$8</f>
        <v>350</v>
      </c>
      <c r="D13" s="260">
        <f>B13/'SpaceX DCF'!$C$51</f>
        <v>93.582887700534769</v>
      </c>
      <c r="E13" s="261">
        <f>'SpaceX DCF'!$B$84/C13-1</f>
        <v>-0.981391844858161</v>
      </c>
    </row>
    <row r="14" spans="1:5" x14ac:dyDescent="0.15">
      <c r="A14" t="s">
        <v>2054</v>
      </c>
      <c r="B14" s="72">
        <v>2000</v>
      </c>
      <c r="C14" s="70">
        <f>B14/'SpaceX DCF'!$B$8</f>
        <v>400</v>
      </c>
      <c r="D14" s="257">
        <f>B14/'SpaceX DCF'!$C$51</f>
        <v>106.95187165775401</v>
      </c>
      <c r="E14" s="258">
        <f>'SpaceX DCF'!$B$84/C14-1</f>
        <v>-0.98371786425089081</v>
      </c>
    </row>
    <row r="16" spans="1:5" x14ac:dyDescent="0.15">
      <c r="A16" s="77" t="s">
        <v>2055</v>
      </c>
    </row>
    <row r="17" spans="1:1" x14ac:dyDescent="0.15">
      <c r="A17" s="83" t="s">
        <v>2056</v>
      </c>
    </row>
    <row r="18" spans="1:1" x14ac:dyDescent="0.15">
      <c r="A18" s="83" t="s">
        <v>2057</v>
      </c>
    </row>
    <row r="19" spans="1:1" x14ac:dyDescent="0.15">
      <c r="A19" s="60" t="s">
        <v>2058</v>
      </c>
    </row>
    <row r="20" spans="1:1" x14ac:dyDescent="0.15">
      <c r="A20" t="s">
        <v>2059</v>
      </c>
    </row>
    <row r="21" spans="1:1" x14ac:dyDescent="0.15">
      <c r="A21" t="s">
        <v>2060</v>
      </c>
    </row>
    <row r="22" spans="1:1" x14ac:dyDescent="0.15">
      <c r="A22" t="s">
        <v>2061</v>
      </c>
    </row>
    <row r="23" spans="1:1" x14ac:dyDescent="0.15">
      <c r="A23" t="s">
        <v>2062</v>
      </c>
    </row>
    <row r="24" spans="1:1" x14ac:dyDescent="0.15">
      <c r="A24" t="s">
        <v>2063</v>
      </c>
    </row>
    <row r="26" spans="1:1" x14ac:dyDescent="0.15">
      <c r="A26" s="83" t="s">
        <v>2064</v>
      </c>
    </row>
    <row r="27" spans="1:1" x14ac:dyDescent="0.15">
      <c r="A27" s="83" t="s">
        <v>2065</v>
      </c>
    </row>
    <row r="29" spans="1:1" x14ac:dyDescent="0.15">
      <c r="A29" s="77" t="s">
        <v>2066</v>
      </c>
    </row>
    <row r="30" spans="1:1" x14ac:dyDescent="0.15">
      <c r="A30" t="s">
        <v>2067</v>
      </c>
    </row>
    <row r="31" spans="1:1" x14ac:dyDescent="0.15">
      <c r="A31" t="s">
        <v>2068</v>
      </c>
    </row>
    <row r="32" spans="1:1" x14ac:dyDescent="0.15">
      <c r="A32" t="s">
        <v>2069</v>
      </c>
    </row>
    <row r="34" spans="1:1" x14ac:dyDescent="0.15">
      <c r="A34" t="s">
        <v>2070</v>
      </c>
    </row>
  </sheetData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48"/>
  <sheetViews>
    <sheetView workbookViewId="0">
      <selection activeCell="D16" sqref="D16"/>
    </sheetView>
  </sheetViews>
  <sheetFormatPr baseColWidth="10" defaultRowHeight="13" x14ac:dyDescent="0.15"/>
  <cols>
    <col min="1" max="2" width="53.33203125" customWidth="1"/>
  </cols>
  <sheetData>
    <row r="1" spans="1:2" ht="20" customHeight="1" x14ac:dyDescent="0.2">
      <c r="A1" s="113" t="s">
        <v>144</v>
      </c>
    </row>
    <row r="2" spans="1:2" ht="14" customHeight="1" x14ac:dyDescent="0.15">
      <c r="A2" s="114" t="s">
        <v>145</v>
      </c>
    </row>
    <row r="4" spans="1:2" x14ac:dyDescent="0.15">
      <c r="A4" s="77" t="s">
        <v>146</v>
      </c>
      <c r="B4" s="78"/>
    </row>
    <row r="5" spans="1:2" x14ac:dyDescent="0.15">
      <c r="A5" t="s">
        <v>147</v>
      </c>
      <c r="B5" s="106">
        <f>'DPZ DCF'!B57</f>
        <v>235.00697473414425</v>
      </c>
    </row>
    <row r="6" spans="1:2" x14ac:dyDescent="0.15">
      <c r="A6" t="s">
        <v>148</v>
      </c>
      <c r="B6" s="70">
        <f>'DPZ DCF'!B5</f>
        <v>372</v>
      </c>
    </row>
    <row r="7" spans="1:2" x14ac:dyDescent="0.15">
      <c r="A7" t="s">
        <v>149</v>
      </c>
      <c r="B7" s="68">
        <v>437</v>
      </c>
    </row>
    <row r="8" spans="1:2" x14ac:dyDescent="0.15">
      <c r="A8" t="s">
        <v>150</v>
      </c>
      <c r="B8" s="115">
        <f>B6/B5-1</f>
        <v>0.58293174243373636</v>
      </c>
    </row>
    <row r="10" spans="1:2" x14ac:dyDescent="0.15">
      <c r="A10" s="77" t="s">
        <v>151</v>
      </c>
      <c r="B10" s="78"/>
    </row>
    <row r="11" spans="1:2" x14ac:dyDescent="0.15">
      <c r="A11" s="60" t="s">
        <v>152</v>
      </c>
    </row>
    <row r="12" spans="1:2" x14ac:dyDescent="0.15">
      <c r="A12" t="s">
        <v>153</v>
      </c>
    </row>
    <row r="13" spans="1:2" x14ac:dyDescent="0.15">
      <c r="A13" t="s">
        <v>154</v>
      </c>
    </row>
    <row r="14" spans="1:2" x14ac:dyDescent="0.15">
      <c r="A14" t="s">
        <v>155</v>
      </c>
    </row>
    <row r="16" spans="1:2" x14ac:dyDescent="0.15">
      <c r="A16" s="60" t="s">
        <v>156</v>
      </c>
    </row>
    <row r="17" spans="1:2" x14ac:dyDescent="0.15">
      <c r="A17" t="s">
        <v>157</v>
      </c>
    </row>
    <row r="18" spans="1:2" x14ac:dyDescent="0.15">
      <c r="A18" t="s">
        <v>158</v>
      </c>
    </row>
    <row r="19" spans="1:2" x14ac:dyDescent="0.15">
      <c r="A19" t="s">
        <v>159</v>
      </c>
    </row>
    <row r="21" spans="1:2" x14ac:dyDescent="0.15">
      <c r="A21" s="60" t="s">
        <v>160</v>
      </c>
    </row>
    <row r="22" spans="1:2" x14ac:dyDescent="0.15">
      <c r="A22" t="s">
        <v>161</v>
      </c>
    </row>
    <row r="23" spans="1:2" x14ac:dyDescent="0.15">
      <c r="A23" t="s">
        <v>162</v>
      </c>
    </row>
    <row r="25" spans="1:2" x14ac:dyDescent="0.15">
      <c r="A25" s="77" t="s">
        <v>163</v>
      </c>
      <c r="B25" s="78"/>
    </row>
    <row r="26" spans="1:2" x14ac:dyDescent="0.15">
      <c r="A26" t="s">
        <v>164</v>
      </c>
      <c r="B26" s="70">
        <f>'Per-Share Model'!B7</f>
        <v>20.238095238095237</v>
      </c>
    </row>
    <row r="27" spans="1:2" x14ac:dyDescent="0.15">
      <c r="A27" t="s">
        <v>165</v>
      </c>
      <c r="B27" s="65">
        <f>'Per-Share Model'!B12</f>
        <v>4.0002560163850481E-2</v>
      </c>
    </row>
    <row r="28" spans="1:2" x14ac:dyDescent="0.15">
      <c r="A28" t="s">
        <v>166</v>
      </c>
      <c r="B28" s="65">
        <f>'Per-Share Model'!B13</f>
        <v>2.1399999999999999E-2</v>
      </c>
    </row>
    <row r="29" spans="1:2" x14ac:dyDescent="0.15">
      <c r="A29" t="s">
        <v>167</v>
      </c>
      <c r="B29" s="66">
        <f>'Per-Share Model'!B14</f>
        <v>9.4406041986687145E-2</v>
      </c>
    </row>
    <row r="31" spans="1:2" ht="16" customHeight="1" x14ac:dyDescent="0.2">
      <c r="A31" s="75" t="s">
        <v>168</v>
      </c>
      <c r="B31" s="102">
        <f>'Per-Share Model'!B38</f>
        <v>431.16868770657993</v>
      </c>
    </row>
    <row r="33" spans="1:2" x14ac:dyDescent="0.15">
      <c r="A33" s="77" t="s">
        <v>169</v>
      </c>
      <c r="B33" s="78"/>
    </row>
    <row r="34" spans="1:2" x14ac:dyDescent="0.15">
      <c r="A34" t="s">
        <v>170</v>
      </c>
      <c r="B34" s="117">
        <f>B31/B6-1</f>
        <v>0.15905561211446217</v>
      </c>
    </row>
    <row r="35" spans="1:2" x14ac:dyDescent="0.15">
      <c r="A35" t="s">
        <v>171</v>
      </c>
      <c r="B35" s="103">
        <f>B31/B7-1</f>
        <v>-1.3343964058169511E-2</v>
      </c>
    </row>
    <row r="37" spans="1:2" x14ac:dyDescent="0.15">
      <c r="A37" s="77" t="s">
        <v>172</v>
      </c>
      <c r="B37" s="78"/>
    </row>
    <row r="38" spans="1:2" x14ac:dyDescent="0.15">
      <c r="A38" s="118" t="s">
        <v>173</v>
      </c>
    </row>
    <row r="39" spans="1:2" x14ac:dyDescent="0.15">
      <c r="A39" t="s">
        <v>174</v>
      </c>
    </row>
    <row r="40" spans="1:2" x14ac:dyDescent="0.15">
      <c r="A40" t="s">
        <v>175</v>
      </c>
    </row>
    <row r="41" spans="1:2" x14ac:dyDescent="0.15">
      <c r="A41" t="s">
        <v>176</v>
      </c>
    </row>
    <row r="43" spans="1:2" x14ac:dyDescent="0.15">
      <c r="A43" s="77" t="s">
        <v>177</v>
      </c>
      <c r="B43" s="78"/>
    </row>
    <row r="44" spans="1:2" x14ac:dyDescent="0.15">
      <c r="A44" t="s">
        <v>178</v>
      </c>
      <c r="B44" s="68">
        <v>4.13</v>
      </c>
    </row>
    <row r="45" spans="1:2" x14ac:dyDescent="0.15">
      <c r="A45" t="s">
        <v>179</v>
      </c>
      <c r="B45" s="119">
        <v>1150.5999999999999</v>
      </c>
    </row>
    <row r="46" spans="1:2" x14ac:dyDescent="0.15">
      <c r="A46" t="s">
        <v>180</v>
      </c>
      <c r="B46" s="116" t="s">
        <v>181</v>
      </c>
    </row>
    <row r="47" spans="1:2" x14ac:dyDescent="0.15">
      <c r="A47" t="s">
        <v>182</v>
      </c>
    </row>
    <row r="48" spans="1:2" x14ac:dyDescent="0.15">
      <c r="A48" t="s">
        <v>183</v>
      </c>
    </row>
  </sheetData>
  <pageMargins left="0.7" right="0.7" top="0.75" bottom="0.75" header="0.3" footer="0.3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Q64"/>
  <sheetViews>
    <sheetView workbookViewId="0">
      <selection activeCell="A39" sqref="A39:D39"/>
    </sheetView>
  </sheetViews>
  <sheetFormatPr baseColWidth="10" defaultRowHeight="13" x14ac:dyDescent="0.15"/>
  <cols>
    <col min="1" max="3" width="27.5" customWidth="1"/>
  </cols>
  <sheetData>
    <row r="1" spans="1:5" ht="18" customHeight="1" x14ac:dyDescent="0.2">
      <c r="A1" s="58">
        <v>8</v>
      </c>
    </row>
    <row r="2" spans="1:5" x14ac:dyDescent="0.15">
      <c r="A2" s="59" t="s">
        <v>184</v>
      </c>
    </row>
    <row r="4" spans="1:5" x14ac:dyDescent="0.15">
      <c r="A4" s="77" t="s">
        <v>185</v>
      </c>
      <c r="B4" s="78"/>
      <c r="C4" s="78"/>
    </row>
    <row r="5" spans="1:5" x14ac:dyDescent="0.15">
      <c r="A5" t="s">
        <v>142</v>
      </c>
      <c r="B5" s="79">
        <f>WACC!B16</f>
        <v>372</v>
      </c>
    </row>
    <row r="6" spans="1:5" x14ac:dyDescent="0.15">
      <c r="A6" t="s">
        <v>90</v>
      </c>
      <c r="B6" s="80">
        <f>WACC!B17</f>
        <v>33.6</v>
      </c>
    </row>
    <row r="7" spans="1:5" x14ac:dyDescent="0.15">
      <c r="A7" t="s">
        <v>186</v>
      </c>
      <c r="B7" s="71">
        <f>B5*B6</f>
        <v>12499.2</v>
      </c>
    </row>
    <row r="8" spans="1:5" x14ac:dyDescent="0.15">
      <c r="A8" t="s">
        <v>187</v>
      </c>
      <c r="B8" s="81">
        <f>WACC!B21</f>
        <v>4784</v>
      </c>
    </row>
    <row r="9" spans="1:5" x14ac:dyDescent="0.15">
      <c r="A9" t="s">
        <v>188</v>
      </c>
      <c r="B9" s="68">
        <v>437</v>
      </c>
    </row>
    <row r="11" spans="1:5" x14ac:dyDescent="0.15">
      <c r="A11" s="77" t="s">
        <v>189</v>
      </c>
      <c r="B11" s="78"/>
      <c r="C11" s="78"/>
      <c r="D11" s="78"/>
      <c r="E11" s="78"/>
    </row>
    <row r="12" spans="1:5" x14ac:dyDescent="0.15">
      <c r="A12" s="61" t="s">
        <v>190</v>
      </c>
      <c r="B12" s="82" t="s">
        <v>191</v>
      </c>
      <c r="C12" s="82" t="s">
        <v>192</v>
      </c>
      <c r="D12" s="82" t="s">
        <v>193</v>
      </c>
      <c r="E12" s="82" t="s">
        <v>194</v>
      </c>
    </row>
    <row r="13" spans="1:5" x14ac:dyDescent="0.15">
      <c r="A13" t="s">
        <v>195</v>
      </c>
      <c r="B13" s="72">
        <v>4479</v>
      </c>
      <c r="C13" s="72">
        <v>4711</v>
      </c>
      <c r="D13" s="72">
        <v>4941</v>
      </c>
      <c r="E13" s="72">
        <v>5008</v>
      </c>
    </row>
    <row r="14" spans="1:5" x14ac:dyDescent="0.15">
      <c r="A14" s="83" t="s">
        <v>196</v>
      </c>
      <c r="C14" s="84">
        <f>C13/B13-1</f>
        <v>5.1797276177718343E-2</v>
      </c>
      <c r="D14" s="84">
        <f>D13/C13-1</f>
        <v>4.8821906177032526E-2</v>
      </c>
      <c r="E14" s="84">
        <f>E13/D13-1</f>
        <v>1.3560008095527154E-2</v>
      </c>
    </row>
    <row r="15" spans="1:5" x14ac:dyDescent="0.15">
      <c r="A15" t="s">
        <v>197</v>
      </c>
      <c r="B15" s="72">
        <v>818</v>
      </c>
      <c r="C15" s="72">
        <v>879</v>
      </c>
      <c r="D15" s="72">
        <v>954</v>
      </c>
      <c r="E15" s="72">
        <v>977</v>
      </c>
    </row>
    <row r="16" spans="1:5" x14ac:dyDescent="0.15">
      <c r="A16" s="83" t="s">
        <v>198</v>
      </c>
      <c r="B16" s="84">
        <f>B15/B13</f>
        <v>0.18263005135074795</v>
      </c>
      <c r="C16" s="84">
        <f>C15/C13</f>
        <v>0.18658458925918064</v>
      </c>
      <c r="D16" s="84">
        <f>D15/D13</f>
        <v>0.19307832422586521</v>
      </c>
      <c r="E16" s="84">
        <f>E15/E13</f>
        <v>0.19508785942492013</v>
      </c>
    </row>
    <row r="17" spans="1:5" x14ac:dyDescent="0.15">
      <c r="A17" t="s">
        <v>199</v>
      </c>
      <c r="B17" s="72">
        <v>519</v>
      </c>
      <c r="C17" s="72">
        <v>584</v>
      </c>
      <c r="D17" s="72">
        <v>602</v>
      </c>
      <c r="E17" s="72">
        <v>600</v>
      </c>
    </row>
    <row r="18" spans="1:5" x14ac:dyDescent="0.15">
      <c r="A18" s="83" t="s">
        <v>200</v>
      </c>
      <c r="B18" s="72">
        <v>591</v>
      </c>
      <c r="C18" s="86">
        <v>625</v>
      </c>
      <c r="D18" s="86">
        <v>792</v>
      </c>
      <c r="E18" s="86">
        <v>800</v>
      </c>
    </row>
    <row r="19" spans="1:5" x14ac:dyDescent="0.15">
      <c r="A19" t="s">
        <v>201</v>
      </c>
      <c r="B19" s="72">
        <v>105</v>
      </c>
      <c r="C19" s="72">
        <v>113</v>
      </c>
      <c r="D19" s="72">
        <v>121</v>
      </c>
      <c r="E19" s="72">
        <v>120</v>
      </c>
    </row>
    <row r="20" spans="1:5" x14ac:dyDescent="0.15">
      <c r="A20" s="87" t="s">
        <v>202</v>
      </c>
      <c r="B20" s="73">
        <f>B18-B19</f>
        <v>486</v>
      </c>
      <c r="C20" s="73">
        <f>C18-C19</f>
        <v>512</v>
      </c>
      <c r="D20" s="73">
        <f>D18-D19</f>
        <v>671</v>
      </c>
      <c r="E20" s="73">
        <f>E18-E19</f>
        <v>680</v>
      </c>
    </row>
    <row r="21" spans="1:5" x14ac:dyDescent="0.15">
      <c r="A21" s="83" t="s">
        <v>203</v>
      </c>
      <c r="B21" s="88">
        <f>B20/B13</f>
        <v>0.10850636302746149</v>
      </c>
      <c r="C21" s="88">
        <f>C20/C13</f>
        <v>0.10868180853322013</v>
      </c>
      <c r="D21" s="88">
        <f>D20/D13</f>
        <v>0.13580246913580246</v>
      </c>
      <c r="E21" s="88">
        <f>E20/E13</f>
        <v>0.13578274760383385</v>
      </c>
    </row>
    <row r="23" spans="1:5" x14ac:dyDescent="0.15">
      <c r="A23" s="77" t="s">
        <v>204</v>
      </c>
      <c r="B23" s="78"/>
      <c r="C23" s="78"/>
      <c r="D23" s="78"/>
    </row>
    <row r="24" spans="1:5" x14ac:dyDescent="0.15">
      <c r="A24" t="s">
        <v>205</v>
      </c>
      <c r="B24" s="89">
        <v>0.05</v>
      </c>
    </row>
    <row r="25" spans="1:5" x14ac:dyDescent="0.15">
      <c r="A25" t="s">
        <v>206</v>
      </c>
      <c r="B25" s="89">
        <v>0.04</v>
      </c>
    </row>
    <row r="26" spans="1:5" x14ac:dyDescent="0.15">
      <c r="A26" t="s">
        <v>207</v>
      </c>
      <c r="B26" s="89">
        <v>0.03</v>
      </c>
    </row>
    <row r="27" spans="1:5" x14ac:dyDescent="0.15">
      <c r="A27" t="s">
        <v>208</v>
      </c>
      <c r="B27" s="89">
        <v>0.13</v>
      </c>
    </row>
    <row r="28" spans="1:5" x14ac:dyDescent="0.15">
      <c r="A28" t="s">
        <v>209</v>
      </c>
      <c r="B28" s="90">
        <f>WACC!B27</f>
        <v>7.0167783743751155E-2</v>
      </c>
    </row>
    <row r="29" spans="1:5" x14ac:dyDescent="0.15">
      <c r="A29" t="s">
        <v>210</v>
      </c>
      <c r="B29" s="63">
        <v>0.09</v>
      </c>
    </row>
    <row r="30" spans="1:5" x14ac:dyDescent="0.15">
      <c r="A30" t="s">
        <v>211</v>
      </c>
      <c r="B30" s="89">
        <v>2.5000000000000001E-2</v>
      </c>
    </row>
    <row r="31" spans="1:5" x14ac:dyDescent="0.15">
      <c r="A31" t="s">
        <v>212</v>
      </c>
      <c r="B31" s="91" t="s">
        <v>213</v>
      </c>
    </row>
    <row r="32" spans="1:5" x14ac:dyDescent="0.15">
      <c r="A32" s="60" t="s">
        <v>214</v>
      </c>
      <c r="B32" s="67">
        <f>IF(B31="WACC",B28,B29)</f>
        <v>0.09</v>
      </c>
    </row>
    <row r="34" spans="1:17" x14ac:dyDescent="0.15">
      <c r="A34" s="77" t="s">
        <v>215</v>
      </c>
      <c r="B34" s="77"/>
      <c r="C34" s="77"/>
      <c r="D34" s="77"/>
      <c r="E34" s="77"/>
      <c r="F34" s="77"/>
      <c r="G34" s="77"/>
      <c r="H34" s="77"/>
      <c r="I34" s="77"/>
      <c r="J34" s="77"/>
      <c r="K34" s="77"/>
      <c r="L34" s="77"/>
      <c r="M34" s="77"/>
      <c r="N34" s="77"/>
      <c r="O34" s="77"/>
      <c r="P34" s="77"/>
      <c r="Q34" s="77"/>
    </row>
    <row r="35" spans="1:17" x14ac:dyDescent="0.15">
      <c r="A35" s="82" t="s">
        <v>190</v>
      </c>
      <c r="B35" s="82" t="s">
        <v>216</v>
      </c>
      <c r="C35" s="82" t="s">
        <v>217</v>
      </c>
      <c r="D35" s="82" t="s">
        <v>218</v>
      </c>
      <c r="E35" s="82" t="s">
        <v>219</v>
      </c>
      <c r="F35" s="82" t="s">
        <v>220</v>
      </c>
      <c r="G35" s="82" t="s">
        <v>221</v>
      </c>
      <c r="H35" s="82" t="s">
        <v>222</v>
      </c>
      <c r="I35" s="82" t="s">
        <v>223</v>
      </c>
      <c r="J35" s="82" t="s">
        <v>224</v>
      </c>
      <c r="K35" s="82" t="s">
        <v>225</v>
      </c>
      <c r="L35" s="82" t="s">
        <v>226</v>
      </c>
      <c r="M35" s="82" t="s">
        <v>227</v>
      </c>
      <c r="N35" s="82" t="s">
        <v>228</v>
      </c>
      <c r="O35" s="82" t="s">
        <v>229</v>
      </c>
      <c r="P35" s="82" t="s">
        <v>230</v>
      </c>
    </row>
    <row r="36" spans="1:17" x14ac:dyDescent="0.15">
      <c r="A36" t="s">
        <v>108</v>
      </c>
      <c r="B36" s="93">
        <v>1</v>
      </c>
      <c r="C36" s="93">
        <v>2</v>
      </c>
      <c r="D36" s="93">
        <v>3</v>
      </c>
      <c r="E36" s="93">
        <v>4</v>
      </c>
      <c r="F36" s="93">
        <v>5</v>
      </c>
      <c r="G36" s="93">
        <v>6</v>
      </c>
      <c r="H36" s="93">
        <v>7</v>
      </c>
      <c r="I36" s="93">
        <v>8</v>
      </c>
      <c r="J36" s="93">
        <v>9</v>
      </c>
      <c r="K36" s="93">
        <v>10</v>
      </c>
      <c r="L36" s="93">
        <v>11</v>
      </c>
      <c r="M36" s="93">
        <v>12</v>
      </c>
      <c r="N36" s="93">
        <v>13</v>
      </c>
      <c r="O36" s="93">
        <v>14</v>
      </c>
      <c r="P36" s="93">
        <v>15</v>
      </c>
    </row>
    <row r="37" spans="1:17" x14ac:dyDescent="0.15">
      <c r="A37" t="s">
        <v>231</v>
      </c>
      <c r="B37" s="74">
        <f t="shared" ref="B37:P37" si="0">IF(B36&lt;=5,$B$24,IF(B36&lt;=10,$B$25,$B$26))</f>
        <v>0.05</v>
      </c>
      <c r="C37" s="74">
        <f t="shared" si="0"/>
        <v>0.05</v>
      </c>
      <c r="D37" s="74">
        <f t="shared" si="0"/>
        <v>0.05</v>
      </c>
      <c r="E37" s="74">
        <f t="shared" si="0"/>
        <v>0.05</v>
      </c>
      <c r="F37" s="74">
        <f t="shared" si="0"/>
        <v>0.05</v>
      </c>
      <c r="G37" s="74">
        <f t="shared" si="0"/>
        <v>0.04</v>
      </c>
      <c r="H37" s="74">
        <f t="shared" si="0"/>
        <v>0.04</v>
      </c>
      <c r="I37" s="74">
        <f t="shared" si="0"/>
        <v>0.04</v>
      </c>
      <c r="J37" s="74">
        <f t="shared" si="0"/>
        <v>0.04</v>
      </c>
      <c r="K37" s="74">
        <f t="shared" si="0"/>
        <v>0.04</v>
      </c>
      <c r="L37" s="74">
        <f t="shared" si="0"/>
        <v>0.03</v>
      </c>
      <c r="M37" s="74">
        <f t="shared" si="0"/>
        <v>0.03</v>
      </c>
      <c r="N37" s="74">
        <f t="shared" si="0"/>
        <v>0.03</v>
      </c>
      <c r="O37" s="74">
        <f t="shared" si="0"/>
        <v>0.03</v>
      </c>
      <c r="P37" s="74">
        <f t="shared" si="0"/>
        <v>0.03</v>
      </c>
    </row>
    <row r="38" spans="1:17" x14ac:dyDescent="0.15">
      <c r="A38" t="s">
        <v>195</v>
      </c>
      <c r="B38" s="71">
        <f>$E$13*(1+B37)</f>
        <v>5258.4000000000005</v>
      </c>
      <c r="C38" s="71">
        <f t="shared" ref="C38:P38" si="1">B38*(1+C37)</f>
        <v>5521.3200000000006</v>
      </c>
      <c r="D38" s="71">
        <f t="shared" si="1"/>
        <v>5797.3860000000013</v>
      </c>
      <c r="E38" s="71">
        <f t="shared" si="1"/>
        <v>6087.2553000000016</v>
      </c>
      <c r="F38" s="71">
        <f t="shared" si="1"/>
        <v>6391.6180650000024</v>
      </c>
      <c r="G38" s="71">
        <f t="shared" si="1"/>
        <v>6647.2827876000028</v>
      </c>
      <c r="H38" s="71">
        <f t="shared" si="1"/>
        <v>6913.1740991040033</v>
      </c>
      <c r="I38" s="71">
        <f t="shared" si="1"/>
        <v>7189.7010630681634</v>
      </c>
      <c r="J38" s="71">
        <f t="shared" si="1"/>
        <v>7477.2891055908904</v>
      </c>
      <c r="K38" s="71">
        <f t="shared" si="1"/>
        <v>7776.3806698145263</v>
      </c>
      <c r="L38" s="71">
        <f t="shared" si="1"/>
        <v>8009.6720899089623</v>
      </c>
      <c r="M38" s="71">
        <f t="shared" si="1"/>
        <v>8249.9622526062321</v>
      </c>
      <c r="N38" s="71">
        <f t="shared" si="1"/>
        <v>8497.46112018442</v>
      </c>
      <c r="O38" s="71">
        <f t="shared" si="1"/>
        <v>8752.3849537899532</v>
      </c>
      <c r="P38" s="71">
        <f t="shared" si="1"/>
        <v>9014.9565024036528</v>
      </c>
    </row>
    <row r="39" spans="1:17" x14ac:dyDescent="0.15">
      <c r="A39" t="s">
        <v>232</v>
      </c>
      <c r="B39" s="74">
        <f t="shared" ref="B39:P39" si="2">$B$27</f>
        <v>0.13</v>
      </c>
      <c r="C39" s="74">
        <f t="shared" si="2"/>
        <v>0.13</v>
      </c>
      <c r="D39" s="74">
        <f t="shared" si="2"/>
        <v>0.13</v>
      </c>
      <c r="E39" s="74">
        <f t="shared" si="2"/>
        <v>0.13</v>
      </c>
      <c r="F39" s="74">
        <f t="shared" si="2"/>
        <v>0.13</v>
      </c>
      <c r="G39" s="74">
        <f t="shared" si="2"/>
        <v>0.13</v>
      </c>
      <c r="H39" s="74">
        <f t="shared" si="2"/>
        <v>0.13</v>
      </c>
      <c r="I39" s="74">
        <f t="shared" si="2"/>
        <v>0.13</v>
      </c>
      <c r="J39" s="74">
        <f t="shared" si="2"/>
        <v>0.13</v>
      </c>
      <c r="K39" s="74">
        <f t="shared" si="2"/>
        <v>0.13</v>
      </c>
      <c r="L39" s="74">
        <f t="shared" si="2"/>
        <v>0.13</v>
      </c>
      <c r="M39" s="74">
        <f t="shared" si="2"/>
        <v>0.13</v>
      </c>
      <c r="N39" s="74">
        <f t="shared" si="2"/>
        <v>0.13</v>
      </c>
      <c r="O39" s="74">
        <f t="shared" si="2"/>
        <v>0.13</v>
      </c>
      <c r="P39" s="74">
        <f t="shared" si="2"/>
        <v>0.13</v>
      </c>
    </row>
    <row r="40" spans="1:17" x14ac:dyDescent="0.15">
      <c r="A40" s="60" t="s">
        <v>202</v>
      </c>
      <c r="B40" s="73">
        <f t="shared" ref="B40:P40" si="3">B38*B39</f>
        <v>683.5920000000001</v>
      </c>
      <c r="C40" s="73">
        <f t="shared" si="3"/>
        <v>717.77160000000015</v>
      </c>
      <c r="D40" s="73">
        <f t="shared" si="3"/>
        <v>753.6601800000002</v>
      </c>
      <c r="E40" s="73">
        <f t="shared" si="3"/>
        <v>791.34318900000028</v>
      </c>
      <c r="F40" s="73">
        <f t="shared" si="3"/>
        <v>830.91034845000036</v>
      </c>
      <c r="G40" s="73">
        <f t="shared" si="3"/>
        <v>864.14676238800041</v>
      </c>
      <c r="H40" s="73">
        <f t="shared" si="3"/>
        <v>898.71263288352043</v>
      </c>
      <c r="I40" s="73">
        <f t="shared" si="3"/>
        <v>934.66113819886129</v>
      </c>
      <c r="J40" s="73">
        <f t="shared" si="3"/>
        <v>972.04758372681579</v>
      </c>
      <c r="K40" s="73">
        <f t="shared" si="3"/>
        <v>1010.9294870758885</v>
      </c>
      <c r="L40" s="73">
        <f t="shared" si="3"/>
        <v>1041.2573716881652</v>
      </c>
      <c r="M40" s="73">
        <f t="shared" si="3"/>
        <v>1072.4950928388103</v>
      </c>
      <c r="N40" s="73">
        <f t="shared" si="3"/>
        <v>1104.6699456239746</v>
      </c>
      <c r="O40" s="73">
        <f t="shared" si="3"/>
        <v>1137.8100439926939</v>
      </c>
      <c r="P40" s="73">
        <f t="shared" si="3"/>
        <v>1171.944345312475</v>
      </c>
    </row>
    <row r="41" spans="1:17" x14ac:dyDescent="0.15">
      <c r="A41" t="s">
        <v>233</v>
      </c>
      <c r="B41" s="94">
        <f t="shared" ref="B41:P41" si="4">B36-0.5</f>
        <v>0.5</v>
      </c>
      <c r="C41" s="94">
        <f t="shared" si="4"/>
        <v>1.5</v>
      </c>
      <c r="D41" s="94">
        <f t="shared" si="4"/>
        <v>2.5</v>
      </c>
      <c r="E41" s="94">
        <f t="shared" si="4"/>
        <v>3.5</v>
      </c>
      <c r="F41" s="94">
        <f t="shared" si="4"/>
        <v>4.5</v>
      </c>
      <c r="G41" s="94">
        <f t="shared" si="4"/>
        <v>5.5</v>
      </c>
      <c r="H41" s="94">
        <f t="shared" si="4"/>
        <v>6.5</v>
      </c>
      <c r="I41" s="94">
        <f t="shared" si="4"/>
        <v>7.5</v>
      </c>
      <c r="J41" s="94">
        <f t="shared" si="4"/>
        <v>8.5</v>
      </c>
      <c r="K41" s="94">
        <f t="shared" si="4"/>
        <v>9.5</v>
      </c>
      <c r="L41" s="94">
        <f t="shared" si="4"/>
        <v>10.5</v>
      </c>
      <c r="M41" s="94">
        <f t="shared" si="4"/>
        <v>11.5</v>
      </c>
      <c r="N41" s="94">
        <f t="shared" si="4"/>
        <v>12.5</v>
      </c>
      <c r="O41" s="94">
        <f t="shared" si="4"/>
        <v>13.5</v>
      </c>
      <c r="P41" s="94">
        <f t="shared" si="4"/>
        <v>14.5</v>
      </c>
    </row>
    <row r="42" spans="1:17" x14ac:dyDescent="0.15">
      <c r="A42" t="s">
        <v>234</v>
      </c>
      <c r="B42" s="95">
        <f t="shared" ref="B42:P42" si="5">1/(1+$B$32)^B41</f>
        <v>0.95782628522115132</v>
      </c>
      <c r="C42" s="95">
        <f t="shared" si="5"/>
        <v>0.8787397112120654</v>
      </c>
      <c r="D42" s="95">
        <f t="shared" si="5"/>
        <v>0.80618322129547271</v>
      </c>
      <c r="E42" s="95">
        <f t="shared" si="5"/>
        <v>0.73961763421603011</v>
      </c>
      <c r="F42" s="95">
        <f t="shared" si="5"/>
        <v>0.67854828827158709</v>
      </c>
      <c r="G42" s="95">
        <f t="shared" si="5"/>
        <v>0.62252136538677716</v>
      </c>
      <c r="H42" s="95">
        <f t="shared" si="5"/>
        <v>0.57112051870346514</v>
      </c>
      <c r="I42" s="95">
        <f t="shared" si="5"/>
        <v>0.52396377862703225</v>
      </c>
      <c r="J42" s="95">
        <f t="shared" si="5"/>
        <v>0.48070071433672684</v>
      </c>
      <c r="K42" s="95">
        <f t="shared" si="5"/>
        <v>0.44100982966672186</v>
      </c>
      <c r="L42" s="95">
        <f t="shared" si="5"/>
        <v>0.40459617400616676</v>
      </c>
      <c r="M42" s="95">
        <f t="shared" si="5"/>
        <v>0.37118915046437312</v>
      </c>
      <c r="N42" s="95">
        <f t="shared" si="5"/>
        <v>0.34054050501318633</v>
      </c>
      <c r="O42" s="95">
        <f t="shared" si="5"/>
        <v>0.31242248166347369</v>
      </c>
      <c r="P42" s="95">
        <f t="shared" si="5"/>
        <v>0.28662612996648956</v>
      </c>
    </row>
    <row r="43" spans="1:17" x14ac:dyDescent="0.15">
      <c r="A43" s="96" t="s">
        <v>235</v>
      </c>
      <c r="B43" s="97">
        <f t="shared" ref="B43:P43" si="6">B40*B42</f>
        <v>654.76238596689734</v>
      </c>
      <c r="C43" s="97">
        <f t="shared" si="6"/>
        <v>630.73440850022223</v>
      </c>
      <c r="D43" s="97">
        <f t="shared" si="6"/>
        <v>607.588191674526</v>
      </c>
      <c r="E43" s="97">
        <f t="shared" si="6"/>
        <v>585.29137730114894</v>
      </c>
      <c r="F43" s="97">
        <f t="shared" si="6"/>
        <v>563.81279464789577</v>
      </c>
      <c r="G43" s="97">
        <f t="shared" si="6"/>
        <v>537.94982241634091</v>
      </c>
      <c r="H43" s="97">
        <f t="shared" si="6"/>
        <v>513.27322505779307</v>
      </c>
      <c r="I43" s="97">
        <f t="shared" si="6"/>
        <v>489.72858170651818</v>
      </c>
      <c r="J43" s="97">
        <f t="shared" si="6"/>
        <v>467.26396786676963</v>
      </c>
      <c r="K43" s="97">
        <f t="shared" si="6"/>
        <v>445.82984090040406</v>
      </c>
      <c r="L43" s="97">
        <f t="shared" si="6"/>
        <v>421.28874874074876</v>
      </c>
      <c r="M43" s="97">
        <f t="shared" si="6"/>
        <v>398.09854238804695</v>
      </c>
      <c r="N43" s="97">
        <f t="shared" si="6"/>
        <v>376.18486115567742</v>
      </c>
      <c r="O43" s="97">
        <f t="shared" si="6"/>
        <v>355.47743760582358</v>
      </c>
      <c r="P43" s="97">
        <f t="shared" si="6"/>
        <v>335.90987223302596</v>
      </c>
    </row>
    <row r="45" spans="1:17" x14ac:dyDescent="0.15">
      <c r="A45" s="77" t="s">
        <v>236</v>
      </c>
      <c r="B45" s="78"/>
    </row>
    <row r="46" spans="1:17" x14ac:dyDescent="0.15">
      <c r="A46" t="s">
        <v>237</v>
      </c>
      <c r="B46" s="71">
        <f>P40</f>
        <v>1171.944345312475</v>
      </c>
    </row>
    <row r="47" spans="1:17" x14ac:dyDescent="0.15">
      <c r="A47" t="s">
        <v>211</v>
      </c>
      <c r="B47" s="74">
        <f>B30</f>
        <v>2.5000000000000001E-2</v>
      </c>
    </row>
    <row r="48" spans="1:17" x14ac:dyDescent="0.15">
      <c r="A48" t="s">
        <v>238</v>
      </c>
      <c r="B48" s="71">
        <f>B46*(1+B47)/(B32-B47)</f>
        <v>18480.660829927485</v>
      </c>
    </row>
    <row r="49" spans="1:2" x14ac:dyDescent="0.15">
      <c r="A49" t="s">
        <v>127</v>
      </c>
      <c r="B49" s="73">
        <f>B48*P42</f>
        <v>5297.040292905408</v>
      </c>
    </row>
    <row r="51" spans="1:2" x14ac:dyDescent="0.15">
      <c r="A51" s="60" t="s">
        <v>239</v>
      </c>
      <c r="B51" s="73">
        <f>SUM(B43:P43)</f>
        <v>7383.1940581618383</v>
      </c>
    </row>
    <row r="52" spans="1:2" x14ac:dyDescent="0.15">
      <c r="A52" s="60" t="s">
        <v>240</v>
      </c>
      <c r="B52" s="73">
        <f>B49</f>
        <v>5297.040292905408</v>
      </c>
    </row>
    <row r="53" spans="1:2" ht="16" customHeight="1" x14ac:dyDescent="0.2">
      <c r="A53" s="75" t="s">
        <v>128</v>
      </c>
      <c r="B53" s="98">
        <f>B51+B52</f>
        <v>12680.234351067247</v>
      </c>
    </row>
    <row r="54" spans="1:2" x14ac:dyDescent="0.15">
      <c r="A54" t="s">
        <v>129</v>
      </c>
      <c r="B54" s="99">
        <f>-B8</f>
        <v>-4784</v>
      </c>
    </row>
    <row r="55" spans="1:2" x14ac:dyDescent="0.15">
      <c r="A55" s="60" t="s">
        <v>130</v>
      </c>
      <c r="B55" s="100">
        <f>B53+B54</f>
        <v>7896.2343510672472</v>
      </c>
    </row>
    <row r="56" spans="1:2" x14ac:dyDescent="0.15">
      <c r="A56" s="60" t="s">
        <v>241</v>
      </c>
      <c r="B56" s="101">
        <f>B6</f>
        <v>33.6</v>
      </c>
    </row>
    <row r="57" spans="1:2" ht="16" customHeight="1" x14ac:dyDescent="0.2">
      <c r="A57" s="75" t="s">
        <v>242</v>
      </c>
      <c r="B57" s="102">
        <f>B55/B56</f>
        <v>235.00697473414425</v>
      </c>
    </row>
    <row r="59" spans="1:2" x14ac:dyDescent="0.15">
      <c r="A59" t="s">
        <v>142</v>
      </c>
      <c r="B59" s="70">
        <f>B5</f>
        <v>372</v>
      </c>
    </row>
    <row r="60" spans="1:2" x14ac:dyDescent="0.15">
      <c r="A60" t="s">
        <v>243</v>
      </c>
      <c r="B60" s="70">
        <f>B9</f>
        <v>437</v>
      </c>
    </row>
    <row r="61" spans="1:2" x14ac:dyDescent="0.15">
      <c r="A61" s="60" t="s">
        <v>244</v>
      </c>
      <c r="B61" s="103">
        <f>B57/B59-1</f>
        <v>-0.36826082060713916</v>
      </c>
    </row>
    <row r="62" spans="1:2" x14ac:dyDescent="0.15">
      <c r="A62" s="60" t="s">
        <v>171</v>
      </c>
      <c r="B62" s="103">
        <f>B57/B60-1</f>
        <v>-0.46222660243902913</v>
      </c>
    </row>
    <row r="64" spans="1:2" x14ac:dyDescent="0.15">
      <c r="A64" s="83" t="s">
        <v>245</v>
      </c>
      <c r="B64" s="84">
        <f>B52/B53</f>
        <v>0.41773993652251201</v>
      </c>
    </row>
  </sheetData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Q91"/>
  <sheetViews>
    <sheetView workbookViewId="0">
      <selection activeCell="G32" sqref="G32"/>
    </sheetView>
  </sheetViews>
  <sheetFormatPr baseColWidth="10" defaultRowHeight="13" x14ac:dyDescent="0.15"/>
  <cols>
    <col min="1" max="1" width="36.6640625" customWidth="1"/>
    <col min="2" max="8" width="18.33203125" customWidth="1"/>
  </cols>
  <sheetData>
    <row r="1" spans="1:17" ht="18" customHeight="1" x14ac:dyDescent="0.2">
      <c r="A1" s="58" t="s">
        <v>246</v>
      </c>
    </row>
    <row r="2" spans="1:17" x14ac:dyDescent="0.15">
      <c r="A2" s="59" t="s">
        <v>247</v>
      </c>
    </row>
    <row r="4" spans="1:17" x14ac:dyDescent="0.15">
      <c r="A4" s="77" t="s">
        <v>248</v>
      </c>
      <c r="B4" s="78"/>
    </row>
    <row r="5" spans="1:17" x14ac:dyDescent="0.15">
      <c r="A5" t="s">
        <v>249</v>
      </c>
      <c r="B5" s="81">
        <f>'DPZ DCF'!E20</f>
        <v>680</v>
      </c>
    </row>
    <row r="6" spans="1:17" x14ac:dyDescent="0.15">
      <c r="A6" t="s">
        <v>90</v>
      </c>
      <c r="B6" s="80">
        <f>'DPZ DCF'!B6</f>
        <v>33.6</v>
      </c>
    </row>
    <row r="7" spans="1:17" x14ac:dyDescent="0.15">
      <c r="A7" s="60" t="s">
        <v>250</v>
      </c>
      <c r="B7" s="104">
        <f>B5/B6</f>
        <v>20.238095238095237</v>
      </c>
    </row>
    <row r="9" spans="1:17" x14ac:dyDescent="0.15">
      <c r="A9" s="77" t="s">
        <v>251</v>
      </c>
      <c r="B9" s="78"/>
    </row>
    <row r="10" spans="1:17" x14ac:dyDescent="0.15">
      <c r="A10" t="s">
        <v>252</v>
      </c>
      <c r="B10" s="72">
        <v>1460</v>
      </c>
    </row>
    <row r="11" spans="1:17" x14ac:dyDescent="0.15">
      <c r="A11" t="s">
        <v>253</v>
      </c>
      <c r="B11" s="72">
        <v>500</v>
      </c>
    </row>
    <row r="12" spans="1:17" x14ac:dyDescent="0.15">
      <c r="A12" t="s">
        <v>254</v>
      </c>
      <c r="B12" s="65">
        <f>B11/('DPZ DCF'!B7)</f>
        <v>4.0002560163850481E-2</v>
      </c>
    </row>
    <row r="13" spans="1:17" x14ac:dyDescent="0.15">
      <c r="A13" t="s">
        <v>255</v>
      </c>
      <c r="B13" s="63">
        <v>2.1399999999999999E-2</v>
      </c>
    </row>
    <row r="14" spans="1:17" x14ac:dyDescent="0.15">
      <c r="A14" s="83" t="s">
        <v>256</v>
      </c>
      <c r="B14" s="105">
        <f>B7/'DPZ DCF'!B5+B12</f>
        <v>9.4406041986687145E-2</v>
      </c>
    </row>
    <row r="16" spans="1:17" x14ac:dyDescent="0.15">
      <c r="A16" s="77" t="s">
        <v>257</v>
      </c>
      <c r="B16" s="77"/>
      <c r="C16" s="77"/>
      <c r="D16" s="77"/>
      <c r="E16" s="77"/>
      <c r="F16" s="77"/>
      <c r="G16" s="77"/>
      <c r="H16" s="77"/>
      <c r="I16" s="77"/>
      <c r="J16" s="77"/>
      <c r="K16" s="77"/>
      <c r="L16" s="77"/>
      <c r="M16" s="77"/>
      <c r="N16" s="77"/>
      <c r="O16" s="77"/>
      <c r="P16" s="77"/>
      <c r="Q16" s="77"/>
    </row>
    <row r="17" spans="1:16" x14ac:dyDescent="0.15">
      <c r="A17" s="82" t="s">
        <v>190</v>
      </c>
      <c r="B17" s="82" t="s">
        <v>216</v>
      </c>
      <c r="C17" s="82" t="s">
        <v>217</v>
      </c>
      <c r="D17" s="82" t="s">
        <v>218</v>
      </c>
      <c r="E17" s="82" t="s">
        <v>219</v>
      </c>
      <c r="F17" s="82" t="s">
        <v>220</v>
      </c>
      <c r="G17" s="82" t="s">
        <v>221</v>
      </c>
      <c r="H17" s="82" t="s">
        <v>222</v>
      </c>
      <c r="I17" s="82" t="s">
        <v>223</v>
      </c>
      <c r="J17" s="82" t="s">
        <v>224</v>
      </c>
      <c r="K17" s="82" t="s">
        <v>225</v>
      </c>
      <c r="L17" s="82" t="s">
        <v>226</v>
      </c>
      <c r="M17" s="82" t="s">
        <v>227</v>
      </c>
      <c r="N17" s="82" t="s">
        <v>228</v>
      </c>
      <c r="O17" s="82" t="s">
        <v>229</v>
      </c>
      <c r="P17" s="82" t="s">
        <v>230</v>
      </c>
    </row>
    <row r="18" spans="1:16" x14ac:dyDescent="0.15">
      <c r="A18" t="s">
        <v>108</v>
      </c>
      <c r="B18">
        <v>1</v>
      </c>
      <c r="C18">
        <v>2</v>
      </c>
      <c r="D18">
        <v>3</v>
      </c>
      <c r="E18">
        <v>4</v>
      </c>
      <c r="F18">
        <v>5</v>
      </c>
      <c r="G18">
        <v>6</v>
      </c>
      <c r="H18">
        <v>7</v>
      </c>
      <c r="I18">
        <v>8</v>
      </c>
      <c r="J18">
        <v>9</v>
      </c>
      <c r="K18">
        <v>10</v>
      </c>
      <c r="L18">
        <v>11</v>
      </c>
      <c r="M18">
        <v>12</v>
      </c>
      <c r="N18">
        <v>13</v>
      </c>
      <c r="O18">
        <v>14</v>
      </c>
      <c r="P18">
        <v>15</v>
      </c>
    </row>
    <row r="19" spans="1:16" x14ac:dyDescent="0.15">
      <c r="A19" t="s">
        <v>258</v>
      </c>
      <c r="B19" s="74">
        <f>IF(B18&lt;=5,'DPZ DCF'!$B$24,IF(B18&lt;=10,'DPZ DCF'!$B$25,'DPZ DCF'!$B$26))</f>
        <v>0.05</v>
      </c>
      <c r="C19" s="74">
        <f>IF(C18&lt;=5,'DPZ DCF'!$B$24,IF(C18&lt;=10,'DPZ DCF'!$B$25,'DPZ DCF'!$B$26))</f>
        <v>0.05</v>
      </c>
      <c r="D19" s="74">
        <f>IF(D18&lt;=5,'DPZ DCF'!$B$24,IF(D18&lt;=10,'DPZ DCF'!$B$25,'DPZ DCF'!$B$26))</f>
        <v>0.05</v>
      </c>
      <c r="E19" s="74">
        <f>IF(E18&lt;=5,'DPZ DCF'!$B$24,IF(E18&lt;=10,'DPZ DCF'!$B$25,'DPZ DCF'!$B$26))</f>
        <v>0.05</v>
      </c>
      <c r="F19" s="74">
        <f>IF(F18&lt;=5,'DPZ DCF'!$B$24,IF(F18&lt;=10,'DPZ DCF'!$B$25,'DPZ DCF'!$B$26))</f>
        <v>0.05</v>
      </c>
      <c r="G19" s="74">
        <f>IF(G18&lt;=5,'DPZ DCF'!$B$24,IF(G18&lt;=10,'DPZ DCF'!$B$25,'DPZ DCF'!$B$26))</f>
        <v>0.04</v>
      </c>
      <c r="H19" s="74">
        <f>IF(H18&lt;=5,'DPZ DCF'!$B$24,IF(H18&lt;=10,'DPZ DCF'!$B$25,'DPZ DCF'!$B$26))</f>
        <v>0.04</v>
      </c>
      <c r="I19" s="74">
        <f>IF(I18&lt;=5,'DPZ DCF'!$B$24,IF(I18&lt;=10,'DPZ DCF'!$B$25,'DPZ DCF'!$B$26))</f>
        <v>0.04</v>
      </c>
      <c r="J19" s="74">
        <f>IF(J18&lt;=5,'DPZ DCF'!$B$24,IF(J18&lt;=10,'DPZ DCF'!$B$25,'DPZ DCF'!$B$26))</f>
        <v>0.04</v>
      </c>
      <c r="K19" s="74">
        <f>IF(K18&lt;=5,'DPZ DCF'!$B$24,IF(K18&lt;=10,'DPZ DCF'!$B$25,'DPZ DCF'!$B$26))</f>
        <v>0.04</v>
      </c>
      <c r="L19" s="74">
        <f>IF(L18&lt;=5,'DPZ DCF'!$B$24,IF(L18&lt;=10,'DPZ DCF'!$B$25,'DPZ DCF'!$B$26))</f>
        <v>0.03</v>
      </c>
      <c r="M19" s="74">
        <f>IF(M18&lt;=5,'DPZ DCF'!$B$24,IF(M18&lt;=10,'DPZ DCF'!$B$25,'DPZ DCF'!$B$26))</f>
        <v>0.03</v>
      </c>
      <c r="N19" s="74">
        <f>IF(N18&lt;=5,'DPZ DCF'!$B$24,IF(N18&lt;=10,'DPZ DCF'!$B$25,'DPZ DCF'!$B$26))</f>
        <v>0.03</v>
      </c>
      <c r="O19" s="74">
        <f>IF(O18&lt;=5,'DPZ DCF'!$B$24,IF(O18&lt;=10,'DPZ DCF'!$B$25,'DPZ DCF'!$B$26))</f>
        <v>0.03</v>
      </c>
      <c r="P19" s="74">
        <f>IF(P18&lt;=5,'DPZ DCF'!$B$24,IF(P18&lt;=10,'DPZ DCF'!$B$25,'DPZ DCF'!$B$26))</f>
        <v>0.03</v>
      </c>
    </row>
    <row r="20" spans="1:16" x14ac:dyDescent="0.15">
      <c r="A20" t="s">
        <v>259</v>
      </c>
      <c r="B20" s="71">
        <f>$B$5*(1+B19)</f>
        <v>714</v>
      </c>
      <c r="C20" s="71">
        <f t="shared" ref="C20:P20" si="0">B20*(1+C19)</f>
        <v>749.7</v>
      </c>
      <c r="D20" s="71">
        <f t="shared" si="0"/>
        <v>787.18500000000006</v>
      </c>
      <c r="E20" s="71">
        <f t="shared" si="0"/>
        <v>826.54425000000015</v>
      </c>
      <c r="F20" s="71">
        <f t="shared" si="0"/>
        <v>867.87146250000023</v>
      </c>
      <c r="G20" s="71">
        <f t="shared" si="0"/>
        <v>902.58632100000023</v>
      </c>
      <c r="H20" s="71">
        <f t="shared" si="0"/>
        <v>938.68977384000027</v>
      </c>
      <c r="I20" s="71">
        <f t="shared" si="0"/>
        <v>976.23736479360036</v>
      </c>
      <c r="J20" s="71">
        <f t="shared" si="0"/>
        <v>1015.2868593853444</v>
      </c>
      <c r="K20" s="71">
        <f t="shared" si="0"/>
        <v>1055.8983337607583</v>
      </c>
      <c r="L20" s="71">
        <f t="shared" si="0"/>
        <v>1087.5752837735811</v>
      </c>
      <c r="M20" s="71">
        <f t="shared" si="0"/>
        <v>1120.2025422867885</v>
      </c>
      <c r="N20" s="71">
        <f t="shared" si="0"/>
        <v>1153.8086185553921</v>
      </c>
      <c r="O20" s="71">
        <f t="shared" si="0"/>
        <v>1188.4228771120538</v>
      </c>
      <c r="P20" s="71">
        <f t="shared" si="0"/>
        <v>1224.0755634254156</v>
      </c>
    </row>
    <row r="21" spans="1:16" x14ac:dyDescent="0.15">
      <c r="A21" t="s">
        <v>260</v>
      </c>
      <c r="B21" s="74">
        <f t="shared" ref="B21:P21" si="1">$B$12*0.85</f>
        <v>3.4002176139272908E-2</v>
      </c>
      <c r="C21" s="74">
        <f t="shared" si="1"/>
        <v>3.4002176139272908E-2</v>
      </c>
      <c r="D21" s="74">
        <f t="shared" si="1"/>
        <v>3.4002176139272908E-2</v>
      </c>
      <c r="E21" s="74">
        <f t="shared" si="1"/>
        <v>3.4002176139272908E-2</v>
      </c>
      <c r="F21" s="74">
        <f t="shared" si="1"/>
        <v>3.4002176139272908E-2</v>
      </c>
      <c r="G21" s="74">
        <f t="shared" si="1"/>
        <v>3.4002176139272908E-2</v>
      </c>
      <c r="H21" s="74">
        <f t="shared" si="1"/>
        <v>3.4002176139272908E-2</v>
      </c>
      <c r="I21" s="74">
        <f t="shared" si="1"/>
        <v>3.4002176139272908E-2</v>
      </c>
      <c r="J21" s="74">
        <f t="shared" si="1"/>
        <v>3.4002176139272908E-2</v>
      </c>
      <c r="K21" s="74">
        <f t="shared" si="1"/>
        <v>3.4002176139272908E-2</v>
      </c>
      <c r="L21" s="74">
        <f t="shared" si="1"/>
        <v>3.4002176139272908E-2</v>
      </c>
      <c r="M21" s="74">
        <f t="shared" si="1"/>
        <v>3.4002176139272908E-2</v>
      </c>
      <c r="N21" s="74">
        <f t="shared" si="1"/>
        <v>3.4002176139272908E-2</v>
      </c>
      <c r="O21" s="74">
        <f t="shared" si="1"/>
        <v>3.4002176139272908E-2</v>
      </c>
      <c r="P21" s="74">
        <f t="shared" si="1"/>
        <v>3.4002176139272908E-2</v>
      </c>
    </row>
    <row r="22" spans="1:16" x14ac:dyDescent="0.15">
      <c r="A22" t="s">
        <v>261</v>
      </c>
      <c r="B22" s="101">
        <f>$B$6*(1-B21)</f>
        <v>32.457526881720433</v>
      </c>
      <c r="C22" s="101">
        <f t="shared" ref="C22:P22" si="2">B22*(1-C21)</f>
        <v>31.35390033564299</v>
      </c>
      <c r="D22" s="101">
        <f t="shared" si="2"/>
        <v>30.28779949377725</v>
      </c>
      <c r="E22" s="101">
        <f t="shared" si="2"/>
        <v>29.257948400518856</v>
      </c>
      <c r="F22" s="101">
        <f t="shared" si="2"/>
        <v>28.263114485530657</v>
      </c>
      <c r="G22" s="101">
        <f t="shared" si="2"/>
        <v>27.302107088549207</v>
      </c>
      <c r="H22" s="101">
        <f t="shared" si="2"/>
        <v>26.373776034351064</v>
      </c>
      <c r="I22" s="101">
        <f t="shared" si="2"/>
        <v>25.477010256173322</v>
      </c>
      <c r="J22" s="101">
        <f t="shared" si="2"/>
        <v>24.610736465940853</v>
      </c>
      <c r="K22" s="101">
        <f t="shared" si="2"/>
        <v>23.773917869708704</v>
      </c>
      <c r="L22" s="101">
        <f t="shared" si="2"/>
        <v>22.965552926782262</v>
      </c>
      <c r="M22" s="101">
        <f t="shared" si="2"/>
        <v>22.184674151030016</v>
      </c>
      <c r="N22" s="101">
        <f t="shared" si="2"/>
        <v>21.43034695295432</v>
      </c>
      <c r="O22" s="101">
        <f t="shared" si="2"/>
        <v>20.701668521134238</v>
      </c>
      <c r="P22" s="101">
        <f t="shared" si="2"/>
        <v>19.997766741701788</v>
      </c>
    </row>
    <row r="23" spans="1:16" x14ac:dyDescent="0.15">
      <c r="A23" s="96" t="s">
        <v>262</v>
      </c>
      <c r="B23" s="107">
        <f t="shared" ref="B23:P23" si="3">B20/B22</f>
        <v>21.997979162180513</v>
      </c>
      <c r="C23" s="107">
        <f t="shared" si="3"/>
        <v>23.910900780268925</v>
      </c>
      <c r="D23" s="107">
        <f t="shared" si="3"/>
        <v>25.990168092658244</v>
      </c>
      <c r="E23" s="107">
        <f t="shared" si="3"/>
        <v>28.250246349649803</v>
      </c>
      <c r="F23" s="107">
        <f t="shared" si="3"/>
        <v>30.706858684817213</v>
      </c>
      <c r="G23" s="107">
        <f t="shared" si="3"/>
        <v>33.059218399247818</v>
      </c>
      <c r="H23" s="107">
        <f t="shared" si="3"/>
        <v>35.591785287680636</v>
      </c>
      <c r="I23" s="107">
        <f t="shared" si="3"/>
        <v>38.318364477521406</v>
      </c>
      <c r="J23" s="107">
        <f t="shared" si="3"/>
        <v>41.253818665297331</v>
      </c>
      <c r="K23" s="107">
        <f t="shared" si="3"/>
        <v>44.414149133833781</v>
      </c>
      <c r="L23" s="107">
        <f t="shared" si="3"/>
        <v>47.356808139605413</v>
      </c>
      <c r="M23" s="107">
        <f t="shared" si="3"/>
        <v>50.494432988314969</v>
      </c>
      <c r="N23" s="107">
        <f t="shared" si="3"/>
        <v>53.839941139932485</v>
      </c>
      <c r="O23" s="107">
        <f t="shared" si="3"/>
        <v>57.407105900608855</v>
      </c>
      <c r="P23" s="107">
        <f t="shared" si="3"/>
        <v>61.210613126755973</v>
      </c>
    </row>
    <row r="24" spans="1:16" x14ac:dyDescent="0.15">
      <c r="A24" t="s">
        <v>263</v>
      </c>
      <c r="B24" s="59" t="s">
        <v>264</v>
      </c>
      <c r="C24" s="84">
        <f t="shared" ref="C24:P24" si="4">C23/B23-1</f>
        <v>8.6958970366566968E-2</v>
      </c>
      <c r="D24" s="84">
        <f t="shared" si="4"/>
        <v>8.6958970366566524E-2</v>
      </c>
      <c r="E24" s="84">
        <f t="shared" si="4"/>
        <v>8.6958970366566746E-2</v>
      </c>
      <c r="F24" s="84">
        <f t="shared" si="4"/>
        <v>8.6958970366566746E-2</v>
      </c>
      <c r="G24" s="84">
        <f t="shared" si="4"/>
        <v>7.6606980172599481E-2</v>
      </c>
      <c r="H24" s="84">
        <f t="shared" si="4"/>
        <v>7.6606980172599703E-2</v>
      </c>
      <c r="I24" s="84">
        <f t="shared" si="4"/>
        <v>7.6606980172599481E-2</v>
      </c>
      <c r="J24" s="84">
        <f t="shared" si="4"/>
        <v>7.6606980172599481E-2</v>
      </c>
      <c r="K24" s="84">
        <f t="shared" si="4"/>
        <v>7.6606980172599481E-2</v>
      </c>
      <c r="L24" s="84">
        <f t="shared" si="4"/>
        <v>6.6254989978632217E-2</v>
      </c>
      <c r="M24" s="84">
        <f t="shared" si="4"/>
        <v>6.6254989978631995E-2</v>
      </c>
      <c r="N24" s="84">
        <f t="shared" si="4"/>
        <v>6.6254989978631995E-2</v>
      </c>
      <c r="O24" s="84">
        <f t="shared" si="4"/>
        <v>6.6254989978632217E-2</v>
      </c>
      <c r="P24" s="84">
        <f t="shared" si="4"/>
        <v>6.6254989978632217E-2</v>
      </c>
    </row>
    <row r="25" spans="1:16" x14ac:dyDescent="0.15">
      <c r="A25" t="s">
        <v>265</v>
      </c>
      <c r="B25" s="95">
        <f>1/(1+'DPZ DCF'!$B$32)^(B18-0.5)</f>
        <v>0.95782628522115132</v>
      </c>
      <c r="C25" s="95">
        <f>1/(1+'DPZ DCF'!$B$32)^(C18-0.5)</f>
        <v>0.8787397112120654</v>
      </c>
      <c r="D25" s="95">
        <f>1/(1+'DPZ DCF'!$B$32)^(D18-0.5)</f>
        <v>0.80618322129547271</v>
      </c>
      <c r="E25" s="95">
        <f>1/(1+'DPZ DCF'!$B$32)^(E18-0.5)</f>
        <v>0.73961763421603011</v>
      </c>
      <c r="F25" s="95">
        <f>1/(1+'DPZ DCF'!$B$32)^(F18-0.5)</f>
        <v>0.67854828827158709</v>
      </c>
      <c r="G25" s="95">
        <f>1/(1+'DPZ DCF'!$B$32)^(G18-0.5)</f>
        <v>0.62252136538677716</v>
      </c>
      <c r="H25" s="95">
        <f>1/(1+'DPZ DCF'!$B$32)^(H18-0.5)</f>
        <v>0.57112051870346514</v>
      </c>
      <c r="I25" s="95">
        <f>1/(1+'DPZ DCF'!$B$32)^(I18-0.5)</f>
        <v>0.52396377862703225</v>
      </c>
      <c r="J25" s="95">
        <f>1/(1+'DPZ DCF'!$B$32)^(J18-0.5)</f>
        <v>0.48070071433672684</v>
      </c>
      <c r="K25" s="95">
        <f>1/(1+'DPZ DCF'!$B$32)^(K18-0.5)</f>
        <v>0.44100982966672186</v>
      </c>
      <c r="L25" s="95">
        <f>1/(1+'DPZ DCF'!$B$32)^(L18-0.5)</f>
        <v>0.40459617400616676</v>
      </c>
      <c r="M25" s="95">
        <f>1/(1+'DPZ DCF'!$B$32)^(M18-0.5)</f>
        <v>0.37118915046437312</v>
      </c>
      <c r="N25" s="95">
        <f>1/(1+'DPZ DCF'!$B$32)^(N18-0.5)</f>
        <v>0.34054050501318633</v>
      </c>
      <c r="O25" s="95">
        <f>1/(1+'DPZ DCF'!$B$32)^(O18-0.5)</f>
        <v>0.31242248166347369</v>
      </c>
      <c r="P25" s="95">
        <f>1/(1+'DPZ DCF'!$B$32)^(P18-0.5)</f>
        <v>0.28662612996648956</v>
      </c>
    </row>
    <row r="26" spans="1:16" x14ac:dyDescent="0.15">
      <c r="A26" t="s">
        <v>266</v>
      </c>
      <c r="B26" s="70">
        <f t="shared" ref="B26:P26" si="5">B23*B25</f>
        <v>21.070242663283654</v>
      </c>
      <c r="C26" s="70">
        <f t="shared" si="5"/>
        <v>21.011458046473866</v>
      </c>
      <c r="D26" s="70">
        <f t="shared" si="5"/>
        <v>20.952837434950034</v>
      </c>
      <c r="E26" s="70">
        <f t="shared" si="5"/>
        <v>20.894380371148028</v>
      </c>
      <c r="F26" s="70">
        <f t="shared" si="5"/>
        <v>20.836086398780239</v>
      </c>
      <c r="G26" s="70">
        <f t="shared" si="5"/>
        <v>20.580069776519416</v>
      </c>
      <c r="H26" s="70">
        <f t="shared" si="5"/>
        <v>20.327198875082523</v>
      </c>
      <c r="I26" s="70">
        <f t="shared" si="5"/>
        <v>20.077435042449963</v>
      </c>
      <c r="J26" s="70">
        <f t="shared" si="5"/>
        <v>19.830740101526221</v>
      </c>
      <c r="K26" s="70">
        <f t="shared" si="5"/>
        <v>19.587076344304418</v>
      </c>
      <c r="L26" s="70">
        <f t="shared" si="5"/>
        <v>19.160383386428446</v>
      </c>
      <c r="M26" s="70">
        <f t="shared" si="5"/>
        <v>18.742985684112849</v>
      </c>
      <c r="N26" s="70">
        <f t="shared" si="5"/>
        <v>18.334680745672834</v>
      </c>
      <c r="O26" s="70">
        <f t="shared" si="5"/>
        <v>17.935270490586063</v>
      </c>
      <c r="P26" s="70">
        <f t="shared" si="5"/>
        <v>17.544561153398071</v>
      </c>
    </row>
    <row r="28" spans="1:16" x14ac:dyDescent="0.15">
      <c r="A28" s="77" t="s">
        <v>267</v>
      </c>
      <c r="B28" s="78"/>
    </row>
    <row r="29" spans="1:16" x14ac:dyDescent="0.15">
      <c r="A29" t="s">
        <v>268</v>
      </c>
      <c r="B29" s="70">
        <f>P23</f>
        <v>61.210613126755973</v>
      </c>
    </row>
    <row r="30" spans="1:16" x14ac:dyDescent="0.15">
      <c r="A30" t="s">
        <v>105</v>
      </c>
      <c r="B30" s="108">
        <f>'DPZ DCF'!B30</f>
        <v>2.5000000000000001E-2</v>
      </c>
    </row>
    <row r="31" spans="1:16" x14ac:dyDescent="0.15">
      <c r="A31" t="s">
        <v>269</v>
      </c>
      <c r="B31" s="90">
        <f>'DPZ DCF'!B32</f>
        <v>0.09</v>
      </c>
    </row>
    <row r="32" spans="1:16" x14ac:dyDescent="0.15">
      <c r="A32" t="s">
        <v>270</v>
      </c>
      <c r="B32" s="70">
        <f>B29*(1+B30)/(B31-B30)</f>
        <v>965.24428392192101</v>
      </c>
    </row>
    <row r="33" spans="1:8" x14ac:dyDescent="0.15">
      <c r="A33" t="s">
        <v>271</v>
      </c>
      <c r="B33" s="106">
        <f>B32*P25</f>
        <v>276.6642335728157</v>
      </c>
    </row>
    <row r="35" spans="1:8" x14ac:dyDescent="0.15">
      <c r="A35" s="60" t="s">
        <v>137</v>
      </c>
      <c r="B35" s="106">
        <f>SUM(B26:P26)</f>
        <v>296.88540651471664</v>
      </c>
    </row>
    <row r="36" spans="1:8" x14ac:dyDescent="0.15">
      <c r="A36" s="60" t="s">
        <v>272</v>
      </c>
      <c r="B36" s="106">
        <f>B33</f>
        <v>276.6642335728157</v>
      </c>
    </row>
    <row r="37" spans="1:8" x14ac:dyDescent="0.15">
      <c r="A37" t="s">
        <v>273</v>
      </c>
      <c r="B37" s="109">
        <f>-'DPZ DCF'!B8/B6</f>
        <v>-142.38095238095238</v>
      </c>
    </row>
    <row r="38" spans="1:8" ht="18" customHeight="1" x14ac:dyDescent="0.2">
      <c r="A38" s="110" t="s">
        <v>274</v>
      </c>
      <c r="B38" s="111">
        <f>B35+B36+B37</f>
        <v>431.16868770657993</v>
      </c>
    </row>
    <row r="40" spans="1:8" x14ac:dyDescent="0.15">
      <c r="A40" t="s">
        <v>142</v>
      </c>
      <c r="B40" s="70">
        <f>'DPZ DCF'!B5</f>
        <v>372</v>
      </c>
    </row>
    <row r="41" spans="1:8" x14ac:dyDescent="0.15">
      <c r="A41" t="s">
        <v>275</v>
      </c>
      <c r="B41" s="70">
        <f>'DPZ DCF'!B9</f>
        <v>437</v>
      </c>
    </row>
    <row r="42" spans="1:8" x14ac:dyDescent="0.15">
      <c r="A42" s="60" t="s">
        <v>276</v>
      </c>
      <c r="B42" s="112">
        <f>B38/B40-1</f>
        <v>0.15905561211446217</v>
      </c>
    </row>
    <row r="43" spans="1:8" x14ac:dyDescent="0.15">
      <c r="A43" s="60" t="s">
        <v>277</v>
      </c>
      <c r="B43" s="112">
        <f>B38/B41-1</f>
        <v>-1.3343964058169511E-2</v>
      </c>
    </row>
    <row r="46" spans="1:8" x14ac:dyDescent="0.15">
      <c r="A46" s="77" t="s">
        <v>278</v>
      </c>
      <c r="B46" s="77"/>
      <c r="C46" s="77"/>
      <c r="D46" s="77"/>
      <c r="E46" s="77"/>
      <c r="F46" s="77"/>
      <c r="G46" s="77"/>
      <c r="H46" s="77"/>
    </row>
    <row r="48" spans="1:8" x14ac:dyDescent="0.15">
      <c r="A48" s="61" t="s">
        <v>279</v>
      </c>
      <c r="B48" s="120">
        <v>1.4999999999999999E-2</v>
      </c>
      <c r="C48" s="120">
        <v>0.02</v>
      </c>
      <c r="D48" s="120">
        <v>2.5000000000000001E-2</v>
      </c>
      <c r="E48" s="120">
        <v>0.03</v>
      </c>
      <c r="F48" s="120">
        <v>3.5000000000000003E-2</v>
      </c>
    </row>
    <row r="49" spans="1:8" x14ac:dyDescent="0.15">
      <c r="A49" s="120">
        <v>7.0000000000000007E-2</v>
      </c>
      <c r="B49" s="71">
        <f t="array" ref="B49">SUMPRODUCT($B$23:$P$23, 1/(1+$A49)^($B$18:$P$18-0.5)) + ($P$23*(1+B$48)/($A49-B$48))/((1+$A49)^14.5) - 'DPZ DCF'!$B$8/$B$6</f>
        <v>621.78905779040554</v>
      </c>
      <c r="C49" s="71">
        <f t="array" ref="C49">SUMPRODUCT($B$23:$P$23, 1/(1+$A49)^($B$18:$P$18-0.5)) + ($P$23*(1+C$48)/($A49-C$48))/((1+$A49)^14.5) - 'DPZ DCF'!$B$8/$B$6</f>
        <v>666.43510780748454</v>
      </c>
      <c r="D49" s="71">
        <f t="array" ref="D49">SUMPRODUCT($B$23:$P$23, 1/(1+$A49)^($B$18:$P$18-0.5)) + ($P$23*(1+D$48)/($A49-D$48))/((1+$A49)^14.5) - 'DPZ DCF'!$B$8/$B$6</f>
        <v>721.00250227280299</v>
      </c>
      <c r="E49" s="71">
        <f t="array" ref="E49">SUMPRODUCT($B$23:$P$23, 1/(1+$A49)^($B$18:$P$18-0.5)) + ($P$23*(1+E$48)/($A49-E$48))/((1+$A49)^14.5) - 'DPZ DCF'!$B$8/$B$6</f>
        <v>789.21174535445118</v>
      </c>
      <c r="F49" s="71">
        <f t="array" ref="F49">SUMPRODUCT($B$23:$P$23, 1/(1+$A49)^($B$18:$P$18-0.5)) + ($P$23*(1+F$48)/($A49-F$48))/((1+$A49)^14.5) - 'DPZ DCF'!$B$8/$B$6</f>
        <v>876.90934360228459</v>
      </c>
    </row>
    <row r="50" spans="1:8" x14ac:dyDescent="0.15">
      <c r="A50" s="120">
        <v>0.08</v>
      </c>
      <c r="B50" s="71">
        <f t="array" ref="B50">SUMPRODUCT($B$23:$P$23, 1/(1+$A50)^($B$18:$P$18-0.5)) + ($P$23*(1+B$48)/($A50-B$48))/((1+$A50)^14.5) - 'DPZ DCF'!$B$8/$B$6</f>
        <v>488.42423839141691</v>
      </c>
      <c r="C50" s="71">
        <f t="array" ref="C50">SUMPRODUCT($B$23:$P$23, 1/(1+$A50)^($B$18:$P$18-0.5)) + ($P$23*(1+C$48)/($A50-C$48))/((1+$A50)^14.5) - 'DPZ DCF'!$B$8/$B$6</f>
        <v>516.19011746895342</v>
      </c>
      <c r="D50" s="71">
        <f t="array" ref="D50">SUMPRODUCT($B$23:$P$23, 1/(1+$A50)^($B$18:$P$18-0.5)) + ($P$23*(1+D$48)/($A50-D$48))/((1+$A50)^14.5) - 'DPZ DCF'!$B$8/$B$6</f>
        <v>549.00433819695093</v>
      </c>
      <c r="E50" s="71">
        <f t="array" ref="E50">SUMPRODUCT($B$23:$P$23, 1/(1+$A50)^($B$18:$P$18-0.5)) + ($P$23*(1+E$48)/($A50-E$48))/((1+$A50)^14.5) - 'DPZ DCF'!$B$8/$B$6</f>
        <v>588.38140307054789</v>
      </c>
      <c r="F50" s="71">
        <f t="array" ref="F50">SUMPRODUCT($B$23:$P$23, 1/(1+$A50)^($B$18:$P$18-0.5)) + ($P$23*(1+F$48)/($A50-F$48))/((1+$A50)^14.5) - 'DPZ DCF'!$B$8/$B$6</f>
        <v>636.50892680494439</v>
      </c>
    </row>
    <row r="51" spans="1:8" x14ac:dyDescent="0.15">
      <c r="A51" s="120">
        <v>0.09</v>
      </c>
      <c r="B51" s="71">
        <f t="array" ref="B51">SUMPRODUCT($B$23:$P$23, 1/(1+$A51)^($B$18:$P$18-0.5)) + ($P$23*(1+B$48)/($A51-B$48))/((1+$A51)^14.5) - 'DPZ DCF'!$B$8/$B$6</f>
        <v>391.94084840975142</v>
      </c>
      <c r="C51" s="71">
        <f t="array" ref="C51">SUMPRODUCT($B$23:$P$23, 1/(1+$A51)^($B$18:$P$18-0.5)) + ($P$23*(1+C$48)/($A51-C$48))/((1+$A51)^14.5) - 'DPZ DCF'!$B$8/$B$6</f>
        <v>410.15377379756467</v>
      </c>
      <c r="D51" s="100">
        <f t="array" ref="D51">SUMPRODUCT($B$23:$P$23, 1/(1+$A51)^($B$18:$P$18-0.5)) + ($P$23*(1+D$48)/($A51-D$48))/((1+$A51)^14.5) - 'DPZ DCF'!$B$8/$B$6</f>
        <v>431.16868770657993</v>
      </c>
      <c r="E51" s="71">
        <f t="array" ref="E51">SUMPRODUCT($B$23:$P$23, 1/(1+$A51)^($B$18:$P$18-0.5)) + ($P$23*(1+E$48)/($A51-E$48))/((1+$A51)^14.5) - 'DPZ DCF'!$B$8/$B$6</f>
        <v>455.68608726709783</v>
      </c>
      <c r="F51" s="71">
        <f t="array" ref="F51">SUMPRODUCT($B$23:$P$23, 1/(1+$A51)^($B$18:$P$18-0.5)) + ($P$23*(1+F$48)/($A51-F$48))/((1+$A51)^14.5) - 'DPZ DCF'!$B$8/$B$6</f>
        <v>484.66119583861894</v>
      </c>
    </row>
    <row r="52" spans="1:8" x14ac:dyDescent="0.15">
      <c r="A52" s="120">
        <v>0.1</v>
      </c>
      <c r="B52" s="71">
        <f t="array" ref="B52">SUMPRODUCT($B$23:$P$23, 1/(1+$A52)^($B$18:$P$18-0.5)) + ($P$23*(1+B$48)/($A52-B$48))/((1+$A52)^14.5) - 'DPZ DCF'!$B$8/$B$6</f>
        <v>319.19931532377768</v>
      </c>
      <c r="C52" s="71">
        <f t="array" ref="C52">SUMPRODUCT($B$23:$P$23, 1/(1+$A52)^($B$18:$P$18-0.5)) + ($P$23*(1+C$48)/($A52-C$48))/((1+$A52)^14.5) - 'DPZ DCF'!$B$8/$B$6</f>
        <v>331.62975732948621</v>
      </c>
      <c r="D52" s="71">
        <f t="array" ref="D52">SUMPRODUCT($B$23:$P$23, 1/(1+$A52)^($B$18:$P$18-0.5)) + ($P$23*(1+D$48)/($A52-D$48))/((1+$A52)^14.5) - 'DPZ DCF'!$B$8/$B$6</f>
        <v>345.71759160262252</v>
      </c>
      <c r="E52" s="71">
        <f t="array" ref="E52">SUMPRODUCT($B$23:$P$23, 1/(1+$A52)^($B$18:$P$18-0.5)) + ($P$23*(1+E$48)/($A52-E$48))/((1+$A52)^14.5) - 'DPZ DCF'!$B$8/$B$6</f>
        <v>361.81797362906411</v>
      </c>
      <c r="F52" s="71">
        <f t="array" ref="F52">SUMPRODUCT($B$23:$P$23, 1/(1+$A52)^($B$18:$P$18-0.5)) + ($P$23*(1+F$48)/($A52-F$48))/((1+$A52)^14.5) - 'DPZ DCF'!$B$8/$B$6</f>
        <v>380.39533750572741</v>
      </c>
    </row>
    <row r="53" spans="1:8" x14ac:dyDescent="0.15">
      <c r="A53" s="120">
        <v>0.11</v>
      </c>
      <c r="B53" s="71">
        <f t="array" ref="B53">SUMPRODUCT($B$23:$P$23, 1/(1+$A53)^($B$18:$P$18-0.5)) + ($P$23*(1+B$48)/($A53-B$48))/((1+$A53)^14.5) - 'DPZ DCF'!$B$8/$B$6</f>
        <v>262.60550193905806</v>
      </c>
      <c r="C53" s="71">
        <f t="array" ref="C53">SUMPRODUCT($B$23:$P$23, 1/(1+$A53)^($B$18:$P$18-0.5)) + ($P$23*(1+C$48)/($A53-C$48))/((1+$A53)^14.5) - 'DPZ DCF'!$B$8/$B$6</f>
        <v>271.35474346790841</v>
      </c>
      <c r="D53" s="71">
        <f t="array" ref="D53">SUMPRODUCT($B$23:$P$23, 1/(1+$A53)^($B$18:$P$18-0.5)) + ($P$23*(1+D$48)/($A53-D$48))/((1+$A53)^14.5) - 'DPZ DCF'!$B$8/$B$6</f>
        <v>281.1333075295646</v>
      </c>
      <c r="E53" s="71">
        <f t="array" ref="E53">SUMPRODUCT($B$23:$P$23, 1/(1+$A53)^($B$18:$P$18-0.5)) + ($P$23*(1+E$48)/($A53-E$48))/((1+$A53)^14.5) - 'DPZ DCF'!$B$8/$B$6</f>
        <v>292.13419209892788</v>
      </c>
      <c r="F53" s="71">
        <f t="array" ref="F53">SUMPRODUCT($B$23:$P$23, 1/(1+$A53)^($B$18:$P$18-0.5)) + ($P$23*(1+F$48)/($A53-F$48))/((1+$A53)^14.5) - 'DPZ DCF'!$B$8/$B$6</f>
        <v>304.60186127753968</v>
      </c>
    </row>
    <row r="56" spans="1:8" x14ac:dyDescent="0.15">
      <c r="A56" s="216" t="s">
        <v>280</v>
      </c>
      <c r="B56" s="215"/>
      <c r="C56" s="215"/>
      <c r="D56" s="215"/>
      <c r="E56" s="215"/>
      <c r="F56" s="215"/>
      <c r="G56" s="215"/>
      <c r="H56" s="215"/>
    </row>
    <row r="58" spans="1:8" ht="42" customHeight="1" x14ac:dyDescent="0.15">
      <c r="A58" s="121" t="s">
        <v>281</v>
      </c>
      <c r="B58" s="121" t="s">
        <v>282</v>
      </c>
      <c r="C58" s="121" t="s">
        <v>283</v>
      </c>
      <c r="D58" s="121" t="s">
        <v>284</v>
      </c>
      <c r="E58" s="121" t="s">
        <v>285</v>
      </c>
      <c r="F58" s="121" t="s">
        <v>286</v>
      </c>
      <c r="G58" s="121" t="s">
        <v>287</v>
      </c>
      <c r="H58" s="121" t="s">
        <v>288</v>
      </c>
    </row>
    <row r="59" spans="1:8" x14ac:dyDescent="0.15">
      <c r="A59" s="126" t="s">
        <v>289</v>
      </c>
      <c r="B59" s="122">
        <v>65.5</v>
      </c>
      <c r="C59" s="123">
        <v>0</v>
      </c>
      <c r="D59" s="123"/>
      <c r="E59" s="124"/>
      <c r="F59" s="123">
        <v>80</v>
      </c>
      <c r="G59" s="125">
        <f t="shared" ref="G59:G80" si="6">F59/B59</f>
        <v>1.2213740458015268</v>
      </c>
      <c r="H59" s="124"/>
    </row>
    <row r="60" spans="1:8" x14ac:dyDescent="0.15">
      <c r="A60" s="126" t="s">
        <v>290</v>
      </c>
      <c r="B60" s="122">
        <v>66.8</v>
      </c>
      <c r="C60" s="123">
        <v>0</v>
      </c>
      <c r="D60" s="123"/>
      <c r="E60" s="124">
        <f t="shared" ref="E60:E80" si="7">1-B60/B59</f>
        <v>-1.984732824427482E-2</v>
      </c>
      <c r="F60" s="123">
        <v>80</v>
      </c>
      <c r="G60" s="125">
        <f t="shared" si="6"/>
        <v>1.1976047904191618</v>
      </c>
      <c r="H60" s="124">
        <f t="shared" ref="H60:H80" si="8">G60/G59-1</f>
        <v>-1.9461077844311281E-2</v>
      </c>
    </row>
    <row r="61" spans="1:8" x14ac:dyDescent="0.15">
      <c r="A61" s="126" t="s">
        <v>291</v>
      </c>
      <c r="B61" s="122">
        <v>64.5</v>
      </c>
      <c r="C61" s="123">
        <v>595</v>
      </c>
      <c r="D61" s="123">
        <v>26</v>
      </c>
      <c r="E61" s="124">
        <f t="shared" si="7"/>
        <v>3.4431137724550864E-2</v>
      </c>
      <c r="F61" s="123">
        <v>100</v>
      </c>
      <c r="G61" s="125">
        <f t="shared" si="6"/>
        <v>1.5503875968992249</v>
      </c>
      <c r="H61" s="124">
        <f t="shared" si="8"/>
        <v>0.29457364341085257</v>
      </c>
    </row>
    <row r="62" spans="1:8" x14ac:dyDescent="0.15">
      <c r="A62" s="126" t="s">
        <v>292</v>
      </c>
      <c r="B62" s="122">
        <v>60</v>
      </c>
      <c r="C62" s="123">
        <v>200</v>
      </c>
      <c r="D62" s="123">
        <v>16</v>
      </c>
      <c r="E62" s="124">
        <f t="shared" si="7"/>
        <v>6.9767441860465129E-2</v>
      </c>
      <c r="F62" s="123">
        <v>92</v>
      </c>
      <c r="G62" s="125">
        <f t="shared" si="6"/>
        <v>1.5333333333333334</v>
      </c>
      <c r="H62" s="124">
        <f t="shared" si="8"/>
        <v>-1.100000000000001E-2</v>
      </c>
    </row>
    <row r="63" spans="1:8" x14ac:dyDescent="0.15">
      <c r="A63" s="126" t="s">
        <v>293</v>
      </c>
      <c r="B63" s="122">
        <v>57.7</v>
      </c>
      <c r="C63" s="123">
        <v>14</v>
      </c>
      <c r="D63" s="123">
        <v>11</v>
      </c>
      <c r="E63" s="124">
        <f t="shared" si="7"/>
        <v>3.833333333333333E-2</v>
      </c>
      <c r="F63" s="123">
        <v>119</v>
      </c>
      <c r="G63" s="125">
        <f t="shared" si="6"/>
        <v>2.0623916811091854</v>
      </c>
      <c r="H63" s="124">
        <f t="shared" si="8"/>
        <v>0.34503805289729472</v>
      </c>
    </row>
    <row r="64" spans="1:8" x14ac:dyDescent="0.15">
      <c r="A64" s="126" t="s">
        <v>294</v>
      </c>
      <c r="B64" s="122">
        <v>57.3</v>
      </c>
      <c r="C64" s="123">
        <v>0</v>
      </c>
      <c r="D64" s="123"/>
      <c r="E64" s="124">
        <f t="shared" si="7"/>
        <v>6.9324090121317683E-3</v>
      </c>
      <c r="F64" s="123">
        <v>88</v>
      </c>
      <c r="G64" s="125">
        <f t="shared" si="6"/>
        <v>1.5357766143106457</v>
      </c>
      <c r="H64" s="124">
        <f t="shared" si="8"/>
        <v>-0.2553419273468549</v>
      </c>
    </row>
    <row r="65" spans="1:8" x14ac:dyDescent="0.15">
      <c r="A65" s="126" t="s">
        <v>295</v>
      </c>
      <c r="B65" s="122">
        <v>60</v>
      </c>
      <c r="C65" s="123">
        <v>53</v>
      </c>
      <c r="D65" s="123">
        <v>13</v>
      </c>
      <c r="E65" s="124">
        <f t="shared" si="7"/>
        <v>-4.7120418848167533E-2</v>
      </c>
      <c r="F65" s="123">
        <v>113</v>
      </c>
      <c r="G65" s="125">
        <f t="shared" si="6"/>
        <v>1.8833333333333333</v>
      </c>
      <c r="H65" s="124">
        <f t="shared" si="8"/>
        <v>0.22630681818181819</v>
      </c>
    </row>
    <row r="66" spans="1:8" x14ac:dyDescent="0.15">
      <c r="A66" s="126" t="s">
        <v>296</v>
      </c>
      <c r="B66" s="122">
        <v>60.4</v>
      </c>
      <c r="C66" s="123">
        <v>18</v>
      </c>
      <c r="D66" s="123">
        <v>27</v>
      </c>
      <c r="E66" s="124">
        <f t="shared" si="7"/>
        <v>-6.6666666666665986E-3</v>
      </c>
      <c r="F66" s="123">
        <v>145</v>
      </c>
      <c r="G66" s="125">
        <f t="shared" si="6"/>
        <v>2.4006622516556293</v>
      </c>
      <c r="H66" s="124">
        <f t="shared" si="8"/>
        <v>0.2746879212330775</v>
      </c>
    </row>
    <row r="67" spans="1:8" x14ac:dyDescent="0.15">
      <c r="A67" s="126" t="s">
        <v>297</v>
      </c>
      <c r="B67" s="122">
        <v>58.6</v>
      </c>
      <c r="C67" s="123">
        <v>88</v>
      </c>
      <c r="D67" s="123">
        <v>36</v>
      </c>
      <c r="E67" s="124">
        <f t="shared" si="7"/>
        <v>2.9801324503311188E-2</v>
      </c>
      <c r="F67" s="123">
        <v>130</v>
      </c>
      <c r="G67" s="125">
        <f t="shared" si="6"/>
        <v>2.218430034129693</v>
      </c>
      <c r="H67" s="124">
        <f t="shared" si="8"/>
        <v>-7.590914440390728E-2</v>
      </c>
    </row>
    <row r="68" spans="1:8" x14ac:dyDescent="0.15">
      <c r="A68" s="126" t="s">
        <v>298</v>
      </c>
      <c r="B68" s="122">
        <v>56.9</v>
      </c>
      <c r="C68" s="123">
        <v>97</v>
      </c>
      <c r="D68" s="123">
        <v>58</v>
      </c>
      <c r="E68" s="124">
        <f t="shared" si="7"/>
        <v>2.9010238907849928E-2</v>
      </c>
      <c r="F68" s="123">
        <v>156</v>
      </c>
      <c r="G68" s="125">
        <f t="shared" si="6"/>
        <v>2.7416520210896311</v>
      </c>
      <c r="H68" s="124">
        <f t="shared" si="8"/>
        <v>0.2358523725834798</v>
      </c>
    </row>
    <row r="69" spans="1:8" x14ac:dyDescent="0.15">
      <c r="A69" s="126" t="s">
        <v>299</v>
      </c>
      <c r="B69" s="122">
        <v>55.6</v>
      </c>
      <c r="C69" s="123">
        <v>82</v>
      </c>
      <c r="D69" s="123">
        <v>72</v>
      </c>
      <c r="E69" s="124">
        <f t="shared" si="7"/>
        <v>2.2847100175746871E-2</v>
      </c>
      <c r="F69" s="123">
        <v>174</v>
      </c>
      <c r="G69" s="125">
        <f t="shared" si="6"/>
        <v>3.1294964028776979</v>
      </c>
      <c r="H69" s="124">
        <f t="shared" si="8"/>
        <v>0.14146375207526285</v>
      </c>
    </row>
    <row r="70" spans="1:8" x14ac:dyDescent="0.15">
      <c r="A70" s="126" t="s">
        <v>300</v>
      </c>
      <c r="B70" s="122">
        <v>56.5</v>
      </c>
      <c r="C70" s="123">
        <v>100</v>
      </c>
      <c r="D70" s="123">
        <v>105</v>
      </c>
      <c r="E70" s="124">
        <f t="shared" si="7"/>
        <v>-1.618705035971213E-2</v>
      </c>
      <c r="F70" s="123">
        <v>220</v>
      </c>
      <c r="G70" s="125">
        <f t="shared" si="6"/>
        <v>3.8938053097345131</v>
      </c>
      <c r="H70" s="124">
        <f t="shared" si="8"/>
        <v>0.24422744380022365</v>
      </c>
    </row>
    <row r="71" spans="1:8" x14ac:dyDescent="0.15">
      <c r="A71" s="126" t="s">
        <v>301</v>
      </c>
      <c r="B71" s="122">
        <v>51</v>
      </c>
      <c r="C71" s="123">
        <v>502</v>
      </c>
      <c r="D71" s="123">
        <v>145</v>
      </c>
      <c r="E71" s="124">
        <f t="shared" si="7"/>
        <v>9.7345132743362872E-2</v>
      </c>
      <c r="F71" s="123">
        <v>246</v>
      </c>
      <c r="G71" s="125">
        <f t="shared" si="6"/>
        <v>4.8235294117647056</v>
      </c>
      <c r="H71" s="124">
        <f t="shared" si="8"/>
        <v>0.23877005347593583</v>
      </c>
    </row>
    <row r="72" spans="1:8" x14ac:dyDescent="0.15">
      <c r="A72" s="126" t="s">
        <v>302</v>
      </c>
      <c r="B72" s="122">
        <v>47.9</v>
      </c>
      <c r="C72" s="123">
        <v>798</v>
      </c>
      <c r="D72" s="123">
        <v>188</v>
      </c>
      <c r="E72" s="124">
        <f t="shared" si="7"/>
        <v>6.0784313725490202E-2</v>
      </c>
      <c r="F72" s="123">
        <v>281</v>
      </c>
      <c r="G72" s="125">
        <f t="shared" si="6"/>
        <v>5.8663883089770357</v>
      </c>
      <c r="H72" s="124">
        <f t="shared" si="8"/>
        <v>0.21620245430011731</v>
      </c>
    </row>
    <row r="73" spans="1:8" x14ac:dyDescent="0.15">
      <c r="A73" s="126" t="s">
        <v>303</v>
      </c>
      <c r="B73" s="122">
        <v>43</v>
      </c>
      <c r="C73" s="123">
        <v>600</v>
      </c>
      <c r="D73" s="123">
        <v>250</v>
      </c>
      <c r="E73" s="124">
        <f t="shared" si="7"/>
        <v>0.10229645093945716</v>
      </c>
      <c r="F73" s="123">
        <v>312</v>
      </c>
      <c r="G73" s="125">
        <f t="shared" si="6"/>
        <v>7.2558139534883717</v>
      </c>
      <c r="H73" s="124">
        <f t="shared" si="8"/>
        <v>0.23684515434908548</v>
      </c>
    </row>
    <row r="74" spans="1:8" x14ac:dyDescent="0.15">
      <c r="A74" s="126" t="s">
        <v>304</v>
      </c>
      <c r="B74" s="122">
        <v>41.5</v>
      </c>
      <c r="C74" s="123">
        <v>700</v>
      </c>
      <c r="D74" s="123">
        <v>270</v>
      </c>
      <c r="E74" s="124">
        <f t="shared" si="7"/>
        <v>3.4883720930232509E-2</v>
      </c>
      <c r="F74" s="123">
        <v>379</v>
      </c>
      <c r="G74" s="125">
        <f t="shared" si="6"/>
        <v>9.1325301204819276</v>
      </c>
      <c r="H74" s="124">
        <f t="shared" si="8"/>
        <v>0.258649984553599</v>
      </c>
    </row>
    <row r="75" spans="1:8" x14ac:dyDescent="0.15">
      <c r="A75" s="126" t="s">
        <v>305</v>
      </c>
      <c r="B75" s="122">
        <v>39.5</v>
      </c>
      <c r="C75" s="123">
        <v>187</v>
      </c>
      <c r="D75" s="123">
        <v>380</v>
      </c>
      <c r="E75" s="124">
        <f t="shared" si="7"/>
        <v>4.8192771084337394E-2</v>
      </c>
      <c r="F75" s="123">
        <v>489</v>
      </c>
      <c r="G75" s="125">
        <f t="shared" si="6"/>
        <v>12.379746835443038</v>
      </c>
      <c r="H75" s="124">
        <f t="shared" si="8"/>
        <v>0.35556594636117711</v>
      </c>
    </row>
    <row r="76" spans="1:8" x14ac:dyDescent="0.15">
      <c r="A76" s="126" t="s">
        <v>306</v>
      </c>
      <c r="B76" s="122">
        <v>37</v>
      </c>
      <c r="C76" s="123">
        <v>1085</v>
      </c>
      <c r="D76" s="123">
        <v>458</v>
      </c>
      <c r="E76" s="124">
        <f t="shared" si="7"/>
        <v>6.3291139240506333E-2</v>
      </c>
      <c r="F76" s="123">
        <v>540</v>
      </c>
      <c r="G76" s="125">
        <f t="shared" si="6"/>
        <v>14.594594594594595</v>
      </c>
      <c r="H76" s="124">
        <f t="shared" si="8"/>
        <v>0.17890897032001329</v>
      </c>
    </row>
    <row r="77" spans="1:8" x14ac:dyDescent="0.15">
      <c r="A77" s="126" t="s">
        <v>307</v>
      </c>
      <c r="B77" s="122">
        <v>35.6</v>
      </c>
      <c r="C77" s="123">
        <v>251</v>
      </c>
      <c r="D77" s="123">
        <v>351</v>
      </c>
      <c r="E77" s="124">
        <f t="shared" si="7"/>
        <v>3.7837837837837784E-2</v>
      </c>
      <c r="F77" s="123">
        <v>359</v>
      </c>
      <c r="G77" s="125">
        <f t="shared" si="6"/>
        <v>10.084269662921347</v>
      </c>
      <c r="H77" s="124">
        <f t="shared" si="8"/>
        <v>-0.30904078235538923</v>
      </c>
    </row>
    <row r="78" spans="1:8" x14ac:dyDescent="0.15">
      <c r="A78" s="126" t="s">
        <v>191</v>
      </c>
      <c r="B78" s="122">
        <v>34.9</v>
      </c>
      <c r="C78" s="123">
        <v>78</v>
      </c>
      <c r="D78" s="123">
        <v>354</v>
      </c>
      <c r="E78" s="124">
        <f t="shared" si="7"/>
        <v>1.966292134831471E-2</v>
      </c>
      <c r="F78" s="123">
        <v>486</v>
      </c>
      <c r="G78" s="125">
        <f t="shared" si="6"/>
        <v>13.925501432664756</v>
      </c>
      <c r="H78" s="124">
        <f t="shared" si="8"/>
        <v>0.38091323399126842</v>
      </c>
    </row>
    <row r="79" spans="1:8" x14ac:dyDescent="0.15">
      <c r="A79" s="126" t="s">
        <v>192</v>
      </c>
      <c r="B79" s="122">
        <v>35</v>
      </c>
      <c r="C79" s="123">
        <v>156</v>
      </c>
      <c r="D79" s="123">
        <v>425</v>
      </c>
      <c r="E79" s="124">
        <f t="shared" si="7"/>
        <v>-2.8653295128939771E-3</v>
      </c>
      <c r="F79" s="123">
        <v>512</v>
      </c>
      <c r="G79" s="125">
        <f t="shared" si="6"/>
        <v>14.628571428571428</v>
      </c>
      <c r="H79" s="124">
        <f t="shared" si="8"/>
        <v>5.0487948265726112E-2</v>
      </c>
    </row>
    <row r="80" spans="1:8" x14ac:dyDescent="0.15">
      <c r="A80" s="127" t="s">
        <v>193</v>
      </c>
      <c r="B80" s="128">
        <v>34.6</v>
      </c>
      <c r="C80" s="129">
        <v>540</v>
      </c>
      <c r="D80" s="129">
        <v>470</v>
      </c>
      <c r="E80" s="130">
        <f t="shared" si="7"/>
        <v>1.1428571428571344E-2</v>
      </c>
      <c r="F80" s="129">
        <v>671</v>
      </c>
      <c r="G80" s="131">
        <f t="shared" si="6"/>
        <v>19.393063583815028</v>
      </c>
      <c r="H80" s="130">
        <f t="shared" si="8"/>
        <v>0.32569770592485536</v>
      </c>
    </row>
    <row r="82" spans="1:3" x14ac:dyDescent="0.15">
      <c r="A82" s="132" t="s">
        <v>308</v>
      </c>
    </row>
    <row r="83" spans="1:3" x14ac:dyDescent="0.15">
      <c r="A83" t="s">
        <v>309</v>
      </c>
      <c r="C83" s="73">
        <f>SUM(C59:C80)</f>
        <v>6144</v>
      </c>
    </row>
    <row r="84" spans="1:3" x14ac:dyDescent="0.15">
      <c r="A84" t="s">
        <v>310</v>
      </c>
      <c r="B84" s="103">
        <f>B80/B59-1</f>
        <v>-0.47175572519083964</v>
      </c>
    </row>
    <row r="85" spans="1:3" x14ac:dyDescent="0.15">
      <c r="A85" t="s">
        <v>311</v>
      </c>
      <c r="B85" s="67">
        <f>(G80/G59)^(1/21)-1</f>
        <v>0.1407246976602583</v>
      </c>
    </row>
    <row r="86" spans="1:3" x14ac:dyDescent="0.15">
      <c r="A86" t="s">
        <v>312</v>
      </c>
      <c r="B86" s="65">
        <f>(F80/F59)^(1/21)-1</f>
        <v>0.1065791972315413</v>
      </c>
    </row>
    <row r="87" spans="1:3" x14ac:dyDescent="0.15">
      <c r="A87" t="s">
        <v>313</v>
      </c>
      <c r="B87" s="66">
        <f>1-(B80/B59)^(1/21)</f>
        <v>2.9933164854546224E-2</v>
      </c>
    </row>
    <row r="88" spans="1:3" x14ac:dyDescent="0.15">
      <c r="A88" t="s">
        <v>314</v>
      </c>
      <c r="B88" s="65">
        <f>(G80/G59)^(1/21)-1</f>
        <v>0.1407246976602583</v>
      </c>
    </row>
    <row r="90" spans="1:3" x14ac:dyDescent="0.15">
      <c r="A90" s="59" t="s">
        <v>315</v>
      </c>
    </row>
    <row r="91" spans="1:3" x14ac:dyDescent="0.15">
      <c r="A91" s="59" t="s">
        <v>316</v>
      </c>
    </row>
  </sheetData>
  <mergeCells count="1">
    <mergeCell ref="A56:H56"/>
  </mergeCells>
  <pageMargins left="0.7" right="0.7" top="0.75" bottom="0.75" header="0.3" footer="0.3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C29"/>
  <sheetViews>
    <sheetView workbookViewId="0">
      <selection activeCell="C8" sqref="C8"/>
    </sheetView>
  </sheetViews>
  <sheetFormatPr baseColWidth="10" defaultRowHeight="13" x14ac:dyDescent="0.15"/>
  <cols>
    <col min="1" max="3" width="33.33203125" customWidth="1"/>
  </cols>
  <sheetData>
    <row r="1" spans="1:3" ht="18" customHeight="1" x14ac:dyDescent="0.2">
      <c r="A1" s="58" t="s">
        <v>317</v>
      </c>
    </row>
    <row r="2" spans="1:3" x14ac:dyDescent="0.15">
      <c r="A2" s="59" t="s">
        <v>318</v>
      </c>
    </row>
    <row r="4" spans="1:3" x14ac:dyDescent="0.15">
      <c r="A4" s="61" t="s">
        <v>319</v>
      </c>
      <c r="B4" s="62"/>
      <c r="C4" s="62"/>
    </row>
    <row r="5" spans="1:3" x14ac:dyDescent="0.15">
      <c r="A5" t="s">
        <v>320</v>
      </c>
      <c r="B5" s="63">
        <v>4.2999999999999997E-2</v>
      </c>
    </row>
    <row r="6" spans="1:3" x14ac:dyDescent="0.15">
      <c r="A6" t="s">
        <v>321</v>
      </c>
      <c r="B6" s="64">
        <v>0.7</v>
      </c>
    </row>
    <row r="7" spans="1:3" x14ac:dyDescent="0.15">
      <c r="A7" t="s">
        <v>322</v>
      </c>
      <c r="B7" s="63">
        <v>5.5E-2</v>
      </c>
    </row>
    <row r="8" spans="1:3" x14ac:dyDescent="0.15">
      <c r="A8" s="60" t="s">
        <v>323</v>
      </c>
      <c r="B8" s="67">
        <f>B5+B6*B7</f>
        <v>8.1499999999999989E-2</v>
      </c>
    </row>
    <row r="10" spans="1:3" x14ac:dyDescent="0.15">
      <c r="A10" s="61" t="s">
        <v>324</v>
      </c>
      <c r="B10" s="62"/>
      <c r="C10" s="62"/>
    </row>
    <row r="11" spans="1:3" x14ac:dyDescent="0.15">
      <c r="A11" t="s">
        <v>325</v>
      </c>
      <c r="B11" s="63">
        <v>5.1999999999999998E-2</v>
      </c>
    </row>
    <row r="12" spans="1:3" x14ac:dyDescent="0.15">
      <c r="A12" t="s">
        <v>326</v>
      </c>
      <c r="B12" s="63">
        <v>0.22</v>
      </c>
    </row>
    <row r="13" spans="1:3" x14ac:dyDescent="0.15">
      <c r="A13" s="60" t="s">
        <v>327</v>
      </c>
      <c r="B13" s="66">
        <f>B11*(1-B12)</f>
        <v>4.0559999999999999E-2</v>
      </c>
    </row>
    <row r="15" spans="1:3" x14ac:dyDescent="0.15">
      <c r="A15" s="61" t="s">
        <v>328</v>
      </c>
      <c r="B15" s="62"/>
      <c r="C15" s="62"/>
    </row>
    <row r="16" spans="1:3" x14ac:dyDescent="0.15">
      <c r="A16" t="s">
        <v>329</v>
      </c>
      <c r="B16" s="68">
        <v>372</v>
      </c>
    </row>
    <row r="17" spans="1:2" x14ac:dyDescent="0.15">
      <c r="A17" t="s">
        <v>90</v>
      </c>
      <c r="B17" s="69">
        <v>33.6</v>
      </c>
    </row>
    <row r="18" spans="1:2" x14ac:dyDescent="0.15">
      <c r="A18" t="s">
        <v>186</v>
      </c>
      <c r="B18" s="71">
        <f>B16*B17</f>
        <v>12499.2</v>
      </c>
    </row>
    <row r="19" spans="1:2" x14ac:dyDescent="0.15">
      <c r="A19" t="s">
        <v>330</v>
      </c>
      <c r="B19" s="72">
        <v>5000</v>
      </c>
    </row>
    <row r="20" spans="1:2" x14ac:dyDescent="0.15">
      <c r="A20" t="s">
        <v>331</v>
      </c>
      <c r="B20" s="72">
        <v>216</v>
      </c>
    </row>
    <row r="21" spans="1:2" x14ac:dyDescent="0.15">
      <c r="A21" s="60" t="s">
        <v>187</v>
      </c>
      <c r="B21" s="73">
        <f>B19-B20</f>
        <v>4784</v>
      </c>
    </row>
    <row r="22" spans="1:2" x14ac:dyDescent="0.15">
      <c r="A22" s="60" t="s">
        <v>332</v>
      </c>
      <c r="B22" s="73">
        <f>B18+B21</f>
        <v>17283.2</v>
      </c>
    </row>
    <row r="24" spans="1:2" x14ac:dyDescent="0.15">
      <c r="A24" t="s">
        <v>333</v>
      </c>
      <c r="B24" s="74">
        <f>B18/B22</f>
        <v>0.72319940751712652</v>
      </c>
    </row>
    <row r="25" spans="1:2" x14ac:dyDescent="0.15">
      <c r="A25" t="s">
        <v>334</v>
      </c>
      <c r="B25" s="74">
        <f>B21/B22</f>
        <v>0.27680059248287353</v>
      </c>
    </row>
    <row r="27" spans="1:2" ht="16" customHeight="1" x14ac:dyDescent="0.2">
      <c r="A27" s="75" t="s">
        <v>335</v>
      </c>
      <c r="B27" s="76">
        <f>B8*B24+B13*B25</f>
        <v>7.0167783743751155E-2</v>
      </c>
    </row>
    <row r="29" spans="1:2" x14ac:dyDescent="0.15">
      <c r="A29" s="59" t="s">
        <v>336</v>
      </c>
    </row>
  </sheetData>
  <pageMargins left="0.7" right="0.7" top="0.75" bottom="0.75" header="0.3" footer="0.3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G49"/>
  <sheetViews>
    <sheetView workbookViewId="0"/>
  </sheetViews>
  <sheetFormatPr baseColWidth="10" defaultRowHeight="13" x14ac:dyDescent="0.15"/>
  <cols>
    <col min="1" max="7" width="24.1640625" customWidth="1"/>
  </cols>
  <sheetData>
    <row r="1" spans="1:7" ht="18" customHeight="1" x14ac:dyDescent="0.2">
      <c r="A1" s="58" t="s">
        <v>337</v>
      </c>
    </row>
    <row r="2" spans="1:7" x14ac:dyDescent="0.15">
      <c r="A2" s="59" t="s">
        <v>338</v>
      </c>
    </row>
    <row r="4" spans="1:7" x14ac:dyDescent="0.15">
      <c r="A4" s="77" t="s">
        <v>339</v>
      </c>
      <c r="B4" s="78"/>
      <c r="C4" s="78"/>
      <c r="D4" s="78"/>
      <c r="E4" s="78"/>
      <c r="F4" s="78"/>
      <c r="G4" s="78"/>
    </row>
    <row r="5" spans="1:7" x14ac:dyDescent="0.15">
      <c r="A5" s="61" t="s">
        <v>340</v>
      </c>
      <c r="B5" s="82" t="s">
        <v>3</v>
      </c>
      <c r="C5" s="82" t="s">
        <v>341</v>
      </c>
      <c r="D5" s="82" t="s">
        <v>342</v>
      </c>
      <c r="E5" s="82" t="s">
        <v>343</v>
      </c>
      <c r="F5" s="82" t="s">
        <v>344</v>
      </c>
      <c r="G5" s="82" t="s">
        <v>345</v>
      </c>
    </row>
    <row r="6" spans="1:7" x14ac:dyDescent="0.15">
      <c r="A6" s="118" t="s">
        <v>346</v>
      </c>
      <c r="B6" s="118" t="s">
        <v>24</v>
      </c>
      <c r="C6" s="133">
        <v>5.5E-2</v>
      </c>
      <c r="D6" s="133">
        <v>0.10199999999999999</v>
      </c>
      <c r="E6" s="133">
        <v>0</v>
      </c>
      <c r="F6" s="134" t="s">
        <v>347</v>
      </c>
      <c r="G6" s="134" t="s">
        <v>348</v>
      </c>
    </row>
    <row r="7" spans="1:7" x14ac:dyDescent="0.15">
      <c r="A7" t="s">
        <v>349</v>
      </c>
      <c r="B7" s="135" t="s">
        <v>350</v>
      </c>
      <c r="C7" s="89">
        <v>7.0000000000000007E-2</v>
      </c>
      <c r="D7" s="89">
        <v>0.13</v>
      </c>
      <c r="E7" s="89">
        <v>-0.04</v>
      </c>
      <c r="F7" s="135" t="s">
        <v>351</v>
      </c>
      <c r="G7" t="s">
        <v>352</v>
      </c>
    </row>
    <row r="8" spans="1:7" x14ac:dyDescent="0.15">
      <c r="A8" t="s">
        <v>353</v>
      </c>
      <c r="B8" s="135" t="s">
        <v>354</v>
      </c>
      <c r="C8" s="89">
        <v>0.12</v>
      </c>
      <c r="D8" s="89">
        <v>0.18</v>
      </c>
      <c r="E8" s="89">
        <v>-5.8000000000000003E-2</v>
      </c>
      <c r="F8" s="135" t="s">
        <v>355</v>
      </c>
      <c r="G8" t="s">
        <v>356</v>
      </c>
    </row>
    <row r="9" spans="1:7" x14ac:dyDescent="0.15">
      <c r="A9" t="s">
        <v>357</v>
      </c>
      <c r="B9" s="135" t="s">
        <v>358</v>
      </c>
      <c r="C9" s="89">
        <v>0.05</v>
      </c>
      <c r="D9" s="89">
        <v>0.09</v>
      </c>
      <c r="E9" s="89">
        <v>0.04</v>
      </c>
      <c r="F9" s="135" t="s">
        <v>359</v>
      </c>
      <c r="G9" t="s">
        <v>360</v>
      </c>
    </row>
    <row r="10" spans="1:7" x14ac:dyDescent="0.15">
      <c r="A10" t="s">
        <v>361</v>
      </c>
      <c r="B10" s="135" t="s">
        <v>362</v>
      </c>
      <c r="C10" s="89">
        <v>0.05</v>
      </c>
      <c r="D10" s="89">
        <v>0.08</v>
      </c>
      <c r="E10" s="89">
        <v>2.5999999999999999E-2</v>
      </c>
      <c r="F10" s="135" t="s">
        <v>359</v>
      </c>
      <c r="G10" t="s">
        <v>363</v>
      </c>
    </row>
    <row r="11" spans="1:7" x14ac:dyDescent="0.15">
      <c r="A11" t="s">
        <v>364</v>
      </c>
      <c r="B11" s="135" t="s">
        <v>365</v>
      </c>
      <c r="C11" s="89">
        <v>0.04</v>
      </c>
      <c r="D11" s="89">
        <v>7.0000000000000007E-2</v>
      </c>
      <c r="E11" s="89">
        <v>0.02</v>
      </c>
      <c r="F11" s="135" t="s">
        <v>366</v>
      </c>
      <c r="G11" t="s">
        <v>367</v>
      </c>
    </row>
    <row r="12" spans="1:7" x14ac:dyDescent="0.15">
      <c r="A12" t="s">
        <v>368</v>
      </c>
      <c r="B12" s="135" t="s">
        <v>369</v>
      </c>
      <c r="C12" s="89">
        <v>0.02</v>
      </c>
      <c r="D12" s="89">
        <v>0.04</v>
      </c>
      <c r="E12" s="89">
        <v>-0.02</v>
      </c>
      <c r="F12" s="135" t="s">
        <v>370</v>
      </c>
      <c r="G12" t="s">
        <v>371</v>
      </c>
    </row>
    <row r="14" spans="1:7" x14ac:dyDescent="0.15">
      <c r="A14" s="83" t="s">
        <v>372</v>
      </c>
      <c r="C14" s="85">
        <v>6.7000000000000004E-2</v>
      </c>
      <c r="D14" s="85">
        <v>0.189</v>
      </c>
    </row>
    <row r="15" spans="1:7" x14ac:dyDescent="0.15">
      <c r="A15" s="83" t="s">
        <v>373</v>
      </c>
      <c r="C15" s="85">
        <v>7.46E-2</v>
      </c>
    </row>
    <row r="16" spans="1:7" x14ac:dyDescent="0.15">
      <c r="A16" s="83" t="s">
        <v>374</v>
      </c>
      <c r="C16" s="85">
        <v>0.06</v>
      </c>
    </row>
    <row r="17" spans="1:4" x14ac:dyDescent="0.15">
      <c r="A17" s="83" t="s">
        <v>375</v>
      </c>
      <c r="D17" s="85">
        <v>7.0000000000000007E-2</v>
      </c>
    </row>
    <row r="19" spans="1:4" x14ac:dyDescent="0.15">
      <c r="A19" s="136" t="s">
        <v>376</v>
      </c>
      <c r="B19" s="78"/>
      <c r="C19" s="78"/>
    </row>
    <row r="20" spans="1:4" x14ac:dyDescent="0.15">
      <c r="A20" s="137" t="s">
        <v>377</v>
      </c>
      <c r="B20" s="82" t="s">
        <v>378</v>
      </c>
      <c r="C20" s="61" t="s">
        <v>379</v>
      </c>
    </row>
    <row r="21" spans="1:4" x14ac:dyDescent="0.15">
      <c r="A21" t="s">
        <v>380</v>
      </c>
      <c r="B21" s="138">
        <v>0.107</v>
      </c>
      <c r="C21" t="s">
        <v>381</v>
      </c>
    </row>
    <row r="22" spans="1:4" x14ac:dyDescent="0.15">
      <c r="A22" t="s">
        <v>382</v>
      </c>
      <c r="B22" s="138">
        <v>0.11799999999999999</v>
      </c>
      <c r="C22" t="s">
        <v>383</v>
      </c>
    </row>
    <row r="23" spans="1:4" x14ac:dyDescent="0.15">
      <c r="A23" t="s">
        <v>384</v>
      </c>
      <c r="B23" s="138">
        <v>6.4000000000000001E-2</v>
      </c>
      <c r="C23" t="s">
        <v>385</v>
      </c>
    </row>
    <row r="24" spans="1:4" x14ac:dyDescent="0.15">
      <c r="A24" t="s">
        <v>386</v>
      </c>
      <c r="B24" s="138">
        <v>5.5E-2</v>
      </c>
      <c r="C24" t="s">
        <v>387</v>
      </c>
    </row>
    <row r="25" spans="1:4" x14ac:dyDescent="0.15">
      <c r="A25" t="s">
        <v>388</v>
      </c>
      <c r="B25" s="138">
        <v>0.10199999999999999</v>
      </c>
      <c r="C25" t="s">
        <v>389</v>
      </c>
    </row>
    <row r="26" spans="1:4" x14ac:dyDescent="0.15">
      <c r="A26" t="s">
        <v>390</v>
      </c>
      <c r="B26" s="138">
        <v>7.0000000000000007E-2</v>
      </c>
      <c r="C26" t="s">
        <v>391</v>
      </c>
    </row>
    <row r="27" spans="1:4" x14ac:dyDescent="0.15">
      <c r="A27" t="s">
        <v>392</v>
      </c>
      <c r="B27" s="138">
        <v>7.46E-2</v>
      </c>
      <c r="C27" t="s">
        <v>393</v>
      </c>
    </row>
    <row r="28" spans="1:4" x14ac:dyDescent="0.15">
      <c r="A28" t="s">
        <v>394</v>
      </c>
      <c r="B28" s="138">
        <v>6.7000000000000004E-2</v>
      </c>
      <c r="C28" t="s">
        <v>395</v>
      </c>
    </row>
    <row r="29" spans="1:4" x14ac:dyDescent="0.15">
      <c r="A29" s="60" t="s">
        <v>396</v>
      </c>
      <c r="B29" s="139">
        <v>0.05</v>
      </c>
      <c r="C29" s="92" t="s">
        <v>397</v>
      </c>
    </row>
    <row r="31" spans="1:4" x14ac:dyDescent="0.15">
      <c r="A31" s="77" t="s">
        <v>398</v>
      </c>
      <c r="B31" s="78"/>
    </row>
    <row r="32" spans="1:4" x14ac:dyDescent="0.15">
      <c r="A32" s="61" t="s">
        <v>399</v>
      </c>
      <c r="B32" s="82" t="s">
        <v>400</v>
      </c>
      <c r="C32" s="82" t="s">
        <v>401</v>
      </c>
    </row>
    <row r="33" spans="1:3" x14ac:dyDescent="0.15">
      <c r="A33" t="s">
        <v>402</v>
      </c>
      <c r="B33" s="140">
        <v>0.2</v>
      </c>
      <c r="C33" s="135" t="s">
        <v>403</v>
      </c>
    </row>
    <row r="34" spans="1:3" x14ac:dyDescent="0.15">
      <c r="A34" t="s">
        <v>404</v>
      </c>
      <c r="B34" s="141">
        <v>0.55000000000000004</v>
      </c>
      <c r="C34" s="142">
        <v>0.05</v>
      </c>
    </row>
    <row r="35" spans="1:3" x14ac:dyDescent="0.15">
      <c r="A35" t="s">
        <v>405</v>
      </c>
      <c r="B35" s="140">
        <v>0.25</v>
      </c>
      <c r="C35" s="135" t="s">
        <v>406</v>
      </c>
    </row>
    <row r="37" spans="1:3" x14ac:dyDescent="0.15">
      <c r="A37" s="77" t="s">
        <v>407</v>
      </c>
      <c r="B37" s="78"/>
    </row>
    <row r="38" spans="1:3" x14ac:dyDescent="0.15">
      <c r="A38" s="118" t="s">
        <v>408</v>
      </c>
    </row>
    <row r="39" spans="1:3" x14ac:dyDescent="0.15">
      <c r="A39" t="s">
        <v>409</v>
      </c>
    </row>
    <row r="40" spans="1:3" x14ac:dyDescent="0.15">
      <c r="A40" t="s">
        <v>410</v>
      </c>
    </row>
    <row r="41" spans="1:3" x14ac:dyDescent="0.15">
      <c r="A41" t="s">
        <v>411</v>
      </c>
    </row>
    <row r="42" spans="1:3" x14ac:dyDescent="0.15">
      <c r="A42" t="s">
        <v>412</v>
      </c>
    </row>
    <row r="43" spans="1:3" x14ac:dyDescent="0.15">
      <c r="A43" t="s">
        <v>413</v>
      </c>
    </row>
    <row r="45" spans="1:3" x14ac:dyDescent="0.15">
      <c r="A45" s="60" t="s">
        <v>414</v>
      </c>
    </row>
    <row r="46" spans="1:3" x14ac:dyDescent="0.15">
      <c r="A46" t="s">
        <v>415</v>
      </c>
    </row>
    <row r="47" spans="1:3" x14ac:dyDescent="0.15">
      <c r="A47" t="s">
        <v>416</v>
      </c>
    </row>
    <row r="48" spans="1:3" x14ac:dyDescent="0.15">
      <c r="A48" t="s">
        <v>417</v>
      </c>
    </row>
    <row r="49" spans="1:1" x14ac:dyDescent="0.15">
      <c r="A49" t="s">
        <v>418</v>
      </c>
    </row>
  </sheetData>
  <pageMargins left="0.7" right="0.7" top="0.75" bottom="0.75" header="0.3" footer="0.3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1:S517"/>
  <sheetViews>
    <sheetView topLeftCell="G1" workbookViewId="0">
      <pane ySplit="5" topLeftCell="A67" activePane="bottomLeft" state="frozen"/>
      <selection pane="bottomLeft" activeCell="H444" sqref="H444"/>
    </sheetView>
  </sheetViews>
  <sheetFormatPr baseColWidth="10" defaultColWidth="8.83203125" defaultRowHeight="13" x14ac:dyDescent="0.15"/>
  <cols>
    <col min="1" max="1" width="5" customWidth="1"/>
    <col min="2" max="2" width="8" customWidth="1"/>
    <col min="3" max="3" width="28" customWidth="1"/>
    <col min="4" max="4" width="22" customWidth="1"/>
    <col min="5" max="5" width="14" customWidth="1"/>
    <col min="6" max="6" width="16" customWidth="1"/>
    <col min="7" max="7" width="14" customWidth="1"/>
    <col min="8" max="8" width="16" customWidth="1"/>
    <col min="9" max="9" width="14" customWidth="1"/>
    <col min="10" max="10" width="10" customWidth="1"/>
    <col min="11" max="11" width="14" customWidth="1"/>
    <col min="12" max="12" width="16" customWidth="1"/>
    <col min="13" max="13" width="18" customWidth="1"/>
    <col min="14" max="14" width="10" customWidth="1"/>
    <col min="15" max="15" width="7" customWidth="1"/>
    <col min="16" max="16" width="12" customWidth="1"/>
    <col min="17" max="17" width="10" customWidth="1"/>
    <col min="18" max="18" width="14" customWidth="1"/>
    <col min="19" max="19" width="45" customWidth="1"/>
  </cols>
  <sheetData>
    <row r="1" spans="1:19" ht="30" customHeight="1" x14ac:dyDescent="0.15">
      <c r="A1" s="217" t="s">
        <v>419</v>
      </c>
      <c r="B1" s="215"/>
      <c r="C1" s="215"/>
      <c r="D1" s="215"/>
      <c r="E1" s="215"/>
      <c r="F1" s="215"/>
      <c r="G1" s="215"/>
      <c r="H1" s="215"/>
      <c r="I1" s="215"/>
      <c r="J1" s="215"/>
      <c r="K1" s="215"/>
      <c r="L1" s="215"/>
      <c r="M1" s="215"/>
      <c r="N1" s="215"/>
      <c r="O1" s="215"/>
      <c r="P1" s="215"/>
      <c r="Q1" s="215"/>
      <c r="R1" s="215"/>
      <c r="S1" s="215"/>
    </row>
    <row r="2" spans="1:19" ht="18" customHeight="1" x14ac:dyDescent="0.15">
      <c r="A2" s="222" t="s">
        <v>420</v>
      </c>
      <c r="B2" s="215"/>
      <c r="C2" s="215"/>
      <c r="D2" s="215"/>
      <c r="E2" s="215"/>
      <c r="F2" s="215"/>
      <c r="G2" s="215"/>
      <c r="H2" s="215"/>
      <c r="I2" s="215"/>
      <c r="J2" s="215"/>
      <c r="K2" s="215"/>
      <c r="L2" s="215"/>
      <c r="M2" s="215"/>
      <c r="N2" s="215"/>
      <c r="O2" s="215"/>
      <c r="P2" s="215"/>
      <c r="Q2" s="215"/>
      <c r="R2" s="215"/>
      <c r="S2" s="215"/>
    </row>
    <row r="3" spans="1:19" ht="18" customHeight="1" x14ac:dyDescent="0.15">
      <c r="A3" s="218" t="s">
        <v>421</v>
      </c>
      <c r="B3" s="215"/>
      <c r="C3" s="215"/>
      <c r="D3" s="215"/>
      <c r="E3" s="215"/>
      <c r="F3" s="215"/>
      <c r="G3" s="215"/>
      <c r="H3" s="215"/>
      <c r="I3" s="215"/>
      <c r="J3" s="215"/>
      <c r="K3" s="215"/>
      <c r="L3" s="215"/>
      <c r="M3" s="215"/>
      <c r="N3" s="215"/>
      <c r="O3" s="215"/>
      <c r="P3" s="215"/>
      <c r="Q3" s="215"/>
      <c r="R3" s="215"/>
      <c r="S3" s="215"/>
    </row>
    <row r="4" spans="1:19" ht="28" customHeight="1" x14ac:dyDescent="0.15">
      <c r="J4" s="219" t="s">
        <v>422</v>
      </c>
      <c r="K4" s="215"/>
      <c r="L4" s="215"/>
      <c r="M4" s="220" t="s">
        <v>423</v>
      </c>
      <c r="N4" s="221"/>
      <c r="O4" s="223" t="s">
        <v>424</v>
      </c>
      <c r="P4" s="215"/>
      <c r="Q4" s="215"/>
      <c r="R4" s="215"/>
      <c r="S4" s="215"/>
    </row>
    <row r="5" spans="1:19" ht="32" customHeight="1" x14ac:dyDescent="0.15">
      <c r="A5" s="49" t="s">
        <v>425</v>
      </c>
      <c r="B5" s="49" t="s">
        <v>3</v>
      </c>
      <c r="C5" s="49" t="s">
        <v>340</v>
      </c>
      <c r="D5" s="49" t="s">
        <v>426</v>
      </c>
      <c r="E5" s="49" t="s">
        <v>427</v>
      </c>
      <c r="F5" s="49" t="s">
        <v>428</v>
      </c>
      <c r="G5" s="49" t="s">
        <v>429</v>
      </c>
      <c r="H5" s="49" t="s">
        <v>430</v>
      </c>
      <c r="I5" s="49" t="s">
        <v>431</v>
      </c>
      <c r="J5" s="49" t="s">
        <v>432</v>
      </c>
      <c r="K5" s="49" t="s">
        <v>286</v>
      </c>
      <c r="L5" s="49" t="s">
        <v>433</v>
      </c>
      <c r="M5" s="49" t="s">
        <v>434</v>
      </c>
      <c r="N5" s="49" t="s">
        <v>435</v>
      </c>
      <c r="O5" s="205" t="s">
        <v>436</v>
      </c>
      <c r="P5" s="205" t="s">
        <v>437</v>
      </c>
      <c r="Q5" s="205" t="s">
        <v>438</v>
      </c>
      <c r="R5" s="205" t="s">
        <v>439</v>
      </c>
      <c r="S5" s="205" t="s">
        <v>440</v>
      </c>
    </row>
    <row r="6" spans="1:19" ht="20" customHeight="1" x14ac:dyDescent="0.15">
      <c r="A6" s="50">
        <v>1</v>
      </c>
      <c r="B6" s="51" t="s">
        <v>441</v>
      </c>
      <c r="C6" s="52" t="s">
        <v>442</v>
      </c>
      <c r="D6" s="53" t="s">
        <v>443</v>
      </c>
      <c r="E6" s="183">
        <v>190.17</v>
      </c>
      <c r="F6" s="184">
        <v>0.59005019999999997</v>
      </c>
      <c r="G6" s="185">
        <v>301.96337868799998</v>
      </c>
      <c r="H6" s="184">
        <v>0.16300000000000001</v>
      </c>
      <c r="I6" s="186">
        <v>0.87387999999999999</v>
      </c>
      <c r="J6" s="187">
        <v>17.209955000000001</v>
      </c>
      <c r="K6" s="188" t="s">
        <v>264</v>
      </c>
      <c r="L6" s="188" t="s">
        <v>264</v>
      </c>
      <c r="M6" s="188" t="s">
        <v>264</v>
      </c>
      <c r="N6" s="188" t="s">
        <v>264</v>
      </c>
      <c r="O6" s="206" t="s">
        <v>264</v>
      </c>
      <c r="P6" s="206" t="s">
        <v>264</v>
      </c>
      <c r="Q6" s="206" t="s">
        <v>264</v>
      </c>
      <c r="R6" s="206" t="s">
        <v>264</v>
      </c>
      <c r="S6" s="206" t="s">
        <v>264</v>
      </c>
    </row>
    <row r="7" spans="1:19" ht="20" customHeight="1" x14ac:dyDescent="0.15">
      <c r="A7" s="54">
        <v>2</v>
      </c>
      <c r="B7" s="55" t="s">
        <v>444</v>
      </c>
      <c r="C7" s="56" t="s">
        <v>445</v>
      </c>
      <c r="D7" s="57" t="s">
        <v>443</v>
      </c>
      <c r="E7" s="189">
        <v>91.54</v>
      </c>
      <c r="F7" s="184">
        <v>9.7996829999999993E-2</v>
      </c>
      <c r="G7" s="190">
        <v>160.39734476800001</v>
      </c>
      <c r="H7" s="184">
        <v>0.158</v>
      </c>
      <c r="I7" s="191">
        <v>0.97460000000000002</v>
      </c>
      <c r="J7" s="192">
        <v>18.198806999999999</v>
      </c>
      <c r="K7" s="193" t="s">
        <v>264</v>
      </c>
      <c r="L7" s="193" t="s">
        <v>264</v>
      </c>
      <c r="M7" s="193" t="s">
        <v>264</v>
      </c>
      <c r="N7" s="193" t="s">
        <v>264</v>
      </c>
      <c r="O7" s="207" t="s">
        <v>264</v>
      </c>
      <c r="P7" s="207" t="s">
        <v>264</v>
      </c>
      <c r="Q7" s="207" t="s">
        <v>264</v>
      </c>
      <c r="R7" s="207" t="s">
        <v>264</v>
      </c>
      <c r="S7" s="207" t="s">
        <v>264</v>
      </c>
    </row>
    <row r="8" spans="1:19" ht="20" customHeight="1" x14ac:dyDescent="0.15">
      <c r="A8" s="50">
        <v>3</v>
      </c>
      <c r="B8" s="51" t="s">
        <v>446</v>
      </c>
      <c r="C8" s="52" t="s">
        <v>447</v>
      </c>
      <c r="D8" s="53" t="s">
        <v>448</v>
      </c>
      <c r="E8" s="183">
        <v>63.81</v>
      </c>
      <c r="F8" s="184">
        <v>0.12065327000000001</v>
      </c>
      <c r="G8" s="185">
        <v>59.499675648</v>
      </c>
      <c r="H8" s="184">
        <v>0.11</v>
      </c>
      <c r="I8" s="186">
        <v>0.92559000000000002</v>
      </c>
      <c r="J8" s="187">
        <v>54.538463999999998</v>
      </c>
      <c r="K8" s="194">
        <v>2675.889408</v>
      </c>
      <c r="L8" s="185">
        <v>24.46837141841679</v>
      </c>
      <c r="M8" s="195">
        <v>-0.58876462515238503</v>
      </c>
      <c r="N8" s="187">
        <v>22.235476091671121</v>
      </c>
      <c r="O8" s="206" t="s">
        <v>264</v>
      </c>
      <c r="P8" s="206" t="s">
        <v>264</v>
      </c>
      <c r="Q8" s="206" t="s">
        <v>264</v>
      </c>
      <c r="R8" s="206" t="s">
        <v>264</v>
      </c>
      <c r="S8" s="206" t="s">
        <v>264</v>
      </c>
    </row>
    <row r="9" spans="1:19" ht="20" customHeight="1" x14ac:dyDescent="0.15">
      <c r="A9" s="54">
        <v>4</v>
      </c>
      <c r="B9" s="55" t="s">
        <v>449</v>
      </c>
      <c r="C9" s="56" t="s">
        <v>450</v>
      </c>
      <c r="D9" s="57" t="s">
        <v>451</v>
      </c>
      <c r="E9" s="189">
        <v>141.41</v>
      </c>
      <c r="F9" s="184">
        <v>0.34254253000000001</v>
      </c>
      <c r="G9" s="190">
        <v>131.82673715199999</v>
      </c>
      <c r="H9" s="184">
        <v>8.3000000000000004E-2</v>
      </c>
      <c r="I9" s="191">
        <v>0.75600000000000001</v>
      </c>
      <c r="J9" s="192">
        <v>35.619647999999998</v>
      </c>
      <c r="K9" s="196" t="s">
        <v>264</v>
      </c>
      <c r="L9" s="197" t="s">
        <v>264</v>
      </c>
      <c r="M9" s="198" t="s">
        <v>264</v>
      </c>
      <c r="N9" s="199" t="s">
        <v>264</v>
      </c>
      <c r="O9" s="207" t="s">
        <v>264</v>
      </c>
      <c r="P9" s="207" t="s">
        <v>264</v>
      </c>
      <c r="Q9" s="207" t="s">
        <v>264</v>
      </c>
      <c r="R9" s="207" t="s">
        <v>264</v>
      </c>
      <c r="S9" s="207" t="s">
        <v>264</v>
      </c>
    </row>
    <row r="10" spans="1:19" ht="20" customHeight="1" x14ac:dyDescent="0.15">
      <c r="A10" s="50">
        <v>5</v>
      </c>
      <c r="B10" s="51" t="s">
        <v>452</v>
      </c>
      <c r="C10" s="52" t="s">
        <v>453</v>
      </c>
      <c r="D10" s="53" t="s">
        <v>454</v>
      </c>
      <c r="E10" s="183">
        <v>53.24</v>
      </c>
      <c r="F10" s="184">
        <v>0.29474709999999998</v>
      </c>
      <c r="G10" s="185">
        <v>379.59634124799999</v>
      </c>
      <c r="H10" s="184">
        <v>0.11799999999999999</v>
      </c>
      <c r="I10" s="186">
        <v>0</v>
      </c>
      <c r="J10" s="187">
        <v>13.243781999999999</v>
      </c>
      <c r="K10" s="188" t="s">
        <v>264</v>
      </c>
      <c r="L10" s="188" t="s">
        <v>264</v>
      </c>
      <c r="M10" s="188" t="s">
        <v>264</v>
      </c>
      <c r="N10" s="188" t="s">
        <v>264</v>
      </c>
      <c r="O10" s="208" t="s">
        <v>455</v>
      </c>
      <c r="P10" s="209">
        <v>25.1</v>
      </c>
      <c r="Q10" s="208" t="s">
        <v>456</v>
      </c>
      <c r="R10" s="209">
        <v>25.7</v>
      </c>
      <c r="S10" s="210" t="s">
        <v>457</v>
      </c>
    </row>
    <row r="11" spans="1:19" ht="20" customHeight="1" x14ac:dyDescent="0.15">
      <c r="A11" s="54">
        <v>6</v>
      </c>
      <c r="B11" s="55" t="s">
        <v>458</v>
      </c>
      <c r="C11" s="56" t="s">
        <v>459</v>
      </c>
      <c r="D11" s="57" t="s">
        <v>460</v>
      </c>
      <c r="E11" s="189">
        <v>272.44</v>
      </c>
      <c r="F11" s="195">
        <v>-4.2558430000000001E-2</v>
      </c>
      <c r="G11" s="190">
        <v>24.792039423999999</v>
      </c>
      <c r="H11" s="184">
        <v>6.6000000000000003E-2</v>
      </c>
      <c r="I11" s="191">
        <v>0.88349999999999995</v>
      </c>
      <c r="J11" s="192">
        <v>30.103867000000001</v>
      </c>
      <c r="K11" s="200">
        <v>807.27500799999996</v>
      </c>
      <c r="L11" s="190">
        <v>7.3804082371949962</v>
      </c>
      <c r="M11" s="195">
        <v>-0.70230733700550785</v>
      </c>
      <c r="N11" s="192">
        <v>30.710773595508119</v>
      </c>
      <c r="O11" s="211" t="s">
        <v>455</v>
      </c>
      <c r="P11" s="212">
        <v>3.2</v>
      </c>
      <c r="Q11" s="211" t="s">
        <v>461</v>
      </c>
      <c r="R11" s="212">
        <v>27</v>
      </c>
      <c r="S11" s="213" t="s">
        <v>462</v>
      </c>
    </row>
    <row r="12" spans="1:19" ht="20" customHeight="1" x14ac:dyDescent="0.15">
      <c r="A12" s="50">
        <v>7</v>
      </c>
      <c r="B12" s="51" t="s">
        <v>463</v>
      </c>
      <c r="C12" s="52" t="s">
        <v>464</v>
      </c>
      <c r="D12" s="53" t="s">
        <v>465</v>
      </c>
      <c r="E12" s="183">
        <v>191.91</v>
      </c>
      <c r="F12" s="184">
        <v>2.1341084999999999E-2</v>
      </c>
      <c r="G12" s="185">
        <v>121.70853580799999</v>
      </c>
      <c r="H12" s="184">
        <v>0.46300000000000002</v>
      </c>
      <c r="I12" s="186">
        <v>0</v>
      </c>
      <c r="J12" s="187">
        <v>59.231482999999997</v>
      </c>
      <c r="K12" s="188" t="s">
        <v>264</v>
      </c>
      <c r="L12" s="188" t="s">
        <v>264</v>
      </c>
      <c r="M12" s="188" t="s">
        <v>264</v>
      </c>
      <c r="N12" s="188" t="s">
        <v>264</v>
      </c>
      <c r="O12" s="208" t="s">
        <v>455</v>
      </c>
      <c r="P12" s="209">
        <v>2.0499999999999998</v>
      </c>
      <c r="Q12" s="208" t="s">
        <v>461</v>
      </c>
      <c r="R12" s="209">
        <v>95</v>
      </c>
      <c r="S12" s="210" t="s">
        <v>466</v>
      </c>
    </row>
    <row r="13" spans="1:19" ht="20" customHeight="1" x14ac:dyDescent="0.15">
      <c r="A13" s="54">
        <v>8</v>
      </c>
      <c r="B13" s="55" t="s">
        <v>467</v>
      </c>
      <c r="C13" s="56" t="s">
        <v>468</v>
      </c>
      <c r="D13" s="57" t="s">
        <v>469</v>
      </c>
      <c r="E13" s="189">
        <v>263.35000000000002</v>
      </c>
      <c r="F13" s="195">
        <v>-8.6573479999999994E-2</v>
      </c>
      <c r="G13" s="190">
        <v>18.151712767999999</v>
      </c>
      <c r="H13" s="184">
        <v>6.4000000000000001E-2</v>
      </c>
      <c r="I13" s="191">
        <v>0.68883000000000005</v>
      </c>
      <c r="J13" s="192">
        <v>29.58989</v>
      </c>
      <c r="K13" s="200">
        <v>983.00326399999994</v>
      </c>
      <c r="L13" s="190">
        <v>10.27968938824996</v>
      </c>
      <c r="M13" s="195">
        <v>-0.43367937121767242</v>
      </c>
      <c r="N13" s="192">
        <v>17.21594381771046</v>
      </c>
      <c r="O13" s="207" t="s">
        <v>264</v>
      </c>
      <c r="P13" s="207" t="s">
        <v>264</v>
      </c>
      <c r="Q13" s="207" t="s">
        <v>264</v>
      </c>
      <c r="R13" s="207" t="s">
        <v>264</v>
      </c>
      <c r="S13" s="207" t="s">
        <v>264</v>
      </c>
    </row>
    <row r="14" spans="1:19" ht="20" customHeight="1" x14ac:dyDescent="0.15">
      <c r="A14" s="50">
        <v>9</v>
      </c>
      <c r="B14" s="51" t="s">
        <v>470</v>
      </c>
      <c r="C14" s="52" t="s">
        <v>471</v>
      </c>
      <c r="D14" s="53" t="s">
        <v>448</v>
      </c>
      <c r="E14" s="183">
        <v>78.650000000000006</v>
      </c>
      <c r="F14" s="184">
        <v>8.5126880000000002E-2</v>
      </c>
      <c r="G14" s="185">
        <v>14.701745152000001</v>
      </c>
      <c r="H14" s="184">
        <v>0.1</v>
      </c>
      <c r="I14" s="186">
        <v>0.71702003000000003</v>
      </c>
      <c r="J14" s="187">
        <v>27.02749</v>
      </c>
      <c r="K14" s="201" t="s">
        <v>264</v>
      </c>
      <c r="L14" s="202" t="s">
        <v>264</v>
      </c>
      <c r="M14" s="203" t="s">
        <v>264</v>
      </c>
      <c r="N14" s="204" t="s">
        <v>264</v>
      </c>
      <c r="O14" s="206" t="s">
        <v>264</v>
      </c>
      <c r="P14" s="206" t="s">
        <v>264</v>
      </c>
      <c r="Q14" s="206" t="s">
        <v>264</v>
      </c>
      <c r="R14" s="206" t="s">
        <v>264</v>
      </c>
      <c r="S14" s="206" t="s">
        <v>264</v>
      </c>
    </row>
    <row r="15" spans="1:19" ht="20" customHeight="1" x14ac:dyDescent="0.15">
      <c r="A15" s="54">
        <v>10</v>
      </c>
      <c r="B15" s="55" t="s">
        <v>472</v>
      </c>
      <c r="C15" s="56" t="s">
        <v>473</v>
      </c>
      <c r="D15" s="57" t="s">
        <v>465</v>
      </c>
      <c r="E15" s="189">
        <v>328.03</v>
      </c>
      <c r="F15" s="195">
        <v>-5.911541E-2</v>
      </c>
      <c r="G15" s="190">
        <v>623.82899199999997</v>
      </c>
      <c r="H15" s="184">
        <v>0.17100000000000001</v>
      </c>
      <c r="I15" s="191">
        <v>0.97777999999999998</v>
      </c>
      <c r="J15" s="192">
        <v>28.574043</v>
      </c>
      <c r="K15" s="200">
        <v>20839.749631999999</v>
      </c>
      <c r="L15" s="190">
        <v>310.82968297620351</v>
      </c>
      <c r="M15" s="195">
        <v>-0.50173895897386656</v>
      </c>
      <c r="N15" s="192">
        <v>26.12481716949064</v>
      </c>
      <c r="O15" s="211" t="s">
        <v>474</v>
      </c>
      <c r="P15" s="212" t="s">
        <v>264</v>
      </c>
      <c r="Q15" s="211" t="s">
        <v>475</v>
      </c>
      <c r="R15" s="212">
        <v>130</v>
      </c>
      <c r="S15" s="213" t="s">
        <v>476</v>
      </c>
    </row>
    <row r="16" spans="1:19" ht="20" customHeight="1" x14ac:dyDescent="0.15">
      <c r="A16" s="50">
        <v>11</v>
      </c>
      <c r="B16" s="51" t="s">
        <v>477</v>
      </c>
      <c r="C16" s="52" t="s">
        <v>478</v>
      </c>
      <c r="D16" s="53" t="s">
        <v>451</v>
      </c>
      <c r="E16" s="183">
        <v>142.02000000000001</v>
      </c>
      <c r="F16" s="195">
        <v>-4.9270330000000001E-2</v>
      </c>
      <c r="G16" s="185">
        <v>31.333888000000002</v>
      </c>
      <c r="H16" s="184">
        <v>3.7999999999999999E-2</v>
      </c>
      <c r="I16" s="186">
        <v>0.74814004000000001</v>
      </c>
      <c r="J16" s="187">
        <v>31.91461</v>
      </c>
      <c r="K16" s="201" t="s">
        <v>264</v>
      </c>
      <c r="L16" s="202" t="s">
        <v>264</v>
      </c>
      <c r="M16" s="203" t="s">
        <v>264</v>
      </c>
      <c r="N16" s="204" t="s">
        <v>264</v>
      </c>
      <c r="O16" s="206" t="s">
        <v>264</v>
      </c>
      <c r="P16" s="206" t="s">
        <v>264</v>
      </c>
      <c r="Q16" s="206" t="s">
        <v>264</v>
      </c>
      <c r="R16" s="206" t="s">
        <v>264</v>
      </c>
      <c r="S16" s="206" t="s">
        <v>264</v>
      </c>
    </row>
    <row r="17" spans="1:19" ht="20" customHeight="1" x14ac:dyDescent="0.15">
      <c r="A17" s="54">
        <v>12</v>
      </c>
      <c r="B17" s="55" t="s">
        <v>479</v>
      </c>
      <c r="C17" s="56" t="s">
        <v>480</v>
      </c>
      <c r="D17" s="57" t="s">
        <v>443</v>
      </c>
      <c r="E17" s="189">
        <v>923.71</v>
      </c>
      <c r="F17" s="184">
        <v>0.65077910000000005</v>
      </c>
      <c r="G17" s="190">
        <v>274.11365888</v>
      </c>
      <c r="H17" s="184">
        <v>0.14499999999999999</v>
      </c>
      <c r="I17" s="191">
        <v>0.82271004000000003</v>
      </c>
      <c r="J17" s="192">
        <v>16.862176999999999</v>
      </c>
      <c r="K17" s="193" t="s">
        <v>264</v>
      </c>
      <c r="L17" s="193" t="s">
        <v>264</v>
      </c>
      <c r="M17" s="193" t="s">
        <v>264</v>
      </c>
      <c r="N17" s="193" t="s">
        <v>264</v>
      </c>
      <c r="O17" s="207" t="s">
        <v>264</v>
      </c>
      <c r="P17" s="207" t="s">
        <v>264</v>
      </c>
      <c r="Q17" s="207" t="s">
        <v>264</v>
      </c>
      <c r="R17" s="207" t="s">
        <v>264</v>
      </c>
      <c r="S17" s="207" t="s">
        <v>264</v>
      </c>
    </row>
    <row r="18" spans="1:19" ht="20" customHeight="1" x14ac:dyDescent="0.15">
      <c r="A18" s="50">
        <v>13</v>
      </c>
      <c r="B18" s="51" t="s">
        <v>481</v>
      </c>
      <c r="C18" s="52" t="s">
        <v>482</v>
      </c>
      <c r="D18" s="53" t="s">
        <v>465</v>
      </c>
      <c r="E18" s="183">
        <v>75.760000000000005</v>
      </c>
      <c r="F18" s="184">
        <v>0.39778602000000002</v>
      </c>
      <c r="G18" s="185">
        <v>25.483409408</v>
      </c>
      <c r="H18" s="184">
        <v>6.0999999999999999E-2</v>
      </c>
      <c r="I18" s="186">
        <v>0</v>
      </c>
      <c r="J18" s="187">
        <v>7.8426504000000001</v>
      </c>
      <c r="K18" s="188" t="s">
        <v>264</v>
      </c>
      <c r="L18" s="188" t="s">
        <v>264</v>
      </c>
      <c r="M18" s="188" t="s">
        <v>264</v>
      </c>
      <c r="N18" s="188" t="s">
        <v>264</v>
      </c>
      <c r="O18" s="206" t="s">
        <v>264</v>
      </c>
      <c r="P18" s="206" t="s">
        <v>264</v>
      </c>
      <c r="Q18" s="206" t="s">
        <v>264</v>
      </c>
      <c r="R18" s="206" t="s">
        <v>264</v>
      </c>
      <c r="S18" s="206" t="s">
        <v>264</v>
      </c>
    </row>
    <row r="19" spans="1:19" ht="20" customHeight="1" x14ac:dyDescent="0.15">
      <c r="A19" s="50">
        <v>14</v>
      </c>
      <c r="B19" s="51" t="s">
        <v>483</v>
      </c>
      <c r="C19" s="52" t="s">
        <v>484</v>
      </c>
      <c r="D19" s="53" t="s">
        <v>448</v>
      </c>
      <c r="E19" s="189">
        <v>202.44</v>
      </c>
      <c r="F19" s="184">
        <v>0.25848567</v>
      </c>
      <c r="G19" s="190">
        <v>77.057368064000002</v>
      </c>
      <c r="H19" s="184">
        <v>0.13200000000000001</v>
      </c>
      <c r="I19" s="191">
        <v>0.81899</v>
      </c>
      <c r="J19" s="192">
        <v>14.286521</v>
      </c>
      <c r="K19" s="200">
        <v>2338.524672</v>
      </c>
      <c r="L19" s="190">
        <v>24.193738692254868</v>
      </c>
      <c r="M19" s="195">
        <v>-0.6860295218990512</v>
      </c>
      <c r="N19" s="192">
        <v>28.120570221565739</v>
      </c>
      <c r="O19" s="207" t="s">
        <v>264</v>
      </c>
      <c r="P19" s="207" t="s">
        <v>264</v>
      </c>
      <c r="Q19" s="207" t="s">
        <v>264</v>
      </c>
      <c r="R19" s="207" t="s">
        <v>264</v>
      </c>
      <c r="S19" s="207" t="s">
        <v>264</v>
      </c>
    </row>
    <row r="20" spans="1:19" ht="20" customHeight="1" x14ac:dyDescent="0.15">
      <c r="A20" s="54">
        <v>15</v>
      </c>
      <c r="B20" s="55" t="s">
        <v>485</v>
      </c>
      <c r="C20" s="56" t="s">
        <v>486</v>
      </c>
      <c r="D20" s="57" t="s">
        <v>469</v>
      </c>
      <c r="E20" s="183">
        <v>183.45</v>
      </c>
      <c r="F20" s="195">
        <v>-0.12651175000000001</v>
      </c>
      <c r="G20" s="185">
        <v>25.52010752</v>
      </c>
      <c r="H20" s="184">
        <v>3.4000000000000002E-2</v>
      </c>
      <c r="I20" s="186">
        <v>0.62831999999999999</v>
      </c>
      <c r="J20" s="187">
        <v>22.732341999999999</v>
      </c>
      <c r="K20" s="201" t="s">
        <v>264</v>
      </c>
      <c r="L20" s="202" t="s">
        <v>264</v>
      </c>
      <c r="M20" s="203" t="s">
        <v>264</v>
      </c>
      <c r="N20" s="204" t="s">
        <v>264</v>
      </c>
      <c r="O20" s="206" t="s">
        <v>264</v>
      </c>
      <c r="P20" s="206" t="s">
        <v>264</v>
      </c>
      <c r="Q20" s="206" t="s">
        <v>264</v>
      </c>
      <c r="R20" s="206" t="s">
        <v>264</v>
      </c>
      <c r="S20" s="206" t="s">
        <v>264</v>
      </c>
    </row>
    <row r="21" spans="1:19" ht="20" customHeight="1" x14ac:dyDescent="0.15">
      <c r="A21" s="50">
        <v>16</v>
      </c>
      <c r="B21" s="51" t="s">
        <v>487</v>
      </c>
      <c r="C21" s="52" t="s">
        <v>488</v>
      </c>
      <c r="D21" s="53" t="s">
        <v>451</v>
      </c>
      <c r="E21" s="189">
        <v>301.55</v>
      </c>
      <c r="F21" s="184">
        <v>4.0287969999999998E-3</v>
      </c>
      <c r="G21" s="190">
        <v>52.935815167999998</v>
      </c>
      <c r="H21" s="184">
        <v>3.2000000000000001E-2</v>
      </c>
      <c r="I21" s="191">
        <v>0.74767994999999998</v>
      </c>
      <c r="J21" s="192">
        <v>31.151857</v>
      </c>
      <c r="K21" s="200">
        <v>2337.331968</v>
      </c>
      <c r="L21" s="190">
        <v>15.31644197660632</v>
      </c>
      <c r="M21" s="195">
        <v>-0.71066012815714241</v>
      </c>
      <c r="N21" s="192">
        <v>22.647968296388779</v>
      </c>
      <c r="O21" s="207" t="s">
        <v>264</v>
      </c>
      <c r="P21" s="207" t="s">
        <v>264</v>
      </c>
      <c r="Q21" s="207" t="s">
        <v>264</v>
      </c>
      <c r="R21" s="207" t="s">
        <v>264</v>
      </c>
      <c r="S21" s="207" t="s">
        <v>264</v>
      </c>
    </row>
    <row r="22" spans="1:19" ht="20" customHeight="1" x14ac:dyDescent="0.15">
      <c r="A22" s="54">
        <v>17</v>
      </c>
      <c r="B22" s="55" t="s">
        <v>489</v>
      </c>
      <c r="C22" s="56" t="s">
        <v>490</v>
      </c>
      <c r="D22" s="57" t="s">
        <v>448</v>
      </c>
      <c r="E22" s="183">
        <v>23.38</v>
      </c>
      <c r="F22" s="184">
        <v>0.12837839000000001</v>
      </c>
      <c r="G22" s="185">
        <v>15.767534592000001</v>
      </c>
      <c r="H22" s="184">
        <v>0.04</v>
      </c>
      <c r="I22" s="186">
        <v>0.68960999999999995</v>
      </c>
      <c r="J22" s="187">
        <v>26.873562</v>
      </c>
      <c r="K22" s="194">
        <v>838.71212800000001</v>
      </c>
      <c r="L22" s="185">
        <v>5.4029558804342193</v>
      </c>
      <c r="M22" s="195">
        <v>-0.65733667182341071</v>
      </c>
      <c r="N22" s="187">
        <v>18.799697932113361</v>
      </c>
      <c r="O22" s="206" t="s">
        <v>264</v>
      </c>
      <c r="P22" s="206" t="s">
        <v>264</v>
      </c>
      <c r="Q22" s="206" t="s">
        <v>264</v>
      </c>
      <c r="R22" s="206" t="s">
        <v>264</v>
      </c>
      <c r="S22" s="206" t="s">
        <v>264</v>
      </c>
    </row>
    <row r="23" spans="1:19" ht="20" customHeight="1" x14ac:dyDescent="0.15">
      <c r="A23" s="50">
        <v>18</v>
      </c>
      <c r="B23" s="51" t="s">
        <v>491</v>
      </c>
      <c r="C23" s="52" t="s">
        <v>492</v>
      </c>
      <c r="D23" s="53" t="s">
        <v>493</v>
      </c>
      <c r="E23" s="189">
        <v>289.54000000000002</v>
      </c>
      <c r="F23" s="184">
        <v>2.4702668000000001E-2</v>
      </c>
      <c r="G23" s="190">
        <v>104.91753267199999</v>
      </c>
      <c r="H23" s="184">
        <v>0.14399999999999999</v>
      </c>
      <c r="I23" s="191">
        <v>1</v>
      </c>
      <c r="J23" s="192">
        <v>24.683717999999999</v>
      </c>
      <c r="K23" s="200">
        <v>3030.2374399999999</v>
      </c>
      <c r="L23" s="190">
        <v>45.551189429794441</v>
      </c>
      <c r="M23" s="195">
        <v>-0.56583815621932776</v>
      </c>
      <c r="N23" s="192">
        <v>34.623232941726179</v>
      </c>
      <c r="O23" s="207" t="s">
        <v>264</v>
      </c>
      <c r="P23" s="207" t="s">
        <v>264</v>
      </c>
      <c r="Q23" s="207" t="s">
        <v>264</v>
      </c>
      <c r="R23" s="207" t="s">
        <v>264</v>
      </c>
      <c r="S23" s="207" t="s">
        <v>264</v>
      </c>
    </row>
    <row r="24" spans="1:19" ht="20" customHeight="1" x14ac:dyDescent="0.15">
      <c r="A24" s="54">
        <v>19</v>
      </c>
      <c r="B24" s="55" t="s">
        <v>494</v>
      </c>
      <c r="C24" s="56" t="s">
        <v>495</v>
      </c>
      <c r="D24" s="57" t="s">
        <v>469</v>
      </c>
      <c r="E24" s="183">
        <v>128.56</v>
      </c>
      <c r="F24" s="195">
        <v>-0.22245073000000001</v>
      </c>
      <c r="G24" s="185">
        <v>15.336544256</v>
      </c>
      <c r="H24" s="184">
        <v>8.0000000000000002E-3</v>
      </c>
      <c r="I24" s="186">
        <v>0.58496999999999999</v>
      </c>
      <c r="J24" s="187">
        <v>38.957577000000001</v>
      </c>
      <c r="K24" s="194">
        <v>909.08249599999999</v>
      </c>
      <c r="L24" s="185">
        <v>7.0592877020057117</v>
      </c>
      <c r="M24" s="195">
        <v>-0.53970806042280617</v>
      </c>
      <c r="N24" s="187">
        <v>16.454328122934179</v>
      </c>
      <c r="O24" s="206" t="s">
        <v>264</v>
      </c>
      <c r="P24" s="206" t="s">
        <v>264</v>
      </c>
      <c r="Q24" s="206" t="s">
        <v>264</v>
      </c>
      <c r="R24" s="206" t="s">
        <v>264</v>
      </c>
      <c r="S24" s="206" t="s">
        <v>264</v>
      </c>
    </row>
    <row r="25" spans="1:19" ht="20" customHeight="1" x14ac:dyDescent="0.15">
      <c r="A25" s="50">
        <v>20</v>
      </c>
      <c r="B25" s="51" t="s">
        <v>496</v>
      </c>
      <c r="C25" s="52" t="s">
        <v>497</v>
      </c>
      <c r="D25" s="53" t="s">
        <v>498</v>
      </c>
      <c r="E25" s="189">
        <v>152</v>
      </c>
      <c r="F25" s="184">
        <v>0.67825997000000005</v>
      </c>
      <c r="G25" s="190">
        <v>42.068590592</v>
      </c>
      <c r="H25" s="195">
        <v>-2.8000000000000001E-2</v>
      </c>
      <c r="I25" s="191">
        <v>0</v>
      </c>
      <c r="J25" s="192">
        <v>15.431471999999999</v>
      </c>
      <c r="K25" s="193" t="s">
        <v>264</v>
      </c>
      <c r="L25" s="193" t="s">
        <v>264</v>
      </c>
      <c r="M25" s="193" t="s">
        <v>264</v>
      </c>
      <c r="N25" s="193" t="s">
        <v>264</v>
      </c>
      <c r="O25" s="207" t="s">
        <v>264</v>
      </c>
      <c r="P25" s="207" t="s">
        <v>264</v>
      </c>
      <c r="Q25" s="207" t="s">
        <v>264</v>
      </c>
      <c r="R25" s="207" t="s">
        <v>264</v>
      </c>
      <c r="S25" s="207" t="s">
        <v>264</v>
      </c>
    </row>
    <row r="26" spans="1:19" ht="20" customHeight="1" x14ac:dyDescent="0.15">
      <c r="A26" s="54">
        <v>21</v>
      </c>
      <c r="B26" s="55" t="s">
        <v>499</v>
      </c>
      <c r="C26" s="56" t="s">
        <v>500</v>
      </c>
      <c r="D26" s="57" t="s">
        <v>501</v>
      </c>
      <c r="E26" s="183">
        <v>200.7</v>
      </c>
      <c r="F26" s="184">
        <v>0.20439267</v>
      </c>
      <c r="G26" s="185">
        <v>71.271178239999998</v>
      </c>
      <c r="H26" s="184">
        <v>0.16700000000000001</v>
      </c>
      <c r="I26" s="186">
        <v>0.55347997000000004</v>
      </c>
      <c r="J26" s="187">
        <v>53.236072999999998</v>
      </c>
      <c r="K26" s="201" t="s">
        <v>264</v>
      </c>
      <c r="L26" s="202" t="s">
        <v>264</v>
      </c>
      <c r="M26" s="203" t="s">
        <v>264</v>
      </c>
      <c r="N26" s="204" t="s">
        <v>264</v>
      </c>
      <c r="O26" s="206" t="s">
        <v>264</v>
      </c>
      <c r="P26" s="206" t="s">
        <v>264</v>
      </c>
      <c r="Q26" s="206" t="s">
        <v>264</v>
      </c>
      <c r="R26" s="206" t="s">
        <v>264</v>
      </c>
      <c r="S26" s="206" t="s">
        <v>264</v>
      </c>
    </row>
    <row r="27" spans="1:19" ht="20" customHeight="1" x14ac:dyDescent="0.15">
      <c r="A27" s="50">
        <v>22</v>
      </c>
      <c r="B27" s="51" t="s">
        <v>502</v>
      </c>
      <c r="C27" s="52" t="s">
        <v>503</v>
      </c>
      <c r="D27" s="53" t="s">
        <v>469</v>
      </c>
      <c r="E27" s="189">
        <v>65.17</v>
      </c>
      <c r="F27" s="195">
        <v>-7.9909620000000001E-2</v>
      </c>
      <c r="G27" s="190">
        <v>25.177683968</v>
      </c>
      <c r="H27" s="184">
        <v>2.5000000000000001E-2</v>
      </c>
      <c r="I27" s="191">
        <v>0.62775004000000001</v>
      </c>
      <c r="J27" s="192">
        <v>26.067999</v>
      </c>
      <c r="K27" s="196" t="s">
        <v>264</v>
      </c>
      <c r="L27" s="197" t="s">
        <v>264</v>
      </c>
      <c r="M27" s="198" t="s">
        <v>264</v>
      </c>
      <c r="N27" s="199" t="s">
        <v>264</v>
      </c>
      <c r="O27" s="207" t="s">
        <v>264</v>
      </c>
      <c r="P27" s="207" t="s">
        <v>264</v>
      </c>
      <c r="Q27" s="207" t="s">
        <v>264</v>
      </c>
      <c r="R27" s="207" t="s">
        <v>264</v>
      </c>
      <c r="S27" s="207" t="s">
        <v>264</v>
      </c>
    </row>
    <row r="28" spans="1:19" ht="20" customHeight="1" x14ac:dyDescent="0.15">
      <c r="A28" s="54">
        <v>23</v>
      </c>
      <c r="B28" s="55" t="s">
        <v>504</v>
      </c>
      <c r="C28" s="56" t="s">
        <v>505</v>
      </c>
      <c r="D28" s="57" t="s">
        <v>506</v>
      </c>
      <c r="E28" s="183">
        <v>21.87</v>
      </c>
      <c r="F28" s="184">
        <v>0.40552700000000003</v>
      </c>
      <c r="G28" s="185">
        <v>23.779100671999998</v>
      </c>
      <c r="H28" s="184">
        <v>0.11700000000000001</v>
      </c>
      <c r="I28" s="186">
        <v>0</v>
      </c>
      <c r="J28" s="187">
        <v>13.417178</v>
      </c>
      <c r="K28" s="188" t="s">
        <v>264</v>
      </c>
      <c r="L28" s="188" t="s">
        <v>264</v>
      </c>
      <c r="M28" s="188" t="s">
        <v>264</v>
      </c>
      <c r="N28" s="188" t="s">
        <v>264</v>
      </c>
      <c r="O28" s="206" t="s">
        <v>264</v>
      </c>
      <c r="P28" s="206" t="s">
        <v>264</v>
      </c>
      <c r="Q28" s="206" t="s">
        <v>264</v>
      </c>
      <c r="R28" s="206" t="s">
        <v>264</v>
      </c>
      <c r="S28" s="206" t="s">
        <v>264</v>
      </c>
    </row>
    <row r="29" spans="1:19" ht="20" customHeight="1" x14ac:dyDescent="0.15">
      <c r="A29" s="50">
        <v>24</v>
      </c>
      <c r="B29" s="51" t="s">
        <v>507</v>
      </c>
      <c r="C29" s="52" t="s">
        <v>508</v>
      </c>
      <c r="D29" s="53" t="s">
        <v>443</v>
      </c>
      <c r="E29" s="189">
        <v>152.87</v>
      </c>
      <c r="F29" s="195">
        <v>-0.32596999999999998</v>
      </c>
      <c r="G29" s="190">
        <v>5.3780945920000001</v>
      </c>
      <c r="H29" s="184">
        <v>3.5000000000000003E-2</v>
      </c>
      <c r="I29" s="191">
        <v>0.62022995999999997</v>
      </c>
      <c r="J29" s="192">
        <v>23.057314000000002</v>
      </c>
      <c r="K29" s="200">
        <v>224.41112000000001</v>
      </c>
      <c r="L29" s="190">
        <v>2.4484817176039981</v>
      </c>
      <c r="M29" s="195">
        <v>-0.54473063355074625</v>
      </c>
      <c r="N29" s="192">
        <v>23.965368399168451</v>
      </c>
      <c r="O29" s="207" t="s">
        <v>264</v>
      </c>
      <c r="P29" s="207" t="s">
        <v>264</v>
      </c>
      <c r="Q29" s="207" t="s">
        <v>264</v>
      </c>
      <c r="R29" s="207" t="s">
        <v>264</v>
      </c>
      <c r="S29" s="207" t="s">
        <v>264</v>
      </c>
    </row>
    <row r="30" spans="1:19" ht="20" customHeight="1" x14ac:dyDescent="0.15">
      <c r="A30" s="54">
        <v>25</v>
      </c>
      <c r="B30" s="55" t="s">
        <v>509</v>
      </c>
      <c r="C30" s="56" t="s">
        <v>510</v>
      </c>
      <c r="D30" s="57" t="s">
        <v>501</v>
      </c>
      <c r="E30" s="183">
        <v>41.39</v>
      </c>
      <c r="F30" s="195">
        <v>-0.43717706000000001</v>
      </c>
      <c r="G30" s="185">
        <v>7.2130135040000001</v>
      </c>
      <c r="H30" s="195">
        <v>-0.115</v>
      </c>
      <c r="I30" s="186">
        <v>0.68589999999999995</v>
      </c>
      <c r="J30" s="187">
        <v>-47.034092000000001</v>
      </c>
      <c r="K30" s="194">
        <v>1408.723072</v>
      </c>
      <c r="L30" s="185">
        <v>8.4489669465053829</v>
      </c>
      <c r="M30" s="184">
        <v>0.17135049613035949</v>
      </c>
      <c r="N30" s="187">
        <v>5.1202496222053782</v>
      </c>
      <c r="O30" s="206" t="s">
        <v>264</v>
      </c>
      <c r="P30" s="206" t="s">
        <v>264</v>
      </c>
      <c r="Q30" s="206" t="s">
        <v>264</v>
      </c>
      <c r="R30" s="206" t="s">
        <v>264</v>
      </c>
      <c r="S30" s="206" t="s">
        <v>264</v>
      </c>
    </row>
    <row r="31" spans="1:19" ht="20" customHeight="1" x14ac:dyDescent="0.15">
      <c r="A31" s="50">
        <v>26</v>
      </c>
      <c r="B31" s="51" t="s">
        <v>511</v>
      </c>
      <c r="C31" s="52" t="s">
        <v>512</v>
      </c>
      <c r="D31" s="53" t="s">
        <v>513</v>
      </c>
      <c r="E31" s="189">
        <v>187.06</v>
      </c>
      <c r="F31" s="184">
        <v>0.53579639999999995</v>
      </c>
      <c r="G31" s="190">
        <v>27.616999423999999</v>
      </c>
      <c r="H31" s="184">
        <v>1.9E-2</v>
      </c>
      <c r="I31" s="191">
        <v>0.78720003000000005</v>
      </c>
      <c r="J31" s="192">
        <v>20.113976999999998</v>
      </c>
      <c r="K31" s="200">
        <v>1915.9874560000001</v>
      </c>
      <c r="L31" s="190">
        <v>18.758868883445999</v>
      </c>
      <c r="M31" s="195">
        <v>-0.32074920249504091</v>
      </c>
      <c r="N31" s="192">
        <v>14.413976991099879</v>
      </c>
      <c r="O31" s="207" t="s">
        <v>264</v>
      </c>
      <c r="P31" s="207" t="s">
        <v>264</v>
      </c>
      <c r="Q31" s="207" t="s">
        <v>264</v>
      </c>
      <c r="R31" s="207" t="s">
        <v>264</v>
      </c>
      <c r="S31" s="207" t="s">
        <v>264</v>
      </c>
    </row>
    <row r="32" spans="1:19" ht="20" customHeight="1" x14ac:dyDescent="0.15">
      <c r="A32" s="54">
        <v>27</v>
      </c>
      <c r="B32" s="55" t="s">
        <v>514</v>
      </c>
      <c r="C32" s="56" t="s">
        <v>515</v>
      </c>
      <c r="D32" s="57" t="s">
        <v>465</v>
      </c>
      <c r="E32" s="183">
        <v>495.46</v>
      </c>
      <c r="F32" s="195">
        <v>-0.11701596</v>
      </c>
      <c r="G32" s="185">
        <v>437.63780812800002</v>
      </c>
      <c r="H32" s="184">
        <v>0.158</v>
      </c>
      <c r="I32" s="186">
        <v>1</v>
      </c>
      <c r="J32" s="187">
        <v>28.655868999999999</v>
      </c>
      <c r="K32" s="194">
        <v>16014.874624</v>
      </c>
      <c r="L32" s="185">
        <v>237.08512302329871</v>
      </c>
      <c r="M32" s="195">
        <v>-0.45826178949795798</v>
      </c>
      <c r="N32" s="187">
        <v>27.12289619483192</v>
      </c>
      <c r="O32" s="208" t="s">
        <v>474</v>
      </c>
      <c r="P32" s="208" t="s">
        <v>264</v>
      </c>
      <c r="Q32" s="208" t="s">
        <v>475</v>
      </c>
      <c r="R32" s="209">
        <v>90</v>
      </c>
      <c r="S32" s="210" t="s">
        <v>516</v>
      </c>
    </row>
    <row r="33" spans="1:19" ht="20" customHeight="1" x14ac:dyDescent="0.15">
      <c r="A33" s="50">
        <v>28</v>
      </c>
      <c r="B33" s="51" t="s">
        <v>517</v>
      </c>
      <c r="C33" s="52" t="s">
        <v>518</v>
      </c>
      <c r="D33" s="53" t="s">
        <v>506</v>
      </c>
      <c r="E33" s="189">
        <v>28.19</v>
      </c>
      <c r="F33" s="184">
        <v>0.33538604</v>
      </c>
      <c r="G33" s="190">
        <v>24.083177471999999</v>
      </c>
      <c r="H33" s="184">
        <v>7.2999999999999995E-2</v>
      </c>
      <c r="I33" s="191">
        <v>0</v>
      </c>
      <c r="J33" s="192">
        <v>11.697094999999999</v>
      </c>
      <c r="K33" s="193" t="s">
        <v>264</v>
      </c>
      <c r="L33" s="193" t="s">
        <v>264</v>
      </c>
      <c r="M33" s="193" t="s">
        <v>264</v>
      </c>
      <c r="N33" s="193" t="s">
        <v>264</v>
      </c>
      <c r="O33" s="207" t="s">
        <v>264</v>
      </c>
      <c r="P33" s="207" t="s">
        <v>264</v>
      </c>
      <c r="Q33" s="207" t="s">
        <v>264</v>
      </c>
      <c r="R33" s="207" t="s">
        <v>264</v>
      </c>
      <c r="S33" s="207" t="s">
        <v>264</v>
      </c>
    </row>
    <row r="34" spans="1:19" ht="20" customHeight="1" x14ac:dyDescent="0.15">
      <c r="A34" s="54">
        <v>29</v>
      </c>
      <c r="B34" s="55" t="s">
        <v>519</v>
      </c>
      <c r="C34" s="56" t="s">
        <v>519</v>
      </c>
      <c r="D34" s="57" t="s">
        <v>493</v>
      </c>
      <c r="E34" s="183">
        <v>588.85</v>
      </c>
      <c r="F34" s="184">
        <v>6.9838880000000006E-2</v>
      </c>
      <c r="G34" s="185">
        <v>42.825641984000001</v>
      </c>
      <c r="H34" s="184">
        <v>0.14099999999999999</v>
      </c>
      <c r="I34" s="186">
        <v>0.82856004999999999</v>
      </c>
      <c r="J34" s="187">
        <v>33.667810000000003</v>
      </c>
      <c r="K34" s="194">
        <v>1206.103936</v>
      </c>
      <c r="L34" s="185">
        <v>17.68438664836183</v>
      </c>
      <c r="M34" s="195">
        <v>-0.58706079280798973</v>
      </c>
      <c r="N34" s="187">
        <v>35.507422926775028</v>
      </c>
      <c r="O34" s="206" t="s">
        <v>264</v>
      </c>
      <c r="P34" s="206" t="s">
        <v>264</v>
      </c>
      <c r="Q34" s="206" t="s">
        <v>264</v>
      </c>
      <c r="R34" s="206" t="s">
        <v>264</v>
      </c>
      <c r="S34" s="206" t="s">
        <v>264</v>
      </c>
    </row>
    <row r="35" spans="1:19" ht="20" customHeight="1" x14ac:dyDescent="0.15">
      <c r="A35" s="50">
        <v>30</v>
      </c>
      <c r="B35" s="51" t="s">
        <v>520</v>
      </c>
      <c r="C35" s="52" t="s">
        <v>521</v>
      </c>
      <c r="D35" s="53" t="s">
        <v>522</v>
      </c>
      <c r="E35" s="189">
        <v>421.28</v>
      </c>
      <c r="F35" s="184">
        <v>1.0988439999999999</v>
      </c>
      <c r="G35" s="190">
        <v>1994.621059072</v>
      </c>
      <c r="H35" s="184">
        <v>0.29499999999999998</v>
      </c>
      <c r="I35" s="191">
        <v>0.76725995999999996</v>
      </c>
      <c r="J35" s="192">
        <v>81.961089999999999</v>
      </c>
      <c r="K35" s="200">
        <v>25503.750144000001</v>
      </c>
      <c r="L35" s="190">
        <v>285.02926959201898</v>
      </c>
      <c r="M35" s="195">
        <v>-0.85710104267893905</v>
      </c>
      <c r="N35" s="192">
        <v>78.208930110020447</v>
      </c>
      <c r="O35" s="207" t="s">
        <v>264</v>
      </c>
      <c r="P35" s="207" t="s">
        <v>264</v>
      </c>
      <c r="Q35" s="207" t="s">
        <v>264</v>
      </c>
      <c r="R35" s="207" t="s">
        <v>264</v>
      </c>
      <c r="S35" s="207" t="s">
        <v>264</v>
      </c>
    </row>
    <row r="36" spans="1:19" ht="20" customHeight="1" x14ac:dyDescent="0.15">
      <c r="A36" s="54">
        <v>31</v>
      </c>
      <c r="B36" s="55" t="s">
        <v>523</v>
      </c>
      <c r="C36" s="56" t="s">
        <v>524</v>
      </c>
      <c r="D36" s="57" t="s">
        <v>506</v>
      </c>
      <c r="E36" s="183">
        <v>220.71</v>
      </c>
      <c r="F36" s="184">
        <v>0.33198547</v>
      </c>
      <c r="G36" s="185">
        <v>89.027993600000002</v>
      </c>
      <c r="H36" s="184">
        <v>0.13800000000000001</v>
      </c>
      <c r="I36" s="186">
        <v>0</v>
      </c>
      <c r="J36" s="187">
        <v>12.817074</v>
      </c>
      <c r="K36" s="188" t="s">
        <v>264</v>
      </c>
      <c r="L36" s="188" t="s">
        <v>264</v>
      </c>
      <c r="M36" s="188" t="s">
        <v>264</v>
      </c>
      <c r="N36" s="188" t="s">
        <v>264</v>
      </c>
      <c r="O36" s="206" t="s">
        <v>264</v>
      </c>
      <c r="P36" s="206" t="s">
        <v>264</v>
      </c>
      <c r="Q36" s="206" t="s">
        <v>264</v>
      </c>
      <c r="R36" s="206" t="s">
        <v>264</v>
      </c>
      <c r="S36" s="206" t="s">
        <v>264</v>
      </c>
    </row>
    <row r="37" spans="1:19" ht="20" customHeight="1" x14ac:dyDescent="0.15">
      <c r="A37" s="50">
        <v>32</v>
      </c>
      <c r="B37" s="51" t="s">
        <v>525</v>
      </c>
      <c r="C37" s="52" t="s">
        <v>526</v>
      </c>
      <c r="D37" s="53" t="s">
        <v>527</v>
      </c>
      <c r="E37" s="189">
        <v>218.58</v>
      </c>
      <c r="F37" s="195">
        <v>-9.6590220000000004E-2</v>
      </c>
      <c r="G37" s="190">
        <v>23.183251456000001</v>
      </c>
      <c r="H37" s="184">
        <v>5.8999999999999997E-2</v>
      </c>
      <c r="I37" s="191">
        <v>0.74191004000000005</v>
      </c>
      <c r="J37" s="192">
        <v>23.008420000000001</v>
      </c>
      <c r="K37" s="200">
        <v>-414.29548799999998</v>
      </c>
      <c r="L37" s="197" t="s">
        <v>264</v>
      </c>
      <c r="M37" s="198" t="s">
        <v>264</v>
      </c>
      <c r="N37" s="192">
        <v>-55.958250117365509</v>
      </c>
      <c r="O37" s="207" t="s">
        <v>264</v>
      </c>
      <c r="P37" s="207" t="s">
        <v>264</v>
      </c>
      <c r="Q37" s="207" t="s">
        <v>264</v>
      </c>
      <c r="R37" s="207" t="s">
        <v>264</v>
      </c>
      <c r="S37" s="207" t="s">
        <v>264</v>
      </c>
    </row>
    <row r="38" spans="1:19" ht="20" customHeight="1" x14ac:dyDescent="0.15">
      <c r="A38" s="54">
        <v>33</v>
      </c>
      <c r="B38" s="55" t="s">
        <v>528</v>
      </c>
      <c r="C38" s="56" t="s">
        <v>529</v>
      </c>
      <c r="D38" s="57" t="s">
        <v>522</v>
      </c>
      <c r="E38" s="183">
        <v>281.02</v>
      </c>
      <c r="F38" s="184">
        <v>0.73020565999999998</v>
      </c>
      <c r="G38" s="185">
        <v>255.75427276799999</v>
      </c>
      <c r="H38" s="184">
        <v>0.186</v>
      </c>
      <c r="I38" s="186">
        <v>0.57321999999999995</v>
      </c>
      <c r="J38" s="187">
        <v>48.037604999999999</v>
      </c>
      <c r="K38" s="194">
        <v>1068.249984</v>
      </c>
      <c r="L38" s="185">
        <v>15.005064333728111</v>
      </c>
      <c r="M38" s="195">
        <v>-0.94133015190194103</v>
      </c>
      <c r="N38" s="187">
        <v>239.41425692248831</v>
      </c>
      <c r="O38" s="206" t="s">
        <v>264</v>
      </c>
      <c r="P38" s="206" t="s">
        <v>264</v>
      </c>
      <c r="Q38" s="206" t="s">
        <v>264</v>
      </c>
      <c r="R38" s="206" t="s">
        <v>264</v>
      </c>
      <c r="S38" s="206" t="s">
        <v>264</v>
      </c>
    </row>
    <row r="39" spans="1:19" ht="20" customHeight="1" x14ac:dyDescent="0.15">
      <c r="A39" s="50">
        <v>34</v>
      </c>
      <c r="B39" s="51" t="s">
        <v>530</v>
      </c>
      <c r="C39" s="52" t="s">
        <v>531</v>
      </c>
      <c r="D39" s="53" t="s">
        <v>501</v>
      </c>
      <c r="E39" s="189">
        <v>59.37</v>
      </c>
      <c r="F39" s="195">
        <v>-8.2947195000000001E-2</v>
      </c>
      <c r="G39" s="190">
        <v>10.51120128</v>
      </c>
      <c r="H39" s="184">
        <v>5.6000000000000001E-2</v>
      </c>
      <c r="I39" s="191">
        <v>0.56660999999999995</v>
      </c>
      <c r="J39" s="192">
        <v>29.83417</v>
      </c>
      <c r="K39" s="196" t="s">
        <v>264</v>
      </c>
      <c r="L39" s="197" t="s">
        <v>264</v>
      </c>
      <c r="M39" s="198" t="s">
        <v>264</v>
      </c>
      <c r="N39" s="199" t="s">
        <v>264</v>
      </c>
      <c r="O39" s="207" t="s">
        <v>264</v>
      </c>
      <c r="P39" s="207" t="s">
        <v>264</v>
      </c>
      <c r="Q39" s="207" t="s">
        <v>264</v>
      </c>
      <c r="R39" s="207" t="s">
        <v>264</v>
      </c>
      <c r="S39" s="207" t="s">
        <v>264</v>
      </c>
    </row>
    <row r="40" spans="1:19" ht="20" customHeight="1" x14ac:dyDescent="0.15">
      <c r="A40" s="54">
        <v>35</v>
      </c>
      <c r="B40" s="55" t="s">
        <v>532</v>
      </c>
      <c r="C40" s="56" t="s">
        <v>533</v>
      </c>
      <c r="D40" s="57" t="s">
        <v>493</v>
      </c>
      <c r="E40" s="183">
        <v>426.06</v>
      </c>
      <c r="F40" s="195">
        <v>-0.15781771999999999</v>
      </c>
      <c r="G40" s="185">
        <v>126.11375923200001</v>
      </c>
      <c r="H40" s="184">
        <v>0.104</v>
      </c>
      <c r="I40" s="186">
        <v>0.70469999999999999</v>
      </c>
      <c r="J40" s="187">
        <v>26.948765000000002</v>
      </c>
      <c r="K40" s="194">
        <v>5298.8748800000003</v>
      </c>
      <c r="L40" s="185">
        <v>69.725950743254401</v>
      </c>
      <c r="M40" s="195">
        <v>-0.4471186080894955</v>
      </c>
      <c r="N40" s="187">
        <v>23.800101503812069</v>
      </c>
      <c r="O40" s="206" t="s">
        <v>264</v>
      </c>
      <c r="P40" s="206" t="s">
        <v>264</v>
      </c>
      <c r="Q40" s="206" t="s">
        <v>264</v>
      </c>
      <c r="R40" s="206" t="s">
        <v>264</v>
      </c>
      <c r="S40" s="206" t="s">
        <v>264</v>
      </c>
    </row>
    <row r="41" spans="1:19" ht="20" customHeight="1" x14ac:dyDescent="0.15">
      <c r="A41" s="50">
        <v>36</v>
      </c>
      <c r="B41" s="51" t="s">
        <v>27</v>
      </c>
      <c r="C41" s="52" t="s">
        <v>534</v>
      </c>
      <c r="D41" s="53" t="s">
        <v>522</v>
      </c>
      <c r="E41" s="189">
        <v>198.45</v>
      </c>
      <c r="F41" s="184">
        <v>0.74354242999999998</v>
      </c>
      <c r="G41" s="190">
        <v>4823.3274408959996</v>
      </c>
      <c r="H41" s="184">
        <v>0.73199999999999998</v>
      </c>
      <c r="I41" s="191">
        <v>0.71067999999999998</v>
      </c>
      <c r="J41" s="192">
        <v>40.5</v>
      </c>
      <c r="K41" s="200">
        <v>58128.998399999997</v>
      </c>
      <c r="L41" s="190">
        <v>670.21832220764168</v>
      </c>
      <c r="M41" s="195">
        <v>-0.86104648079145552</v>
      </c>
      <c r="N41" s="192">
        <v>82.95919648944097</v>
      </c>
      <c r="O41" s="207" t="s">
        <v>264</v>
      </c>
      <c r="P41" s="207" t="s">
        <v>264</v>
      </c>
      <c r="Q41" s="207" t="s">
        <v>264</v>
      </c>
      <c r="R41" s="207" t="s">
        <v>264</v>
      </c>
      <c r="S41" s="207" t="s">
        <v>264</v>
      </c>
    </row>
    <row r="42" spans="1:19" ht="20" customHeight="1" x14ac:dyDescent="0.15">
      <c r="A42" s="54">
        <v>37</v>
      </c>
      <c r="B42" s="55" t="s">
        <v>535</v>
      </c>
      <c r="C42" s="56" t="s">
        <v>535</v>
      </c>
      <c r="D42" s="57" t="s">
        <v>469</v>
      </c>
      <c r="E42" s="183">
        <v>36.39</v>
      </c>
      <c r="F42" s="195">
        <v>-0.15431094000000001</v>
      </c>
      <c r="G42" s="185">
        <v>13.518666752</v>
      </c>
      <c r="H42" s="184">
        <v>4.2000000000000003E-2</v>
      </c>
      <c r="I42" s="186">
        <v>0.66618999999999995</v>
      </c>
      <c r="J42" s="187">
        <v>24.755099999999999</v>
      </c>
      <c r="K42" s="194">
        <v>1007.130496</v>
      </c>
      <c r="L42" s="185">
        <v>9.3307903528773704</v>
      </c>
      <c r="M42" s="195">
        <v>-0.30978472033886478</v>
      </c>
      <c r="N42" s="187">
        <v>11.775319880394131</v>
      </c>
      <c r="O42" s="206" t="s">
        <v>264</v>
      </c>
      <c r="P42" s="206" t="s">
        <v>264</v>
      </c>
      <c r="Q42" s="206" t="s">
        <v>264</v>
      </c>
      <c r="R42" s="206" t="s">
        <v>264</v>
      </c>
      <c r="S42" s="206" t="s">
        <v>264</v>
      </c>
    </row>
    <row r="43" spans="1:19" ht="20" customHeight="1" x14ac:dyDescent="0.15">
      <c r="A43" s="50">
        <v>38</v>
      </c>
      <c r="B43" s="51" t="s">
        <v>536</v>
      </c>
      <c r="C43" s="52" t="s">
        <v>537</v>
      </c>
      <c r="D43" s="53" t="s">
        <v>513</v>
      </c>
      <c r="E43" s="189">
        <v>206.6</v>
      </c>
      <c r="F43" s="184">
        <v>5.3705335E-2</v>
      </c>
      <c r="G43" s="190">
        <v>365.42631116799998</v>
      </c>
      <c r="H43" s="184">
        <v>0.124</v>
      </c>
      <c r="I43" s="191">
        <v>0.72026000000000001</v>
      </c>
      <c r="J43" s="192">
        <v>100.780495</v>
      </c>
      <c r="K43" s="196" t="s">
        <v>264</v>
      </c>
      <c r="L43" s="197" t="s">
        <v>264</v>
      </c>
      <c r="M43" s="198" t="s">
        <v>264</v>
      </c>
      <c r="N43" s="199" t="s">
        <v>264</v>
      </c>
      <c r="O43" s="207" t="s">
        <v>264</v>
      </c>
      <c r="P43" s="207" t="s">
        <v>264</v>
      </c>
      <c r="Q43" s="207" t="s">
        <v>264</v>
      </c>
      <c r="R43" s="207" t="s">
        <v>264</v>
      </c>
      <c r="S43" s="207" t="s">
        <v>264</v>
      </c>
    </row>
    <row r="44" spans="1:19" ht="20" customHeight="1" x14ac:dyDescent="0.15">
      <c r="A44" s="54">
        <v>39</v>
      </c>
      <c r="B44" s="55" t="s">
        <v>538</v>
      </c>
      <c r="C44" s="56" t="s">
        <v>539</v>
      </c>
      <c r="D44" s="57" t="s">
        <v>540</v>
      </c>
      <c r="E44" s="183">
        <v>74.55</v>
      </c>
      <c r="F44" s="184">
        <v>0.24519789</v>
      </c>
      <c r="G44" s="185">
        <v>124.64001024</v>
      </c>
      <c r="H44" s="184">
        <v>5.2999999999999999E-2</v>
      </c>
      <c r="I44" s="186">
        <v>0.87378997000000003</v>
      </c>
      <c r="J44" s="187">
        <v>15.563675</v>
      </c>
      <c r="K44" s="201" t="s">
        <v>264</v>
      </c>
      <c r="L44" s="202" t="s">
        <v>264</v>
      </c>
      <c r="M44" s="203" t="s">
        <v>264</v>
      </c>
      <c r="N44" s="204" t="s">
        <v>264</v>
      </c>
      <c r="O44" s="206" t="s">
        <v>264</v>
      </c>
      <c r="P44" s="206" t="s">
        <v>264</v>
      </c>
      <c r="Q44" s="206" t="s">
        <v>264</v>
      </c>
      <c r="R44" s="206" t="s">
        <v>264</v>
      </c>
      <c r="S44" s="206" t="s">
        <v>264</v>
      </c>
    </row>
    <row r="45" spans="1:19" ht="20" customHeight="1" x14ac:dyDescent="0.15">
      <c r="A45" s="50">
        <v>40</v>
      </c>
      <c r="B45" s="51" t="s">
        <v>541</v>
      </c>
      <c r="C45" s="52" t="s">
        <v>542</v>
      </c>
      <c r="D45" s="53" t="s">
        <v>465</v>
      </c>
      <c r="E45" s="189">
        <v>319.68</v>
      </c>
      <c r="F45" s="184">
        <v>0.14980399999999999</v>
      </c>
      <c r="G45" s="190">
        <v>218.12612300800001</v>
      </c>
      <c r="H45" s="184">
        <v>0.11600000000000001</v>
      </c>
      <c r="I45" s="191">
        <v>0.62758999999999998</v>
      </c>
      <c r="J45" s="192">
        <v>19.955055000000002</v>
      </c>
      <c r="K45" s="193" t="s">
        <v>264</v>
      </c>
      <c r="L45" s="193" t="s">
        <v>264</v>
      </c>
      <c r="M45" s="193" t="s">
        <v>264</v>
      </c>
      <c r="N45" s="193" t="s">
        <v>264</v>
      </c>
      <c r="O45" s="211" t="s">
        <v>455</v>
      </c>
      <c r="P45" s="212">
        <v>45.86</v>
      </c>
      <c r="Q45" s="211" t="s">
        <v>461</v>
      </c>
      <c r="R45" s="212">
        <v>8.49</v>
      </c>
      <c r="S45" s="213" t="s">
        <v>543</v>
      </c>
    </row>
    <row r="46" spans="1:19" ht="20" customHeight="1" x14ac:dyDescent="0.15">
      <c r="A46" s="54">
        <v>41</v>
      </c>
      <c r="B46" s="55" t="s">
        <v>544</v>
      </c>
      <c r="C46" s="56" t="s">
        <v>545</v>
      </c>
      <c r="D46" s="57" t="s">
        <v>498</v>
      </c>
      <c r="E46" s="183">
        <v>164.48</v>
      </c>
      <c r="F46" s="184">
        <v>0.69270350000000003</v>
      </c>
      <c r="G46" s="185">
        <v>30.481586176</v>
      </c>
      <c r="H46" s="184">
        <v>0.13900000000000001</v>
      </c>
      <c r="I46" s="186">
        <v>0</v>
      </c>
      <c r="J46" s="187">
        <v>17.223036</v>
      </c>
      <c r="K46" s="188" t="s">
        <v>264</v>
      </c>
      <c r="L46" s="188" t="s">
        <v>264</v>
      </c>
      <c r="M46" s="188" t="s">
        <v>264</v>
      </c>
      <c r="N46" s="188" t="s">
        <v>264</v>
      </c>
      <c r="O46" s="206" t="s">
        <v>264</v>
      </c>
      <c r="P46" s="206" t="s">
        <v>264</v>
      </c>
      <c r="Q46" s="206" t="s">
        <v>264</v>
      </c>
      <c r="R46" s="206" t="s">
        <v>264</v>
      </c>
      <c r="S46" s="206" t="s">
        <v>264</v>
      </c>
    </row>
    <row r="47" spans="1:19" ht="20" customHeight="1" x14ac:dyDescent="0.15">
      <c r="A47" s="50">
        <v>42</v>
      </c>
      <c r="B47" s="51" t="s">
        <v>546</v>
      </c>
      <c r="C47" s="52" t="s">
        <v>547</v>
      </c>
      <c r="D47" s="53" t="s">
        <v>513</v>
      </c>
      <c r="E47" s="189">
        <v>131.65</v>
      </c>
      <c r="F47" s="184">
        <v>0.28051746</v>
      </c>
      <c r="G47" s="190">
        <v>163.404464128</v>
      </c>
      <c r="H47" s="184">
        <v>4.7E-2</v>
      </c>
      <c r="I47" s="191">
        <v>0.78839992999999997</v>
      </c>
      <c r="J47" s="192">
        <v>19.417401999999999</v>
      </c>
      <c r="K47" s="200">
        <v>7540.6248960000003</v>
      </c>
      <c r="L47" s="190">
        <v>78.677664109859379</v>
      </c>
      <c r="M47" s="195">
        <v>-0.51850970210808545</v>
      </c>
      <c r="N47" s="192">
        <v>21.669884671107241</v>
      </c>
      <c r="O47" s="207" t="s">
        <v>264</v>
      </c>
      <c r="P47" s="207" t="s">
        <v>264</v>
      </c>
      <c r="Q47" s="207" t="s">
        <v>264</v>
      </c>
      <c r="R47" s="207" t="s">
        <v>264</v>
      </c>
      <c r="S47" s="207" t="s">
        <v>264</v>
      </c>
    </row>
    <row r="48" spans="1:19" ht="20" customHeight="1" x14ac:dyDescent="0.15">
      <c r="A48" s="54">
        <v>43</v>
      </c>
      <c r="B48" s="55" t="s">
        <v>548</v>
      </c>
      <c r="C48" s="56" t="s">
        <v>549</v>
      </c>
      <c r="D48" s="57" t="s">
        <v>460</v>
      </c>
      <c r="E48" s="183">
        <v>250.71</v>
      </c>
      <c r="F48" s="195">
        <v>-0.34207212999999997</v>
      </c>
      <c r="G48" s="185">
        <v>101.33698150399999</v>
      </c>
      <c r="H48" s="184">
        <v>0.12</v>
      </c>
      <c r="I48" s="186">
        <v>0.89396005999999995</v>
      </c>
      <c r="J48" s="187">
        <v>14.61866</v>
      </c>
      <c r="K48" s="194">
        <v>9321.3747199999998</v>
      </c>
      <c r="L48" s="185">
        <v>111.9004055670022</v>
      </c>
      <c r="M48" s="184">
        <v>0.1042405635753542</v>
      </c>
      <c r="N48" s="187">
        <v>10.87146317404993</v>
      </c>
      <c r="O48" s="206" t="s">
        <v>264</v>
      </c>
      <c r="P48" s="206" t="s">
        <v>264</v>
      </c>
      <c r="Q48" s="206" t="s">
        <v>264</v>
      </c>
      <c r="R48" s="206" t="s">
        <v>264</v>
      </c>
      <c r="S48" s="206" t="s">
        <v>264</v>
      </c>
    </row>
    <row r="49" spans="1:19" ht="20" customHeight="1" x14ac:dyDescent="0.15">
      <c r="A49" s="50">
        <v>44</v>
      </c>
      <c r="B49" s="51" t="s">
        <v>550</v>
      </c>
      <c r="C49" s="52" t="s">
        <v>551</v>
      </c>
      <c r="D49" s="53" t="s">
        <v>513</v>
      </c>
      <c r="E49" s="189">
        <v>329.82</v>
      </c>
      <c r="F49" s="184">
        <v>0.17767620000000001</v>
      </c>
      <c r="G49" s="190">
        <v>177.99906918400001</v>
      </c>
      <c r="H49" s="184">
        <v>5.8000000000000003E-2</v>
      </c>
      <c r="I49" s="191">
        <v>0.71753997000000003</v>
      </c>
      <c r="J49" s="192">
        <v>22.936022000000001</v>
      </c>
      <c r="K49" s="200">
        <v>7795.1252480000003</v>
      </c>
      <c r="L49" s="190">
        <v>87.368213642803184</v>
      </c>
      <c r="M49" s="195">
        <v>-0.50916477235906499</v>
      </c>
      <c r="N49" s="192">
        <v>22.834664862521532</v>
      </c>
      <c r="O49" s="207" t="s">
        <v>264</v>
      </c>
      <c r="P49" s="207" t="s">
        <v>264</v>
      </c>
      <c r="Q49" s="207" t="s">
        <v>264</v>
      </c>
      <c r="R49" s="207" t="s">
        <v>264</v>
      </c>
      <c r="S49" s="207" t="s">
        <v>264</v>
      </c>
    </row>
    <row r="50" spans="1:19" ht="20" customHeight="1" x14ac:dyDescent="0.15">
      <c r="A50" s="54">
        <v>45</v>
      </c>
      <c r="B50" s="55" t="s">
        <v>552</v>
      </c>
      <c r="C50" s="56" t="s">
        <v>553</v>
      </c>
      <c r="D50" s="57" t="s">
        <v>527</v>
      </c>
      <c r="E50" s="183">
        <v>181.61</v>
      </c>
      <c r="F50" s="195">
        <v>-0.1887703</v>
      </c>
      <c r="G50" s="185">
        <v>84.610834432000004</v>
      </c>
      <c r="H50" s="184">
        <v>6.8000000000000005E-2</v>
      </c>
      <c r="I50" s="186">
        <v>0.73963999999999996</v>
      </c>
      <c r="J50" s="187">
        <v>29.339255999999999</v>
      </c>
      <c r="K50" s="194">
        <v>4614.3626240000003</v>
      </c>
      <c r="L50" s="185">
        <v>50.315782361883628</v>
      </c>
      <c r="M50" s="195">
        <v>-0.40532695724303031</v>
      </c>
      <c r="N50" s="187">
        <v>18.336408981170269</v>
      </c>
      <c r="O50" s="206" t="s">
        <v>264</v>
      </c>
      <c r="P50" s="206" t="s">
        <v>264</v>
      </c>
      <c r="Q50" s="206" t="s">
        <v>264</v>
      </c>
      <c r="R50" s="206" t="s">
        <v>264</v>
      </c>
      <c r="S50" s="206" t="s">
        <v>264</v>
      </c>
    </row>
    <row r="51" spans="1:19" ht="20" customHeight="1" x14ac:dyDescent="0.15">
      <c r="A51" s="50">
        <v>46</v>
      </c>
      <c r="B51" s="51" t="s">
        <v>554</v>
      </c>
      <c r="C51" s="52" t="s">
        <v>555</v>
      </c>
      <c r="D51" s="53" t="s">
        <v>493</v>
      </c>
      <c r="E51" s="189">
        <v>154.75</v>
      </c>
      <c r="F51" s="195">
        <v>-0.11052996</v>
      </c>
      <c r="G51" s="190">
        <v>87.655161856000007</v>
      </c>
      <c r="H51" s="184">
        <v>0.20399999999999999</v>
      </c>
      <c r="I51" s="191">
        <v>1</v>
      </c>
      <c r="J51" s="192">
        <v>22.525473000000002</v>
      </c>
      <c r="K51" s="200">
        <v>3743.124992</v>
      </c>
      <c r="L51" s="190">
        <v>54.651669580942183</v>
      </c>
      <c r="M51" s="195">
        <v>-0.37651510277598932</v>
      </c>
      <c r="N51" s="192">
        <v>23.417641797185809</v>
      </c>
      <c r="O51" s="207" t="s">
        <v>264</v>
      </c>
      <c r="P51" s="207" t="s">
        <v>264</v>
      </c>
      <c r="Q51" s="207" t="s">
        <v>264</v>
      </c>
      <c r="R51" s="207" t="s">
        <v>264</v>
      </c>
      <c r="S51" s="207" t="s">
        <v>264</v>
      </c>
    </row>
    <row r="52" spans="1:19" ht="20" customHeight="1" x14ac:dyDescent="0.15">
      <c r="A52" s="54">
        <v>47</v>
      </c>
      <c r="B52" s="55" t="s">
        <v>556</v>
      </c>
      <c r="C52" s="56" t="s">
        <v>557</v>
      </c>
      <c r="D52" s="57" t="s">
        <v>558</v>
      </c>
      <c r="E52" s="183">
        <v>423.92</v>
      </c>
      <c r="F52" s="195">
        <v>-0.15248202999999999</v>
      </c>
      <c r="G52" s="185">
        <v>107.82818304</v>
      </c>
      <c r="H52" s="184">
        <v>9.5000000000000001E-2</v>
      </c>
      <c r="I52" s="186">
        <v>0.53664999999999996</v>
      </c>
      <c r="J52" s="187">
        <v>27.707190000000001</v>
      </c>
      <c r="K52" s="194">
        <v>2573.112576</v>
      </c>
      <c r="L52" s="185">
        <v>27.746380183717221</v>
      </c>
      <c r="M52" s="195">
        <v>-0.74267970208285516</v>
      </c>
      <c r="N52" s="187">
        <v>41.90573699220846</v>
      </c>
      <c r="O52" s="206" t="s">
        <v>264</v>
      </c>
      <c r="P52" s="206" t="s">
        <v>264</v>
      </c>
      <c r="Q52" s="206" t="s">
        <v>264</v>
      </c>
      <c r="R52" s="206" t="s">
        <v>264</v>
      </c>
      <c r="S52" s="206" t="s">
        <v>264</v>
      </c>
    </row>
    <row r="53" spans="1:19" ht="20" customHeight="1" x14ac:dyDescent="0.15">
      <c r="A53" s="50">
        <v>48</v>
      </c>
      <c r="B53" s="51" t="s">
        <v>559</v>
      </c>
      <c r="C53" s="52" t="s">
        <v>560</v>
      </c>
      <c r="D53" s="53" t="s">
        <v>506</v>
      </c>
      <c r="E53" s="189">
        <v>216.44</v>
      </c>
      <c r="F53" s="184">
        <v>0.23376846000000001</v>
      </c>
      <c r="G53" s="190">
        <v>32.142338047999999</v>
      </c>
      <c r="H53" s="184">
        <v>5.7000000000000002E-2</v>
      </c>
      <c r="I53" s="191">
        <v>0</v>
      </c>
      <c r="J53" s="192">
        <v>12.145904</v>
      </c>
      <c r="K53" s="193" t="s">
        <v>264</v>
      </c>
      <c r="L53" s="193" t="s">
        <v>264</v>
      </c>
      <c r="M53" s="193" t="s">
        <v>264</v>
      </c>
      <c r="N53" s="193" t="s">
        <v>264</v>
      </c>
      <c r="O53" s="207" t="s">
        <v>264</v>
      </c>
      <c r="P53" s="207" t="s">
        <v>264</v>
      </c>
      <c r="Q53" s="207" t="s">
        <v>264</v>
      </c>
      <c r="R53" s="207" t="s">
        <v>264</v>
      </c>
      <c r="S53" s="207" t="s">
        <v>264</v>
      </c>
    </row>
    <row r="54" spans="1:19" ht="20" customHeight="1" x14ac:dyDescent="0.15">
      <c r="A54" s="54">
        <v>49</v>
      </c>
      <c r="B54" s="55" t="s">
        <v>561</v>
      </c>
      <c r="C54" s="56" t="s">
        <v>562</v>
      </c>
      <c r="D54" s="57" t="s">
        <v>522</v>
      </c>
      <c r="E54" s="183">
        <v>397.69</v>
      </c>
      <c r="F54" s="184">
        <v>1.0113797</v>
      </c>
      <c r="G54" s="185">
        <v>194.15390617599999</v>
      </c>
      <c r="H54" s="184">
        <v>0.30399999999999999</v>
      </c>
      <c r="I54" s="186">
        <v>0.62841999999999998</v>
      </c>
      <c r="J54" s="187">
        <v>72.438980000000001</v>
      </c>
      <c r="K54" s="194">
        <v>4139.5307519999997</v>
      </c>
      <c r="L54" s="185">
        <v>47.452105325890322</v>
      </c>
      <c r="M54" s="195">
        <v>-0.75559541262654217</v>
      </c>
      <c r="N54" s="187">
        <v>46.90239614804775</v>
      </c>
      <c r="O54" s="206" t="s">
        <v>264</v>
      </c>
      <c r="P54" s="206" t="s">
        <v>264</v>
      </c>
      <c r="Q54" s="206" t="s">
        <v>264</v>
      </c>
      <c r="R54" s="206" t="s">
        <v>264</v>
      </c>
      <c r="S54" s="206" t="s">
        <v>264</v>
      </c>
    </row>
    <row r="55" spans="1:19" ht="20" customHeight="1" x14ac:dyDescent="0.15">
      <c r="A55" s="50">
        <v>50</v>
      </c>
      <c r="B55" s="51" t="s">
        <v>563</v>
      </c>
      <c r="C55" s="52" t="s">
        <v>564</v>
      </c>
      <c r="D55" s="53" t="s">
        <v>493</v>
      </c>
      <c r="E55" s="189">
        <v>455.77</v>
      </c>
      <c r="F55" s="195">
        <v>-1.9174456999999999E-2</v>
      </c>
      <c r="G55" s="190">
        <v>79.61227264</v>
      </c>
      <c r="H55" s="184">
        <v>8.1000000000000003E-2</v>
      </c>
      <c r="I55" s="191">
        <v>0.74431999999999998</v>
      </c>
      <c r="J55" s="192">
        <v>32.671683999999999</v>
      </c>
      <c r="K55" s="200">
        <v>2266.1250559999999</v>
      </c>
      <c r="L55" s="190">
        <v>26.96978895052446</v>
      </c>
      <c r="M55" s="195">
        <v>-0.66123578618990597</v>
      </c>
      <c r="N55" s="192">
        <v>35.131459288388008</v>
      </c>
      <c r="O55" s="211" t="s">
        <v>455</v>
      </c>
      <c r="P55" s="212">
        <v>11.97</v>
      </c>
      <c r="Q55" s="211" t="s">
        <v>461</v>
      </c>
      <c r="R55" s="212">
        <v>10.050000000000001</v>
      </c>
      <c r="S55" s="213" t="s">
        <v>565</v>
      </c>
    </row>
    <row r="56" spans="1:19" ht="20" customHeight="1" x14ac:dyDescent="0.15">
      <c r="A56" s="54">
        <v>51</v>
      </c>
      <c r="B56" s="55" t="s">
        <v>566</v>
      </c>
      <c r="C56" s="56" t="s">
        <v>567</v>
      </c>
      <c r="D56" s="57" t="s">
        <v>460</v>
      </c>
      <c r="E56" s="183">
        <v>86.29</v>
      </c>
      <c r="F56" s="195">
        <v>-0.20609068999999999</v>
      </c>
      <c r="G56" s="185">
        <v>63.173083136000002</v>
      </c>
      <c r="H56" s="184">
        <v>0.14799999999999999</v>
      </c>
      <c r="I56" s="186">
        <v>0.80456000000000005</v>
      </c>
      <c r="J56" s="187">
        <v>35.657024</v>
      </c>
      <c r="K56" s="194">
        <v>1746.974976</v>
      </c>
      <c r="L56" s="185">
        <v>24.200998462171999</v>
      </c>
      <c r="M56" s="195">
        <v>-0.61690965106021967</v>
      </c>
      <c r="N56" s="187">
        <v>36.161414160765858</v>
      </c>
      <c r="O56" s="206" t="s">
        <v>264</v>
      </c>
      <c r="P56" s="206" t="s">
        <v>264</v>
      </c>
      <c r="Q56" s="206" t="s">
        <v>264</v>
      </c>
      <c r="R56" s="206" t="s">
        <v>264</v>
      </c>
      <c r="S56" s="206" t="s">
        <v>264</v>
      </c>
    </row>
    <row r="57" spans="1:19" ht="20" customHeight="1" x14ac:dyDescent="0.15">
      <c r="A57" s="50">
        <v>52</v>
      </c>
      <c r="B57" s="51" t="s">
        <v>568</v>
      </c>
      <c r="C57" s="52" t="s">
        <v>569</v>
      </c>
      <c r="D57" s="53" t="s">
        <v>570</v>
      </c>
      <c r="E57" s="189">
        <v>202.09</v>
      </c>
      <c r="F57" s="184">
        <v>0.30599713000000001</v>
      </c>
      <c r="G57" s="190">
        <v>50.573770752000001</v>
      </c>
      <c r="H57" s="184">
        <v>0.01</v>
      </c>
      <c r="I57" s="191">
        <v>0.78264</v>
      </c>
      <c r="J57" s="192">
        <v>75.689130000000006</v>
      </c>
      <c r="K57" s="200">
        <v>2209.8749440000001</v>
      </c>
      <c r="L57" s="190">
        <v>19.307820047653831</v>
      </c>
      <c r="M57" s="195">
        <v>-0.61822462987120097</v>
      </c>
      <c r="N57" s="192">
        <v>22.885355118162739</v>
      </c>
      <c r="O57" s="207" t="s">
        <v>264</v>
      </c>
      <c r="P57" s="207" t="s">
        <v>264</v>
      </c>
      <c r="Q57" s="207" t="s">
        <v>264</v>
      </c>
      <c r="R57" s="207" t="s">
        <v>264</v>
      </c>
      <c r="S57" s="207" t="s">
        <v>264</v>
      </c>
    </row>
    <row r="58" spans="1:19" ht="20" customHeight="1" x14ac:dyDescent="0.15">
      <c r="A58" s="54">
        <v>53</v>
      </c>
      <c r="B58" s="55" t="s">
        <v>571</v>
      </c>
      <c r="C58" s="56" t="s">
        <v>572</v>
      </c>
      <c r="D58" s="57" t="s">
        <v>506</v>
      </c>
      <c r="E58" s="183">
        <v>16.63</v>
      </c>
      <c r="F58" s="184">
        <v>0.10719036999999999</v>
      </c>
      <c r="G58" s="185">
        <v>33.711179776000002</v>
      </c>
      <c r="H58" s="184">
        <v>0.33600000000000002</v>
      </c>
      <c r="I58" s="186">
        <v>0</v>
      </c>
      <c r="J58" s="187">
        <v>12.792308</v>
      </c>
      <c r="K58" s="188" t="s">
        <v>264</v>
      </c>
      <c r="L58" s="188" t="s">
        <v>264</v>
      </c>
      <c r="M58" s="188" t="s">
        <v>264</v>
      </c>
      <c r="N58" s="188" t="s">
        <v>264</v>
      </c>
      <c r="O58" s="206" t="s">
        <v>264</v>
      </c>
      <c r="P58" s="206" t="s">
        <v>264</v>
      </c>
      <c r="Q58" s="206" t="s">
        <v>264</v>
      </c>
      <c r="R58" s="206" t="s">
        <v>264</v>
      </c>
      <c r="S58" s="206" t="s">
        <v>264</v>
      </c>
    </row>
    <row r="59" spans="1:19" ht="20" customHeight="1" x14ac:dyDescent="0.15">
      <c r="A59" s="50">
        <v>54</v>
      </c>
      <c r="B59" s="51" t="s">
        <v>573</v>
      </c>
      <c r="C59" s="52" t="s">
        <v>574</v>
      </c>
      <c r="D59" s="53" t="s">
        <v>460</v>
      </c>
      <c r="E59" s="189">
        <v>171.83</v>
      </c>
      <c r="F59" s="184">
        <v>0.15098130000000001</v>
      </c>
      <c r="G59" s="190">
        <v>494.19101798399998</v>
      </c>
      <c r="H59" s="184">
        <v>0.217</v>
      </c>
      <c r="I59" s="191">
        <v>0.67083999999999999</v>
      </c>
      <c r="J59" s="192">
        <v>30.849191999999999</v>
      </c>
      <c r="K59" s="200">
        <v>-22298.499071999999</v>
      </c>
      <c r="L59" s="193" t="s">
        <v>264</v>
      </c>
      <c r="M59" s="193" t="s">
        <v>264</v>
      </c>
      <c r="N59" s="192">
        <v>-22.16252235562127</v>
      </c>
      <c r="O59" s="207" t="s">
        <v>264</v>
      </c>
      <c r="P59" s="207" t="s">
        <v>264</v>
      </c>
      <c r="Q59" s="207" t="s">
        <v>264</v>
      </c>
      <c r="R59" s="207" t="s">
        <v>264</v>
      </c>
      <c r="S59" s="207" t="s">
        <v>264</v>
      </c>
    </row>
    <row r="60" spans="1:19" ht="20" customHeight="1" x14ac:dyDescent="0.15">
      <c r="A60" s="54">
        <v>55</v>
      </c>
      <c r="B60" s="55" t="s">
        <v>575</v>
      </c>
      <c r="C60" s="56" t="s">
        <v>576</v>
      </c>
      <c r="D60" s="57" t="s">
        <v>540</v>
      </c>
      <c r="E60" s="183">
        <v>166.38</v>
      </c>
      <c r="F60" s="195">
        <v>-3.9321004999999999E-2</v>
      </c>
      <c r="G60" s="185">
        <v>259.31302502400001</v>
      </c>
      <c r="H60" s="184">
        <v>9.0999999999999998E-2</v>
      </c>
      <c r="I60" s="186">
        <v>0.67280996000000004</v>
      </c>
      <c r="J60" s="187">
        <v>23.433803999999999</v>
      </c>
      <c r="K60" s="194">
        <v>8575.2499200000002</v>
      </c>
      <c r="L60" s="185">
        <v>107.251748782937</v>
      </c>
      <c r="M60" s="195">
        <v>-0.58640045646372518</v>
      </c>
      <c r="N60" s="187">
        <v>30.239704173832411</v>
      </c>
      <c r="O60" s="206" t="s">
        <v>264</v>
      </c>
      <c r="P60" s="206" t="s">
        <v>264</v>
      </c>
      <c r="Q60" s="206" t="s">
        <v>264</v>
      </c>
      <c r="R60" s="206" t="s">
        <v>264</v>
      </c>
      <c r="S60" s="206" t="s">
        <v>264</v>
      </c>
    </row>
    <row r="61" spans="1:19" ht="20" customHeight="1" x14ac:dyDescent="0.15">
      <c r="A61" s="50">
        <v>56</v>
      </c>
      <c r="B61" s="51" t="s">
        <v>577</v>
      </c>
      <c r="C61" s="52" t="s">
        <v>578</v>
      </c>
      <c r="D61" s="53" t="s">
        <v>579</v>
      </c>
      <c r="E61" s="189">
        <v>98.62</v>
      </c>
      <c r="F61" s="195">
        <v>-3.9446769999999999E-2</v>
      </c>
      <c r="G61" s="190">
        <v>34.319761407999998</v>
      </c>
      <c r="H61" s="184">
        <v>0.312</v>
      </c>
      <c r="I61" s="191">
        <v>0.29603000000000002</v>
      </c>
      <c r="J61" s="192">
        <v>9.8718719999999998</v>
      </c>
      <c r="K61" s="200">
        <v>12618.874879999999</v>
      </c>
      <c r="L61" s="190">
        <v>200.58212273368119</v>
      </c>
      <c r="M61" s="184">
        <v>4.8445080765312429</v>
      </c>
      <c r="N61" s="192">
        <v>2.718299437632588</v>
      </c>
      <c r="O61" s="207" t="s">
        <v>264</v>
      </c>
      <c r="P61" s="207" t="s">
        <v>264</v>
      </c>
      <c r="Q61" s="207" t="s">
        <v>264</v>
      </c>
      <c r="R61" s="207" t="s">
        <v>264</v>
      </c>
      <c r="S61" s="207" t="s">
        <v>264</v>
      </c>
    </row>
    <row r="62" spans="1:19" ht="20" customHeight="1" x14ac:dyDescent="0.15">
      <c r="A62" s="54">
        <v>57</v>
      </c>
      <c r="B62" s="55" t="s">
        <v>580</v>
      </c>
      <c r="C62" s="56" t="s">
        <v>581</v>
      </c>
      <c r="D62" s="57" t="s">
        <v>460</v>
      </c>
      <c r="E62" s="183">
        <v>414.44</v>
      </c>
      <c r="F62" s="195">
        <v>-4.9820006E-2</v>
      </c>
      <c r="G62" s="185">
        <v>3078.6406318079999</v>
      </c>
      <c r="H62" s="184">
        <v>0.183</v>
      </c>
      <c r="I62" s="186">
        <v>0.68308999999999997</v>
      </c>
      <c r="J62" s="187">
        <v>24.698450000000001</v>
      </c>
      <c r="K62" s="194">
        <v>37011.251199999999</v>
      </c>
      <c r="L62" s="185">
        <v>514.35076338284227</v>
      </c>
      <c r="M62" s="195">
        <v>-0.83292926167846415</v>
      </c>
      <c r="N62" s="187">
        <v>83.181205144606409</v>
      </c>
      <c r="O62" s="206" t="s">
        <v>264</v>
      </c>
      <c r="P62" s="206" t="s">
        <v>264</v>
      </c>
      <c r="Q62" s="206" t="s">
        <v>264</v>
      </c>
      <c r="R62" s="206" t="s">
        <v>264</v>
      </c>
      <c r="S62" s="206" t="s">
        <v>264</v>
      </c>
    </row>
    <row r="63" spans="1:19" ht="20" customHeight="1" x14ac:dyDescent="0.15">
      <c r="A63" s="50">
        <v>58</v>
      </c>
      <c r="B63" s="51" t="s">
        <v>582</v>
      </c>
      <c r="C63" s="52" t="s">
        <v>583</v>
      </c>
      <c r="D63" s="53" t="s">
        <v>584</v>
      </c>
      <c r="E63" s="189">
        <v>169.63</v>
      </c>
      <c r="F63" s="195">
        <v>-0.18307608</v>
      </c>
      <c r="G63" s="190">
        <v>131.442638848</v>
      </c>
      <c r="H63" s="184">
        <v>0.16200000000000001</v>
      </c>
      <c r="I63" s="191">
        <v>0.86987000000000003</v>
      </c>
      <c r="J63" s="192">
        <v>22.378630000000001</v>
      </c>
      <c r="K63" s="200">
        <v>7075.1252480000003</v>
      </c>
      <c r="L63" s="190">
        <v>113.66350064992641</v>
      </c>
      <c r="M63" s="195">
        <v>-0.13526157382334181</v>
      </c>
      <c r="N63" s="192">
        <v>18.578134590032349</v>
      </c>
      <c r="O63" s="207" t="s">
        <v>264</v>
      </c>
      <c r="P63" s="207" t="s">
        <v>264</v>
      </c>
      <c r="Q63" s="207" t="s">
        <v>264</v>
      </c>
      <c r="R63" s="207" t="s">
        <v>264</v>
      </c>
      <c r="S63" s="207" t="s">
        <v>264</v>
      </c>
    </row>
    <row r="64" spans="1:19" ht="20" customHeight="1" x14ac:dyDescent="0.15">
      <c r="A64" s="50">
        <v>59</v>
      </c>
      <c r="B64" s="51" t="s">
        <v>585</v>
      </c>
      <c r="C64" s="52" t="s">
        <v>586</v>
      </c>
      <c r="D64" s="53" t="s">
        <v>587</v>
      </c>
      <c r="E64" s="183">
        <v>399.04</v>
      </c>
      <c r="F64" s="195">
        <v>-0.36878735000000001</v>
      </c>
      <c r="G64" s="185">
        <v>111.042494464</v>
      </c>
      <c r="H64" s="184">
        <v>0.17399999999999999</v>
      </c>
      <c r="I64" s="186">
        <v>0.80896000000000001</v>
      </c>
      <c r="J64" s="187">
        <v>25.979168000000001</v>
      </c>
      <c r="K64" s="194">
        <v>5301.3749760000001</v>
      </c>
      <c r="L64" s="185">
        <v>67.912890158674628</v>
      </c>
      <c r="M64" s="195">
        <v>-0.38840629898950979</v>
      </c>
      <c r="N64" s="187">
        <v>20.816205701273532</v>
      </c>
      <c r="O64" s="206" t="s">
        <v>264</v>
      </c>
      <c r="P64" s="206" t="s">
        <v>264</v>
      </c>
      <c r="Q64" s="206" t="s">
        <v>264</v>
      </c>
      <c r="R64" s="206" t="s">
        <v>264</v>
      </c>
      <c r="S64" s="206" t="s">
        <v>264</v>
      </c>
    </row>
    <row r="65" spans="1:19" ht="20" customHeight="1" x14ac:dyDescent="0.15">
      <c r="A65" s="54">
        <v>60</v>
      </c>
      <c r="B65" s="55" t="s">
        <v>588</v>
      </c>
      <c r="C65" s="56" t="s">
        <v>589</v>
      </c>
      <c r="D65" s="57" t="s">
        <v>590</v>
      </c>
      <c r="E65" s="189">
        <v>216.91</v>
      </c>
      <c r="F65" s="184">
        <v>0.43715631999999999</v>
      </c>
      <c r="G65" s="190">
        <v>153.119899648</v>
      </c>
      <c r="H65" s="184">
        <v>0.38300000000000001</v>
      </c>
      <c r="I65" s="191">
        <v>0.39870998000000002</v>
      </c>
      <c r="J65" s="192">
        <v>105.29612</v>
      </c>
      <c r="K65" s="200">
        <v>2600.2127359999999</v>
      </c>
      <c r="L65" s="190">
        <v>38.636078714315182</v>
      </c>
      <c r="M65" s="195">
        <v>-0.74767434668430555</v>
      </c>
      <c r="N65" s="192">
        <v>58.887452257098701</v>
      </c>
      <c r="O65" s="207" t="s">
        <v>264</v>
      </c>
      <c r="P65" s="207" t="s">
        <v>264</v>
      </c>
      <c r="Q65" s="207" t="s">
        <v>264</v>
      </c>
      <c r="R65" s="207" t="s">
        <v>264</v>
      </c>
      <c r="S65" s="207" t="s">
        <v>264</v>
      </c>
    </row>
    <row r="66" spans="1:19" ht="20" customHeight="1" x14ac:dyDescent="0.15">
      <c r="A66" s="50">
        <v>61</v>
      </c>
      <c r="B66" s="51" t="s">
        <v>591</v>
      </c>
      <c r="C66" s="52" t="s">
        <v>592</v>
      </c>
      <c r="D66" s="53" t="s">
        <v>558</v>
      </c>
      <c r="E66" s="183">
        <v>96.91</v>
      </c>
      <c r="F66" s="184">
        <v>0.56029629999999997</v>
      </c>
      <c r="G66" s="185">
        <v>19.360890879999999</v>
      </c>
      <c r="H66" s="184">
        <v>0.20899999999999999</v>
      </c>
      <c r="I66" s="186">
        <v>0.52766000000000002</v>
      </c>
      <c r="J66" s="187">
        <v>13.687854</v>
      </c>
      <c r="K66" s="194">
        <v>558.86700800000006</v>
      </c>
      <c r="L66" s="185">
        <v>9.1007560386054855</v>
      </c>
      <c r="M66" s="195">
        <v>-0.52994125657685198</v>
      </c>
      <c r="N66" s="187">
        <v>34.64310536121323</v>
      </c>
      <c r="O66" s="206" t="s">
        <v>264</v>
      </c>
      <c r="P66" s="206" t="s">
        <v>264</v>
      </c>
      <c r="Q66" s="206" t="s">
        <v>264</v>
      </c>
      <c r="R66" s="206" t="s">
        <v>264</v>
      </c>
      <c r="S66" s="206" t="s">
        <v>264</v>
      </c>
    </row>
    <row r="67" spans="1:19" ht="20" customHeight="1" x14ac:dyDescent="0.15">
      <c r="A67" s="54">
        <v>62</v>
      </c>
      <c r="B67" s="55" t="s">
        <v>593</v>
      </c>
      <c r="C67" s="56" t="s">
        <v>594</v>
      </c>
      <c r="D67" s="57" t="s">
        <v>579</v>
      </c>
      <c r="E67" s="189">
        <v>152.72</v>
      </c>
      <c r="F67" s="184">
        <v>0.25705813999999999</v>
      </c>
      <c r="G67" s="190">
        <v>11.980052479999999</v>
      </c>
      <c r="H67" s="184">
        <v>5.3999999999999999E-2</v>
      </c>
      <c r="I67" s="191">
        <v>0.33731997000000002</v>
      </c>
      <c r="J67" s="192">
        <v>10.568858000000001</v>
      </c>
      <c r="K67" s="196" t="s">
        <v>264</v>
      </c>
      <c r="L67" s="197" t="s">
        <v>264</v>
      </c>
      <c r="M67" s="198" t="s">
        <v>264</v>
      </c>
      <c r="N67" s="199" t="s">
        <v>264</v>
      </c>
      <c r="O67" s="207" t="s">
        <v>264</v>
      </c>
      <c r="P67" s="207" t="s">
        <v>264</v>
      </c>
      <c r="Q67" s="207" t="s">
        <v>264</v>
      </c>
      <c r="R67" s="207" t="s">
        <v>264</v>
      </c>
      <c r="S67" s="207" t="s">
        <v>264</v>
      </c>
    </row>
    <row r="68" spans="1:19" ht="20" customHeight="1" x14ac:dyDescent="0.15">
      <c r="A68" s="50">
        <v>63</v>
      </c>
      <c r="B68" s="51" t="s">
        <v>595</v>
      </c>
      <c r="C68" s="52" t="s">
        <v>596</v>
      </c>
      <c r="D68" s="53" t="s">
        <v>597</v>
      </c>
      <c r="E68" s="183">
        <v>91.85</v>
      </c>
      <c r="F68" s="184">
        <v>0.54838169999999997</v>
      </c>
      <c r="G68" s="185">
        <v>362.79766220800002</v>
      </c>
      <c r="H68" s="184">
        <v>9.7000000000000003E-2</v>
      </c>
      <c r="I68" s="186">
        <v>0.64814000000000005</v>
      </c>
      <c r="J68" s="187">
        <v>33.039569999999998</v>
      </c>
      <c r="K68" s="194">
        <v>10129.50016</v>
      </c>
      <c r="L68" s="185">
        <v>137.3728418873682</v>
      </c>
      <c r="M68" s="195">
        <v>-0.62135135862973323</v>
      </c>
      <c r="N68" s="187">
        <v>35.815950459267277</v>
      </c>
      <c r="O68" s="206" t="s">
        <v>264</v>
      </c>
      <c r="P68" s="206" t="s">
        <v>264</v>
      </c>
      <c r="Q68" s="206" t="s">
        <v>264</v>
      </c>
      <c r="R68" s="206" t="s">
        <v>264</v>
      </c>
      <c r="S68" s="206" t="s">
        <v>264</v>
      </c>
    </row>
    <row r="69" spans="1:19" ht="20" customHeight="1" x14ac:dyDescent="0.15">
      <c r="A69" s="54">
        <v>64</v>
      </c>
      <c r="B69" s="55" t="s">
        <v>598</v>
      </c>
      <c r="C69" s="56" t="s">
        <v>599</v>
      </c>
      <c r="D69" s="57" t="s">
        <v>522</v>
      </c>
      <c r="E69" s="189">
        <v>177.01</v>
      </c>
      <c r="F69" s="184">
        <v>0.26943493000000002</v>
      </c>
      <c r="G69" s="190">
        <v>186.56854016</v>
      </c>
      <c r="H69" s="195">
        <v>-3.5000000000000003E-2</v>
      </c>
      <c r="I69" s="191">
        <v>0.54798999999999998</v>
      </c>
      <c r="J69" s="192">
        <v>19.053822</v>
      </c>
      <c r="K69" s="200">
        <v>9589.6248319999995</v>
      </c>
      <c r="L69" s="190">
        <v>49.957944414936463</v>
      </c>
      <c r="M69" s="195">
        <v>-0.73222739282789662</v>
      </c>
      <c r="N69" s="192">
        <v>19.455249112293949</v>
      </c>
      <c r="O69" s="207" t="s">
        <v>264</v>
      </c>
      <c r="P69" s="207" t="s">
        <v>264</v>
      </c>
      <c r="Q69" s="207" t="s">
        <v>264</v>
      </c>
      <c r="R69" s="207" t="s">
        <v>264</v>
      </c>
      <c r="S69" s="207" t="s">
        <v>264</v>
      </c>
    </row>
    <row r="70" spans="1:19" ht="20" customHeight="1" x14ac:dyDescent="0.15">
      <c r="A70" s="50">
        <v>65</v>
      </c>
      <c r="B70" s="51" t="s">
        <v>600</v>
      </c>
      <c r="C70" s="52" t="s">
        <v>601</v>
      </c>
      <c r="D70" s="53" t="s">
        <v>570</v>
      </c>
      <c r="E70" s="183">
        <v>216.03</v>
      </c>
      <c r="F70" s="195">
        <v>-4.1230259999999998E-2</v>
      </c>
      <c r="G70" s="185">
        <v>40.003452928000002</v>
      </c>
      <c r="H70" s="184">
        <v>0.249</v>
      </c>
      <c r="I70" s="186">
        <v>0.59289000000000003</v>
      </c>
      <c r="J70" s="187">
        <v>27.422806000000001</v>
      </c>
      <c r="K70" s="194">
        <v>1484.974976</v>
      </c>
      <c r="L70" s="185">
        <v>23.133419527051569</v>
      </c>
      <c r="M70" s="195">
        <v>-0.42171443128451608</v>
      </c>
      <c r="N70" s="187">
        <v>26.938806650759339</v>
      </c>
      <c r="O70" s="206" t="s">
        <v>264</v>
      </c>
      <c r="P70" s="206" t="s">
        <v>264</v>
      </c>
      <c r="Q70" s="206" t="s">
        <v>264</v>
      </c>
      <c r="R70" s="206" t="s">
        <v>264</v>
      </c>
      <c r="S70" s="206" t="s">
        <v>264</v>
      </c>
    </row>
    <row r="71" spans="1:19" ht="20" customHeight="1" x14ac:dyDescent="0.15">
      <c r="A71" s="54">
        <v>66</v>
      </c>
      <c r="B71" s="55" t="s">
        <v>602</v>
      </c>
      <c r="C71" s="56" t="s">
        <v>603</v>
      </c>
      <c r="D71" s="57" t="s">
        <v>604</v>
      </c>
      <c r="E71" s="189">
        <v>93.02</v>
      </c>
      <c r="F71" s="195">
        <v>-0.37758446000000001</v>
      </c>
      <c r="G71" s="190">
        <v>33.328216064000003</v>
      </c>
      <c r="H71" s="184">
        <v>0.19900000000000001</v>
      </c>
      <c r="I71" s="191">
        <v>0.67197996000000004</v>
      </c>
      <c r="J71" s="192">
        <v>20.534213999999999</v>
      </c>
      <c r="K71" s="196" t="s">
        <v>264</v>
      </c>
      <c r="L71" s="197" t="s">
        <v>264</v>
      </c>
      <c r="M71" s="198" t="s">
        <v>264</v>
      </c>
      <c r="N71" s="199" t="s">
        <v>264</v>
      </c>
      <c r="O71" s="207" t="s">
        <v>264</v>
      </c>
      <c r="P71" s="207" t="s">
        <v>264</v>
      </c>
      <c r="Q71" s="207" t="s">
        <v>264</v>
      </c>
      <c r="R71" s="207" t="s">
        <v>264</v>
      </c>
      <c r="S71" s="207" t="s">
        <v>264</v>
      </c>
    </row>
    <row r="72" spans="1:19" ht="20" customHeight="1" x14ac:dyDescent="0.15">
      <c r="A72" s="50">
        <v>67</v>
      </c>
      <c r="B72" s="51" t="s">
        <v>605</v>
      </c>
      <c r="C72" s="52" t="s">
        <v>606</v>
      </c>
      <c r="D72" s="53" t="s">
        <v>522</v>
      </c>
      <c r="E72" s="183">
        <v>93.95</v>
      </c>
      <c r="F72" s="184">
        <v>0.96630393999999997</v>
      </c>
      <c r="G72" s="185">
        <v>50.839678976000002</v>
      </c>
      <c r="H72" s="184">
        <v>0.156</v>
      </c>
      <c r="I72" s="186">
        <v>0.55406999999999995</v>
      </c>
      <c r="J72" s="187">
        <v>35.289164999999997</v>
      </c>
      <c r="K72" s="194">
        <v>996.41247999999996</v>
      </c>
      <c r="L72" s="185">
        <v>10.929794822387651</v>
      </c>
      <c r="M72" s="195">
        <v>-0.7850144799783787</v>
      </c>
      <c r="N72" s="187">
        <v>51.022721312262171</v>
      </c>
      <c r="O72" s="206" t="s">
        <v>264</v>
      </c>
      <c r="P72" s="206" t="s">
        <v>264</v>
      </c>
      <c r="Q72" s="206" t="s">
        <v>264</v>
      </c>
      <c r="R72" s="206" t="s">
        <v>264</v>
      </c>
      <c r="S72" s="206" t="s">
        <v>264</v>
      </c>
    </row>
    <row r="73" spans="1:19" ht="20" customHeight="1" x14ac:dyDescent="0.15">
      <c r="A73" s="54">
        <v>68</v>
      </c>
      <c r="B73" s="55" t="s">
        <v>607</v>
      </c>
      <c r="C73" s="56" t="s">
        <v>608</v>
      </c>
      <c r="D73" s="57" t="s">
        <v>609</v>
      </c>
      <c r="E73" s="189">
        <v>181.11</v>
      </c>
      <c r="F73" s="195">
        <v>-0.38554709999999998</v>
      </c>
      <c r="G73" s="190">
        <v>23.729364992000001</v>
      </c>
      <c r="H73" s="184">
        <v>3.9E-2</v>
      </c>
      <c r="I73" s="191">
        <v>0.69979999999999998</v>
      </c>
      <c r="J73" s="192">
        <v>27.608232000000001</v>
      </c>
      <c r="K73" s="200">
        <v>944.36249599999996</v>
      </c>
      <c r="L73" s="190">
        <v>8.9854600076801212</v>
      </c>
      <c r="M73" s="195">
        <v>-0.62133584229036742</v>
      </c>
      <c r="N73" s="192">
        <v>25.127390745513051</v>
      </c>
      <c r="O73" s="207" t="s">
        <v>264</v>
      </c>
      <c r="P73" s="207" t="s">
        <v>264</v>
      </c>
      <c r="Q73" s="207" t="s">
        <v>264</v>
      </c>
      <c r="R73" s="207" t="s">
        <v>264</v>
      </c>
      <c r="S73" s="207" t="s">
        <v>264</v>
      </c>
    </row>
    <row r="74" spans="1:19" ht="20" customHeight="1" x14ac:dyDescent="0.15">
      <c r="A74" s="50">
        <v>69</v>
      </c>
      <c r="B74" s="51" t="s">
        <v>610</v>
      </c>
      <c r="C74" s="52" t="s">
        <v>611</v>
      </c>
      <c r="D74" s="53" t="s">
        <v>587</v>
      </c>
      <c r="E74" s="183">
        <v>340.94</v>
      </c>
      <c r="F74" s="184">
        <v>0.10397302999999999</v>
      </c>
      <c r="G74" s="185">
        <v>94.130831360000002</v>
      </c>
      <c r="H74" s="184">
        <v>0.187</v>
      </c>
      <c r="I74" s="186">
        <v>0.86079000000000006</v>
      </c>
      <c r="J74" s="187">
        <v>79.28837</v>
      </c>
      <c r="K74" s="194">
        <v>1356.85376</v>
      </c>
      <c r="L74" s="185">
        <v>17.8335441407845</v>
      </c>
      <c r="M74" s="195">
        <v>-0.81054513294819697</v>
      </c>
      <c r="N74" s="187">
        <v>69.37433674791896</v>
      </c>
      <c r="O74" s="206" t="s">
        <v>264</v>
      </c>
      <c r="P74" s="206" t="s">
        <v>264</v>
      </c>
      <c r="Q74" s="206" t="s">
        <v>264</v>
      </c>
      <c r="R74" s="206" t="s">
        <v>264</v>
      </c>
      <c r="S74" s="206" t="s">
        <v>264</v>
      </c>
    </row>
    <row r="75" spans="1:19" ht="20" customHeight="1" x14ac:dyDescent="0.15">
      <c r="A75" s="54">
        <v>70</v>
      </c>
      <c r="B75" s="55" t="s">
        <v>612</v>
      </c>
      <c r="C75" s="56" t="s">
        <v>613</v>
      </c>
      <c r="D75" s="57" t="s">
        <v>513</v>
      </c>
      <c r="E75" s="189">
        <v>58.22</v>
      </c>
      <c r="F75" s="184">
        <v>0.16300439999999999</v>
      </c>
      <c r="G75" s="190">
        <v>118.869835776</v>
      </c>
      <c r="H75" s="184">
        <v>2.5999999999999999E-2</v>
      </c>
      <c r="I75" s="191">
        <v>0.71984999999999999</v>
      </c>
      <c r="J75" s="192">
        <v>16.308125</v>
      </c>
      <c r="K75" s="200">
        <v>9733.3749759999992</v>
      </c>
      <c r="L75" s="190">
        <v>90.252359968050428</v>
      </c>
      <c r="M75" s="195">
        <v>-0.2407463224049266</v>
      </c>
      <c r="N75" s="192">
        <v>12.212602358709329</v>
      </c>
      <c r="O75" s="207" t="s">
        <v>264</v>
      </c>
      <c r="P75" s="207" t="s">
        <v>264</v>
      </c>
      <c r="Q75" s="207" t="s">
        <v>264</v>
      </c>
      <c r="R75" s="207" t="s">
        <v>264</v>
      </c>
      <c r="S75" s="207" t="s">
        <v>264</v>
      </c>
    </row>
    <row r="76" spans="1:19" ht="20" customHeight="1" x14ac:dyDescent="0.15">
      <c r="A76" s="50">
        <v>71</v>
      </c>
      <c r="B76" s="51" t="s">
        <v>365</v>
      </c>
      <c r="C76" s="52" t="s">
        <v>364</v>
      </c>
      <c r="D76" s="53" t="s">
        <v>614</v>
      </c>
      <c r="E76" s="183">
        <v>286.64</v>
      </c>
      <c r="F76" s="195">
        <v>-9.2106939999999998E-2</v>
      </c>
      <c r="G76" s="185">
        <v>203.75165337600001</v>
      </c>
      <c r="H76" s="184">
        <v>9.7000000000000003E-2</v>
      </c>
      <c r="I76" s="186">
        <v>0.57407003999999995</v>
      </c>
      <c r="J76" s="187">
        <v>23.986612000000001</v>
      </c>
      <c r="K76" s="194">
        <v>6296.1249280000002</v>
      </c>
      <c r="L76" s="185">
        <v>59.7221537161548</v>
      </c>
      <c r="M76" s="195">
        <v>-0.70688751366378122</v>
      </c>
      <c r="N76" s="187">
        <v>32.361434132877477</v>
      </c>
      <c r="O76" s="206" t="s">
        <v>264</v>
      </c>
      <c r="P76" s="206" t="s">
        <v>264</v>
      </c>
      <c r="Q76" s="206" t="s">
        <v>264</v>
      </c>
      <c r="R76" s="206" t="s">
        <v>264</v>
      </c>
      <c r="S76" s="206" t="s">
        <v>264</v>
      </c>
    </row>
    <row r="77" spans="1:19" ht="20" customHeight="1" x14ac:dyDescent="0.15">
      <c r="A77" s="54">
        <v>72</v>
      </c>
      <c r="B77" s="55" t="s">
        <v>615</v>
      </c>
      <c r="C77" s="56" t="s">
        <v>615</v>
      </c>
      <c r="D77" s="57" t="s">
        <v>616</v>
      </c>
      <c r="E77" s="189">
        <v>45.09</v>
      </c>
      <c r="F77" s="184">
        <v>0.58377239999999997</v>
      </c>
      <c r="G77" s="190">
        <v>83.783483391999994</v>
      </c>
      <c r="H77" s="184">
        <v>1.7000000000000001E-2</v>
      </c>
      <c r="I77" s="191">
        <v>0.46816003</v>
      </c>
      <c r="J77" s="192">
        <v>27.662576999999999</v>
      </c>
      <c r="K77" s="200">
        <v>1129.8749439999999</v>
      </c>
      <c r="L77" s="190">
        <v>9.9429216053814198</v>
      </c>
      <c r="M77" s="195">
        <v>-0.88132599406423329</v>
      </c>
      <c r="N77" s="192">
        <v>74.152879893440669</v>
      </c>
      <c r="O77" s="207" t="s">
        <v>264</v>
      </c>
      <c r="P77" s="207" t="s">
        <v>264</v>
      </c>
      <c r="Q77" s="207" t="s">
        <v>264</v>
      </c>
      <c r="R77" s="207" t="s">
        <v>264</v>
      </c>
      <c r="S77" s="207" t="s">
        <v>264</v>
      </c>
    </row>
    <row r="78" spans="1:19" ht="20" customHeight="1" x14ac:dyDescent="0.15">
      <c r="A78" s="50">
        <v>73</v>
      </c>
      <c r="B78" s="51" t="s">
        <v>617</v>
      </c>
      <c r="C78" s="52" t="s">
        <v>618</v>
      </c>
      <c r="D78" s="53" t="s">
        <v>619</v>
      </c>
      <c r="E78" s="183">
        <v>457.78</v>
      </c>
      <c r="F78" s="195">
        <v>-0.13922006000000001</v>
      </c>
      <c r="G78" s="185">
        <v>162.128674816</v>
      </c>
      <c r="H78" s="184">
        <v>0.23</v>
      </c>
      <c r="I78" s="186">
        <v>0.66291999999999995</v>
      </c>
      <c r="J78" s="187">
        <v>55.55583</v>
      </c>
      <c r="K78" s="194">
        <v>2254.0874239999998</v>
      </c>
      <c r="L78" s="185">
        <v>35.789184590472807</v>
      </c>
      <c r="M78" s="195">
        <v>-0.77925444323103243</v>
      </c>
      <c r="N78" s="187">
        <v>71.926520721655905</v>
      </c>
      <c r="O78" s="206" t="s">
        <v>264</v>
      </c>
      <c r="P78" s="206" t="s">
        <v>264</v>
      </c>
      <c r="Q78" s="206" t="s">
        <v>264</v>
      </c>
      <c r="R78" s="206" t="s">
        <v>264</v>
      </c>
      <c r="S78" s="206" t="s">
        <v>264</v>
      </c>
    </row>
    <row r="79" spans="1:19" ht="20" customHeight="1" x14ac:dyDescent="0.15">
      <c r="A79" s="54">
        <v>74</v>
      </c>
      <c r="B79" s="55" t="s">
        <v>620</v>
      </c>
      <c r="C79" s="56" t="s">
        <v>621</v>
      </c>
      <c r="D79" s="57" t="s">
        <v>622</v>
      </c>
      <c r="E79" s="189">
        <v>358.22</v>
      </c>
      <c r="F79" s="195">
        <v>-0.37278729999999999</v>
      </c>
      <c r="G79" s="190">
        <v>36.870692863999999</v>
      </c>
      <c r="H79" s="184">
        <v>0.113</v>
      </c>
      <c r="I79" s="191">
        <v>0.69403999999999999</v>
      </c>
      <c r="J79" s="192">
        <v>22.360797999999999</v>
      </c>
      <c r="K79" s="200">
        <v>2169.9251199999999</v>
      </c>
      <c r="L79" s="190">
        <v>24.300809292658681</v>
      </c>
      <c r="M79" s="195">
        <v>-0.3409180190268235</v>
      </c>
      <c r="N79" s="192">
        <v>16.900118626498969</v>
      </c>
      <c r="O79" s="207" t="s">
        <v>264</v>
      </c>
      <c r="P79" s="207" t="s">
        <v>264</v>
      </c>
      <c r="Q79" s="207" t="s">
        <v>264</v>
      </c>
      <c r="R79" s="207" t="s">
        <v>264</v>
      </c>
      <c r="S79" s="207" t="s">
        <v>264</v>
      </c>
    </row>
    <row r="80" spans="1:19" ht="20" customHeight="1" x14ac:dyDescent="0.15">
      <c r="A80" s="50">
        <v>75</v>
      </c>
      <c r="B80" s="51" t="s">
        <v>623</v>
      </c>
      <c r="C80" s="52" t="s">
        <v>624</v>
      </c>
      <c r="D80" s="53" t="s">
        <v>460</v>
      </c>
      <c r="E80" s="183">
        <v>323.2</v>
      </c>
      <c r="F80" s="184">
        <v>0.20962607999999999</v>
      </c>
      <c r="G80" s="185">
        <v>18.342569984000001</v>
      </c>
      <c r="H80" s="184">
        <v>0.11</v>
      </c>
      <c r="I80" s="186">
        <v>0.81581999999999999</v>
      </c>
      <c r="J80" s="187">
        <v>26.535305000000001</v>
      </c>
      <c r="K80" s="194">
        <v>793.25638400000003</v>
      </c>
      <c r="L80" s="185">
        <v>9.6592509309391303</v>
      </c>
      <c r="M80" s="195">
        <v>-0.47339707906990258</v>
      </c>
      <c r="N80" s="187">
        <v>23.123128877334061</v>
      </c>
      <c r="O80" s="206" t="s">
        <v>264</v>
      </c>
      <c r="P80" s="206" t="s">
        <v>264</v>
      </c>
      <c r="Q80" s="206" t="s">
        <v>264</v>
      </c>
      <c r="R80" s="206" t="s">
        <v>264</v>
      </c>
      <c r="S80" s="206" t="s">
        <v>264</v>
      </c>
    </row>
    <row r="81" spans="1:19" ht="20" customHeight="1" x14ac:dyDescent="0.15">
      <c r="A81" s="54">
        <v>76</v>
      </c>
      <c r="B81" s="55" t="s">
        <v>625</v>
      </c>
      <c r="C81" s="56" t="s">
        <v>626</v>
      </c>
      <c r="D81" s="57" t="s">
        <v>587</v>
      </c>
      <c r="E81" s="189">
        <v>91.16</v>
      </c>
      <c r="F81" s="195">
        <v>-0.53397064999999999</v>
      </c>
      <c r="G81" s="190">
        <v>94.014046207999996</v>
      </c>
      <c r="H81" s="184">
        <v>0.221</v>
      </c>
      <c r="I81" s="191">
        <v>0.76561999999999997</v>
      </c>
      <c r="J81" s="192">
        <v>54.26191</v>
      </c>
      <c r="K81" s="200">
        <v>5108.1251840000004</v>
      </c>
      <c r="L81" s="190">
        <v>67.058090266311538</v>
      </c>
      <c r="M81" s="195">
        <v>-0.28672264442326151</v>
      </c>
      <c r="N81" s="192">
        <v>18.404802915652269</v>
      </c>
      <c r="O81" s="207" t="s">
        <v>264</v>
      </c>
      <c r="P81" s="207" t="s">
        <v>264</v>
      </c>
      <c r="Q81" s="207" t="s">
        <v>264</v>
      </c>
      <c r="R81" s="207" t="s">
        <v>264</v>
      </c>
      <c r="S81" s="207" t="s">
        <v>264</v>
      </c>
    </row>
    <row r="82" spans="1:19" ht="20" customHeight="1" x14ac:dyDescent="0.15">
      <c r="A82" s="50">
        <v>77</v>
      </c>
      <c r="B82" s="51" t="s">
        <v>627</v>
      </c>
      <c r="C82" s="52" t="s">
        <v>628</v>
      </c>
      <c r="D82" s="53" t="s">
        <v>558</v>
      </c>
      <c r="E82" s="183">
        <v>701.42</v>
      </c>
      <c r="F82" s="184">
        <v>0.16209947999999999</v>
      </c>
      <c r="G82" s="185">
        <v>73.536192512</v>
      </c>
      <c r="H82" s="184">
        <v>0.19</v>
      </c>
      <c r="I82" s="186">
        <v>0.43885000000000002</v>
      </c>
      <c r="J82" s="187">
        <v>17.124511999999999</v>
      </c>
      <c r="K82" s="194">
        <v>3273.3498880000002</v>
      </c>
      <c r="L82" s="185">
        <v>43.262327490726591</v>
      </c>
      <c r="M82" s="195">
        <v>-0.41168659930731621</v>
      </c>
      <c r="N82" s="187">
        <v>22.075737012724741</v>
      </c>
      <c r="O82" s="206" t="s">
        <v>264</v>
      </c>
      <c r="P82" s="206" t="s">
        <v>264</v>
      </c>
      <c r="Q82" s="206" t="s">
        <v>264</v>
      </c>
      <c r="R82" s="206" t="s">
        <v>264</v>
      </c>
      <c r="S82" s="206" t="s">
        <v>264</v>
      </c>
    </row>
    <row r="83" spans="1:19" ht="20" customHeight="1" x14ac:dyDescent="0.15">
      <c r="A83" s="54">
        <v>78</v>
      </c>
      <c r="B83" s="55" t="s">
        <v>629</v>
      </c>
      <c r="C83" s="56" t="s">
        <v>630</v>
      </c>
      <c r="D83" s="57" t="s">
        <v>631</v>
      </c>
      <c r="E83" s="189">
        <v>178.91</v>
      </c>
      <c r="F83" s="184">
        <v>7.3194504000000001E-3</v>
      </c>
      <c r="G83" s="190">
        <v>12.813046784000001</v>
      </c>
      <c r="H83" s="184">
        <v>6.2E-2</v>
      </c>
      <c r="I83" s="191">
        <v>0.70496004999999995</v>
      </c>
      <c r="J83" s="192">
        <v>30.018457000000001</v>
      </c>
      <c r="K83" s="200">
        <v>584.21638399999995</v>
      </c>
      <c r="L83" s="190">
        <v>6.789564752648535</v>
      </c>
      <c r="M83" s="195">
        <v>-0.47010536470319858</v>
      </c>
      <c r="N83" s="192">
        <v>21.932022143100319</v>
      </c>
      <c r="O83" s="207" t="s">
        <v>264</v>
      </c>
      <c r="P83" s="207" t="s">
        <v>264</v>
      </c>
      <c r="Q83" s="207" t="s">
        <v>264</v>
      </c>
      <c r="R83" s="207" t="s">
        <v>264</v>
      </c>
      <c r="S83" s="207" t="s">
        <v>264</v>
      </c>
    </row>
    <row r="84" spans="1:19" ht="20" customHeight="1" x14ac:dyDescent="0.15">
      <c r="A84" s="50">
        <v>79</v>
      </c>
      <c r="B84" s="51" t="s">
        <v>632</v>
      </c>
      <c r="C84" s="52" t="s">
        <v>633</v>
      </c>
      <c r="D84" s="53" t="s">
        <v>522</v>
      </c>
      <c r="E84" s="183">
        <v>69.400000000000006</v>
      </c>
      <c r="F84" s="184">
        <v>4.9448012999999999E-2</v>
      </c>
      <c r="G84" s="185">
        <v>10.438174719999999</v>
      </c>
      <c r="H84" s="195">
        <v>-3.1E-2</v>
      </c>
      <c r="I84" s="186">
        <v>0.41132000000000002</v>
      </c>
      <c r="J84" s="187">
        <v>26.590039999999998</v>
      </c>
      <c r="K84" s="194">
        <v>1099.6875520000001</v>
      </c>
      <c r="L84" s="185">
        <v>6.0247149918812237</v>
      </c>
      <c r="M84" s="195">
        <v>-0.42281910836981812</v>
      </c>
      <c r="N84" s="187">
        <v>9.4919450649560506</v>
      </c>
      <c r="O84" s="206" t="s">
        <v>264</v>
      </c>
      <c r="P84" s="206" t="s">
        <v>264</v>
      </c>
      <c r="Q84" s="206" t="s">
        <v>264</v>
      </c>
      <c r="R84" s="206" t="s">
        <v>264</v>
      </c>
      <c r="S84" s="206" t="s">
        <v>264</v>
      </c>
    </row>
    <row r="85" spans="1:19" ht="20" customHeight="1" x14ac:dyDescent="0.15">
      <c r="A85" s="54">
        <v>80</v>
      </c>
      <c r="B85" s="55" t="s">
        <v>634</v>
      </c>
      <c r="C85" s="56" t="s">
        <v>635</v>
      </c>
      <c r="D85" s="57" t="s">
        <v>579</v>
      </c>
      <c r="E85" s="189">
        <v>112.88</v>
      </c>
      <c r="F85" s="184">
        <v>6.7423224000000004E-2</v>
      </c>
      <c r="G85" s="190">
        <v>57.628622847999999</v>
      </c>
      <c r="H85" s="184">
        <v>0.27900000000000003</v>
      </c>
      <c r="I85" s="191">
        <v>0.50049995999999997</v>
      </c>
      <c r="J85" s="192">
        <v>12.900570999999999</v>
      </c>
      <c r="K85" s="196" t="s">
        <v>264</v>
      </c>
      <c r="L85" s="197" t="s">
        <v>264</v>
      </c>
      <c r="M85" s="198" t="s">
        <v>264</v>
      </c>
      <c r="N85" s="199" t="s">
        <v>264</v>
      </c>
      <c r="O85" s="207" t="s">
        <v>264</v>
      </c>
      <c r="P85" s="207" t="s">
        <v>264</v>
      </c>
      <c r="Q85" s="207" t="s">
        <v>264</v>
      </c>
      <c r="R85" s="207" t="s">
        <v>264</v>
      </c>
      <c r="S85" s="207" t="s">
        <v>264</v>
      </c>
    </row>
    <row r="86" spans="1:19" ht="20" customHeight="1" x14ac:dyDescent="0.15">
      <c r="A86" s="50">
        <v>81</v>
      </c>
      <c r="B86" s="51" t="s">
        <v>636</v>
      </c>
      <c r="C86" s="52" t="s">
        <v>637</v>
      </c>
      <c r="D86" s="53" t="s">
        <v>513</v>
      </c>
      <c r="E86" s="183">
        <v>227.19</v>
      </c>
      <c r="F86" s="184">
        <v>0.46574199999999999</v>
      </c>
      <c r="G86" s="185">
        <v>546.89562623999996</v>
      </c>
      <c r="H86" s="184">
        <v>9.9000000000000005E-2</v>
      </c>
      <c r="I86" s="186">
        <v>0.68035007000000003</v>
      </c>
      <c r="J86" s="187">
        <v>26.325610000000001</v>
      </c>
      <c r="K86" s="194">
        <v>12511.37536</v>
      </c>
      <c r="L86" s="185">
        <v>173.1887233112414</v>
      </c>
      <c r="M86" s="195">
        <v>-0.68332399272975863</v>
      </c>
      <c r="N86" s="187">
        <v>43.711870829962059</v>
      </c>
      <c r="O86" s="206" t="s">
        <v>264</v>
      </c>
      <c r="P86" s="206" t="s">
        <v>264</v>
      </c>
      <c r="Q86" s="206" t="s">
        <v>264</v>
      </c>
      <c r="R86" s="206" t="s">
        <v>264</v>
      </c>
      <c r="S86" s="206" t="s">
        <v>264</v>
      </c>
    </row>
    <row r="87" spans="1:19" ht="20" customHeight="1" x14ac:dyDescent="0.15">
      <c r="A87" s="54">
        <v>82</v>
      </c>
      <c r="B87" s="55" t="s">
        <v>638</v>
      </c>
      <c r="C87" s="56" t="s">
        <v>639</v>
      </c>
      <c r="D87" s="57" t="s">
        <v>640</v>
      </c>
      <c r="E87" s="189">
        <v>256.72000000000003</v>
      </c>
      <c r="F87" s="184">
        <v>2.4734137</v>
      </c>
      <c r="G87" s="190">
        <v>321.046577152</v>
      </c>
      <c r="H87" s="184">
        <v>0.23799999999999999</v>
      </c>
      <c r="I87" s="191">
        <v>0.49979000000000001</v>
      </c>
      <c r="J87" s="192">
        <v>48.529299999999999</v>
      </c>
      <c r="K87" s="200">
        <v>4352.341504</v>
      </c>
      <c r="L87" s="190">
        <v>57.371320834241203</v>
      </c>
      <c r="M87" s="195">
        <v>-0.82129907335196828</v>
      </c>
      <c r="N87" s="192">
        <v>73.764107624584057</v>
      </c>
      <c r="O87" s="207" t="s">
        <v>264</v>
      </c>
      <c r="P87" s="207" t="s">
        <v>264</v>
      </c>
      <c r="Q87" s="207" t="s">
        <v>264</v>
      </c>
      <c r="R87" s="207" t="s">
        <v>264</v>
      </c>
      <c r="S87" s="207" t="s">
        <v>264</v>
      </c>
    </row>
    <row r="88" spans="1:19" ht="20" customHeight="1" x14ac:dyDescent="0.15">
      <c r="A88" s="50">
        <v>83</v>
      </c>
      <c r="B88" s="51" t="s">
        <v>641</v>
      </c>
      <c r="C88" s="52" t="s">
        <v>642</v>
      </c>
      <c r="D88" s="53" t="s">
        <v>522</v>
      </c>
      <c r="E88" s="183">
        <v>93.5</v>
      </c>
      <c r="F88" s="184">
        <v>0.32211541999999999</v>
      </c>
      <c r="G88" s="185">
        <v>8.6679808000000005</v>
      </c>
      <c r="H88" s="184">
        <v>8.4000000000000005E-2</v>
      </c>
      <c r="I88" s="186">
        <v>0.44684000000000001</v>
      </c>
      <c r="J88" s="187">
        <v>25.757574000000002</v>
      </c>
      <c r="K88" s="194">
        <v>566.84563200000002</v>
      </c>
      <c r="L88" s="185">
        <v>5.4942104911755658</v>
      </c>
      <c r="M88" s="195">
        <v>-0.36614874698666089</v>
      </c>
      <c r="N88" s="187">
        <v>15.291607621490851</v>
      </c>
      <c r="O88" s="206" t="s">
        <v>264</v>
      </c>
      <c r="P88" s="206" t="s">
        <v>264</v>
      </c>
      <c r="Q88" s="206" t="s">
        <v>264</v>
      </c>
      <c r="R88" s="206" t="s">
        <v>264</v>
      </c>
      <c r="S88" s="206" t="s">
        <v>264</v>
      </c>
    </row>
    <row r="89" spans="1:19" ht="20" customHeight="1" x14ac:dyDescent="0.15">
      <c r="A89" s="54">
        <v>84</v>
      </c>
      <c r="B89" s="55" t="s">
        <v>643</v>
      </c>
      <c r="C89" s="56" t="s">
        <v>644</v>
      </c>
      <c r="D89" s="57" t="s">
        <v>645</v>
      </c>
      <c r="E89" s="189">
        <v>280.14</v>
      </c>
      <c r="F89" s="184">
        <v>0.40851724</v>
      </c>
      <c r="G89" s="190">
        <v>4109.0062745599998</v>
      </c>
      <c r="H89" s="184">
        <v>0.16600000000000001</v>
      </c>
      <c r="I89" s="191">
        <v>0.47861999999999999</v>
      </c>
      <c r="J89" s="192">
        <v>33.915256999999997</v>
      </c>
      <c r="K89" s="200">
        <v>100480.753664</v>
      </c>
      <c r="L89" s="190">
        <v>1499.719093428017</v>
      </c>
      <c r="M89" s="195">
        <v>-0.63501659690490264</v>
      </c>
      <c r="N89" s="192">
        <v>40.893464335072608</v>
      </c>
      <c r="O89" s="211" t="s">
        <v>455</v>
      </c>
      <c r="P89" s="212">
        <v>57.93</v>
      </c>
      <c r="Q89" s="211" t="s">
        <v>461</v>
      </c>
      <c r="R89" s="212">
        <v>39</v>
      </c>
      <c r="S89" s="213" t="s">
        <v>646</v>
      </c>
    </row>
    <row r="90" spans="1:19" ht="20" customHeight="1" x14ac:dyDescent="0.15">
      <c r="A90" s="50">
        <v>85</v>
      </c>
      <c r="B90" s="51" t="s">
        <v>647</v>
      </c>
      <c r="C90" s="52" t="s">
        <v>648</v>
      </c>
      <c r="D90" s="53" t="s">
        <v>649</v>
      </c>
      <c r="E90" s="183">
        <v>122.69</v>
      </c>
      <c r="F90" s="184">
        <v>0.51618885999999997</v>
      </c>
      <c r="G90" s="185">
        <v>18.84720128</v>
      </c>
      <c r="H90" s="184">
        <v>0.22800000000000001</v>
      </c>
      <c r="I90" s="186">
        <v>0.38452997999999999</v>
      </c>
      <c r="J90" s="187">
        <v>13.6778145</v>
      </c>
      <c r="K90" s="194">
        <v>1307.8749439999999</v>
      </c>
      <c r="L90" s="185">
        <v>20.30562093665214</v>
      </c>
      <c r="M90" s="184">
        <v>7.7381232098357469E-2</v>
      </c>
      <c r="N90" s="187">
        <v>14.41055230389061</v>
      </c>
      <c r="O90" s="206" t="s">
        <v>264</v>
      </c>
      <c r="P90" s="206" t="s">
        <v>264</v>
      </c>
      <c r="Q90" s="206" t="s">
        <v>264</v>
      </c>
      <c r="R90" s="206" t="s">
        <v>264</v>
      </c>
      <c r="S90" s="206" t="s">
        <v>264</v>
      </c>
    </row>
    <row r="91" spans="1:19" ht="20" customHeight="1" x14ac:dyDescent="0.15">
      <c r="A91" s="54">
        <v>86</v>
      </c>
      <c r="B91" s="55" t="s">
        <v>650</v>
      </c>
      <c r="C91" s="56" t="s">
        <v>651</v>
      </c>
      <c r="D91" s="57" t="s">
        <v>652</v>
      </c>
      <c r="E91" s="189">
        <v>77.12</v>
      </c>
      <c r="F91" s="184">
        <v>0.26613033000000003</v>
      </c>
      <c r="G91" s="190">
        <v>75.416117248000006</v>
      </c>
      <c r="H91" s="184">
        <v>0.17599999999999999</v>
      </c>
      <c r="I91" s="191">
        <v>0.55847999999999998</v>
      </c>
      <c r="J91" s="192">
        <v>39.752580000000002</v>
      </c>
      <c r="K91" s="200">
        <v>1514.9213440000001</v>
      </c>
      <c r="L91" s="190">
        <v>23.858146350121739</v>
      </c>
      <c r="M91" s="195">
        <v>-0.68364658350593555</v>
      </c>
      <c r="N91" s="192">
        <v>49.782196755846883</v>
      </c>
      <c r="O91" s="207" t="s">
        <v>264</v>
      </c>
      <c r="P91" s="207" t="s">
        <v>264</v>
      </c>
      <c r="Q91" s="207" t="s">
        <v>264</v>
      </c>
      <c r="R91" s="207" t="s">
        <v>264</v>
      </c>
      <c r="S91" s="207" t="s">
        <v>264</v>
      </c>
    </row>
    <row r="92" spans="1:19" ht="20" customHeight="1" x14ac:dyDescent="0.15">
      <c r="A92" s="50">
        <v>87</v>
      </c>
      <c r="B92" s="51" t="s">
        <v>653</v>
      </c>
      <c r="C92" s="52" t="s">
        <v>654</v>
      </c>
      <c r="D92" s="53" t="s">
        <v>655</v>
      </c>
      <c r="E92" s="183">
        <v>104.07</v>
      </c>
      <c r="F92" s="184">
        <v>0.48015928000000002</v>
      </c>
      <c r="G92" s="185">
        <v>46.2070784</v>
      </c>
      <c r="H92" s="184">
        <v>0.19500000000000001</v>
      </c>
      <c r="I92" s="186">
        <v>0.71786004000000003</v>
      </c>
      <c r="J92" s="187">
        <v>24.034642999999999</v>
      </c>
      <c r="K92" s="194">
        <v>1124.1250560000001</v>
      </c>
      <c r="L92" s="185">
        <v>14.76316650634722</v>
      </c>
      <c r="M92" s="195">
        <v>-0.68049989271022115</v>
      </c>
      <c r="N92" s="187">
        <v>41.104928453796511</v>
      </c>
      <c r="O92" s="206" t="s">
        <v>264</v>
      </c>
      <c r="P92" s="206" t="s">
        <v>264</v>
      </c>
      <c r="Q92" s="206" t="s">
        <v>264</v>
      </c>
      <c r="R92" s="206" t="s">
        <v>264</v>
      </c>
      <c r="S92" s="206" t="s">
        <v>264</v>
      </c>
    </row>
    <row r="93" spans="1:19" ht="20" customHeight="1" x14ac:dyDescent="0.15">
      <c r="A93" s="54">
        <v>88</v>
      </c>
      <c r="B93" s="55" t="s">
        <v>656</v>
      </c>
      <c r="C93" s="56" t="s">
        <v>657</v>
      </c>
      <c r="D93" s="57" t="s">
        <v>616</v>
      </c>
      <c r="E93" s="189">
        <v>266.32</v>
      </c>
      <c r="F93" s="184">
        <v>0.22994506000000001</v>
      </c>
      <c r="G93" s="190">
        <v>158.117707776</v>
      </c>
      <c r="H93" s="184">
        <v>3.2000000000000001E-2</v>
      </c>
      <c r="I93" s="191">
        <v>0.56525999999999998</v>
      </c>
      <c r="J93" s="192">
        <v>21.937397000000001</v>
      </c>
      <c r="K93" s="200">
        <v>4034.3749120000002</v>
      </c>
      <c r="L93" s="190">
        <v>36.153336162034201</v>
      </c>
      <c r="M93" s="195">
        <v>-0.77135175641901277</v>
      </c>
      <c r="N93" s="192">
        <v>39.192615048207003</v>
      </c>
      <c r="O93" s="207" t="s">
        <v>264</v>
      </c>
      <c r="P93" s="207" t="s">
        <v>264</v>
      </c>
      <c r="Q93" s="207" t="s">
        <v>264</v>
      </c>
      <c r="R93" s="207" t="s">
        <v>264</v>
      </c>
      <c r="S93" s="207" t="s">
        <v>264</v>
      </c>
    </row>
    <row r="94" spans="1:19" ht="20" customHeight="1" x14ac:dyDescent="0.15">
      <c r="A94" s="54">
        <v>89</v>
      </c>
      <c r="B94" s="55" t="s">
        <v>658</v>
      </c>
      <c r="C94" s="56" t="s">
        <v>659</v>
      </c>
      <c r="D94" s="57" t="s">
        <v>640</v>
      </c>
      <c r="E94" s="183">
        <v>1726.26</v>
      </c>
      <c r="F94" s="184">
        <v>1.4899538000000001</v>
      </c>
      <c r="G94" s="185">
        <v>226.81732710399999</v>
      </c>
      <c r="H94" s="184">
        <v>0.115</v>
      </c>
      <c r="I94" s="186">
        <v>0.61446000000000001</v>
      </c>
      <c r="J94" s="187">
        <v>48.778187000000003</v>
      </c>
      <c r="K94" s="194">
        <v>2909.8580480000001</v>
      </c>
      <c r="L94" s="185">
        <v>36.036014202412517</v>
      </c>
      <c r="M94" s="195">
        <v>-0.84112318638739025</v>
      </c>
      <c r="N94" s="187">
        <v>77.760600954531512</v>
      </c>
      <c r="O94" s="206" t="s">
        <v>264</v>
      </c>
      <c r="P94" s="206" t="s">
        <v>264</v>
      </c>
      <c r="Q94" s="206" t="s">
        <v>264</v>
      </c>
      <c r="R94" s="206" t="s">
        <v>264</v>
      </c>
      <c r="S94" s="206" t="s">
        <v>264</v>
      </c>
    </row>
    <row r="95" spans="1:19" ht="20" customHeight="1" x14ac:dyDescent="0.15">
      <c r="A95" s="50">
        <v>90</v>
      </c>
      <c r="B95" s="51" t="s">
        <v>660</v>
      </c>
      <c r="C95" s="52" t="s">
        <v>661</v>
      </c>
      <c r="D95" s="53" t="s">
        <v>498</v>
      </c>
      <c r="E95" s="189">
        <v>103.42</v>
      </c>
      <c r="F95" s="184">
        <v>0.13113855999999999</v>
      </c>
      <c r="G95" s="190">
        <v>22.224957440000001</v>
      </c>
      <c r="H95" s="184">
        <v>5.2999999999999999E-2</v>
      </c>
      <c r="I95" s="191">
        <v>0.51998999999999995</v>
      </c>
      <c r="J95" s="192">
        <v>11.096567</v>
      </c>
      <c r="K95" s="200">
        <v>1880.349952</v>
      </c>
      <c r="L95" s="190">
        <v>21.166129757025089</v>
      </c>
      <c r="M95" s="195">
        <v>-4.7641381803919948E-2</v>
      </c>
      <c r="N95" s="192">
        <v>11.819586017145809</v>
      </c>
      <c r="O95" s="207" t="s">
        <v>264</v>
      </c>
      <c r="P95" s="207" t="s">
        <v>264</v>
      </c>
      <c r="Q95" s="207" t="s">
        <v>264</v>
      </c>
      <c r="R95" s="207" t="s">
        <v>264</v>
      </c>
      <c r="S95" s="207" t="s">
        <v>264</v>
      </c>
    </row>
    <row r="96" spans="1:19" ht="20" customHeight="1" x14ac:dyDescent="0.15">
      <c r="A96" s="54">
        <v>91</v>
      </c>
      <c r="B96" s="55" t="s">
        <v>662</v>
      </c>
      <c r="C96" s="56" t="s">
        <v>663</v>
      </c>
      <c r="D96" s="57" t="s">
        <v>652</v>
      </c>
      <c r="E96" s="183">
        <v>78.58</v>
      </c>
      <c r="F96" s="184">
        <v>9.5955369999999998E-2</v>
      </c>
      <c r="G96" s="185">
        <v>338.129747968</v>
      </c>
      <c r="H96" s="184">
        <v>0.121</v>
      </c>
      <c r="I96" s="186">
        <v>0.61743999999999999</v>
      </c>
      <c r="J96" s="187">
        <v>24.710691000000001</v>
      </c>
      <c r="K96" s="194">
        <v>3165.4999039999998</v>
      </c>
      <c r="L96" s="185">
        <v>54.685702284445632</v>
      </c>
      <c r="M96" s="195">
        <v>-0.83827006463323361</v>
      </c>
      <c r="N96" s="187">
        <v>106.81716956387559</v>
      </c>
      <c r="O96" s="208" t="s">
        <v>455</v>
      </c>
      <c r="P96" s="209">
        <v>30.41</v>
      </c>
      <c r="Q96" s="208" t="s">
        <v>461</v>
      </c>
      <c r="R96" s="209">
        <v>3.25</v>
      </c>
      <c r="S96" s="210" t="s">
        <v>664</v>
      </c>
    </row>
    <row r="97" spans="1:19" ht="20" customHeight="1" x14ac:dyDescent="0.15">
      <c r="A97" s="54">
        <v>92</v>
      </c>
      <c r="B97" s="55" t="s">
        <v>665</v>
      </c>
      <c r="C97" s="56" t="s">
        <v>666</v>
      </c>
      <c r="D97" s="57" t="s">
        <v>506</v>
      </c>
      <c r="E97" s="189">
        <v>64.42</v>
      </c>
      <c r="F97" s="184">
        <v>0.66416942999999995</v>
      </c>
      <c r="G97" s="190">
        <v>27.444439039999999</v>
      </c>
      <c r="H97" s="184">
        <v>0.13800000000000001</v>
      </c>
      <c r="I97" s="191">
        <v>0</v>
      </c>
      <c r="J97" s="192">
        <v>15.265402999999999</v>
      </c>
      <c r="K97" s="193" t="s">
        <v>264</v>
      </c>
      <c r="L97" s="193" t="s">
        <v>264</v>
      </c>
      <c r="M97" s="193" t="s">
        <v>264</v>
      </c>
      <c r="N97" s="193" t="s">
        <v>264</v>
      </c>
      <c r="O97" s="207" t="s">
        <v>264</v>
      </c>
      <c r="P97" s="207" t="s">
        <v>264</v>
      </c>
      <c r="Q97" s="207" t="s">
        <v>264</v>
      </c>
      <c r="R97" s="207" t="s">
        <v>264</v>
      </c>
      <c r="S97" s="207" t="s">
        <v>264</v>
      </c>
    </row>
    <row r="98" spans="1:19" ht="20" customHeight="1" x14ac:dyDescent="0.15">
      <c r="A98" s="50">
        <v>93</v>
      </c>
      <c r="B98" s="51" t="s">
        <v>667</v>
      </c>
      <c r="C98" s="52" t="s">
        <v>668</v>
      </c>
      <c r="D98" s="53" t="s">
        <v>465</v>
      </c>
      <c r="E98" s="183">
        <v>50.44</v>
      </c>
      <c r="F98" s="195">
        <v>-0.26407940000000002</v>
      </c>
      <c r="G98" s="185">
        <v>45.379555328000002</v>
      </c>
      <c r="H98" s="184">
        <v>3.6999999999999998E-2</v>
      </c>
      <c r="I98" s="186">
        <v>0.41483999999999999</v>
      </c>
      <c r="J98" s="187">
        <v>9.3234750000000002</v>
      </c>
      <c r="K98" s="194">
        <v>3274.249984</v>
      </c>
      <c r="L98" s="185">
        <v>37.026551146407897</v>
      </c>
      <c r="M98" s="195">
        <v>-0.18406976712788881</v>
      </c>
      <c r="N98" s="187">
        <v>13.85952670657171</v>
      </c>
      <c r="O98" s="206" t="s">
        <v>264</v>
      </c>
      <c r="P98" s="206" t="s">
        <v>264</v>
      </c>
      <c r="Q98" s="206" t="s">
        <v>264</v>
      </c>
      <c r="R98" s="206" t="s">
        <v>264</v>
      </c>
      <c r="S98" s="206" t="s">
        <v>264</v>
      </c>
    </row>
    <row r="99" spans="1:19" ht="20" customHeight="1" x14ac:dyDescent="0.15">
      <c r="A99" s="54">
        <v>94</v>
      </c>
      <c r="B99" s="55" t="s">
        <v>669</v>
      </c>
      <c r="C99" s="56" t="s">
        <v>670</v>
      </c>
      <c r="D99" s="57" t="s">
        <v>587</v>
      </c>
      <c r="E99" s="189">
        <v>183.82</v>
      </c>
      <c r="F99" s="195">
        <v>-0.32575284999999998</v>
      </c>
      <c r="G99" s="190">
        <v>150.37464575999999</v>
      </c>
      <c r="H99" s="184">
        <v>0.121</v>
      </c>
      <c r="I99" s="191">
        <v>0.77676003999999998</v>
      </c>
      <c r="J99" s="192">
        <v>23.596920000000001</v>
      </c>
      <c r="K99" s="200">
        <v>16366.999551999999</v>
      </c>
      <c r="L99" s="190">
        <v>195.6778810112678</v>
      </c>
      <c r="M99" s="184">
        <v>0.30126910705128063</v>
      </c>
      <c r="N99" s="192">
        <v>9.187672960112268</v>
      </c>
      <c r="O99" s="207" t="s">
        <v>264</v>
      </c>
      <c r="P99" s="207" t="s">
        <v>264</v>
      </c>
      <c r="Q99" s="207" t="s">
        <v>264</v>
      </c>
      <c r="R99" s="207" t="s">
        <v>264</v>
      </c>
      <c r="S99" s="207" t="s">
        <v>264</v>
      </c>
    </row>
    <row r="100" spans="1:19" ht="20" customHeight="1" x14ac:dyDescent="0.15">
      <c r="A100" s="50">
        <v>95</v>
      </c>
      <c r="B100" s="51" t="s">
        <v>671</v>
      </c>
      <c r="C100" s="52" t="s">
        <v>672</v>
      </c>
      <c r="D100" s="53" t="s">
        <v>631</v>
      </c>
      <c r="E100" s="183">
        <v>80</v>
      </c>
      <c r="F100" s="195">
        <v>-4.1342139999999999E-2</v>
      </c>
      <c r="G100" s="185">
        <v>102.710796288</v>
      </c>
      <c r="H100" s="184">
        <v>8.6999999999999994E-2</v>
      </c>
      <c r="I100" s="186">
        <v>0.65159</v>
      </c>
      <c r="J100" s="187">
        <v>22.346368999999999</v>
      </c>
      <c r="K100" s="194">
        <v>4073.1251200000002</v>
      </c>
      <c r="L100" s="185">
        <v>54.073463951641223</v>
      </c>
      <c r="M100" s="195">
        <v>-0.4735367078644801</v>
      </c>
      <c r="N100" s="187">
        <v>25.216705623813489</v>
      </c>
      <c r="O100" s="206" t="s">
        <v>264</v>
      </c>
      <c r="P100" s="206" t="s">
        <v>264</v>
      </c>
      <c r="Q100" s="206" t="s">
        <v>264</v>
      </c>
      <c r="R100" s="206" t="s">
        <v>264</v>
      </c>
      <c r="S100" s="206" t="s">
        <v>264</v>
      </c>
    </row>
    <row r="101" spans="1:19" ht="20" customHeight="1" x14ac:dyDescent="0.15">
      <c r="A101" s="54">
        <v>96</v>
      </c>
      <c r="B101" s="55" t="s">
        <v>673</v>
      </c>
      <c r="C101" s="56" t="s">
        <v>674</v>
      </c>
      <c r="D101" s="57" t="s">
        <v>513</v>
      </c>
      <c r="E101" s="189">
        <v>112.16</v>
      </c>
      <c r="F101" s="184">
        <v>0.35393523999999998</v>
      </c>
      <c r="G101" s="190">
        <v>277.02165503999998</v>
      </c>
      <c r="H101" s="184">
        <v>4.9000000000000002E-2</v>
      </c>
      <c r="I101" s="191">
        <v>0.76600000000000001</v>
      </c>
      <c r="J101" s="192">
        <v>31.50562</v>
      </c>
      <c r="K101" s="196" t="s">
        <v>264</v>
      </c>
      <c r="L101" s="197" t="s">
        <v>264</v>
      </c>
      <c r="M101" s="198" t="s">
        <v>264</v>
      </c>
      <c r="N101" s="199" t="s">
        <v>264</v>
      </c>
      <c r="O101" s="207" t="s">
        <v>264</v>
      </c>
      <c r="P101" s="207" t="s">
        <v>264</v>
      </c>
      <c r="Q101" s="207" t="s">
        <v>264</v>
      </c>
      <c r="R101" s="207" t="s">
        <v>264</v>
      </c>
      <c r="S101" s="207" t="s">
        <v>264</v>
      </c>
    </row>
    <row r="102" spans="1:19" ht="20" customHeight="1" x14ac:dyDescent="0.15">
      <c r="A102" s="50">
        <v>97</v>
      </c>
      <c r="B102" s="51" t="s">
        <v>675</v>
      </c>
      <c r="C102" s="52" t="s">
        <v>676</v>
      </c>
      <c r="D102" s="53" t="s">
        <v>460</v>
      </c>
      <c r="E102" s="183">
        <v>489.02</v>
      </c>
      <c r="F102" s="184">
        <v>2.4318695000000001E-2</v>
      </c>
      <c r="G102" s="185">
        <v>93.677666303999999</v>
      </c>
      <c r="H102" s="184">
        <v>0.65500000000000003</v>
      </c>
      <c r="I102" s="186">
        <v>0.82023999999999997</v>
      </c>
      <c r="J102" s="187">
        <v>75.233840000000001</v>
      </c>
      <c r="K102" s="194">
        <v>3096.2224639999999</v>
      </c>
      <c r="L102" s="185">
        <v>39.990110696613442</v>
      </c>
      <c r="M102" s="195">
        <v>-0.57310944780756268</v>
      </c>
      <c r="N102" s="187">
        <v>30.255468892412239</v>
      </c>
      <c r="O102" s="206" t="s">
        <v>264</v>
      </c>
      <c r="P102" s="206" t="s">
        <v>264</v>
      </c>
      <c r="Q102" s="206" t="s">
        <v>264</v>
      </c>
      <c r="R102" s="206" t="s">
        <v>264</v>
      </c>
      <c r="S102" s="206" t="s">
        <v>264</v>
      </c>
    </row>
    <row r="103" spans="1:19" ht="20" customHeight="1" x14ac:dyDescent="0.15">
      <c r="A103" s="54">
        <v>98</v>
      </c>
      <c r="B103" s="55" t="s">
        <v>677</v>
      </c>
      <c r="C103" s="56" t="s">
        <v>678</v>
      </c>
      <c r="D103" s="57" t="s">
        <v>506</v>
      </c>
      <c r="E103" s="189">
        <v>56.3</v>
      </c>
      <c r="F103" s="184">
        <v>0.35793530000000001</v>
      </c>
      <c r="G103" s="190">
        <v>87.546503168000001</v>
      </c>
      <c r="H103" s="184">
        <v>4.5999999999999999E-2</v>
      </c>
      <c r="I103" s="191">
        <v>0</v>
      </c>
      <c r="J103" s="192">
        <v>11.802935</v>
      </c>
      <c r="K103" s="193" t="s">
        <v>264</v>
      </c>
      <c r="L103" s="193" t="s">
        <v>264</v>
      </c>
      <c r="M103" s="193" t="s">
        <v>264</v>
      </c>
      <c r="N103" s="193" t="s">
        <v>264</v>
      </c>
      <c r="O103" s="207" t="s">
        <v>264</v>
      </c>
      <c r="P103" s="207" t="s">
        <v>264</v>
      </c>
      <c r="Q103" s="207" t="s">
        <v>264</v>
      </c>
      <c r="R103" s="207" t="s">
        <v>264</v>
      </c>
      <c r="S103" s="207" t="s">
        <v>264</v>
      </c>
    </row>
    <row r="104" spans="1:19" ht="20" customHeight="1" x14ac:dyDescent="0.15">
      <c r="A104" s="50">
        <v>99</v>
      </c>
      <c r="B104" s="51" t="s">
        <v>679</v>
      </c>
      <c r="C104" s="52" t="s">
        <v>680</v>
      </c>
      <c r="D104" s="53" t="s">
        <v>681</v>
      </c>
      <c r="E104" s="183">
        <v>114.16</v>
      </c>
      <c r="F104" s="195">
        <v>-0.27774262</v>
      </c>
      <c r="G104" s="185">
        <v>48.190099455999999</v>
      </c>
      <c r="H104" s="184">
        <v>0.03</v>
      </c>
      <c r="I104" s="186">
        <v>0.71892</v>
      </c>
      <c r="J104" s="187">
        <v>18.963455</v>
      </c>
      <c r="K104" s="194">
        <v>1790.875008</v>
      </c>
      <c r="L104" s="185">
        <v>17.213648892988211</v>
      </c>
      <c r="M104" s="195">
        <v>-0.6427969834611954</v>
      </c>
      <c r="N104" s="187">
        <v>26.806026660192241</v>
      </c>
      <c r="O104" s="206" t="s">
        <v>264</v>
      </c>
      <c r="P104" s="206" t="s">
        <v>264</v>
      </c>
      <c r="Q104" s="206" t="s">
        <v>264</v>
      </c>
      <c r="R104" s="206" t="s">
        <v>264</v>
      </c>
      <c r="S104" s="206" t="s">
        <v>264</v>
      </c>
    </row>
    <row r="105" spans="1:19" ht="20" customHeight="1" x14ac:dyDescent="0.15">
      <c r="A105" s="54">
        <v>100</v>
      </c>
      <c r="B105" s="55" t="s">
        <v>682</v>
      </c>
      <c r="C105" s="56" t="s">
        <v>683</v>
      </c>
      <c r="D105" s="57" t="s">
        <v>631</v>
      </c>
      <c r="E105" s="189">
        <v>83.98</v>
      </c>
      <c r="F105" s="184">
        <v>0.11809349</v>
      </c>
      <c r="G105" s="190">
        <v>48.417972224000003</v>
      </c>
      <c r="H105" s="184">
        <v>0.16700000000000001</v>
      </c>
      <c r="I105" s="191">
        <v>0.77866000000000002</v>
      </c>
      <c r="J105" s="192">
        <v>45.394596</v>
      </c>
      <c r="K105" s="196" t="s">
        <v>264</v>
      </c>
      <c r="L105" s="197" t="s">
        <v>264</v>
      </c>
      <c r="M105" s="198" t="s">
        <v>264</v>
      </c>
      <c r="N105" s="199" t="s">
        <v>264</v>
      </c>
      <c r="O105" s="207" t="s">
        <v>264</v>
      </c>
      <c r="P105" s="207" t="s">
        <v>264</v>
      </c>
      <c r="Q105" s="207" t="s">
        <v>264</v>
      </c>
      <c r="R105" s="207" t="s">
        <v>264</v>
      </c>
      <c r="S105" s="207" t="s">
        <v>264</v>
      </c>
    </row>
    <row r="106" spans="1:19" ht="20" customHeight="1" x14ac:dyDescent="0.15">
      <c r="A106" s="50">
        <v>101</v>
      </c>
      <c r="B106" s="51" t="s">
        <v>684</v>
      </c>
      <c r="C106" s="52" t="s">
        <v>685</v>
      </c>
      <c r="D106" s="53" t="s">
        <v>506</v>
      </c>
      <c r="E106" s="183">
        <v>50.43</v>
      </c>
      <c r="F106" s="184">
        <v>0.35273599999999999</v>
      </c>
      <c r="G106" s="185">
        <v>45.680652287999997</v>
      </c>
      <c r="H106" s="184">
        <v>0.33</v>
      </c>
      <c r="I106" s="186">
        <v>0</v>
      </c>
      <c r="J106" s="187">
        <v>16.979797000000001</v>
      </c>
      <c r="K106" s="188" t="s">
        <v>264</v>
      </c>
      <c r="L106" s="188" t="s">
        <v>264</v>
      </c>
      <c r="M106" s="188" t="s">
        <v>264</v>
      </c>
      <c r="N106" s="188" t="s">
        <v>264</v>
      </c>
      <c r="O106" s="206" t="s">
        <v>264</v>
      </c>
      <c r="P106" s="206" t="s">
        <v>264</v>
      </c>
      <c r="Q106" s="206" t="s">
        <v>264</v>
      </c>
      <c r="R106" s="206" t="s">
        <v>264</v>
      </c>
      <c r="S106" s="206" t="s">
        <v>264</v>
      </c>
    </row>
    <row r="107" spans="1:19" ht="20" customHeight="1" x14ac:dyDescent="0.15">
      <c r="A107" s="54">
        <v>102</v>
      </c>
      <c r="B107" s="55" t="s">
        <v>686</v>
      </c>
      <c r="C107" s="56" t="s">
        <v>687</v>
      </c>
      <c r="D107" s="57" t="s">
        <v>597</v>
      </c>
      <c r="E107" s="189">
        <v>435.9</v>
      </c>
      <c r="F107" s="184">
        <v>7.5313926000000003E-2</v>
      </c>
      <c r="G107" s="190">
        <v>72.448155647999997</v>
      </c>
      <c r="H107" s="184">
        <v>0.123</v>
      </c>
      <c r="I107" s="191">
        <v>0.51798</v>
      </c>
      <c r="J107" s="192">
        <v>34.241947000000003</v>
      </c>
      <c r="K107" s="200">
        <v>1996.249984</v>
      </c>
      <c r="L107" s="190">
        <v>29.350414787834531</v>
      </c>
      <c r="M107" s="195">
        <v>-0.59487699134208705</v>
      </c>
      <c r="N107" s="192">
        <v>36.292125042241203</v>
      </c>
      <c r="O107" s="207" t="s">
        <v>264</v>
      </c>
      <c r="P107" s="207" t="s">
        <v>264</v>
      </c>
      <c r="Q107" s="207" t="s">
        <v>264</v>
      </c>
      <c r="R107" s="207" t="s">
        <v>264</v>
      </c>
      <c r="S107" s="207" t="s">
        <v>264</v>
      </c>
    </row>
    <row r="108" spans="1:19" ht="20" customHeight="1" x14ac:dyDescent="0.15">
      <c r="A108" s="50">
        <v>103</v>
      </c>
      <c r="B108" s="51" t="s">
        <v>358</v>
      </c>
      <c r="C108" s="52" t="s">
        <v>688</v>
      </c>
      <c r="D108" s="53" t="s">
        <v>614</v>
      </c>
      <c r="E108" s="183">
        <v>158.36000000000001</v>
      </c>
      <c r="F108" s="184">
        <v>8.0365660000000005E-2</v>
      </c>
      <c r="G108" s="185">
        <v>43.775479808</v>
      </c>
      <c r="H108" s="184">
        <v>0.152</v>
      </c>
      <c r="I108" s="186">
        <v>0.45662999999999998</v>
      </c>
      <c r="J108" s="187">
        <v>25.500805</v>
      </c>
      <c r="K108" s="194">
        <v>1259.0000640000001</v>
      </c>
      <c r="L108" s="185">
        <v>15.254511127112069</v>
      </c>
      <c r="M108" s="195">
        <v>-0.65152840827745095</v>
      </c>
      <c r="N108" s="187">
        <v>34.737726454158462</v>
      </c>
      <c r="O108" s="206" t="s">
        <v>264</v>
      </c>
      <c r="P108" s="206" t="s">
        <v>264</v>
      </c>
      <c r="Q108" s="206" t="s">
        <v>264</v>
      </c>
      <c r="R108" s="206" t="s">
        <v>264</v>
      </c>
      <c r="S108" s="206" t="s">
        <v>264</v>
      </c>
    </row>
    <row r="109" spans="1:19" ht="20" customHeight="1" x14ac:dyDescent="0.15">
      <c r="A109" s="54">
        <v>104</v>
      </c>
      <c r="B109" s="55" t="s">
        <v>689</v>
      </c>
      <c r="C109" s="56" t="s">
        <v>690</v>
      </c>
      <c r="D109" s="57" t="s">
        <v>640</v>
      </c>
      <c r="E109" s="189">
        <v>389.08</v>
      </c>
      <c r="F109" s="184">
        <v>1.5165255</v>
      </c>
      <c r="G109" s="190">
        <v>308.77771366399998</v>
      </c>
      <c r="H109" s="195">
        <v>-2.1000000000000001E-2</v>
      </c>
      <c r="I109" s="191">
        <v>0.48724000000000001</v>
      </c>
      <c r="J109" s="192">
        <v>39.823948000000001</v>
      </c>
      <c r="K109" s="200">
        <v>4341.7497599999997</v>
      </c>
      <c r="L109" s="190">
        <v>29.727100946383459</v>
      </c>
      <c r="M109" s="195">
        <v>-0.9037265332603267</v>
      </c>
      <c r="N109" s="192">
        <v>71.118268928598965</v>
      </c>
      <c r="O109" s="207" t="s">
        <v>264</v>
      </c>
      <c r="P109" s="207" t="s">
        <v>264</v>
      </c>
      <c r="Q109" s="207" t="s">
        <v>264</v>
      </c>
      <c r="R109" s="207" t="s">
        <v>264</v>
      </c>
      <c r="S109" s="207" t="s">
        <v>264</v>
      </c>
    </row>
    <row r="110" spans="1:19" ht="20" customHeight="1" x14ac:dyDescent="0.15">
      <c r="A110" s="50">
        <v>105</v>
      </c>
      <c r="B110" s="51" t="s">
        <v>691</v>
      </c>
      <c r="C110" s="52" t="s">
        <v>692</v>
      </c>
      <c r="D110" s="53" t="s">
        <v>579</v>
      </c>
      <c r="E110" s="183">
        <v>80.23</v>
      </c>
      <c r="F110" s="184">
        <v>3.6429404999999998E-2</v>
      </c>
      <c r="G110" s="185">
        <v>51.763199999999998</v>
      </c>
      <c r="H110" s="184">
        <v>0.27600000000000002</v>
      </c>
      <c r="I110" s="186">
        <v>0.23363</v>
      </c>
      <c r="J110" s="187">
        <v>17.033971999999999</v>
      </c>
      <c r="K110" s="194">
        <v>-12738.499583999999</v>
      </c>
      <c r="L110" s="188" t="s">
        <v>264</v>
      </c>
      <c r="M110" s="188" t="s">
        <v>264</v>
      </c>
      <c r="N110" s="187">
        <v>-4.0635242601402126</v>
      </c>
      <c r="O110" s="206" t="s">
        <v>264</v>
      </c>
      <c r="P110" s="206" t="s">
        <v>264</v>
      </c>
      <c r="Q110" s="206" t="s">
        <v>264</v>
      </c>
      <c r="R110" s="206" t="s">
        <v>264</v>
      </c>
      <c r="S110" s="206" t="s">
        <v>264</v>
      </c>
    </row>
    <row r="111" spans="1:19" ht="20" customHeight="1" x14ac:dyDescent="0.15">
      <c r="A111" s="54">
        <v>106</v>
      </c>
      <c r="B111" s="55" t="s">
        <v>693</v>
      </c>
      <c r="C111" s="56" t="s">
        <v>694</v>
      </c>
      <c r="D111" s="57" t="s">
        <v>695</v>
      </c>
      <c r="E111" s="189">
        <v>307.12</v>
      </c>
      <c r="F111" s="195">
        <v>-0.11843389</v>
      </c>
      <c r="G111" s="190">
        <v>30.148583424000002</v>
      </c>
      <c r="H111" s="184">
        <v>6.8000000000000005E-2</v>
      </c>
      <c r="I111" s="191">
        <v>0.59282999999999997</v>
      </c>
      <c r="J111" s="192">
        <v>28.569302</v>
      </c>
      <c r="K111" s="200">
        <v>427.16236800000001</v>
      </c>
      <c r="L111" s="190">
        <v>4.9738583782988712</v>
      </c>
      <c r="M111" s="195">
        <v>-0.8350218214783719</v>
      </c>
      <c r="N111" s="192">
        <v>70.578749099733429</v>
      </c>
      <c r="O111" s="207" t="s">
        <v>264</v>
      </c>
      <c r="P111" s="207" t="s">
        <v>264</v>
      </c>
      <c r="Q111" s="207" t="s">
        <v>264</v>
      </c>
      <c r="R111" s="207" t="s">
        <v>264</v>
      </c>
      <c r="S111" s="207" t="s">
        <v>264</v>
      </c>
    </row>
    <row r="112" spans="1:19" ht="20" customHeight="1" x14ac:dyDescent="0.15">
      <c r="A112" s="50">
        <v>107</v>
      </c>
      <c r="B112" s="51" t="s">
        <v>696</v>
      </c>
      <c r="C112" s="52" t="s">
        <v>697</v>
      </c>
      <c r="D112" s="53" t="s">
        <v>622</v>
      </c>
      <c r="E112" s="183">
        <v>230.48</v>
      </c>
      <c r="F112" s="184">
        <v>0.35361480000000001</v>
      </c>
      <c r="G112" s="185">
        <v>52.826710016</v>
      </c>
      <c r="H112" s="184">
        <v>0.113</v>
      </c>
      <c r="I112" s="186">
        <v>0.36681997999999999</v>
      </c>
      <c r="J112" s="187">
        <v>34.868380000000002</v>
      </c>
      <c r="K112" s="201" t="s">
        <v>264</v>
      </c>
      <c r="L112" s="202" t="s">
        <v>264</v>
      </c>
      <c r="M112" s="203" t="s">
        <v>264</v>
      </c>
      <c r="N112" s="204" t="s">
        <v>264</v>
      </c>
      <c r="O112" s="206" t="s">
        <v>264</v>
      </c>
      <c r="P112" s="206" t="s">
        <v>264</v>
      </c>
      <c r="Q112" s="206" t="s">
        <v>264</v>
      </c>
      <c r="R112" s="206" t="s">
        <v>264</v>
      </c>
      <c r="S112" s="206" t="s">
        <v>264</v>
      </c>
    </row>
    <row r="113" spans="1:19" ht="20" customHeight="1" x14ac:dyDescent="0.15">
      <c r="A113" s="54">
        <v>108</v>
      </c>
      <c r="B113" s="55" t="s">
        <v>698</v>
      </c>
      <c r="C113" s="56" t="s">
        <v>699</v>
      </c>
      <c r="D113" s="57" t="s">
        <v>493</v>
      </c>
      <c r="E113" s="189">
        <v>91.32</v>
      </c>
      <c r="F113" s="184">
        <v>0.16792428000000001</v>
      </c>
      <c r="G113" s="190">
        <v>51.645186047999999</v>
      </c>
      <c r="H113" s="184">
        <v>0.13700000000000001</v>
      </c>
      <c r="I113" s="191">
        <v>1</v>
      </c>
      <c r="J113" s="192">
        <v>27.506025000000001</v>
      </c>
      <c r="K113" s="200">
        <v>1559.6249600000001</v>
      </c>
      <c r="L113" s="190">
        <v>22.89479810293923</v>
      </c>
      <c r="M113" s="195">
        <v>-0.55669056779734749</v>
      </c>
      <c r="N113" s="192">
        <v>33.113849161121401</v>
      </c>
      <c r="O113" s="207" t="s">
        <v>264</v>
      </c>
      <c r="P113" s="207" t="s">
        <v>264</v>
      </c>
      <c r="Q113" s="207" t="s">
        <v>264</v>
      </c>
      <c r="R113" s="207" t="s">
        <v>264</v>
      </c>
      <c r="S113" s="207" t="s">
        <v>264</v>
      </c>
    </row>
    <row r="114" spans="1:19" ht="20" customHeight="1" x14ac:dyDescent="0.15">
      <c r="A114" s="50">
        <v>109</v>
      </c>
      <c r="B114" s="51" t="s">
        <v>700</v>
      </c>
      <c r="C114" s="52" t="s">
        <v>701</v>
      </c>
      <c r="D114" s="53" t="s">
        <v>513</v>
      </c>
      <c r="E114" s="183">
        <v>26.33</v>
      </c>
      <c r="F114" s="184">
        <v>0.10305822000000001</v>
      </c>
      <c r="G114" s="185">
        <v>149.77441791999999</v>
      </c>
      <c r="H114" s="195">
        <v>-1.2E-2</v>
      </c>
      <c r="I114" s="186">
        <v>0.75807000000000002</v>
      </c>
      <c r="J114" s="187">
        <v>19.360294</v>
      </c>
      <c r="K114" s="194">
        <v>13430.124544</v>
      </c>
      <c r="L114" s="185">
        <v>102.68604890651341</v>
      </c>
      <c r="M114" s="195">
        <v>-0.31439527302077858</v>
      </c>
      <c r="N114" s="187">
        <v>11.15212419556323</v>
      </c>
      <c r="O114" s="206" t="s">
        <v>264</v>
      </c>
      <c r="P114" s="206" t="s">
        <v>264</v>
      </c>
      <c r="Q114" s="206" t="s">
        <v>264</v>
      </c>
      <c r="R114" s="206" t="s">
        <v>264</v>
      </c>
      <c r="S114" s="206" t="s">
        <v>264</v>
      </c>
    </row>
    <row r="115" spans="1:19" ht="20" customHeight="1" x14ac:dyDescent="0.15">
      <c r="A115" s="54">
        <v>110</v>
      </c>
      <c r="B115" s="55" t="s">
        <v>702</v>
      </c>
      <c r="C115" s="56" t="s">
        <v>703</v>
      </c>
      <c r="D115" s="57" t="s">
        <v>622</v>
      </c>
      <c r="E115" s="189">
        <v>214.93</v>
      </c>
      <c r="F115" s="184">
        <v>0.18268860000000001</v>
      </c>
      <c r="G115" s="190">
        <v>15.908055040000001</v>
      </c>
      <c r="H115" s="184">
        <v>8.8999999999999996E-2</v>
      </c>
      <c r="I115" s="191">
        <v>0.44435000000000002</v>
      </c>
      <c r="J115" s="192">
        <v>31.747413999999999</v>
      </c>
      <c r="K115" s="200">
        <v>525.024992</v>
      </c>
      <c r="L115" s="190">
        <v>4.9979831567849002</v>
      </c>
      <c r="M115" s="195">
        <v>-0.68582060193922356</v>
      </c>
      <c r="N115" s="192">
        <v>30.299615006441449</v>
      </c>
      <c r="O115" s="207" t="s">
        <v>264</v>
      </c>
      <c r="P115" s="207" t="s">
        <v>264</v>
      </c>
      <c r="Q115" s="207" t="s">
        <v>264</v>
      </c>
      <c r="R115" s="207" t="s">
        <v>264</v>
      </c>
      <c r="S115" s="207" t="s">
        <v>264</v>
      </c>
    </row>
    <row r="116" spans="1:19" ht="20" customHeight="1" x14ac:dyDescent="0.15">
      <c r="A116" s="50">
        <v>111</v>
      </c>
      <c r="B116" s="51" t="s">
        <v>704</v>
      </c>
      <c r="C116" s="52" t="s">
        <v>705</v>
      </c>
      <c r="D116" s="53" t="s">
        <v>622</v>
      </c>
      <c r="E116" s="183">
        <v>255.47</v>
      </c>
      <c r="F116" s="184">
        <v>6.0613632000000001E-2</v>
      </c>
      <c r="G116" s="185">
        <v>73.626451967999998</v>
      </c>
      <c r="H116" s="184">
        <v>4.5999999999999999E-2</v>
      </c>
      <c r="I116" s="186">
        <v>0.44122001999999999</v>
      </c>
      <c r="J116" s="187">
        <v>23.698516999999999</v>
      </c>
      <c r="K116" s="201" t="s">
        <v>264</v>
      </c>
      <c r="L116" s="202" t="s">
        <v>264</v>
      </c>
      <c r="M116" s="203" t="s">
        <v>264</v>
      </c>
      <c r="N116" s="204" t="s">
        <v>264</v>
      </c>
      <c r="O116" s="206" t="s">
        <v>264</v>
      </c>
      <c r="P116" s="206" t="s">
        <v>264</v>
      </c>
      <c r="Q116" s="206" t="s">
        <v>264</v>
      </c>
      <c r="R116" s="206" t="s">
        <v>264</v>
      </c>
      <c r="S116" s="206" t="s">
        <v>264</v>
      </c>
    </row>
    <row r="117" spans="1:19" ht="20" customHeight="1" x14ac:dyDescent="0.15">
      <c r="A117" s="54">
        <v>112</v>
      </c>
      <c r="B117" s="55" t="s">
        <v>706</v>
      </c>
      <c r="C117" s="56" t="s">
        <v>707</v>
      </c>
      <c r="D117" s="57" t="s">
        <v>708</v>
      </c>
      <c r="E117" s="189">
        <v>352.41</v>
      </c>
      <c r="F117" s="184">
        <v>1.3926267999999999</v>
      </c>
      <c r="G117" s="190">
        <v>60.439195648000002</v>
      </c>
      <c r="H117" s="184">
        <v>0.23300000000000001</v>
      </c>
      <c r="I117" s="191">
        <v>0.61863999999999997</v>
      </c>
      <c r="J117" s="192">
        <v>62.153440000000003</v>
      </c>
      <c r="K117" s="200">
        <v>1077.2500480000001</v>
      </c>
      <c r="L117" s="190">
        <v>17.117775192908429</v>
      </c>
      <c r="M117" s="195">
        <v>-0.71677691919325082</v>
      </c>
      <c r="N117" s="192">
        <v>56.105074560135932</v>
      </c>
      <c r="O117" s="207" t="s">
        <v>264</v>
      </c>
      <c r="P117" s="207" t="s">
        <v>264</v>
      </c>
      <c r="Q117" s="207" t="s">
        <v>264</v>
      </c>
      <c r="R117" s="207" t="s">
        <v>264</v>
      </c>
      <c r="S117" s="207" t="s">
        <v>264</v>
      </c>
    </row>
    <row r="118" spans="1:19" ht="20" customHeight="1" x14ac:dyDescent="0.15">
      <c r="A118" s="50">
        <v>113</v>
      </c>
      <c r="B118" s="51" t="s">
        <v>709</v>
      </c>
      <c r="C118" s="52" t="s">
        <v>710</v>
      </c>
      <c r="D118" s="53" t="s">
        <v>711</v>
      </c>
      <c r="E118" s="183">
        <v>32.53</v>
      </c>
      <c r="F118" s="184">
        <v>0.21064389</v>
      </c>
      <c r="G118" s="185">
        <v>72.373583871999998</v>
      </c>
      <c r="H118" s="184">
        <v>0.13800000000000001</v>
      </c>
      <c r="I118" s="186">
        <v>0.49446000000000001</v>
      </c>
      <c r="J118" s="187">
        <v>21.832214</v>
      </c>
      <c r="K118" s="194">
        <v>1646.875008</v>
      </c>
      <c r="L118" s="185">
        <v>31.474874673763178</v>
      </c>
      <c r="M118" s="195">
        <v>-0.56510548476596545</v>
      </c>
      <c r="N118" s="187">
        <v>43.946007756291117</v>
      </c>
      <c r="O118" s="206" t="s">
        <v>264</v>
      </c>
      <c r="P118" s="206" t="s">
        <v>264</v>
      </c>
      <c r="Q118" s="206" t="s">
        <v>264</v>
      </c>
      <c r="R118" s="206" t="s">
        <v>264</v>
      </c>
      <c r="S118" s="206" t="s">
        <v>264</v>
      </c>
    </row>
    <row r="119" spans="1:19" ht="20" customHeight="1" x14ac:dyDescent="0.15">
      <c r="A119" s="54">
        <v>114</v>
      </c>
      <c r="B119" s="55" t="s">
        <v>712</v>
      </c>
      <c r="C119" s="56" t="s">
        <v>713</v>
      </c>
      <c r="D119" s="57" t="s">
        <v>711</v>
      </c>
      <c r="E119" s="189">
        <v>75.540000000000006</v>
      </c>
      <c r="F119" s="184">
        <v>0.25544285999999999</v>
      </c>
      <c r="G119" s="190">
        <v>92.374614015999995</v>
      </c>
      <c r="H119" s="184">
        <v>8.6999999999999994E-2</v>
      </c>
      <c r="I119" s="191">
        <v>0.62121999999999999</v>
      </c>
      <c r="J119" s="192">
        <v>35.299064999999999</v>
      </c>
      <c r="K119" s="200">
        <v>-353.5</v>
      </c>
      <c r="L119" s="193" t="s">
        <v>264</v>
      </c>
      <c r="M119" s="193" t="s">
        <v>264</v>
      </c>
      <c r="N119" s="192">
        <v>-261.31432575411611</v>
      </c>
      <c r="O119" s="207" t="s">
        <v>264</v>
      </c>
      <c r="P119" s="207" t="s">
        <v>264</v>
      </c>
      <c r="Q119" s="207" t="s">
        <v>264</v>
      </c>
      <c r="R119" s="207" t="s">
        <v>264</v>
      </c>
      <c r="S119" s="207" t="s">
        <v>264</v>
      </c>
    </row>
    <row r="120" spans="1:19" ht="20" customHeight="1" x14ac:dyDescent="0.15">
      <c r="A120" s="50">
        <v>115</v>
      </c>
      <c r="B120" s="51" t="s">
        <v>714</v>
      </c>
      <c r="C120" s="52" t="s">
        <v>715</v>
      </c>
      <c r="D120" s="53" t="s">
        <v>716</v>
      </c>
      <c r="E120" s="183">
        <v>152.82</v>
      </c>
      <c r="F120" s="195">
        <v>-0.18469911999999999</v>
      </c>
      <c r="G120" s="185">
        <v>26.319376384000002</v>
      </c>
      <c r="H120" s="195">
        <v>-0.113</v>
      </c>
      <c r="I120" s="186">
        <v>0.51651000000000002</v>
      </c>
      <c r="J120" s="187">
        <v>15.902186</v>
      </c>
      <c r="K120" s="194">
        <v>2047.6</v>
      </c>
      <c r="L120" s="185">
        <v>11.91622414378746</v>
      </c>
      <c r="M120" s="195">
        <v>-0.54724519418964879</v>
      </c>
      <c r="N120" s="187">
        <v>12.849877014104321</v>
      </c>
      <c r="O120" s="208" t="s">
        <v>455</v>
      </c>
      <c r="P120" s="209">
        <v>0.06</v>
      </c>
      <c r="Q120" s="208" t="s">
        <v>456</v>
      </c>
      <c r="R120" s="209">
        <v>218</v>
      </c>
      <c r="S120" s="210" t="s">
        <v>717</v>
      </c>
    </row>
    <row r="121" spans="1:19" ht="20" customHeight="1" x14ac:dyDescent="0.15">
      <c r="A121" s="54">
        <v>116</v>
      </c>
      <c r="B121" s="55" t="s">
        <v>718</v>
      </c>
      <c r="C121" s="56" t="s">
        <v>719</v>
      </c>
      <c r="D121" s="57" t="s">
        <v>720</v>
      </c>
      <c r="E121" s="189">
        <v>326.22000000000003</v>
      </c>
      <c r="F121" s="184">
        <v>0.13337731</v>
      </c>
      <c r="G121" s="190">
        <v>126.527717376</v>
      </c>
      <c r="H121" s="184">
        <v>0.10199999999999999</v>
      </c>
      <c r="I121" s="191">
        <v>0.30997999999999998</v>
      </c>
      <c r="J121" s="192">
        <v>11.535360000000001</v>
      </c>
      <c r="K121" s="200">
        <v>12622.624768</v>
      </c>
      <c r="L121" s="190">
        <v>161.08566334281491</v>
      </c>
      <c r="M121" s="184">
        <v>0.27312549916726681</v>
      </c>
      <c r="N121" s="192">
        <v>10.02388378842444</v>
      </c>
      <c r="O121" s="211" t="s">
        <v>455</v>
      </c>
      <c r="P121" s="212">
        <v>11.5</v>
      </c>
      <c r="Q121" s="211" t="s">
        <v>461</v>
      </c>
      <c r="R121" s="212">
        <v>255</v>
      </c>
      <c r="S121" s="213" t="s">
        <v>721</v>
      </c>
    </row>
    <row r="122" spans="1:19" ht="20" customHeight="1" x14ac:dyDescent="0.15">
      <c r="A122" s="50">
        <v>117</v>
      </c>
      <c r="B122" s="51" t="s">
        <v>722</v>
      </c>
      <c r="C122" s="52" t="s">
        <v>723</v>
      </c>
      <c r="D122" s="53" t="s">
        <v>695</v>
      </c>
      <c r="E122" s="183">
        <v>175.15</v>
      </c>
      <c r="F122" s="195">
        <v>-0.112715304</v>
      </c>
      <c r="G122" s="185">
        <v>123.96602163199999</v>
      </c>
      <c r="H122" s="184">
        <v>3.6999999999999998E-2</v>
      </c>
      <c r="I122" s="186">
        <v>0.58992</v>
      </c>
      <c r="J122" s="187">
        <v>33.878143000000001</v>
      </c>
      <c r="K122" s="194">
        <v>4568.5002240000003</v>
      </c>
      <c r="L122" s="185">
        <v>45.297211367569027</v>
      </c>
      <c r="M122" s="195">
        <v>-0.63459978168827325</v>
      </c>
      <c r="N122" s="187">
        <v>27.13495003629664</v>
      </c>
      <c r="O122" s="206" t="s">
        <v>264</v>
      </c>
      <c r="P122" s="206" t="s">
        <v>264</v>
      </c>
      <c r="Q122" s="206" t="s">
        <v>264</v>
      </c>
      <c r="R122" s="206" t="s">
        <v>264</v>
      </c>
      <c r="S122" s="206" t="s">
        <v>264</v>
      </c>
    </row>
    <row r="123" spans="1:19" ht="20" customHeight="1" x14ac:dyDescent="0.15">
      <c r="A123" s="54">
        <v>118</v>
      </c>
      <c r="B123" s="55" t="s">
        <v>724</v>
      </c>
      <c r="C123" s="56" t="s">
        <v>725</v>
      </c>
      <c r="D123" s="57" t="s">
        <v>726</v>
      </c>
      <c r="E123" s="189">
        <v>147.26</v>
      </c>
      <c r="F123" s="195">
        <v>-7.2845160000000006E-2</v>
      </c>
      <c r="G123" s="190">
        <v>342.90948505599999</v>
      </c>
      <c r="H123" s="184">
        <v>7.3999999999999996E-2</v>
      </c>
      <c r="I123" s="191">
        <v>0.50983999999999996</v>
      </c>
      <c r="J123" s="192">
        <v>21.560759999999998</v>
      </c>
      <c r="K123" s="200">
        <v>12733.750271999999</v>
      </c>
      <c r="L123" s="190">
        <v>148.9493593462195</v>
      </c>
      <c r="M123" s="195">
        <v>-0.56563068145550188</v>
      </c>
      <c r="N123" s="192">
        <v>26.929182540535379</v>
      </c>
      <c r="O123" s="207" t="s">
        <v>264</v>
      </c>
      <c r="P123" s="207" t="s">
        <v>264</v>
      </c>
      <c r="Q123" s="207" t="s">
        <v>264</v>
      </c>
      <c r="R123" s="207" t="s">
        <v>264</v>
      </c>
      <c r="S123" s="207" t="s">
        <v>264</v>
      </c>
    </row>
    <row r="124" spans="1:19" ht="20" customHeight="1" x14ac:dyDescent="0.15">
      <c r="A124" s="50">
        <v>119</v>
      </c>
      <c r="B124" s="51" t="s">
        <v>727</v>
      </c>
      <c r="C124" s="52" t="s">
        <v>728</v>
      </c>
      <c r="D124" s="53" t="s">
        <v>498</v>
      </c>
      <c r="E124" s="183">
        <v>1061.68</v>
      </c>
      <c r="F124" s="184">
        <v>0.15333557</v>
      </c>
      <c r="G124" s="185">
        <v>164.94788607999999</v>
      </c>
      <c r="H124" s="184">
        <v>0.27</v>
      </c>
      <c r="I124" s="186">
        <v>0.46890998</v>
      </c>
      <c r="J124" s="187">
        <v>26.735835999999999</v>
      </c>
      <c r="K124" s="201" t="s">
        <v>264</v>
      </c>
      <c r="L124" s="202" t="s">
        <v>264</v>
      </c>
      <c r="M124" s="203" t="s">
        <v>264</v>
      </c>
      <c r="N124" s="204" t="s">
        <v>264</v>
      </c>
      <c r="O124" s="206" t="s">
        <v>264</v>
      </c>
      <c r="P124" s="206" t="s">
        <v>264</v>
      </c>
      <c r="Q124" s="206" t="s">
        <v>264</v>
      </c>
      <c r="R124" s="206" t="s">
        <v>264</v>
      </c>
      <c r="S124" s="206" t="s">
        <v>264</v>
      </c>
    </row>
    <row r="125" spans="1:19" ht="20" customHeight="1" x14ac:dyDescent="0.15">
      <c r="A125" s="54">
        <v>120</v>
      </c>
      <c r="B125" s="55" t="s">
        <v>729</v>
      </c>
      <c r="C125" s="56" t="s">
        <v>730</v>
      </c>
      <c r="D125" s="57" t="s">
        <v>726</v>
      </c>
      <c r="E125" s="189">
        <v>96.02</v>
      </c>
      <c r="F125" s="184">
        <v>3.4921290000000001E-2</v>
      </c>
      <c r="G125" s="190">
        <v>22.744745984000001</v>
      </c>
      <c r="H125" s="184">
        <v>2E-3</v>
      </c>
      <c r="I125" s="191">
        <v>0.45439000000000002</v>
      </c>
      <c r="J125" s="192">
        <v>31.585526000000002</v>
      </c>
      <c r="K125" s="200">
        <v>1151.737472</v>
      </c>
      <c r="L125" s="190">
        <v>8.9569665614444247</v>
      </c>
      <c r="M125" s="195">
        <v>-0.60619623680364321</v>
      </c>
      <c r="N125" s="192">
        <v>19.7482039777551</v>
      </c>
      <c r="O125" s="207" t="s">
        <v>264</v>
      </c>
      <c r="P125" s="207" t="s">
        <v>264</v>
      </c>
      <c r="Q125" s="207" t="s">
        <v>264</v>
      </c>
      <c r="R125" s="207" t="s">
        <v>264</v>
      </c>
      <c r="S125" s="207" t="s">
        <v>264</v>
      </c>
    </row>
    <row r="126" spans="1:19" ht="20" customHeight="1" x14ac:dyDescent="0.15">
      <c r="A126" s="50">
        <v>121</v>
      </c>
      <c r="B126" s="51" t="s">
        <v>731</v>
      </c>
      <c r="C126" s="52" t="s">
        <v>732</v>
      </c>
      <c r="D126" s="53" t="s">
        <v>733</v>
      </c>
      <c r="E126" s="183">
        <v>182.34</v>
      </c>
      <c r="F126" s="184">
        <v>9.4083786000000003E-2</v>
      </c>
      <c r="G126" s="185">
        <v>36.958670847999997</v>
      </c>
      <c r="H126" s="184">
        <v>0.106</v>
      </c>
      <c r="I126" s="186">
        <v>0.35034999999999999</v>
      </c>
      <c r="J126" s="187">
        <v>33.892192999999999</v>
      </c>
      <c r="K126" s="201" t="s">
        <v>264</v>
      </c>
      <c r="L126" s="202" t="s">
        <v>264</v>
      </c>
      <c r="M126" s="203" t="s">
        <v>264</v>
      </c>
      <c r="N126" s="204" t="s">
        <v>264</v>
      </c>
      <c r="O126" s="206" t="s">
        <v>264</v>
      </c>
      <c r="P126" s="206" t="s">
        <v>264</v>
      </c>
      <c r="Q126" s="206" t="s">
        <v>264</v>
      </c>
      <c r="R126" s="206" t="s">
        <v>264</v>
      </c>
      <c r="S126" s="206" t="s">
        <v>264</v>
      </c>
    </row>
    <row r="127" spans="1:19" ht="20" customHeight="1" x14ac:dyDescent="0.15">
      <c r="A127" s="54">
        <v>122</v>
      </c>
      <c r="B127" s="55" t="s">
        <v>734</v>
      </c>
      <c r="C127" s="56" t="s">
        <v>735</v>
      </c>
      <c r="D127" s="57" t="s">
        <v>736</v>
      </c>
      <c r="E127" s="189">
        <v>74.06</v>
      </c>
      <c r="F127" s="184">
        <v>0.21429740999999999</v>
      </c>
      <c r="G127" s="190">
        <v>19.127955455999999</v>
      </c>
      <c r="H127" s="184">
        <v>0.05</v>
      </c>
      <c r="I127" s="191">
        <v>0.45223999999999998</v>
      </c>
      <c r="J127" s="192">
        <v>23.289307000000001</v>
      </c>
      <c r="K127" s="200">
        <v>-1204.6250239999999</v>
      </c>
      <c r="L127" s="193" t="s">
        <v>264</v>
      </c>
      <c r="M127" s="193" t="s">
        <v>264</v>
      </c>
      <c r="N127" s="192">
        <v>-15.87876388908554</v>
      </c>
      <c r="O127" s="207" t="s">
        <v>264</v>
      </c>
      <c r="P127" s="207" t="s">
        <v>264</v>
      </c>
      <c r="Q127" s="207" t="s">
        <v>264</v>
      </c>
      <c r="R127" s="207" t="s">
        <v>264</v>
      </c>
      <c r="S127" s="207" t="s">
        <v>264</v>
      </c>
    </row>
    <row r="128" spans="1:19" ht="20" customHeight="1" x14ac:dyDescent="0.15">
      <c r="A128" s="50">
        <v>123</v>
      </c>
      <c r="B128" s="51" t="s">
        <v>737</v>
      </c>
      <c r="C128" s="52" t="s">
        <v>738</v>
      </c>
      <c r="D128" s="53" t="s">
        <v>726</v>
      </c>
      <c r="E128" s="183">
        <v>87.26</v>
      </c>
      <c r="F128" s="195">
        <v>-3.8351357000000003E-2</v>
      </c>
      <c r="G128" s="185">
        <v>70.008864767999995</v>
      </c>
      <c r="H128" s="184">
        <v>8.4000000000000005E-2</v>
      </c>
      <c r="I128" s="186">
        <v>0.60063</v>
      </c>
      <c r="J128" s="187">
        <v>33.178707000000003</v>
      </c>
      <c r="K128" s="194">
        <v>3149.1251200000002</v>
      </c>
      <c r="L128" s="185">
        <v>37.510702250270228</v>
      </c>
      <c r="M128" s="195">
        <v>-0.46420067837729301</v>
      </c>
      <c r="N128" s="187">
        <v>22.23121103009715</v>
      </c>
      <c r="O128" s="206" t="s">
        <v>264</v>
      </c>
      <c r="P128" s="206" t="s">
        <v>264</v>
      </c>
      <c r="Q128" s="206" t="s">
        <v>264</v>
      </c>
      <c r="R128" s="206" t="s">
        <v>264</v>
      </c>
      <c r="S128" s="206" t="s">
        <v>264</v>
      </c>
    </row>
    <row r="129" spans="1:19" ht="20" customHeight="1" x14ac:dyDescent="0.15">
      <c r="A129" s="54">
        <v>124</v>
      </c>
      <c r="B129" s="55" t="s">
        <v>739</v>
      </c>
      <c r="C129" s="56" t="s">
        <v>740</v>
      </c>
      <c r="D129" s="57" t="s">
        <v>741</v>
      </c>
      <c r="E129" s="189">
        <v>1154.45</v>
      </c>
      <c r="F129" s="195">
        <v>-0.21605711999999999</v>
      </c>
      <c r="G129" s="190">
        <v>65.195905023999998</v>
      </c>
      <c r="H129" s="184">
        <v>0.13900000000000001</v>
      </c>
      <c r="I129" s="191">
        <v>0.59692999999999996</v>
      </c>
      <c r="J129" s="192">
        <v>37.180354999999999</v>
      </c>
      <c r="K129" s="200">
        <v>1326.7499519999999</v>
      </c>
      <c r="L129" s="190">
        <v>23.216512515453751</v>
      </c>
      <c r="M129" s="195">
        <v>-0.64389615410803402</v>
      </c>
      <c r="N129" s="192">
        <v>49.13955693540511</v>
      </c>
      <c r="O129" s="207" t="s">
        <v>264</v>
      </c>
      <c r="P129" s="207" t="s">
        <v>264</v>
      </c>
      <c r="Q129" s="207" t="s">
        <v>264</v>
      </c>
      <c r="R129" s="207" t="s">
        <v>264</v>
      </c>
      <c r="S129" s="207" t="s">
        <v>264</v>
      </c>
    </row>
    <row r="130" spans="1:19" ht="20" customHeight="1" x14ac:dyDescent="0.15">
      <c r="A130" s="50">
        <v>125</v>
      </c>
      <c r="B130" s="51" t="s">
        <v>742</v>
      </c>
      <c r="C130" s="52" t="s">
        <v>743</v>
      </c>
      <c r="D130" s="53" t="s">
        <v>744</v>
      </c>
      <c r="E130" s="183">
        <v>383.22</v>
      </c>
      <c r="F130" s="184">
        <v>1.3078592</v>
      </c>
      <c r="G130" s="185">
        <v>4635.8126919679999</v>
      </c>
      <c r="H130" s="184">
        <v>0.218</v>
      </c>
      <c r="I130" s="186">
        <v>0.60367999999999999</v>
      </c>
      <c r="J130" s="187">
        <v>29.231123</v>
      </c>
      <c r="K130" s="194">
        <v>27472.750592</v>
      </c>
      <c r="L130" s="185">
        <v>487.88147738565158</v>
      </c>
      <c r="M130" s="195">
        <v>-0.89475815573158202</v>
      </c>
      <c r="N130" s="187">
        <v>75.855177042477919</v>
      </c>
      <c r="O130" s="208" t="s">
        <v>455</v>
      </c>
      <c r="P130" s="209">
        <v>1</v>
      </c>
      <c r="Q130" s="208" t="s">
        <v>745</v>
      </c>
      <c r="R130" s="209">
        <v>285</v>
      </c>
      <c r="S130" s="210" t="s">
        <v>746</v>
      </c>
    </row>
    <row r="131" spans="1:19" ht="20" customHeight="1" x14ac:dyDescent="0.15">
      <c r="A131" s="54">
        <v>126</v>
      </c>
      <c r="B131" s="55" t="s">
        <v>747</v>
      </c>
      <c r="C131" s="56" t="s">
        <v>743</v>
      </c>
      <c r="D131" s="57" t="s">
        <v>744</v>
      </c>
      <c r="E131" s="189">
        <v>385.69</v>
      </c>
      <c r="F131" s="184">
        <v>1.3487608</v>
      </c>
      <c r="G131" s="190">
        <v>4672.8054046719999</v>
      </c>
      <c r="H131" s="184">
        <v>0.218</v>
      </c>
      <c r="I131" s="191">
        <v>0.60367999999999999</v>
      </c>
      <c r="J131" s="192">
        <v>29.419529000000001</v>
      </c>
      <c r="K131" s="200">
        <v>27472.750592</v>
      </c>
      <c r="L131" s="190">
        <v>487.88147738565158</v>
      </c>
      <c r="M131" s="195">
        <v>-0.89559131289784644</v>
      </c>
      <c r="N131" s="192">
        <v>81.758446061350611</v>
      </c>
      <c r="O131" s="211" t="s">
        <v>455</v>
      </c>
      <c r="P131" s="212">
        <v>15.6</v>
      </c>
      <c r="Q131" s="211" t="s">
        <v>745</v>
      </c>
      <c r="R131" s="212">
        <v>163</v>
      </c>
      <c r="S131" s="213" t="s">
        <v>748</v>
      </c>
    </row>
    <row r="132" spans="1:19" ht="20" customHeight="1" x14ac:dyDescent="0.15">
      <c r="A132" s="50">
        <v>127</v>
      </c>
      <c r="B132" s="51" t="s">
        <v>749</v>
      </c>
      <c r="C132" s="52" t="s">
        <v>750</v>
      </c>
      <c r="D132" s="53" t="s">
        <v>587</v>
      </c>
      <c r="E132" s="183">
        <v>131.96</v>
      </c>
      <c r="F132" s="195">
        <v>-0.41939454999999998</v>
      </c>
      <c r="G132" s="185">
        <v>7.1621422079999997</v>
      </c>
      <c r="H132" s="184">
        <v>0.10199999999999999</v>
      </c>
      <c r="I132" s="186">
        <v>0.87180999999999997</v>
      </c>
      <c r="J132" s="187">
        <v>16.331683999999999</v>
      </c>
      <c r="K132" s="194">
        <v>260.975008</v>
      </c>
      <c r="L132" s="185">
        <v>2.9881762346592931</v>
      </c>
      <c r="M132" s="195">
        <v>-0.58278177842914825</v>
      </c>
      <c r="N132" s="187">
        <v>24.102010499181599</v>
      </c>
      <c r="O132" s="206" t="s">
        <v>264</v>
      </c>
      <c r="P132" s="206" t="s">
        <v>264</v>
      </c>
      <c r="Q132" s="206" t="s">
        <v>264</v>
      </c>
      <c r="R132" s="206" t="s">
        <v>264</v>
      </c>
      <c r="S132" s="206" t="s">
        <v>264</v>
      </c>
    </row>
    <row r="133" spans="1:19" ht="20" customHeight="1" x14ac:dyDescent="0.15">
      <c r="A133" s="54">
        <v>128</v>
      </c>
      <c r="B133" s="55" t="s">
        <v>751</v>
      </c>
      <c r="C133" s="56" t="s">
        <v>752</v>
      </c>
      <c r="D133" s="57" t="s">
        <v>460</v>
      </c>
      <c r="E133" s="189">
        <v>103.87</v>
      </c>
      <c r="F133" s="184">
        <v>0.24993979999999999</v>
      </c>
      <c r="G133" s="190">
        <v>15.2920576</v>
      </c>
      <c r="H133" s="184">
        <v>7.3999999999999996E-2</v>
      </c>
      <c r="I133" s="191">
        <v>0.58948999999999996</v>
      </c>
      <c r="J133" s="192">
        <v>33.833877999999999</v>
      </c>
      <c r="K133" s="200">
        <v>578.66188799999998</v>
      </c>
      <c r="L133" s="190">
        <v>6.0567297732292262</v>
      </c>
      <c r="M133" s="195">
        <v>-0.60392970444806426</v>
      </c>
      <c r="N133" s="192">
        <v>26.426585736643499</v>
      </c>
      <c r="O133" s="207" t="s">
        <v>264</v>
      </c>
      <c r="P133" s="207" t="s">
        <v>264</v>
      </c>
      <c r="Q133" s="207" t="s">
        <v>264</v>
      </c>
      <c r="R133" s="207" t="s">
        <v>264</v>
      </c>
      <c r="S133" s="207" t="s">
        <v>264</v>
      </c>
    </row>
    <row r="134" spans="1:19" ht="20" customHeight="1" x14ac:dyDescent="0.15">
      <c r="A134" s="50">
        <v>129</v>
      </c>
      <c r="B134" s="51" t="s">
        <v>753</v>
      </c>
      <c r="C134" s="52" t="s">
        <v>754</v>
      </c>
      <c r="D134" s="53" t="s">
        <v>755</v>
      </c>
      <c r="E134" s="183">
        <v>69.239999999999995</v>
      </c>
      <c r="F134" s="184">
        <v>0.54657140000000004</v>
      </c>
      <c r="G134" s="185">
        <v>7.7495316479999996</v>
      </c>
      <c r="H134" s="195">
        <v>-6.5000000000000002E-2</v>
      </c>
      <c r="I134" s="186">
        <v>0.20568001</v>
      </c>
      <c r="J134" s="187">
        <v>10.738979</v>
      </c>
      <c r="K134" s="194">
        <v>368.62499200000002</v>
      </c>
      <c r="L134" s="185">
        <v>3.0413389708034249</v>
      </c>
      <c r="M134" s="195">
        <v>-0.60754544804158139</v>
      </c>
      <c r="N134" s="187">
        <v>21.022806190851</v>
      </c>
      <c r="O134" s="206" t="s">
        <v>264</v>
      </c>
      <c r="P134" s="206" t="s">
        <v>264</v>
      </c>
      <c r="Q134" s="206" t="s">
        <v>264</v>
      </c>
      <c r="R134" s="206" t="s">
        <v>264</v>
      </c>
      <c r="S134" s="206" t="s">
        <v>264</v>
      </c>
    </row>
    <row r="135" spans="1:19" ht="20" customHeight="1" x14ac:dyDescent="0.15">
      <c r="A135" s="54">
        <v>130</v>
      </c>
      <c r="B135" s="55" t="s">
        <v>756</v>
      </c>
      <c r="C135" s="56" t="s">
        <v>757</v>
      </c>
      <c r="D135" s="57" t="s">
        <v>695</v>
      </c>
      <c r="E135" s="189">
        <v>1267.07</v>
      </c>
      <c r="F135" s="184">
        <v>0.16124569999999999</v>
      </c>
      <c r="G135" s="190">
        <v>25.656270847999998</v>
      </c>
      <c r="H135" s="184">
        <v>8.1000000000000003E-2</v>
      </c>
      <c r="I135" s="191">
        <v>0.59374000000000005</v>
      </c>
      <c r="J135" s="192">
        <v>30.168330999999998</v>
      </c>
      <c r="K135" s="200">
        <v>687.07839999999999</v>
      </c>
      <c r="L135" s="190">
        <v>7.8956379256242402</v>
      </c>
      <c r="M135" s="195">
        <v>-0.6922530958453873</v>
      </c>
      <c r="N135" s="192">
        <v>37.34111453707466</v>
      </c>
      <c r="O135" s="207" t="s">
        <v>264</v>
      </c>
      <c r="P135" s="207" t="s">
        <v>264</v>
      </c>
      <c r="Q135" s="207" t="s">
        <v>264</v>
      </c>
      <c r="R135" s="207" t="s">
        <v>264</v>
      </c>
      <c r="S135" s="207" t="s">
        <v>264</v>
      </c>
    </row>
    <row r="136" spans="1:19" ht="20" customHeight="1" x14ac:dyDescent="0.15">
      <c r="A136" s="50">
        <v>131</v>
      </c>
      <c r="B136" s="51" t="s">
        <v>758</v>
      </c>
      <c r="C136" s="52" t="s">
        <v>759</v>
      </c>
      <c r="D136" s="53" t="s">
        <v>760</v>
      </c>
      <c r="E136" s="183">
        <v>112.08</v>
      </c>
      <c r="F136" s="184">
        <v>0.20399618</v>
      </c>
      <c r="G136" s="185">
        <v>22.198603775999999</v>
      </c>
      <c r="H136" s="184">
        <v>4.3999999999999997E-2</v>
      </c>
      <c r="I136" s="186">
        <v>0.70457999999999998</v>
      </c>
      <c r="J136" s="187">
        <v>18.805368000000001</v>
      </c>
      <c r="K136" s="194">
        <v>1116</v>
      </c>
      <c r="L136" s="185">
        <v>10.718722673531961</v>
      </c>
      <c r="M136" s="195">
        <v>-0.51714428611404417</v>
      </c>
      <c r="N136" s="187">
        <v>19.817913290322579</v>
      </c>
      <c r="O136" s="206" t="s">
        <v>264</v>
      </c>
      <c r="P136" s="206" t="s">
        <v>264</v>
      </c>
      <c r="Q136" s="206" t="s">
        <v>264</v>
      </c>
      <c r="R136" s="206" t="s">
        <v>264</v>
      </c>
      <c r="S136" s="206" t="s">
        <v>264</v>
      </c>
    </row>
    <row r="137" spans="1:19" ht="20" customHeight="1" x14ac:dyDescent="0.15">
      <c r="A137" s="54">
        <v>132</v>
      </c>
      <c r="B137" s="55" t="s">
        <v>761</v>
      </c>
      <c r="C137" s="56" t="s">
        <v>762</v>
      </c>
      <c r="D137" s="57" t="s">
        <v>622</v>
      </c>
      <c r="E137" s="189">
        <v>212.5</v>
      </c>
      <c r="F137" s="184">
        <v>5.2333712999999997E-2</v>
      </c>
      <c r="G137" s="190">
        <v>134.65128960000001</v>
      </c>
      <c r="H137" s="184">
        <v>2.4E-2</v>
      </c>
      <c r="I137" s="191">
        <v>0.36925000000000002</v>
      </c>
      <c r="J137" s="192">
        <v>33.891550000000002</v>
      </c>
      <c r="K137" s="200">
        <v>2936.875008</v>
      </c>
      <c r="L137" s="190">
        <v>33.606600157988183</v>
      </c>
      <c r="M137" s="195">
        <v>-0.7504175395733591</v>
      </c>
      <c r="N137" s="192">
        <v>45.848491141336311</v>
      </c>
      <c r="O137" s="207" t="s">
        <v>264</v>
      </c>
      <c r="P137" s="207" t="s">
        <v>264</v>
      </c>
      <c r="Q137" s="207" t="s">
        <v>264</v>
      </c>
      <c r="R137" s="207" t="s">
        <v>264</v>
      </c>
      <c r="S137" s="207" t="s">
        <v>264</v>
      </c>
    </row>
    <row r="138" spans="1:19" ht="20" customHeight="1" x14ac:dyDescent="0.15">
      <c r="A138" s="50">
        <v>133</v>
      </c>
      <c r="B138" s="51" t="s">
        <v>763</v>
      </c>
      <c r="C138" s="52" t="s">
        <v>764</v>
      </c>
      <c r="D138" s="53" t="s">
        <v>616</v>
      </c>
      <c r="E138" s="183">
        <v>315.89999999999998</v>
      </c>
      <c r="F138" s="184">
        <v>0.42118050000000001</v>
      </c>
      <c r="G138" s="185">
        <v>70.949240832000001</v>
      </c>
      <c r="H138" s="184">
        <v>2E-3</v>
      </c>
      <c r="I138" s="186">
        <v>0.45850999999999997</v>
      </c>
      <c r="J138" s="187">
        <v>26.590907999999999</v>
      </c>
      <c r="K138" s="194">
        <v>1298.7499519999999</v>
      </c>
      <c r="L138" s="185">
        <v>10.657078004693449</v>
      </c>
      <c r="M138" s="195">
        <v>-0.84979292407189766</v>
      </c>
      <c r="N138" s="187">
        <v>54.628872021625298</v>
      </c>
      <c r="O138" s="206" t="s">
        <v>264</v>
      </c>
      <c r="P138" s="206" t="s">
        <v>264</v>
      </c>
      <c r="Q138" s="206" t="s">
        <v>264</v>
      </c>
      <c r="R138" s="206" t="s">
        <v>264</v>
      </c>
      <c r="S138" s="206" t="s">
        <v>264</v>
      </c>
    </row>
    <row r="139" spans="1:19" ht="20" customHeight="1" x14ac:dyDescent="0.15">
      <c r="A139" s="54">
        <v>134</v>
      </c>
      <c r="B139" s="55" t="s">
        <v>765</v>
      </c>
      <c r="C139" s="56" t="s">
        <v>766</v>
      </c>
      <c r="D139" s="57" t="s">
        <v>720</v>
      </c>
      <c r="E139" s="189">
        <v>304.72000000000003</v>
      </c>
      <c r="F139" s="184">
        <v>0.13896990000000001</v>
      </c>
      <c r="G139" s="190">
        <v>64.797089791999994</v>
      </c>
      <c r="H139" s="184">
        <v>0.01</v>
      </c>
      <c r="I139" s="191">
        <v>0.32878000000000002</v>
      </c>
      <c r="J139" s="192">
        <v>9.0906920000000007</v>
      </c>
      <c r="K139" s="200">
        <v>13304.375296</v>
      </c>
      <c r="L139" s="190">
        <v>105.8437519979902</v>
      </c>
      <c r="M139" s="184">
        <v>0.63346459444013414</v>
      </c>
      <c r="N139" s="192">
        <v>4.8703595177776933</v>
      </c>
      <c r="O139" s="207" t="s">
        <v>264</v>
      </c>
      <c r="P139" s="207" t="s">
        <v>264</v>
      </c>
      <c r="Q139" s="207" t="s">
        <v>264</v>
      </c>
      <c r="R139" s="207" t="s">
        <v>264</v>
      </c>
      <c r="S139" s="207" t="s">
        <v>264</v>
      </c>
    </row>
    <row r="140" spans="1:19" ht="20" customHeight="1" x14ac:dyDescent="0.15">
      <c r="A140" s="50">
        <v>135</v>
      </c>
      <c r="B140" s="51" t="s">
        <v>767</v>
      </c>
      <c r="C140" s="52" t="s">
        <v>768</v>
      </c>
      <c r="D140" s="53" t="s">
        <v>769</v>
      </c>
      <c r="E140" s="183">
        <v>56.93</v>
      </c>
      <c r="F140" s="184">
        <v>0.24247050000000001</v>
      </c>
      <c r="G140" s="185">
        <v>24.217798655999999</v>
      </c>
      <c r="H140" s="184">
        <v>0.02</v>
      </c>
      <c r="I140" s="186">
        <v>0.35438999999999998</v>
      </c>
      <c r="J140" s="187">
        <v>13.652278000000001</v>
      </c>
      <c r="K140" s="194">
        <v>1765.5000319999999</v>
      </c>
      <c r="L140" s="185">
        <v>15.974685311254239</v>
      </c>
      <c r="M140" s="195">
        <v>-0.34037417941384651</v>
      </c>
      <c r="N140" s="187">
        <v>7.2457078825246937</v>
      </c>
      <c r="O140" s="206" t="s">
        <v>264</v>
      </c>
      <c r="P140" s="206" t="s">
        <v>264</v>
      </c>
      <c r="Q140" s="206" t="s">
        <v>264</v>
      </c>
      <c r="R140" s="206" t="s">
        <v>264</v>
      </c>
      <c r="S140" s="206" t="s">
        <v>264</v>
      </c>
    </row>
    <row r="141" spans="1:19" ht="20" customHeight="1" x14ac:dyDescent="0.15">
      <c r="A141" s="54">
        <v>136</v>
      </c>
      <c r="B141" s="55" t="s">
        <v>770</v>
      </c>
      <c r="C141" s="56" t="s">
        <v>768</v>
      </c>
      <c r="D141" s="57" t="s">
        <v>769</v>
      </c>
      <c r="E141" s="189">
        <v>63.35</v>
      </c>
      <c r="F141" s="184">
        <v>0.28603327000000001</v>
      </c>
      <c r="G141" s="190">
        <v>26.948839423999999</v>
      </c>
      <c r="H141" s="184">
        <v>0.02</v>
      </c>
      <c r="I141" s="191">
        <v>0.35438999999999998</v>
      </c>
      <c r="J141" s="192">
        <v>15.191846</v>
      </c>
      <c r="K141" s="200">
        <v>1765.5000319999999</v>
      </c>
      <c r="L141" s="190">
        <v>15.974685311254239</v>
      </c>
      <c r="M141" s="195">
        <v>-0.40722177085564698</v>
      </c>
      <c r="N141" s="192">
        <v>7.201334209661459</v>
      </c>
      <c r="O141" s="207" t="s">
        <v>264</v>
      </c>
      <c r="P141" s="207" t="s">
        <v>264</v>
      </c>
      <c r="Q141" s="207" t="s">
        <v>264</v>
      </c>
      <c r="R141" s="207" t="s">
        <v>264</v>
      </c>
      <c r="S141" s="207" t="s">
        <v>264</v>
      </c>
    </row>
    <row r="142" spans="1:19" ht="20" customHeight="1" x14ac:dyDescent="0.15">
      <c r="A142" s="50">
        <v>137</v>
      </c>
      <c r="B142" s="51" t="s">
        <v>771</v>
      </c>
      <c r="C142" s="52" t="s">
        <v>772</v>
      </c>
      <c r="D142" s="53" t="s">
        <v>498</v>
      </c>
      <c r="E142" s="183">
        <v>25.89</v>
      </c>
      <c r="F142" s="184">
        <v>0.80669930000000001</v>
      </c>
      <c r="G142" s="185">
        <v>11.477037056</v>
      </c>
      <c r="H142" s="184">
        <v>0.14099999999999999</v>
      </c>
      <c r="I142" s="186">
        <v>0.28915000000000002</v>
      </c>
      <c r="J142" s="187">
        <v>8.7256029999999996</v>
      </c>
      <c r="K142" s="201" t="s">
        <v>264</v>
      </c>
      <c r="L142" s="202" t="s">
        <v>264</v>
      </c>
      <c r="M142" s="203" t="s">
        <v>264</v>
      </c>
      <c r="N142" s="204" t="s">
        <v>264</v>
      </c>
      <c r="O142" s="206" t="s">
        <v>264</v>
      </c>
      <c r="P142" s="206" t="s">
        <v>264</v>
      </c>
      <c r="Q142" s="206" t="s">
        <v>264</v>
      </c>
      <c r="R142" s="206" t="s">
        <v>264</v>
      </c>
      <c r="S142" s="206" t="s">
        <v>264</v>
      </c>
    </row>
    <row r="143" spans="1:19" ht="20" customHeight="1" x14ac:dyDescent="0.15">
      <c r="A143" s="54">
        <v>138</v>
      </c>
      <c r="B143" s="55" t="s">
        <v>773</v>
      </c>
      <c r="C143" s="56" t="s">
        <v>774</v>
      </c>
      <c r="D143" s="57" t="s">
        <v>619</v>
      </c>
      <c r="E143" s="189">
        <v>149.31</v>
      </c>
      <c r="F143" s="184">
        <v>0.13725936</v>
      </c>
      <c r="G143" s="190">
        <v>42.47371776</v>
      </c>
      <c r="H143" s="184">
        <v>1.6E-2</v>
      </c>
      <c r="I143" s="191">
        <v>0.46784002000000002</v>
      </c>
      <c r="J143" s="192">
        <v>24.397058000000001</v>
      </c>
      <c r="K143" s="200">
        <v>3105.2500479999999</v>
      </c>
      <c r="L143" s="190">
        <v>25.536947060002149</v>
      </c>
      <c r="M143" s="195">
        <v>-0.39875884648713761</v>
      </c>
      <c r="N143" s="192">
        <v>13.67803392801043</v>
      </c>
      <c r="O143" s="207" t="s">
        <v>264</v>
      </c>
      <c r="P143" s="207" t="s">
        <v>264</v>
      </c>
      <c r="Q143" s="207" t="s">
        <v>264</v>
      </c>
      <c r="R143" s="207" t="s">
        <v>264</v>
      </c>
      <c r="S143" s="207" t="s">
        <v>264</v>
      </c>
    </row>
    <row r="144" spans="1:19" ht="20" customHeight="1" x14ac:dyDescent="0.15">
      <c r="A144" s="50">
        <v>139</v>
      </c>
      <c r="B144" s="51" t="s">
        <v>775</v>
      </c>
      <c r="C144" s="52" t="s">
        <v>776</v>
      </c>
      <c r="D144" s="53" t="s">
        <v>777</v>
      </c>
      <c r="E144" s="183">
        <v>31.76</v>
      </c>
      <c r="F144" s="195">
        <v>-0.28258412999999999</v>
      </c>
      <c r="G144" s="185">
        <v>16.816482304000001</v>
      </c>
      <c r="H144" s="184">
        <v>1.2E-2</v>
      </c>
      <c r="I144" s="186">
        <v>0.29687000000000002</v>
      </c>
      <c r="J144" s="187">
        <v>11.89669</v>
      </c>
      <c r="K144" s="194">
        <v>1871.6249600000001</v>
      </c>
      <c r="L144" s="185">
        <v>15.63334774124329</v>
      </c>
      <c r="M144" s="195">
        <v>-7.0355651162269842E-2</v>
      </c>
      <c r="N144" s="187">
        <v>8.9849635588104153</v>
      </c>
      <c r="O144" s="206" t="s">
        <v>264</v>
      </c>
      <c r="P144" s="206" t="s">
        <v>264</v>
      </c>
      <c r="Q144" s="206" t="s">
        <v>264</v>
      </c>
      <c r="R144" s="206" t="s">
        <v>264</v>
      </c>
      <c r="S144" s="206" t="s">
        <v>264</v>
      </c>
    </row>
    <row r="145" spans="1:19" ht="20" customHeight="1" x14ac:dyDescent="0.15">
      <c r="A145" s="54">
        <v>140</v>
      </c>
      <c r="B145" s="55" t="s">
        <v>778</v>
      </c>
      <c r="C145" s="56" t="s">
        <v>779</v>
      </c>
      <c r="D145" s="57" t="s">
        <v>780</v>
      </c>
      <c r="E145" s="189">
        <v>26.12</v>
      </c>
      <c r="F145" s="195">
        <v>-5.0527096000000001E-2</v>
      </c>
      <c r="G145" s="190">
        <v>181.49061427199999</v>
      </c>
      <c r="H145" s="184">
        <v>2.9000000000000001E-2</v>
      </c>
      <c r="I145" s="191">
        <v>0.59414</v>
      </c>
      <c r="J145" s="192">
        <v>8.5921059999999994</v>
      </c>
      <c r="K145" s="200">
        <v>8849.0004480000007</v>
      </c>
      <c r="L145" s="190">
        <v>85.030463924167563</v>
      </c>
      <c r="M145" s="195">
        <v>-0.53148836778560682</v>
      </c>
      <c r="N145" s="192">
        <v>20.509730046540959</v>
      </c>
      <c r="O145" s="207" t="s">
        <v>264</v>
      </c>
      <c r="P145" s="207" t="s">
        <v>264</v>
      </c>
      <c r="Q145" s="207" t="s">
        <v>264</v>
      </c>
      <c r="R145" s="207" t="s">
        <v>264</v>
      </c>
      <c r="S145" s="207" t="s">
        <v>264</v>
      </c>
    </row>
    <row r="146" spans="1:19" ht="20" customHeight="1" x14ac:dyDescent="0.15">
      <c r="A146" s="50">
        <v>141</v>
      </c>
      <c r="B146" s="51" t="s">
        <v>781</v>
      </c>
      <c r="C146" s="52" t="s">
        <v>782</v>
      </c>
      <c r="D146" s="53" t="s">
        <v>622</v>
      </c>
      <c r="E146" s="183">
        <v>407.43</v>
      </c>
      <c r="F146" s="184">
        <v>0.6050662</v>
      </c>
      <c r="G146" s="185">
        <v>45.808652287999998</v>
      </c>
      <c r="H146" s="184">
        <v>0.11899999999999999</v>
      </c>
      <c r="I146" s="186">
        <v>0.48493999999999998</v>
      </c>
      <c r="J146" s="187">
        <v>46.510272999999998</v>
      </c>
      <c r="K146" s="194">
        <v>1025.5000319999999</v>
      </c>
      <c r="L146" s="185">
        <v>10.793102829472559</v>
      </c>
      <c r="M146" s="195">
        <v>-0.76438724366706767</v>
      </c>
      <c r="N146" s="187">
        <v>44.639669456821629</v>
      </c>
      <c r="O146" s="206" t="s">
        <v>264</v>
      </c>
      <c r="P146" s="206" t="s">
        <v>264</v>
      </c>
      <c r="Q146" s="206" t="s">
        <v>264</v>
      </c>
      <c r="R146" s="206" t="s">
        <v>264</v>
      </c>
      <c r="S146" s="206" t="s">
        <v>264</v>
      </c>
    </row>
    <row r="147" spans="1:19" ht="20" customHeight="1" x14ac:dyDescent="0.15">
      <c r="A147" s="54">
        <v>142</v>
      </c>
      <c r="B147" s="55" t="s">
        <v>783</v>
      </c>
      <c r="C147" s="56" t="s">
        <v>784</v>
      </c>
      <c r="D147" s="57" t="s">
        <v>619</v>
      </c>
      <c r="E147" s="189">
        <v>76.010000000000005</v>
      </c>
      <c r="F147" s="184">
        <v>0.34530972999999998</v>
      </c>
      <c r="G147" s="190">
        <v>16.968846335999999</v>
      </c>
      <c r="H147" s="184">
        <v>2.5000000000000001E-2</v>
      </c>
      <c r="I147" s="191">
        <v>0.60377999999999998</v>
      </c>
      <c r="J147" s="192">
        <v>31.53942</v>
      </c>
      <c r="K147" s="200">
        <v>848.61248000000001</v>
      </c>
      <c r="L147" s="190">
        <v>8.8755819228021657</v>
      </c>
      <c r="M147" s="195">
        <v>-0.47694841787963449</v>
      </c>
      <c r="N147" s="192">
        <v>19.995988309116079</v>
      </c>
      <c r="O147" s="207" t="s">
        <v>264</v>
      </c>
      <c r="P147" s="207" t="s">
        <v>264</v>
      </c>
      <c r="Q147" s="207" t="s">
        <v>264</v>
      </c>
      <c r="R147" s="207" t="s">
        <v>264</v>
      </c>
      <c r="S147" s="207" t="s">
        <v>264</v>
      </c>
    </row>
    <row r="148" spans="1:19" ht="20" customHeight="1" x14ac:dyDescent="0.15">
      <c r="A148" s="50">
        <v>143</v>
      </c>
      <c r="B148" s="51" t="s">
        <v>785</v>
      </c>
      <c r="C148" s="52" t="s">
        <v>786</v>
      </c>
      <c r="D148" s="53" t="s">
        <v>695</v>
      </c>
      <c r="E148" s="183">
        <v>469.21</v>
      </c>
      <c r="F148" s="184">
        <v>0.11116110999999999</v>
      </c>
      <c r="G148" s="185">
        <v>174.36845670400001</v>
      </c>
      <c r="H148" s="184">
        <v>6.2E-2</v>
      </c>
      <c r="I148" s="186">
        <v>0.40872002000000002</v>
      </c>
      <c r="J148" s="187">
        <v>25.766613</v>
      </c>
      <c r="K148" s="194">
        <v>5511.0000639999998</v>
      </c>
      <c r="L148" s="185">
        <v>59.193042811149013</v>
      </c>
      <c r="M148" s="195">
        <v>-0.66052895156586466</v>
      </c>
      <c r="N148" s="187">
        <v>31.64007571022594</v>
      </c>
      <c r="O148" s="206" t="s">
        <v>264</v>
      </c>
      <c r="P148" s="206" t="s">
        <v>264</v>
      </c>
      <c r="Q148" s="206" t="s">
        <v>264</v>
      </c>
      <c r="R148" s="206" t="s">
        <v>264</v>
      </c>
      <c r="S148" s="206" t="s">
        <v>264</v>
      </c>
    </row>
    <row r="149" spans="1:19" ht="20" customHeight="1" x14ac:dyDescent="0.15">
      <c r="A149" s="54">
        <v>144</v>
      </c>
      <c r="B149" s="55" t="s">
        <v>787</v>
      </c>
      <c r="C149" s="56" t="s">
        <v>788</v>
      </c>
      <c r="D149" s="57" t="s">
        <v>513</v>
      </c>
      <c r="E149" s="189">
        <v>963.33</v>
      </c>
      <c r="F149" s="184">
        <v>0.17270469999999999</v>
      </c>
      <c r="G149" s="190">
        <v>862.00588697600006</v>
      </c>
      <c r="H149" s="184">
        <v>0.55500000000000005</v>
      </c>
      <c r="I149" s="191">
        <v>0.82831999999999995</v>
      </c>
      <c r="J149" s="192">
        <v>34.245646999999998</v>
      </c>
      <c r="K149" s="196" t="s">
        <v>264</v>
      </c>
      <c r="L149" s="197" t="s">
        <v>264</v>
      </c>
      <c r="M149" s="198" t="s">
        <v>264</v>
      </c>
      <c r="N149" s="199" t="s">
        <v>264</v>
      </c>
      <c r="O149" s="207" t="s">
        <v>264</v>
      </c>
      <c r="P149" s="207" t="s">
        <v>264</v>
      </c>
      <c r="Q149" s="207" t="s">
        <v>264</v>
      </c>
      <c r="R149" s="207" t="s">
        <v>264</v>
      </c>
      <c r="S149" s="207" t="s">
        <v>264</v>
      </c>
    </row>
    <row r="150" spans="1:19" ht="20" customHeight="1" x14ac:dyDescent="0.15">
      <c r="A150" s="50">
        <v>145</v>
      </c>
      <c r="B150" s="51" t="s">
        <v>789</v>
      </c>
      <c r="C150" s="52" t="s">
        <v>790</v>
      </c>
      <c r="D150" s="53" t="s">
        <v>604</v>
      </c>
      <c r="E150" s="183">
        <v>214.21</v>
      </c>
      <c r="F150" s="195">
        <v>-0.29526912999999999</v>
      </c>
      <c r="G150" s="185">
        <v>85.627084800000006</v>
      </c>
      <c r="H150" s="184">
        <v>7.0000000000000007E-2</v>
      </c>
      <c r="I150" s="186">
        <v>0.48497000000000001</v>
      </c>
      <c r="J150" s="187">
        <v>20.000934999999998</v>
      </c>
      <c r="K150" s="194">
        <v>4851.887616</v>
      </c>
      <c r="L150" s="185">
        <v>45.168910283542083</v>
      </c>
      <c r="M150" s="195">
        <v>-0.47249272366280448</v>
      </c>
      <c r="N150" s="187">
        <v>17.64819948937993</v>
      </c>
      <c r="O150" s="206" t="s">
        <v>264</v>
      </c>
      <c r="P150" s="206" t="s">
        <v>264</v>
      </c>
      <c r="Q150" s="206" t="s">
        <v>264</v>
      </c>
      <c r="R150" s="206" t="s">
        <v>264</v>
      </c>
      <c r="S150" s="206" t="s">
        <v>264</v>
      </c>
    </row>
    <row r="151" spans="1:19" ht="20" customHeight="1" x14ac:dyDescent="0.15">
      <c r="A151" s="54">
        <v>146</v>
      </c>
      <c r="B151" s="55" t="s">
        <v>791</v>
      </c>
      <c r="C151" s="56" t="s">
        <v>792</v>
      </c>
      <c r="D151" s="57" t="s">
        <v>793</v>
      </c>
      <c r="E151" s="189">
        <v>46.54</v>
      </c>
      <c r="F151" s="195">
        <v>-0.4057712</v>
      </c>
      <c r="G151" s="190">
        <v>24.055093247999999</v>
      </c>
      <c r="H151" s="184">
        <v>8.2000000000000003E-2</v>
      </c>
      <c r="I151" s="191">
        <v>0.36863997999999998</v>
      </c>
      <c r="J151" s="192">
        <v>63.753425999999997</v>
      </c>
      <c r="K151" s="200">
        <v>1885.3749760000001</v>
      </c>
      <c r="L151" s="190">
        <v>16.334982891998781</v>
      </c>
      <c r="M151" s="195">
        <v>-0.32093454290155721</v>
      </c>
      <c r="N151" s="192">
        <v>12.758783741627431</v>
      </c>
      <c r="O151" s="207" t="s">
        <v>264</v>
      </c>
      <c r="P151" s="207" t="s">
        <v>264</v>
      </c>
      <c r="Q151" s="207" t="s">
        <v>264</v>
      </c>
      <c r="R151" s="207" t="s">
        <v>264</v>
      </c>
      <c r="S151" s="207" t="s">
        <v>264</v>
      </c>
    </row>
    <row r="152" spans="1:19" ht="20" customHeight="1" x14ac:dyDescent="0.15">
      <c r="A152" s="50">
        <v>147</v>
      </c>
      <c r="B152" s="51" t="s">
        <v>794</v>
      </c>
      <c r="C152" s="52" t="s">
        <v>795</v>
      </c>
      <c r="D152" s="53" t="s">
        <v>708</v>
      </c>
      <c r="E152" s="183">
        <v>242.42</v>
      </c>
      <c r="F152" s="184">
        <v>0.27488827999999998</v>
      </c>
      <c r="G152" s="185">
        <v>46.752202752000002</v>
      </c>
      <c r="H152" s="184">
        <v>0.14199999999999999</v>
      </c>
      <c r="I152" s="186">
        <v>0.59138999999999997</v>
      </c>
      <c r="J152" s="187">
        <v>27.025639999999999</v>
      </c>
      <c r="K152" s="194">
        <v>810.15609600000005</v>
      </c>
      <c r="L152" s="185">
        <v>13.63891938151737</v>
      </c>
      <c r="M152" s="195">
        <v>-0.70827215449364234</v>
      </c>
      <c r="N152" s="187">
        <v>57.70764632809724</v>
      </c>
      <c r="O152" s="206" t="s">
        <v>264</v>
      </c>
      <c r="P152" s="206" t="s">
        <v>264</v>
      </c>
      <c r="Q152" s="206" t="s">
        <v>264</v>
      </c>
      <c r="R152" s="206" t="s">
        <v>264</v>
      </c>
      <c r="S152" s="206" t="s">
        <v>264</v>
      </c>
    </row>
    <row r="153" spans="1:19" ht="20" customHeight="1" x14ac:dyDescent="0.15">
      <c r="A153" s="54">
        <v>148</v>
      </c>
      <c r="B153" s="55" t="s">
        <v>796</v>
      </c>
      <c r="C153" s="56" t="s">
        <v>796</v>
      </c>
      <c r="D153" s="57" t="s">
        <v>793</v>
      </c>
      <c r="E153" s="189">
        <v>232.2</v>
      </c>
      <c r="F153" s="195">
        <v>-6.8143490000000001E-2</v>
      </c>
      <c r="G153" s="190">
        <v>218.241368064</v>
      </c>
      <c r="H153" s="184">
        <v>9.5000000000000001E-2</v>
      </c>
      <c r="I153" s="191">
        <v>0.58357999999999999</v>
      </c>
      <c r="J153" s="192">
        <v>20.530501999999998</v>
      </c>
      <c r="K153" s="200">
        <v>13080.75008</v>
      </c>
      <c r="L153" s="190">
        <v>126.2214192920728</v>
      </c>
      <c r="M153" s="195">
        <v>-0.42164301657485043</v>
      </c>
      <c r="N153" s="192">
        <v>16.68416265743684</v>
      </c>
      <c r="O153" s="207" t="s">
        <v>264</v>
      </c>
      <c r="P153" s="207" t="s">
        <v>264</v>
      </c>
      <c r="Q153" s="207" t="s">
        <v>264</v>
      </c>
      <c r="R153" s="207" t="s">
        <v>264</v>
      </c>
      <c r="S153" s="207" t="s">
        <v>264</v>
      </c>
    </row>
    <row r="154" spans="1:19" ht="20" customHeight="1" x14ac:dyDescent="0.15">
      <c r="A154" s="50">
        <v>149</v>
      </c>
      <c r="B154" s="51" t="s">
        <v>797</v>
      </c>
      <c r="C154" s="52" t="s">
        <v>798</v>
      </c>
      <c r="D154" s="53" t="s">
        <v>720</v>
      </c>
      <c r="E154" s="183">
        <v>199.31</v>
      </c>
      <c r="F154" s="195">
        <v>-0.29362774000000003</v>
      </c>
      <c r="G154" s="185">
        <v>116.47676416</v>
      </c>
      <c r="H154" s="184">
        <v>8.6999999999999994E-2</v>
      </c>
      <c r="I154" s="186">
        <v>0.18562001</v>
      </c>
      <c r="J154" s="187">
        <v>10.1430025</v>
      </c>
      <c r="K154" s="201" t="s">
        <v>264</v>
      </c>
      <c r="L154" s="202" t="s">
        <v>264</v>
      </c>
      <c r="M154" s="203" t="s">
        <v>264</v>
      </c>
      <c r="N154" s="204" t="s">
        <v>264</v>
      </c>
      <c r="O154" s="206" t="s">
        <v>264</v>
      </c>
      <c r="P154" s="206" t="s">
        <v>264</v>
      </c>
      <c r="Q154" s="206" t="s">
        <v>264</v>
      </c>
      <c r="R154" s="206" t="s">
        <v>264</v>
      </c>
      <c r="S154" s="206" t="s">
        <v>264</v>
      </c>
    </row>
    <row r="155" spans="1:19" ht="20" customHeight="1" x14ac:dyDescent="0.15">
      <c r="A155" s="54">
        <v>150</v>
      </c>
      <c r="B155" s="55" t="s">
        <v>799</v>
      </c>
      <c r="C155" s="56" t="s">
        <v>800</v>
      </c>
      <c r="D155" s="57" t="s">
        <v>801</v>
      </c>
      <c r="E155" s="189">
        <v>135.49</v>
      </c>
      <c r="F155" s="195">
        <v>-3.8327753999999999E-2</v>
      </c>
      <c r="G155" s="190">
        <v>11.643450368</v>
      </c>
      <c r="H155" s="184">
        <v>9.7000000000000003E-2</v>
      </c>
      <c r="I155" s="191">
        <v>0.44969999999999999</v>
      </c>
      <c r="J155" s="192">
        <v>18.509563</v>
      </c>
      <c r="K155" s="200">
        <v>494.36249600000002</v>
      </c>
      <c r="L155" s="190">
        <v>6.3723955357155679</v>
      </c>
      <c r="M155" s="195">
        <v>-0.45270556971419829</v>
      </c>
      <c r="N155" s="192">
        <v>23.552453717868602</v>
      </c>
      <c r="O155" s="211" t="s">
        <v>474</v>
      </c>
      <c r="P155" s="212" t="s">
        <v>264</v>
      </c>
      <c r="Q155" s="211" t="s">
        <v>475</v>
      </c>
      <c r="R155" s="212">
        <v>135</v>
      </c>
      <c r="S155" s="213" t="s">
        <v>802</v>
      </c>
    </row>
    <row r="156" spans="1:19" ht="20" customHeight="1" x14ac:dyDescent="0.15">
      <c r="A156" s="50">
        <v>151</v>
      </c>
      <c r="B156" s="51" t="s">
        <v>803</v>
      </c>
      <c r="C156" s="52" t="s">
        <v>804</v>
      </c>
      <c r="D156" s="53" t="s">
        <v>720</v>
      </c>
      <c r="E156" s="183">
        <v>162.05000000000001</v>
      </c>
      <c r="F156" s="184">
        <v>0.12620746999999999</v>
      </c>
      <c r="G156" s="185">
        <v>25.066985471999999</v>
      </c>
      <c r="H156" s="184">
        <v>0.11600000000000001</v>
      </c>
      <c r="I156" s="186">
        <v>0.27938997999999998</v>
      </c>
      <c r="J156" s="187">
        <v>9.26</v>
      </c>
      <c r="K156" s="194">
        <v>2748.2501120000002</v>
      </c>
      <c r="L156" s="185">
        <v>37.389833897707319</v>
      </c>
      <c r="M156" s="184">
        <v>0.49159674343259302</v>
      </c>
      <c r="N156" s="187">
        <v>9.1210717800563845</v>
      </c>
      <c r="O156" s="206" t="s">
        <v>264</v>
      </c>
      <c r="P156" s="206" t="s">
        <v>264</v>
      </c>
      <c r="Q156" s="206" t="s">
        <v>264</v>
      </c>
      <c r="R156" s="206" t="s">
        <v>264</v>
      </c>
      <c r="S156" s="206" t="s">
        <v>264</v>
      </c>
    </row>
    <row r="157" spans="1:19" ht="20" customHeight="1" x14ac:dyDescent="0.15">
      <c r="A157" s="54">
        <v>152</v>
      </c>
      <c r="B157" s="55" t="s">
        <v>805</v>
      </c>
      <c r="C157" s="56" t="s">
        <v>806</v>
      </c>
      <c r="D157" s="57" t="s">
        <v>619</v>
      </c>
      <c r="E157" s="189">
        <v>205.02</v>
      </c>
      <c r="F157" s="195">
        <v>-0.14809275</v>
      </c>
      <c r="G157" s="190">
        <v>29.866985472</v>
      </c>
      <c r="H157" s="184">
        <v>0.11</v>
      </c>
      <c r="I157" s="191">
        <v>0.61473999999999995</v>
      </c>
      <c r="J157" s="192">
        <v>19.770492999999998</v>
      </c>
      <c r="K157" s="200">
        <v>1417.4000639999999</v>
      </c>
      <c r="L157" s="190">
        <v>19.915937782444811</v>
      </c>
      <c r="M157" s="195">
        <v>-0.33317884387375463</v>
      </c>
      <c r="N157" s="192">
        <v>21.07166955300772</v>
      </c>
      <c r="O157" s="207" t="s">
        <v>264</v>
      </c>
      <c r="P157" s="207" t="s">
        <v>264</v>
      </c>
      <c r="Q157" s="207" t="s">
        <v>264</v>
      </c>
      <c r="R157" s="207" t="s">
        <v>264</v>
      </c>
      <c r="S157" s="207" t="s">
        <v>264</v>
      </c>
    </row>
    <row r="158" spans="1:19" ht="20" customHeight="1" x14ac:dyDescent="0.15">
      <c r="A158" s="50">
        <v>153</v>
      </c>
      <c r="B158" s="51" t="s">
        <v>807</v>
      </c>
      <c r="C158" s="52" t="s">
        <v>808</v>
      </c>
      <c r="D158" s="53" t="s">
        <v>809</v>
      </c>
      <c r="E158" s="183">
        <v>34.72</v>
      </c>
      <c r="F158" s="195">
        <v>-0.36930066</v>
      </c>
      <c r="G158" s="185">
        <v>18.529413120000001</v>
      </c>
      <c r="H158" s="184">
        <v>2.1999999999999999E-2</v>
      </c>
      <c r="I158" s="186">
        <v>0.33139999999999997</v>
      </c>
      <c r="J158" s="187">
        <v>8.4889969999999995</v>
      </c>
      <c r="K158" s="194">
        <v>2263.3751040000002</v>
      </c>
      <c r="L158" s="185">
        <v>19.10746940641496</v>
      </c>
      <c r="M158" s="184">
        <v>3.1196686191373332E-2</v>
      </c>
      <c r="N158" s="187">
        <v>8.1866288341748952</v>
      </c>
      <c r="O158" s="206" t="s">
        <v>264</v>
      </c>
      <c r="P158" s="206" t="s">
        <v>264</v>
      </c>
      <c r="Q158" s="206" t="s">
        <v>264</v>
      </c>
      <c r="R158" s="206" t="s">
        <v>264</v>
      </c>
      <c r="S158" s="206" t="s">
        <v>264</v>
      </c>
    </row>
    <row r="159" spans="1:19" ht="20" customHeight="1" x14ac:dyDescent="0.15">
      <c r="A159" s="54">
        <v>154</v>
      </c>
      <c r="B159" s="55" t="s">
        <v>810</v>
      </c>
      <c r="C159" s="56" t="s">
        <v>811</v>
      </c>
      <c r="D159" s="57" t="s">
        <v>812</v>
      </c>
      <c r="E159" s="189">
        <v>311.51</v>
      </c>
      <c r="F159" s="195">
        <v>-0.12371653000000001</v>
      </c>
      <c r="G159" s="190">
        <v>66.530304000000001</v>
      </c>
      <c r="H159" s="184">
        <v>6.5000000000000002E-2</v>
      </c>
      <c r="I159" s="191">
        <v>0.47294997999999999</v>
      </c>
      <c r="J159" s="192">
        <v>18.313345000000002</v>
      </c>
      <c r="K159" s="200">
        <v>3774.5000960000002</v>
      </c>
      <c r="L159" s="190">
        <v>39.308594505750548</v>
      </c>
      <c r="M159" s="195">
        <v>-0.40916255988022321</v>
      </c>
      <c r="N159" s="192">
        <v>17.626254846472261</v>
      </c>
      <c r="O159" s="211" t="s">
        <v>474</v>
      </c>
      <c r="P159" s="212" t="s">
        <v>264</v>
      </c>
      <c r="Q159" s="211" t="s">
        <v>475</v>
      </c>
      <c r="R159" s="212">
        <v>285</v>
      </c>
      <c r="S159" s="213" t="s">
        <v>813</v>
      </c>
    </row>
    <row r="160" spans="1:19" ht="20" customHeight="1" x14ac:dyDescent="0.15">
      <c r="A160" s="50">
        <v>155</v>
      </c>
      <c r="B160" s="51" t="s">
        <v>814</v>
      </c>
      <c r="C160" s="52" t="s">
        <v>815</v>
      </c>
      <c r="D160" s="53" t="s">
        <v>816</v>
      </c>
      <c r="E160" s="183">
        <v>169.61</v>
      </c>
      <c r="F160" s="195">
        <v>-0.19927299000000001</v>
      </c>
      <c r="G160" s="185">
        <v>67.858771967999999</v>
      </c>
      <c r="H160" s="184">
        <v>8.8999999999999996E-2</v>
      </c>
      <c r="I160" s="186">
        <v>0.50361997000000003</v>
      </c>
      <c r="J160" s="187">
        <v>35.858353000000001</v>
      </c>
      <c r="K160" s="194">
        <v>1508.1474559999999</v>
      </c>
      <c r="L160" s="185">
        <v>18.109749011442211</v>
      </c>
      <c r="M160" s="195">
        <v>-0.73312589535245076</v>
      </c>
      <c r="N160" s="187">
        <v>44.994788794438684</v>
      </c>
      <c r="O160" s="206" t="s">
        <v>264</v>
      </c>
      <c r="P160" s="206" t="s">
        <v>264</v>
      </c>
      <c r="Q160" s="206" t="s">
        <v>264</v>
      </c>
      <c r="R160" s="206" t="s">
        <v>264</v>
      </c>
      <c r="S160" s="206" t="s">
        <v>264</v>
      </c>
    </row>
    <row r="161" spans="1:19" ht="20" customHeight="1" x14ac:dyDescent="0.15">
      <c r="A161" s="54">
        <v>156</v>
      </c>
      <c r="B161" s="55" t="s">
        <v>817</v>
      </c>
      <c r="C161" s="56" t="s">
        <v>818</v>
      </c>
      <c r="D161" s="57" t="s">
        <v>819</v>
      </c>
      <c r="E161" s="189">
        <v>142.30000000000001</v>
      </c>
      <c r="F161" s="184">
        <v>0.77497815999999997</v>
      </c>
      <c r="G161" s="190">
        <v>174.94799155199999</v>
      </c>
      <c r="H161" s="184">
        <v>0.58399999999999996</v>
      </c>
      <c r="I161" s="191">
        <v>0.37919997999999999</v>
      </c>
      <c r="J161" s="192">
        <v>40.77364</v>
      </c>
      <c r="K161" s="200">
        <v>3563.7250560000002</v>
      </c>
      <c r="L161" s="190">
        <v>54.740584897603398</v>
      </c>
      <c r="M161" s="195">
        <v>-0.68710366771296838</v>
      </c>
      <c r="N161" s="192">
        <v>49.091326390668677</v>
      </c>
      <c r="O161" s="207" t="s">
        <v>264</v>
      </c>
      <c r="P161" s="207" t="s">
        <v>264</v>
      </c>
      <c r="Q161" s="207" t="s">
        <v>264</v>
      </c>
      <c r="R161" s="207" t="s">
        <v>264</v>
      </c>
      <c r="S161" s="207" t="s">
        <v>264</v>
      </c>
    </row>
    <row r="162" spans="1:19" ht="20" customHeight="1" x14ac:dyDescent="0.15">
      <c r="A162" s="50">
        <v>157</v>
      </c>
      <c r="B162" s="51" t="s">
        <v>820</v>
      </c>
      <c r="C162" s="52" t="s">
        <v>821</v>
      </c>
      <c r="D162" s="53" t="s">
        <v>822</v>
      </c>
      <c r="E162" s="183">
        <v>108.62</v>
      </c>
      <c r="F162" s="184">
        <v>1.0478883000000001</v>
      </c>
      <c r="G162" s="185">
        <v>115.957587968</v>
      </c>
      <c r="H162" s="184">
        <v>0.45800000000000002</v>
      </c>
      <c r="I162" s="186">
        <v>0.67356000000000005</v>
      </c>
      <c r="J162" s="187">
        <v>14.088198</v>
      </c>
      <c r="K162" s="194">
        <v>9804.8747519999997</v>
      </c>
      <c r="L162" s="185">
        <v>147.84979470835339</v>
      </c>
      <c r="M162" s="184">
        <v>0.2750333746951904</v>
      </c>
      <c r="N162" s="187">
        <v>11.826523454777121</v>
      </c>
      <c r="O162" s="206" t="s">
        <v>264</v>
      </c>
      <c r="P162" s="206" t="s">
        <v>264</v>
      </c>
      <c r="Q162" s="206" t="s">
        <v>264</v>
      </c>
      <c r="R162" s="206" t="s">
        <v>264</v>
      </c>
      <c r="S162" s="206" t="s">
        <v>264</v>
      </c>
    </row>
    <row r="163" spans="1:19" ht="20" customHeight="1" x14ac:dyDescent="0.15">
      <c r="A163" s="54">
        <v>158</v>
      </c>
      <c r="B163" s="55" t="s">
        <v>823</v>
      </c>
      <c r="C163" s="56" t="s">
        <v>824</v>
      </c>
      <c r="D163" s="57" t="s">
        <v>631</v>
      </c>
      <c r="E163" s="189">
        <v>89.46</v>
      </c>
      <c r="F163" s="195">
        <v>-0.32533938000000001</v>
      </c>
      <c r="G163" s="190">
        <v>155.82260428800001</v>
      </c>
      <c r="H163" s="184">
        <v>7.8E-2</v>
      </c>
      <c r="I163" s="191">
        <v>0.56503000000000003</v>
      </c>
      <c r="J163" s="192">
        <v>25.058824999999999</v>
      </c>
      <c r="K163" s="200">
        <v>6341.1251199999997</v>
      </c>
      <c r="L163" s="190">
        <v>76.52420875799362</v>
      </c>
      <c r="M163" s="195">
        <v>-0.50890174690857226</v>
      </c>
      <c r="N163" s="192">
        <v>24.573337035311489</v>
      </c>
      <c r="O163" s="207" t="s">
        <v>264</v>
      </c>
      <c r="P163" s="207" t="s">
        <v>264</v>
      </c>
      <c r="Q163" s="207" t="s">
        <v>264</v>
      </c>
      <c r="R163" s="207" t="s">
        <v>264</v>
      </c>
      <c r="S163" s="207" t="s">
        <v>264</v>
      </c>
    </row>
    <row r="164" spans="1:19" ht="20" customHeight="1" x14ac:dyDescent="0.15">
      <c r="A164" s="50">
        <v>159</v>
      </c>
      <c r="B164" s="51" t="s">
        <v>825</v>
      </c>
      <c r="C164" s="52" t="s">
        <v>826</v>
      </c>
      <c r="D164" s="53" t="s">
        <v>827</v>
      </c>
      <c r="E164" s="183">
        <v>380.39</v>
      </c>
      <c r="F164" s="184">
        <v>0.21235978999999999</v>
      </c>
      <c r="G164" s="185">
        <v>19.704932352</v>
      </c>
      <c r="H164" s="184">
        <v>5.1999999999999998E-2</v>
      </c>
      <c r="I164" s="186">
        <v>0.51615999999999995</v>
      </c>
      <c r="J164" s="187">
        <v>19.648244999999999</v>
      </c>
      <c r="K164" s="194">
        <v>1048.3374719999999</v>
      </c>
      <c r="L164" s="185">
        <v>11.51011978831918</v>
      </c>
      <c r="M164" s="195">
        <v>-0.41587620892537958</v>
      </c>
      <c r="N164" s="187">
        <v>18.796362195894108</v>
      </c>
      <c r="O164" s="206" t="s">
        <v>264</v>
      </c>
      <c r="P164" s="206" t="s">
        <v>264</v>
      </c>
      <c r="Q164" s="206" t="s">
        <v>264</v>
      </c>
      <c r="R164" s="206" t="s">
        <v>264</v>
      </c>
      <c r="S164" s="206" t="s">
        <v>264</v>
      </c>
    </row>
    <row r="165" spans="1:19" ht="20" customHeight="1" x14ac:dyDescent="0.15">
      <c r="A165" s="54">
        <v>160</v>
      </c>
      <c r="B165" s="55" t="s">
        <v>828</v>
      </c>
      <c r="C165" s="56" t="s">
        <v>829</v>
      </c>
      <c r="D165" s="57" t="s">
        <v>812</v>
      </c>
      <c r="E165" s="189">
        <v>208.11</v>
      </c>
      <c r="F165" s="195">
        <v>-0.37851637999999999</v>
      </c>
      <c r="G165" s="190">
        <v>53.472198656000003</v>
      </c>
      <c r="H165" s="184">
        <v>0.34599999999999997</v>
      </c>
      <c r="I165" s="191">
        <v>0.42929</v>
      </c>
      <c r="J165" s="192">
        <v>33.674759999999999</v>
      </c>
      <c r="K165" s="196" t="s">
        <v>264</v>
      </c>
      <c r="L165" s="197" t="s">
        <v>264</v>
      </c>
      <c r="M165" s="198" t="s">
        <v>264</v>
      </c>
      <c r="N165" s="199" t="s">
        <v>264</v>
      </c>
      <c r="O165" s="207" t="s">
        <v>264</v>
      </c>
      <c r="P165" s="207" t="s">
        <v>264</v>
      </c>
      <c r="Q165" s="207" t="s">
        <v>264</v>
      </c>
      <c r="R165" s="207" t="s">
        <v>264</v>
      </c>
      <c r="S165" s="207" t="s">
        <v>264</v>
      </c>
    </row>
    <row r="166" spans="1:19" ht="20" customHeight="1" x14ac:dyDescent="0.15">
      <c r="A166" s="50">
        <v>161</v>
      </c>
      <c r="B166" s="51" t="s">
        <v>830</v>
      </c>
      <c r="C166" s="52" t="s">
        <v>831</v>
      </c>
      <c r="D166" s="53" t="s">
        <v>622</v>
      </c>
      <c r="E166" s="183">
        <v>137.44999999999999</v>
      </c>
      <c r="F166" s="184">
        <v>0.26822293000000003</v>
      </c>
      <c r="G166" s="185">
        <v>77.246898176000002</v>
      </c>
      <c r="H166" s="184">
        <v>4.1000000000000002E-2</v>
      </c>
      <c r="I166" s="186">
        <v>0.52756999999999998</v>
      </c>
      <c r="J166" s="187">
        <v>33.688724999999998</v>
      </c>
      <c r="K166" s="194">
        <v>2879.3751040000002</v>
      </c>
      <c r="L166" s="185">
        <v>20.844279328524902</v>
      </c>
      <c r="M166" s="195">
        <v>-0.73016030648851282</v>
      </c>
      <c r="N166" s="187">
        <v>26.827661284106181</v>
      </c>
      <c r="O166" s="206" t="s">
        <v>264</v>
      </c>
      <c r="P166" s="206" t="s">
        <v>264</v>
      </c>
      <c r="Q166" s="206" t="s">
        <v>264</v>
      </c>
      <c r="R166" s="206" t="s">
        <v>264</v>
      </c>
      <c r="S166" s="206" t="s">
        <v>264</v>
      </c>
    </row>
    <row r="167" spans="1:19" ht="20" customHeight="1" x14ac:dyDescent="0.15">
      <c r="A167" s="54">
        <v>162</v>
      </c>
      <c r="B167" s="55" t="s">
        <v>832</v>
      </c>
      <c r="C167" s="56" t="s">
        <v>833</v>
      </c>
      <c r="D167" s="57" t="s">
        <v>597</v>
      </c>
      <c r="E167" s="189">
        <v>227.08</v>
      </c>
      <c r="F167" s="195">
        <v>-9.4216170000000002E-2</v>
      </c>
      <c r="G167" s="190">
        <v>11.17045248</v>
      </c>
      <c r="H167" s="184">
        <v>0.106</v>
      </c>
      <c r="I167" s="191">
        <v>0.48054000000000002</v>
      </c>
      <c r="J167" s="192">
        <v>27.794369</v>
      </c>
      <c r="K167" s="200">
        <v>658.49996799999997</v>
      </c>
      <c r="L167" s="190">
        <v>8.6839439750180016</v>
      </c>
      <c r="M167" s="195">
        <v>-0.2225969368236369</v>
      </c>
      <c r="N167" s="192">
        <v>16.67757260185622</v>
      </c>
      <c r="O167" s="207" t="s">
        <v>264</v>
      </c>
      <c r="P167" s="207" t="s">
        <v>264</v>
      </c>
      <c r="Q167" s="207" t="s">
        <v>264</v>
      </c>
      <c r="R167" s="207" t="s">
        <v>264</v>
      </c>
      <c r="S167" s="207" t="s">
        <v>264</v>
      </c>
    </row>
    <row r="168" spans="1:19" ht="20" customHeight="1" x14ac:dyDescent="0.15">
      <c r="A168" s="50">
        <v>163</v>
      </c>
      <c r="B168" s="51" t="s">
        <v>834</v>
      </c>
      <c r="C168" s="52" t="s">
        <v>835</v>
      </c>
      <c r="D168" s="53" t="s">
        <v>720</v>
      </c>
      <c r="E168" s="183">
        <v>66.38</v>
      </c>
      <c r="F168" s="195">
        <v>-8.4287465000000006E-2</v>
      </c>
      <c r="G168" s="185">
        <v>25.889460224</v>
      </c>
      <c r="H168" s="184">
        <v>0.04</v>
      </c>
      <c r="I168" s="186">
        <v>0.43651000000000001</v>
      </c>
      <c r="J168" s="187">
        <v>14.063560000000001</v>
      </c>
      <c r="K168" s="201" t="s">
        <v>264</v>
      </c>
      <c r="L168" s="202" t="s">
        <v>264</v>
      </c>
      <c r="M168" s="203" t="s">
        <v>264</v>
      </c>
      <c r="N168" s="204" t="s">
        <v>264</v>
      </c>
      <c r="O168" s="206" t="s">
        <v>264</v>
      </c>
      <c r="P168" s="206" t="s">
        <v>264</v>
      </c>
      <c r="Q168" s="206" t="s">
        <v>264</v>
      </c>
      <c r="R168" s="206" t="s">
        <v>264</v>
      </c>
      <c r="S168" s="206" t="s">
        <v>264</v>
      </c>
    </row>
    <row r="169" spans="1:19" ht="20" customHeight="1" x14ac:dyDescent="0.15">
      <c r="A169" s="54">
        <v>164</v>
      </c>
      <c r="B169" s="55" t="s">
        <v>836</v>
      </c>
      <c r="C169" s="56" t="s">
        <v>837</v>
      </c>
      <c r="D169" s="57" t="s">
        <v>838</v>
      </c>
      <c r="E169" s="189">
        <v>123.19</v>
      </c>
      <c r="F169" s="184">
        <v>0.40611804000000001</v>
      </c>
      <c r="G169" s="190">
        <v>150.081650688</v>
      </c>
      <c r="H169" s="195">
        <v>-5.2999999999999999E-2</v>
      </c>
      <c r="I169" s="191">
        <v>0.45590999999999998</v>
      </c>
      <c r="J169" s="192">
        <v>20.879662</v>
      </c>
      <c r="K169" s="200">
        <v>5289.1248640000003</v>
      </c>
      <c r="L169" s="190">
        <v>47.896126738988762</v>
      </c>
      <c r="M169" s="195">
        <v>-0.68086620503289574</v>
      </c>
      <c r="N169" s="192">
        <v>28.37551423327487</v>
      </c>
      <c r="O169" s="207" t="s">
        <v>264</v>
      </c>
      <c r="P169" s="207" t="s">
        <v>264</v>
      </c>
      <c r="Q169" s="207" t="s">
        <v>264</v>
      </c>
      <c r="R169" s="207" t="s">
        <v>264</v>
      </c>
      <c r="S169" s="207" t="s">
        <v>264</v>
      </c>
    </row>
    <row r="170" spans="1:19" ht="20" customHeight="1" x14ac:dyDescent="0.15">
      <c r="A170" s="50">
        <v>165</v>
      </c>
      <c r="B170" s="51" t="s">
        <v>839</v>
      </c>
      <c r="C170" s="52" t="s">
        <v>840</v>
      </c>
      <c r="D170" s="53" t="s">
        <v>622</v>
      </c>
      <c r="E170" s="183">
        <v>425.55</v>
      </c>
      <c r="F170" s="184">
        <v>0.42524612000000001</v>
      </c>
      <c r="G170" s="185">
        <v>165.107154944</v>
      </c>
      <c r="H170" s="184">
        <v>0.13100000000000001</v>
      </c>
      <c r="I170" s="186">
        <v>0.37772998000000002</v>
      </c>
      <c r="J170" s="187">
        <v>40.644694999999999</v>
      </c>
      <c r="K170" s="194">
        <v>2598.0001280000001</v>
      </c>
      <c r="L170" s="185">
        <v>28.81932469828876</v>
      </c>
      <c r="M170" s="195">
        <v>-0.82545078250507364</v>
      </c>
      <c r="N170" s="187">
        <v>63.551637144876999</v>
      </c>
      <c r="O170" s="206" t="s">
        <v>264</v>
      </c>
      <c r="P170" s="206" t="s">
        <v>264</v>
      </c>
      <c r="Q170" s="206" t="s">
        <v>264</v>
      </c>
      <c r="R170" s="206" t="s">
        <v>264</v>
      </c>
      <c r="S170" s="206" t="s">
        <v>264</v>
      </c>
    </row>
    <row r="171" spans="1:19" ht="20" customHeight="1" x14ac:dyDescent="0.15">
      <c r="A171" s="54">
        <v>166</v>
      </c>
      <c r="B171" s="55" t="s">
        <v>841</v>
      </c>
      <c r="C171" s="56" t="s">
        <v>842</v>
      </c>
      <c r="D171" s="57" t="s">
        <v>793</v>
      </c>
      <c r="E171" s="189">
        <v>179.83</v>
      </c>
      <c r="F171" s="195">
        <v>-0.41558610000000001</v>
      </c>
      <c r="G171" s="190">
        <v>110.673698816</v>
      </c>
      <c r="H171" s="184">
        <v>8.3000000000000004E-2</v>
      </c>
      <c r="I171" s="191">
        <v>0.32026001999999998</v>
      </c>
      <c r="J171" s="192">
        <v>14.752255999999999</v>
      </c>
      <c r="K171" s="200">
        <v>12164.313088000001</v>
      </c>
      <c r="L171" s="190">
        <v>109.6944824139144</v>
      </c>
      <c r="M171" s="195">
        <v>-8.8477787637115425E-3</v>
      </c>
      <c r="N171" s="192">
        <v>9.0761145134741223</v>
      </c>
      <c r="O171" s="207" t="s">
        <v>264</v>
      </c>
      <c r="P171" s="207" t="s">
        <v>264</v>
      </c>
      <c r="Q171" s="207" t="s">
        <v>264</v>
      </c>
      <c r="R171" s="207" t="s">
        <v>264</v>
      </c>
      <c r="S171" s="207" t="s">
        <v>264</v>
      </c>
    </row>
    <row r="172" spans="1:19" ht="20" customHeight="1" x14ac:dyDescent="0.15">
      <c r="A172" s="50">
        <v>167</v>
      </c>
      <c r="B172" s="51" t="s">
        <v>843</v>
      </c>
      <c r="C172" s="52" t="s">
        <v>844</v>
      </c>
      <c r="D172" s="53" t="s">
        <v>726</v>
      </c>
      <c r="E172" s="183">
        <v>87.11</v>
      </c>
      <c r="F172" s="195">
        <v>-0.37054700000000002</v>
      </c>
      <c r="G172" s="185">
        <v>10.532632575999999</v>
      </c>
      <c r="H172" s="184">
        <v>1E-3</v>
      </c>
      <c r="I172" s="186">
        <v>0.43846000000000002</v>
      </c>
      <c r="J172" s="187">
        <v>14.164227500000001</v>
      </c>
      <c r="K172" s="194">
        <v>69.125</v>
      </c>
      <c r="L172" s="185">
        <v>1.3676796876995629</v>
      </c>
      <c r="M172" s="195">
        <v>-0.87014835295631576</v>
      </c>
      <c r="N172" s="187">
        <v>152.37081209301991</v>
      </c>
      <c r="O172" s="206" t="s">
        <v>264</v>
      </c>
      <c r="P172" s="206" t="s">
        <v>264</v>
      </c>
      <c r="Q172" s="206" t="s">
        <v>264</v>
      </c>
      <c r="R172" s="206" t="s">
        <v>264</v>
      </c>
      <c r="S172" s="206" t="s">
        <v>264</v>
      </c>
    </row>
    <row r="173" spans="1:19" ht="20" customHeight="1" x14ac:dyDescent="0.15">
      <c r="A173" s="54">
        <v>168</v>
      </c>
      <c r="B173" s="55" t="s">
        <v>845</v>
      </c>
      <c r="C173" s="56" t="s">
        <v>846</v>
      </c>
      <c r="D173" s="57" t="s">
        <v>846</v>
      </c>
      <c r="E173" s="189">
        <v>228.77</v>
      </c>
      <c r="F173" s="195">
        <v>-2.5639951000000001E-2</v>
      </c>
      <c r="G173" s="190">
        <v>91.868487680000001</v>
      </c>
      <c r="H173" s="184">
        <v>3.5000000000000003E-2</v>
      </c>
      <c r="I173" s="191">
        <v>0.40605000000000002</v>
      </c>
      <c r="J173" s="192">
        <v>33.107093999999996</v>
      </c>
      <c r="K173" s="200">
        <v>2136.7499520000001</v>
      </c>
      <c r="L173" s="190">
        <v>19.173286006836321</v>
      </c>
      <c r="M173" s="195">
        <v>-0.79129637930231878</v>
      </c>
      <c r="N173" s="192">
        <v>42.994494839721902</v>
      </c>
      <c r="O173" s="207" t="s">
        <v>264</v>
      </c>
      <c r="P173" s="207" t="s">
        <v>264</v>
      </c>
      <c r="Q173" s="207" t="s">
        <v>264</v>
      </c>
      <c r="R173" s="207" t="s">
        <v>264</v>
      </c>
      <c r="S173" s="207" t="s">
        <v>264</v>
      </c>
    </row>
    <row r="174" spans="1:19" ht="20" customHeight="1" x14ac:dyDescent="0.15">
      <c r="A174" s="50">
        <v>169</v>
      </c>
      <c r="B174" s="51" t="s">
        <v>847</v>
      </c>
      <c r="C174" s="52" t="s">
        <v>848</v>
      </c>
      <c r="D174" s="53" t="s">
        <v>622</v>
      </c>
      <c r="E174" s="183">
        <v>60.35</v>
      </c>
      <c r="F174" s="195">
        <v>-0.116915405</v>
      </c>
      <c r="G174" s="185">
        <v>8.3427722240000008</v>
      </c>
      <c r="H174" s="195">
        <v>-1.9E-2</v>
      </c>
      <c r="I174" s="186">
        <v>0.38764998000000001</v>
      </c>
      <c r="J174" s="187">
        <v>16.093332</v>
      </c>
      <c r="K174" s="194">
        <v>495.61251199999998</v>
      </c>
      <c r="L174" s="185">
        <v>2.6139998507713278</v>
      </c>
      <c r="M174" s="195">
        <v>-0.68667491085858423</v>
      </c>
      <c r="N174" s="187">
        <v>13.68393812503265</v>
      </c>
      <c r="O174" s="206" t="s">
        <v>264</v>
      </c>
      <c r="P174" s="206" t="s">
        <v>264</v>
      </c>
      <c r="Q174" s="206" t="s">
        <v>264</v>
      </c>
      <c r="R174" s="206" t="s">
        <v>264</v>
      </c>
      <c r="S174" s="206" t="s">
        <v>264</v>
      </c>
    </row>
    <row r="175" spans="1:19" ht="20" customHeight="1" x14ac:dyDescent="0.15">
      <c r="A175" s="50">
        <v>170</v>
      </c>
      <c r="B175" s="51" t="s">
        <v>849</v>
      </c>
      <c r="C175" s="52" t="s">
        <v>850</v>
      </c>
      <c r="D175" s="53" t="s">
        <v>851</v>
      </c>
      <c r="E175" s="189">
        <v>38.76</v>
      </c>
      <c r="F175" s="184">
        <v>0.28856385000000001</v>
      </c>
      <c r="G175" s="190">
        <v>18.944868352</v>
      </c>
      <c r="H175" s="184">
        <v>0.128</v>
      </c>
      <c r="I175" s="191">
        <v>0.23006001000000001</v>
      </c>
      <c r="J175" s="192">
        <v>25.839998000000001</v>
      </c>
      <c r="K175" s="200">
        <v>-372.37500799999998</v>
      </c>
      <c r="L175" s="193" t="s">
        <v>264</v>
      </c>
      <c r="M175" s="193" t="s">
        <v>264</v>
      </c>
      <c r="N175" s="192">
        <v>-50.875780352799623</v>
      </c>
      <c r="O175" s="207" t="s">
        <v>264</v>
      </c>
      <c r="P175" s="207" t="s">
        <v>264</v>
      </c>
      <c r="Q175" s="207" t="s">
        <v>264</v>
      </c>
      <c r="R175" s="207" t="s">
        <v>264</v>
      </c>
      <c r="S175" s="207" t="s">
        <v>264</v>
      </c>
    </row>
    <row r="176" spans="1:19" ht="20" customHeight="1" x14ac:dyDescent="0.15">
      <c r="A176" s="54">
        <v>171</v>
      </c>
      <c r="B176" s="55" t="s">
        <v>852</v>
      </c>
      <c r="C176" s="56" t="s">
        <v>853</v>
      </c>
      <c r="D176" s="57" t="s">
        <v>809</v>
      </c>
      <c r="E176" s="183">
        <v>50.24</v>
      </c>
      <c r="F176" s="195">
        <v>-0.33280211999999998</v>
      </c>
      <c r="G176" s="185">
        <v>13.50668288</v>
      </c>
      <c r="H176" s="184">
        <v>0.16700000000000001</v>
      </c>
      <c r="I176" s="186">
        <v>0.38180999999999998</v>
      </c>
      <c r="J176" s="187">
        <v>8.2360659999999992</v>
      </c>
      <c r="K176" s="194">
        <v>372.77500800000001</v>
      </c>
      <c r="L176" s="185">
        <v>5.5087819707663801</v>
      </c>
      <c r="M176" s="195">
        <v>-0.59214397645157568</v>
      </c>
      <c r="N176" s="187">
        <v>34.230583467441043</v>
      </c>
      <c r="O176" s="206" t="s">
        <v>264</v>
      </c>
      <c r="P176" s="206" t="s">
        <v>264</v>
      </c>
      <c r="Q176" s="206" t="s">
        <v>264</v>
      </c>
      <c r="R176" s="206" t="s">
        <v>264</v>
      </c>
      <c r="S176" s="206" t="s">
        <v>264</v>
      </c>
    </row>
    <row r="177" spans="1:19" ht="20" customHeight="1" x14ac:dyDescent="0.15">
      <c r="A177" s="50">
        <v>172</v>
      </c>
      <c r="B177" s="51" t="s">
        <v>854</v>
      </c>
      <c r="C177" s="52" t="s">
        <v>855</v>
      </c>
      <c r="D177" s="53" t="s">
        <v>780</v>
      </c>
      <c r="E177" s="189">
        <v>48.11</v>
      </c>
      <c r="F177" s="184">
        <v>0.10496092</v>
      </c>
      <c r="G177" s="190">
        <v>200.90735820800001</v>
      </c>
      <c r="H177" s="184">
        <v>2.9000000000000001E-2</v>
      </c>
      <c r="I177" s="191">
        <v>0.58909</v>
      </c>
      <c r="J177" s="192">
        <v>11.734147</v>
      </c>
      <c r="K177" s="200">
        <v>21394.74944</v>
      </c>
      <c r="L177" s="190">
        <v>190.77991069607751</v>
      </c>
      <c r="M177" s="195">
        <v>-5.0408544526465232E-2</v>
      </c>
      <c r="N177" s="192">
        <v>9.3904983820179773</v>
      </c>
      <c r="O177" s="207" t="s">
        <v>264</v>
      </c>
      <c r="P177" s="207" t="s">
        <v>264</v>
      </c>
      <c r="Q177" s="207" t="s">
        <v>264</v>
      </c>
      <c r="R177" s="207" t="s">
        <v>264</v>
      </c>
      <c r="S177" s="207" t="s">
        <v>264</v>
      </c>
    </row>
    <row r="178" spans="1:19" ht="20" customHeight="1" x14ac:dyDescent="0.15">
      <c r="A178" s="54">
        <v>173</v>
      </c>
      <c r="B178" s="55" t="s">
        <v>856</v>
      </c>
      <c r="C178" s="56" t="s">
        <v>857</v>
      </c>
      <c r="D178" s="57" t="s">
        <v>631</v>
      </c>
      <c r="E178" s="183">
        <v>56.5</v>
      </c>
      <c r="F178" s="195">
        <v>-0.45798159999999999</v>
      </c>
      <c r="G178" s="185">
        <v>83.968892928000002</v>
      </c>
      <c r="H178" s="184">
        <v>0.11600000000000001</v>
      </c>
      <c r="I178" s="186">
        <v>0.68633</v>
      </c>
      <c r="J178" s="187">
        <v>23.640167000000002</v>
      </c>
      <c r="K178" s="201" t="s">
        <v>264</v>
      </c>
      <c r="L178" s="202" t="s">
        <v>264</v>
      </c>
      <c r="M178" s="203" t="s">
        <v>264</v>
      </c>
      <c r="N178" s="204" t="s">
        <v>264</v>
      </c>
      <c r="O178" s="206" t="s">
        <v>264</v>
      </c>
      <c r="P178" s="206" t="s">
        <v>264</v>
      </c>
      <c r="Q178" s="206" t="s">
        <v>264</v>
      </c>
      <c r="R178" s="206" t="s">
        <v>264</v>
      </c>
      <c r="S178" s="206" t="s">
        <v>264</v>
      </c>
    </row>
    <row r="179" spans="1:19" ht="20" customHeight="1" x14ac:dyDescent="0.15">
      <c r="A179" s="50">
        <v>174</v>
      </c>
      <c r="B179" s="51" t="s">
        <v>858</v>
      </c>
      <c r="C179" s="52" t="s">
        <v>859</v>
      </c>
      <c r="D179" s="53" t="s">
        <v>584</v>
      </c>
      <c r="E179" s="189">
        <v>251.84</v>
      </c>
      <c r="F179" s="184">
        <v>0.52058934999999995</v>
      </c>
      <c r="G179" s="190">
        <v>30.226360320000001</v>
      </c>
      <c r="H179" s="184">
        <v>0.114</v>
      </c>
      <c r="I179" s="191">
        <v>0.90116996000000005</v>
      </c>
      <c r="J179" s="192">
        <v>25.645621999999999</v>
      </c>
      <c r="K179" s="200">
        <v>2934.0001280000001</v>
      </c>
      <c r="L179" s="190">
        <v>44.081026708743913</v>
      </c>
      <c r="M179" s="184">
        <v>0.45836370115579639</v>
      </c>
      <c r="N179" s="192">
        <v>9.8279933408373736</v>
      </c>
      <c r="O179" s="207" t="s">
        <v>264</v>
      </c>
      <c r="P179" s="207" t="s">
        <v>264</v>
      </c>
      <c r="Q179" s="207" t="s">
        <v>264</v>
      </c>
      <c r="R179" s="207" t="s">
        <v>264</v>
      </c>
      <c r="S179" s="207" t="s">
        <v>264</v>
      </c>
    </row>
    <row r="180" spans="1:19" ht="20" customHeight="1" x14ac:dyDescent="0.15">
      <c r="A180" s="54">
        <v>175</v>
      </c>
      <c r="B180" s="55" t="s">
        <v>860</v>
      </c>
      <c r="C180" s="56" t="s">
        <v>861</v>
      </c>
      <c r="D180" s="57" t="s">
        <v>695</v>
      </c>
      <c r="E180" s="183">
        <v>567.46</v>
      </c>
      <c r="F180" s="184">
        <v>0.1944766</v>
      </c>
      <c r="G180" s="185">
        <v>45.183455232</v>
      </c>
      <c r="H180" s="184">
        <v>0.14299999999999999</v>
      </c>
      <c r="I180" s="186">
        <v>0.61797000000000002</v>
      </c>
      <c r="J180" s="187">
        <v>43.284520000000001</v>
      </c>
      <c r="K180" s="194">
        <v>790.73587199999997</v>
      </c>
      <c r="L180" s="185">
        <v>11.54356365489466</v>
      </c>
      <c r="M180" s="195">
        <v>-0.74451790825595754</v>
      </c>
      <c r="N180" s="187">
        <v>56.997855411497007</v>
      </c>
      <c r="O180" s="206" t="s">
        <v>264</v>
      </c>
      <c r="P180" s="206" t="s">
        <v>264</v>
      </c>
      <c r="Q180" s="206" t="s">
        <v>264</v>
      </c>
      <c r="R180" s="206" t="s">
        <v>264</v>
      </c>
      <c r="S180" s="206" t="s">
        <v>264</v>
      </c>
    </row>
    <row r="181" spans="1:19" ht="20" customHeight="1" x14ac:dyDescent="0.15">
      <c r="A181" s="50">
        <v>176</v>
      </c>
      <c r="B181" s="51" t="s">
        <v>862</v>
      </c>
      <c r="C181" s="52" t="s">
        <v>863</v>
      </c>
      <c r="D181" s="53" t="s">
        <v>864</v>
      </c>
      <c r="E181" s="189">
        <v>53.79</v>
      </c>
      <c r="F181" s="184">
        <v>0.40407205000000002</v>
      </c>
      <c r="G181" s="190">
        <v>35.643260927999997</v>
      </c>
      <c r="H181" s="184">
        <v>0.253</v>
      </c>
      <c r="I181" s="191">
        <v>0.80095000000000005</v>
      </c>
      <c r="J181" s="192">
        <v>19.848710000000001</v>
      </c>
      <c r="K181" s="200">
        <v>1622.6250239999999</v>
      </c>
      <c r="L181" s="190">
        <v>25.81945532754375</v>
      </c>
      <c r="M181" s="195">
        <v>-0.27561467005784079</v>
      </c>
      <c r="N181" s="192">
        <v>21.966419341841728</v>
      </c>
      <c r="O181" s="207" t="s">
        <v>264</v>
      </c>
      <c r="P181" s="207" t="s">
        <v>264</v>
      </c>
      <c r="Q181" s="207" t="s">
        <v>264</v>
      </c>
      <c r="R181" s="207" t="s">
        <v>264</v>
      </c>
      <c r="S181" s="207" t="s">
        <v>264</v>
      </c>
    </row>
    <row r="182" spans="1:19" ht="20" customHeight="1" x14ac:dyDescent="0.15">
      <c r="A182" s="54">
        <v>177</v>
      </c>
      <c r="B182" s="55" t="s">
        <v>865</v>
      </c>
      <c r="C182" s="56" t="s">
        <v>866</v>
      </c>
      <c r="D182" s="57" t="s">
        <v>793</v>
      </c>
      <c r="E182" s="183">
        <v>52.43</v>
      </c>
      <c r="F182" s="195">
        <v>-0.327044</v>
      </c>
      <c r="G182" s="185">
        <v>24.799389695999999</v>
      </c>
      <c r="H182" s="184">
        <v>5.8000000000000003E-2</v>
      </c>
      <c r="I182" s="186">
        <v>0.33513999999999999</v>
      </c>
      <c r="J182" s="187">
        <v>11.373101</v>
      </c>
      <c r="K182" s="194">
        <v>1908.875008</v>
      </c>
      <c r="L182" s="185">
        <v>15.267530721593999</v>
      </c>
      <c r="M182" s="195">
        <v>-0.38435861088724432</v>
      </c>
      <c r="N182" s="187">
        <v>12.991625903250339</v>
      </c>
      <c r="O182" s="206" t="s">
        <v>264</v>
      </c>
      <c r="P182" s="206" t="s">
        <v>264</v>
      </c>
      <c r="Q182" s="206" t="s">
        <v>264</v>
      </c>
      <c r="R182" s="206" t="s">
        <v>264</v>
      </c>
      <c r="S182" s="206" t="s">
        <v>264</v>
      </c>
    </row>
    <row r="183" spans="1:19" ht="20" customHeight="1" x14ac:dyDescent="0.15">
      <c r="A183" s="50">
        <v>178</v>
      </c>
      <c r="B183" s="51" t="s">
        <v>867</v>
      </c>
      <c r="C183" s="52" t="s">
        <v>868</v>
      </c>
      <c r="D183" s="53" t="s">
        <v>869</v>
      </c>
      <c r="E183" s="189">
        <v>21.13</v>
      </c>
      <c r="F183" s="184">
        <v>0.43254231999999998</v>
      </c>
      <c r="G183" s="190">
        <v>14.711134208000001</v>
      </c>
      <c r="H183" s="184">
        <v>0.128</v>
      </c>
      <c r="I183" s="191">
        <v>0.28832000000000002</v>
      </c>
      <c r="J183" s="192">
        <v>19.20909</v>
      </c>
      <c r="K183" s="200">
        <v>1182.7499519999999</v>
      </c>
      <c r="L183" s="190">
        <v>17.625418493901272</v>
      </c>
      <c r="M183" s="184">
        <v>0.19810058454340401</v>
      </c>
      <c r="N183" s="192">
        <v>12.27930940374284</v>
      </c>
      <c r="O183" s="207" t="s">
        <v>264</v>
      </c>
      <c r="P183" s="207" t="s">
        <v>264</v>
      </c>
      <c r="Q183" s="207" t="s">
        <v>264</v>
      </c>
      <c r="R183" s="207" t="s">
        <v>264</v>
      </c>
      <c r="S183" s="207" t="s">
        <v>264</v>
      </c>
    </row>
    <row r="184" spans="1:19" ht="20" customHeight="1" x14ac:dyDescent="0.15">
      <c r="A184" s="54">
        <v>179</v>
      </c>
      <c r="B184" s="55" t="s">
        <v>870</v>
      </c>
      <c r="C184" s="56" t="s">
        <v>871</v>
      </c>
      <c r="D184" s="57" t="s">
        <v>809</v>
      </c>
      <c r="E184" s="183">
        <v>96.97</v>
      </c>
      <c r="F184" s="195">
        <v>-0.14871388999999999</v>
      </c>
      <c r="G184" s="185">
        <v>10.341687296</v>
      </c>
      <c r="H184" s="184">
        <v>7.0000000000000007E-2</v>
      </c>
      <c r="I184" s="186">
        <v>0.34210000000000002</v>
      </c>
      <c r="J184" s="187">
        <v>9.6551639999999992</v>
      </c>
      <c r="K184" s="194">
        <v>884.46252800000002</v>
      </c>
      <c r="L184" s="185">
        <v>9.5619353854961275</v>
      </c>
      <c r="M184" s="195">
        <v>-7.5398906211897168E-2</v>
      </c>
      <c r="N184" s="187">
        <v>11.692623673741441</v>
      </c>
      <c r="O184" s="206" t="s">
        <v>264</v>
      </c>
      <c r="P184" s="206" t="s">
        <v>264</v>
      </c>
      <c r="Q184" s="206" t="s">
        <v>264</v>
      </c>
      <c r="R184" s="206" t="s">
        <v>264</v>
      </c>
      <c r="S184" s="206" t="s">
        <v>264</v>
      </c>
    </row>
    <row r="185" spans="1:19" ht="20" customHeight="1" x14ac:dyDescent="0.15">
      <c r="A185" s="50">
        <v>180</v>
      </c>
      <c r="B185" s="51" t="s">
        <v>872</v>
      </c>
      <c r="C185" s="52" t="s">
        <v>873</v>
      </c>
      <c r="D185" s="53" t="s">
        <v>874</v>
      </c>
      <c r="E185" s="189">
        <v>42.14</v>
      </c>
      <c r="F185" s="195">
        <v>-0.26636493</v>
      </c>
      <c r="G185" s="190">
        <v>7.9111920639999997</v>
      </c>
      <c r="H185" s="184">
        <v>0.02</v>
      </c>
      <c r="I185" s="191">
        <v>0.38622000000000001</v>
      </c>
      <c r="J185" s="192">
        <v>8.4026399999999999</v>
      </c>
      <c r="K185" s="200">
        <v>774.06252800000004</v>
      </c>
      <c r="L185" s="190">
        <v>6.7052337481109081</v>
      </c>
      <c r="M185" s="195">
        <v>-0.15243699130714111</v>
      </c>
      <c r="N185" s="192">
        <v>9.5487841519696985</v>
      </c>
      <c r="O185" s="207" t="s">
        <v>264</v>
      </c>
      <c r="P185" s="207" t="s">
        <v>264</v>
      </c>
      <c r="Q185" s="207" t="s">
        <v>264</v>
      </c>
      <c r="R185" s="207" t="s">
        <v>264</v>
      </c>
      <c r="S185" s="207" t="s">
        <v>264</v>
      </c>
    </row>
    <row r="186" spans="1:19" ht="20" customHeight="1" x14ac:dyDescent="0.15">
      <c r="A186" s="54">
        <v>181</v>
      </c>
      <c r="B186" s="55" t="s">
        <v>875</v>
      </c>
      <c r="C186" s="56" t="s">
        <v>876</v>
      </c>
      <c r="D186" s="57" t="s">
        <v>506</v>
      </c>
      <c r="E186" s="183">
        <v>50.93</v>
      </c>
      <c r="F186" s="184">
        <v>0.29428208</v>
      </c>
      <c r="G186" s="185">
        <v>63.452618751999999</v>
      </c>
      <c r="H186" s="184">
        <v>5.1999999999999998E-2</v>
      </c>
      <c r="I186" s="186">
        <v>0</v>
      </c>
      <c r="J186" s="187">
        <v>12.606436</v>
      </c>
      <c r="K186" s="188" t="s">
        <v>264</v>
      </c>
      <c r="L186" s="188" t="s">
        <v>264</v>
      </c>
      <c r="M186" s="188" t="s">
        <v>264</v>
      </c>
      <c r="N186" s="188" t="s">
        <v>264</v>
      </c>
      <c r="O186" s="206" t="s">
        <v>264</v>
      </c>
      <c r="P186" s="206" t="s">
        <v>264</v>
      </c>
      <c r="Q186" s="206" t="s">
        <v>264</v>
      </c>
      <c r="R186" s="206" t="s">
        <v>264</v>
      </c>
      <c r="S186" s="206" t="s">
        <v>264</v>
      </c>
    </row>
    <row r="187" spans="1:19" ht="20" customHeight="1" x14ac:dyDescent="0.15">
      <c r="A187" s="50">
        <v>182</v>
      </c>
      <c r="B187" s="51" t="s">
        <v>877</v>
      </c>
      <c r="C187" s="52" t="s">
        <v>878</v>
      </c>
      <c r="D187" s="53" t="s">
        <v>879</v>
      </c>
      <c r="E187" s="189">
        <v>318.61</v>
      </c>
      <c r="F187" s="184">
        <v>0.33331943000000003</v>
      </c>
      <c r="G187" s="190">
        <v>72.531042303999996</v>
      </c>
      <c r="H187" s="184">
        <v>0.11</v>
      </c>
      <c r="I187" s="191">
        <v>0.78505000000000003</v>
      </c>
      <c r="J187" s="192">
        <v>48.568595999999999</v>
      </c>
      <c r="K187" s="200">
        <v>1684.4999680000001</v>
      </c>
      <c r="L187" s="190">
        <v>22.86249111808818</v>
      </c>
      <c r="M187" s="195">
        <v>-0.68479025818677164</v>
      </c>
      <c r="N187" s="192">
        <v>43.057909872824638</v>
      </c>
      <c r="O187" s="207" t="s">
        <v>264</v>
      </c>
      <c r="P187" s="207" t="s">
        <v>264</v>
      </c>
      <c r="Q187" s="207" t="s">
        <v>264</v>
      </c>
      <c r="R187" s="207" t="s">
        <v>264</v>
      </c>
      <c r="S187" s="207" t="s">
        <v>264</v>
      </c>
    </row>
    <row r="188" spans="1:19" ht="20" customHeight="1" x14ac:dyDescent="0.15">
      <c r="A188" s="54">
        <v>183</v>
      </c>
      <c r="B188" s="55" t="s">
        <v>880</v>
      </c>
      <c r="C188" s="56" t="s">
        <v>881</v>
      </c>
      <c r="D188" s="57" t="s">
        <v>622</v>
      </c>
      <c r="E188" s="183">
        <v>77.989999999999995</v>
      </c>
      <c r="F188" s="184">
        <v>1.3515233999999999E-2</v>
      </c>
      <c r="G188" s="185">
        <v>30.520358911999999</v>
      </c>
      <c r="H188" s="184">
        <v>7.5999999999999998E-2</v>
      </c>
      <c r="I188" s="186">
        <v>0.43221999999999999</v>
      </c>
      <c r="J188" s="187">
        <v>52.695942000000002</v>
      </c>
      <c r="K188" s="194">
        <v>1035.4250239999999</v>
      </c>
      <c r="L188" s="185">
        <v>9.3573928272783213</v>
      </c>
      <c r="M188" s="195">
        <v>-0.69340488903624331</v>
      </c>
      <c r="N188" s="187">
        <v>29.476165802672352</v>
      </c>
      <c r="O188" s="206" t="s">
        <v>264</v>
      </c>
      <c r="P188" s="206" t="s">
        <v>264</v>
      </c>
      <c r="Q188" s="206" t="s">
        <v>264</v>
      </c>
      <c r="R188" s="206" t="s">
        <v>264</v>
      </c>
      <c r="S188" s="206" t="s">
        <v>264</v>
      </c>
    </row>
    <row r="189" spans="1:19" ht="20" customHeight="1" x14ac:dyDescent="0.15">
      <c r="A189" s="50">
        <v>184</v>
      </c>
      <c r="B189" s="51" t="s">
        <v>882</v>
      </c>
      <c r="C189" s="52" t="s">
        <v>883</v>
      </c>
      <c r="D189" s="53" t="s">
        <v>884</v>
      </c>
      <c r="E189" s="189">
        <v>153.37</v>
      </c>
      <c r="F189" s="184">
        <v>0.31953883</v>
      </c>
      <c r="G189" s="190">
        <v>32.572135424000003</v>
      </c>
      <c r="H189" s="184">
        <v>0.13700000000000001</v>
      </c>
      <c r="I189" s="191">
        <v>0.19378999999999999</v>
      </c>
      <c r="J189" s="192">
        <v>38.342500000000001</v>
      </c>
      <c r="K189" s="200">
        <v>1090.875008</v>
      </c>
      <c r="L189" s="190">
        <v>18.178029227880771</v>
      </c>
      <c r="M189" s="195">
        <v>-0.44191472277599808</v>
      </c>
      <c r="N189" s="192">
        <v>29.858725844051971</v>
      </c>
      <c r="O189" s="207" t="s">
        <v>264</v>
      </c>
      <c r="P189" s="207" t="s">
        <v>264</v>
      </c>
      <c r="Q189" s="207" t="s">
        <v>264</v>
      </c>
      <c r="R189" s="207" t="s">
        <v>264</v>
      </c>
      <c r="S189" s="207" t="s">
        <v>264</v>
      </c>
    </row>
    <row r="190" spans="1:19" ht="20" customHeight="1" x14ac:dyDescent="0.15">
      <c r="A190" s="54">
        <v>185</v>
      </c>
      <c r="B190" s="55" t="s">
        <v>885</v>
      </c>
      <c r="C190" s="56" t="s">
        <v>886</v>
      </c>
      <c r="D190" s="57" t="s">
        <v>887</v>
      </c>
      <c r="E190" s="183">
        <v>205.81</v>
      </c>
      <c r="F190" s="184">
        <v>0.31735265000000001</v>
      </c>
      <c r="G190" s="185">
        <v>42.896076800000003</v>
      </c>
      <c r="H190" s="195">
        <v>-2.9000000000000001E-2</v>
      </c>
      <c r="I190" s="186">
        <v>0.38945999999999997</v>
      </c>
      <c r="J190" s="187">
        <v>42.877082999999999</v>
      </c>
      <c r="K190" s="201" t="s">
        <v>264</v>
      </c>
      <c r="L190" s="202" t="s">
        <v>264</v>
      </c>
      <c r="M190" s="203" t="s">
        <v>264</v>
      </c>
      <c r="N190" s="204" t="s">
        <v>264</v>
      </c>
      <c r="O190" s="206" t="s">
        <v>264</v>
      </c>
      <c r="P190" s="206" t="s">
        <v>264</v>
      </c>
      <c r="Q190" s="206" t="s">
        <v>264</v>
      </c>
      <c r="R190" s="206" t="s">
        <v>264</v>
      </c>
      <c r="S190" s="206" t="s">
        <v>264</v>
      </c>
    </row>
    <row r="191" spans="1:19" ht="20" customHeight="1" x14ac:dyDescent="0.15">
      <c r="A191" s="50">
        <v>186</v>
      </c>
      <c r="B191" s="51" t="s">
        <v>888</v>
      </c>
      <c r="C191" s="52" t="s">
        <v>889</v>
      </c>
      <c r="D191" s="53" t="s">
        <v>890</v>
      </c>
      <c r="E191" s="189">
        <v>297.32</v>
      </c>
      <c r="F191" s="184">
        <v>0.101022124</v>
      </c>
      <c r="G191" s="190">
        <v>38.578724864000002</v>
      </c>
      <c r="H191" s="184">
        <v>7.3999999999999996E-2</v>
      </c>
      <c r="I191" s="191">
        <v>0.27683999999999997</v>
      </c>
      <c r="J191" s="192">
        <v>35.227490000000003</v>
      </c>
      <c r="K191" s="200">
        <v>239.012496</v>
      </c>
      <c r="L191" s="190">
        <v>2.2567697252291889</v>
      </c>
      <c r="M191" s="195">
        <v>-0.94150222089545754</v>
      </c>
      <c r="N191" s="192">
        <v>161.40880938794089</v>
      </c>
      <c r="O191" s="207" t="s">
        <v>264</v>
      </c>
      <c r="P191" s="207" t="s">
        <v>264</v>
      </c>
      <c r="Q191" s="207" t="s">
        <v>264</v>
      </c>
      <c r="R191" s="207" t="s">
        <v>264</v>
      </c>
      <c r="S191" s="207" t="s">
        <v>264</v>
      </c>
    </row>
    <row r="192" spans="1:19" ht="20" customHeight="1" x14ac:dyDescent="0.15">
      <c r="A192" s="54">
        <v>187</v>
      </c>
      <c r="B192" s="55" t="s">
        <v>891</v>
      </c>
      <c r="C192" s="56" t="s">
        <v>892</v>
      </c>
      <c r="D192" s="57" t="s">
        <v>893</v>
      </c>
      <c r="E192" s="183">
        <v>3594.08</v>
      </c>
      <c r="F192" s="195">
        <v>-4.8064530000000001E-2</v>
      </c>
      <c r="G192" s="185">
        <v>59.546079231999997</v>
      </c>
      <c r="H192" s="184">
        <v>8.2000000000000003E-2</v>
      </c>
      <c r="I192" s="186">
        <v>0.51875996999999996</v>
      </c>
      <c r="J192" s="187">
        <v>25.189796000000001</v>
      </c>
      <c r="K192" s="194">
        <v>853.69964800000002</v>
      </c>
      <c r="L192" s="185">
        <v>10.028906948264749</v>
      </c>
      <c r="M192" s="195">
        <v>-0.83157737541055043</v>
      </c>
      <c r="N192" s="187">
        <v>69.367498703244166</v>
      </c>
      <c r="O192" s="206" t="s">
        <v>264</v>
      </c>
      <c r="P192" s="206" t="s">
        <v>264</v>
      </c>
      <c r="Q192" s="206" t="s">
        <v>264</v>
      </c>
      <c r="R192" s="206" t="s">
        <v>264</v>
      </c>
      <c r="S192" s="206" t="s">
        <v>264</v>
      </c>
    </row>
    <row r="193" spans="1:19" ht="20" customHeight="1" x14ac:dyDescent="0.15">
      <c r="A193" s="50">
        <v>188</v>
      </c>
      <c r="B193" s="51" t="s">
        <v>894</v>
      </c>
      <c r="C193" s="52" t="s">
        <v>895</v>
      </c>
      <c r="D193" s="53" t="s">
        <v>890</v>
      </c>
      <c r="E193" s="189">
        <v>614.49</v>
      </c>
      <c r="F193" s="184">
        <v>0.1333481</v>
      </c>
      <c r="G193" s="190">
        <v>37.061148672000002</v>
      </c>
      <c r="H193" s="184">
        <v>7.0000000000000001E-3</v>
      </c>
      <c r="I193" s="191">
        <v>0.29748000000000002</v>
      </c>
      <c r="J193" s="192">
        <v>38.453693000000001</v>
      </c>
      <c r="K193" s="200">
        <v>905.50003200000003</v>
      </c>
      <c r="L193" s="190">
        <v>5.9376042894449323</v>
      </c>
      <c r="M193" s="195">
        <v>-0.83978898382254297</v>
      </c>
      <c r="N193" s="192">
        <v>40.891039144568467</v>
      </c>
      <c r="O193" s="207" t="s">
        <v>264</v>
      </c>
      <c r="P193" s="207" t="s">
        <v>264</v>
      </c>
      <c r="Q193" s="207" t="s">
        <v>264</v>
      </c>
      <c r="R193" s="207" t="s">
        <v>264</v>
      </c>
      <c r="S193" s="207" t="s">
        <v>264</v>
      </c>
    </row>
    <row r="194" spans="1:19" ht="20" customHeight="1" x14ac:dyDescent="0.15">
      <c r="A194" s="54">
        <v>189</v>
      </c>
      <c r="B194" s="55" t="s">
        <v>896</v>
      </c>
      <c r="C194" s="56" t="s">
        <v>897</v>
      </c>
      <c r="D194" s="57" t="s">
        <v>898</v>
      </c>
      <c r="E194" s="183">
        <v>27.19</v>
      </c>
      <c r="F194" s="195">
        <v>-0.15785979999999999</v>
      </c>
      <c r="G194" s="185">
        <v>97.128898559999996</v>
      </c>
      <c r="H194" s="184">
        <v>5.2999999999999999E-2</v>
      </c>
      <c r="I194" s="186">
        <v>0.70129996999999999</v>
      </c>
      <c r="J194" s="187">
        <v>5.3313727000000002</v>
      </c>
      <c r="K194" s="194">
        <v>4013.1251200000002</v>
      </c>
      <c r="L194" s="185">
        <v>46.259222617907128</v>
      </c>
      <c r="M194" s="195">
        <v>-0.52373368478660187</v>
      </c>
      <c r="N194" s="187">
        <v>24.138819252308789</v>
      </c>
      <c r="O194" s="206" t="s">
        <v>264</v>
      </c>
      <c r="P194" s="206" t="s">
        <v>264</v>
      </c>
      <c r="Q194" s="206" t="s">
        <v>264</v>
      </c>
      <c r="R194" s="206" t="s">
        <v>264</v>
      </c>
      <c r="S194" s="206" t="s">
        <v>264</v>
      </c>
    </row>
    <row r="195" spans="1:19" ht="20" customHeight="1" x14ac:dyDescent="0.15">
      <c r="A195" s="50">
        <v>190</v>
      </c>
      <c r="B195" s="51" t="s">
        <v>899</v>
      </c>
      <c r="C195" s="52" t="s">
        <v>900</v>
      </c>
      <c r="D195" s="53" t="s">
        <v>901</v>
      </c>
      <c r="E195" s="189">
        <v>76.92</v>
      </c>
      <c r="F195" s="195">
        <v>-1.8167496000000001E-3</v>
      </c>
      <c r="G195" s="190">
        <v>21.922676736</v>
      </c>
      <c r="H195" s="184">
        <v>0.69199999999999995</v>
      </c>
      <c r="I195" s="191">
        <v>0.18431998999999999</v>
      </c>
      <c r="J195" s="192">
        <v>6.176984</v>
      </c>
      <c r="K195" s="200">
        <v>5066.6501120000003</v>
      </c>
      <c r="L195" s="190">
        <v>76.222225770840836</v>
      </c>
      <c r="M195" s="184">
        <v>2.4768667480131952</v>
      </c>
      <c r="N195" s="192">
        <v>4.3268582025030113</v>
      </c>
      <c r="O195" s="207" t="s">
        <v>264</v>
      </c>
      <c r="P195" s="207" t="s">
        <v>264</v>
      </c>
      <c r="Q195" s="207" t="s">
        <v>264</v>
      </c>
      <c r="R195" s="207" t="s">
        <v>264</v>
      </c>
      <c r="S195" s="207" t="s">
        <v>264</v>
      </c>
    </row>
    <row r="196" spans="1:19" ht="20" customHeight="1" x14ac:dyDescent="0.15">
      <c r="A196" s="54">
        <v>191</v>
      </c>
      <c r="B196" s="55" t="s">
        <v>902</v>
      </c>
      <c r="C196" s="56" t="s">
        <v>903</v>
      </c>
      <c r="D196" s="57" t="s">
        <v>733</v>
      </c>
      <c r="E196" s="183">
        <v>61.37</v>
      </c>
      <c r="F196" s="195">
        <v>-9.4837784999999994E-2</v>
      </c>
      <c r="G196" s="185">
        <v>78.777589759999998</v>
      </c>
      <c r="H196" s="184">
        <v>8.2000000000000003E-2</v>
      </c>
      <c r="I196" s="186">
        <v>0.28771000000000002</v>
      </c>
      <c r="J196" s="187">
        <v>30.381187000000001</v>
      </c>
      <c r="K196" s="194">
        <v>2847.5000319999999</v>
      </c>
      <c r="L196" s="185">
        <v>33.79448826460743</v>
      </c>
      <c r="M196" s="195">
        <v>-0.57101393470447515</v>
      </c>
      <c r="N196" s="187">
        <v>27.66552598915651</v>
      </c>
      <c r="O196" s="206" t="s">
        <v>264</v>
      </c>
      <c r="P196" s="206" t="s">
        <v>264</v>
      </c>
      <c r="Q196" s="206" t="s">
        <v>264</v>
      </c>
      <c r="R196" s="206" t="s">
        <v>264</v>
      </c>
      <c r="S196" s="206" t="s">
        <v>264</v>
      </c>
    </row>
    <row r="197" spans="1:19" ht="20" customHeight="1" x14ac:dyDescent="0.15">
      <c r="A197" s="54">
        <v>192</v>
      </c>
      <c r="B197" s="55" t="s">
        <v>904</v>
      </c>
      <c r="C197" s="56" t="s">
        <v>905</v>
      </c>
      <c r="D197" s="57" t="s">
        <v>755</v>
      </c>
      <c r="E197" s="189">
        <v>77.53</v>
      </c>
      <c r="F197" s="184">
        <v>1.7187119000000001E-2</v>
      </c>
      <c r="G197" s="190">
        <v>8.8655482879999994</v>
      </c>
      <c r="H197" s="195">
        <v>-4.9000000000000002E-2</v>
      </c>
      <c r="I197" s="191">
        <v>0.19794</v>
      </c>
      <c r="J197" s="192">
        <v>18.909756000000002</v>
      </c>
      <c r="K197" s="196" t="s">
        <v>264</v>
      </c>
      <c r="L197" s="197" t="s">
        <v>264</v>
      </c>
      <c r="M197" s="198" t="s">
        <v>264</v>
      </c>
      <c r="N197" s="199" t="s">
        <v>264</v>
      </c>
      <c r="O197" s="207" t="s">
        <v>264</v>
      </c>
      <c r="P197" s="207" t="s">
        <v>264</v>
      </c>
      <c r="Q197" s="207" t="s">
        <v>264</v>
      </c>
      <c r="R197" s="207" t="s">
        <v>264</v>
      </c>
      <c r="S197" s="207" t="s">
        <v>264</v>
      </c>
    </row>
    <row r="198" spans="1:19" ht="20" customHeight="1" x14ac:dyDescent="0.15">
      <c r="A198" s="50">
        <v>193</v>
      </c>
      <c r="B198" s="51" t="s">
        <v>906</v>
      </c>
      <c r="C198" s="52" t="s">
        <v>907</v>
      </c>
      <c r="D198" s="53" t="s">
        <v>622</v>
      </c>
      <c r="E198" s="183">
        <v>115.37</v>
      </c>
      <c r="F198" s="195">
        <v>-5.6895255999999998E-2</v>
      </c>
      <c r="G198" s="185">
        <v>27.422697471999999</v>
      </c>
      <c r="H198" s="184">
        <v>2.7E-2</v>
      </c>
      <c r="I198" s="186">
        <v>0.3861</v>
      </c>
      <c r="J198" s="187">
        <v>28.770572999999999</v>
      </c>
      <c r="K198" s="194">
        <v>959.12499200000002</v>
      </c>
      <c r="L198" s="185">
        <v>6.6363760494124824</v>
      </c>
      <c r="M198" s="195">
        <v>-0.75799696378561709</v>
      </c>
      <c r="N198" s="187">
        <v>28.591370797488299</v>
      </c>
      <c r="O198" s="206" t="s">
        <v>264</v>
      </c>
      <c r="P198" s="206" t="s">
        <v>264</v>
      </c>
      <c r="Q198" s="206" t="s">
        <v>264</v>
      </c>
      <c r="R198" s="206" t="s">
        <v>264</v>
      </c>
      <c r="S198" s="206" t="s">
        <v>264</v>
      </c>
    </row>
    <row r="199" spans="1:19" ht="20" customHeight="1" x14ac:dyDescent="0.15">
      <c r="A199" s="54">
        <v>194</v>
      </c>
      <c r="B199" s="55" t="s">
        <v>908</v>
      </c>
      <c r="C199" s="56" t="s">
        <v>909</v>
      </c>
      <c r="D199" s="57" t="s">
        <v>910</v>
      </c>
      <c r="E199" s="189">
        <v>151.65</v>
      </c>
      <c r="F199" s="184">
        <v>7.1201559999999997E-2</v>
      </c>
      <c r="G199" s="190">
        <v>10.000459776</v>
      </c>
      <c r="H199" s="184">
        <v>9.9000000000000005E-2</v>
      </c>
      <c r="I199" s="191">
        <v>0.32255</v>
      </c>
      <c r="J199" s="192">
        <v>15.946370999999999</v>
      </c>
      <c r="K199" s="200">
        <v>1053.2263680000001</v>
      </c>
      <c r="L199" s="190">
        <v>13.747294192442469</v>
      </c>
      <c r="M199" s="184">
        <v>0.37466621539086259</v>
      </c>
      <c r="N199" s="192">
        <v>9.4950713048422273</v>
      </c>
      <c r="O199" s="211" t="s">
        <v>455</v>
      </c>
      <c r="P199" s="212">
        <v>3.3</v>
      </c>
      <c r="Q199" s="211" t="s">
        <v>456</v>
      </c>
      <c r="R199" s="212">
        <v>81</v>
      </c>
      <c r="S199" s="213" t="s">
        <v>911</v>
      </c>
    </row>
    <row r="200" spans="1:19" ht="20" customHeight="1" x14ac:dyDescent="0.15">
      <c r="A200" s="50">
        <v>195</v>
      </c>
      <c r="B200" s="51" t="s">
        <v>912</v>
      </c>
      <c r="C200" s="52" t="s">
        <v>913</v>
      </c>
      <c r="D200" s="53" t="s">
        <v>777</v>
      </c>
      <c r="E200" s="183">
        <v>218.06</v>
      </c>
      <c r="F200" s="184">
        <v>0.20328879999999999</v>
      </c>
      <c r="G200" s="185">
        <v>19.453872128</v>
      </c>
      <c r="H200" s="184">
        <v>0.106</v>
      </c>
      <c r="I200" s="186">
        <v>0.21243000000000001</v>
      </c>
      <c r="J200" s="187">
        <v>26.527978999999998</v>
      </c>
      <c r="K200" s="201" t="s">
        <v>264</v>
      </c>
      <c r="L200" s="202" t="s">
        <v>264</v>
      </c>
      <c r="M200" s="203" t="s">
        <v>264</v>
      </c>
      <c r="N200" s="204" t="s">
        <v>264</v>
      </c>
      <c r="O200" s="206" t="s">
        <v>264</v>
      </c>
      <c r="P200" s="206" t="s">
        <v>264</v>
      </c>
      <c r="Q200" s="206" t="s">
        <v>264</v>
      </c>
      <c r="R200" s="206" t="s">
        <v>264</v>
      </c>
      <c r="S200" s="206" t="s">
        <v>264</v>
      </c>
    </row>
    <row r="201" spans="1:19" ht="20" customHeight="1" x14ac:dyDescent="0.15">
      <c r="A201" s="54">
        <v>196</v>
      </c>
      <c r="B201" s="55" t="s">
        <v>914</v>
      </c>
      <c r="C201" s="56" t="s">
        <v>915</v>
      </c>
      <c r="D201" s="57" t="s">
        <v>809</v>
      </c>
      <c r="E201" s="189">
        <v>20.73</v>
      </c>
      <c r="F201" s="195">
        <v>-0.4173693</v>
      </c>
      <c r="G201" s="190">
        <v>6.1805767679999999</v>
      </c>
      <c r="H201" s="195">
        <v>-4.4999999999999998E-2</v>
      </c>
      <c r="I201" s="191">
        <v>0.29610002000000002</v>
      </c>
      <c r="J201" s="192">
        <v>11.266304</v>
      </c>
      <c r="K201" s="200">
        <v>862.49996799999997</v>
      </c>
      <c r="L201" s="190">
        <v>5.3922734601762103</v>
      </c>
      <c r="M201" s="195">
        <v>-0.12754526598637819</v>
      </c>
      <c r="N201" s="192">
        <v>7.165886290490854</v>
      </c>
      <c r="O201" s="207" t="s">
        <v>264</v>
      </c>
      <c r="P201" s="207" t="s">
        <v>264</v>
      </c>
      <c r="Q201" s="207" t="s">
        <v>264</v>
      </c>
      <c r="R201" s="207" t="s">
        <v>264</v>
      </c>
      <c r="S201" s="207" t="s">
        <v>264</v>
      </c>
    </row>
    <row r="202" spans="1:19" ht="20" customHeight="1" x14ac:dyDescent="0.15">
      <c r="A202" s="50">
        <v>197</v>
      </c>
      <c r="B202" s="51" t="s">
        <v>916</v>
      </c>
      <c r="C202" s="52" t="s">
        <v>917</v>
      </c>
      <c r="D202" s="53" t="s">
        <v>809</v>
      </c>
      <c r="E202" s="183">
        <v>43.86</v>
      </c>
      <c r="F202" s="195">
        <v>-0.14486252999999999</v>
      </c>
      <c r="G202" s="185">
        <v>6.0558730240000003</v>
      </c>
      <c r="H202" s="184">
        <v>2.9000000000000001E-2</v>
      </c>
      <c r="I202" s="186">
        <v>0.20660000000000001</v>
      </c>
      <c r="J202" s="187">
        <v>20.591549000000001</v>
      </c>
      <c r="K202" s="194">
        <v>596.98752000000002</v>
      </c>
      <c r="L202" s="185">
        <v>5.1967424236214841</v>
      </c>
      <c r="M202" s="195">
        <v>-0.14186734050956809</v>
      </c>
      <c r="N202" s="187">
        <v>10.14405316141282</v>
      </c>
      <c r="O202" s="206" t="s">
        <v>264</v>
      </c>
      <c r="P202" s="206" t="s">
        <v>264</v>
      </c>
      <c r="Q202" s="206" t="s">
        <v>264</v>
      </c>
      <c r="R202" s="206" t="s">
        <v>264</v>
      </c>
      <c r="S202" s="206" t="s">
        <v>264</v>
      </c>
    </row>
    <row r="203" spans="1:19" ht="20" customHeight="1" x14ac:dyDescent="0.15">
      <c r="A203" s="54">
        <v>198</v>
      </c>
      <c r="B203" s="55" t="s">
        <v>918</v>
      </c>
      <c r="C203" s="56" t="s">
        <v>919</v>
      </c>
      <c r="D203" s="57" t="s">
        <v>695</v>
      </c>
      <c r="E203" s="189">
        <v>114.52</v>
      </c>
      <c r="F203" s="184">
        <v>5.6750059999999998E-2</v>
      </c>
      <c r="G203" s="190">
        <v>32.363614208000001</v>
      </c>
      <c r="H203" s="184">
        <v>7.0000000000000007E-2</v>
      </c>
      <c r="I203" s="191">
        <v>0.52300000000000002</v>
      </c>
      <c r="J203" s="192">
        <v>25.280352000000001</v>
      </c>
      <c r="K203" s="200">
        <v>855.87500799999998</v>
      </c>
      <c r="L203" s="190">
        <v>10.4818481011941</v>
      </c>
      <c r="M203" s="195">
        <v>-0.67612244930904275</v>
      </c>
      <c r="N203" s="192">
        <v>37.813485661261417</v>
      </c>
      <c r="O203" s="207" t="s">
        <v>264</v>
      </c>
      <c r="P203" s="207" t="s">
        <v>264</v>
      </c>
      <c r="Q203" s="207" t="s">
        <v>264</v>
      </c>
      <c r="R203" s="207" t="s">
        <v>264</v>
      </c>
      <c r="S203" s="207" t="s">
        <v>264</v>
      </c>
    </row>
    <row r="204" spans="1:19" ht="20" customHeight="1" x14ac:dyDescent="0.15">
      <c r="A204" s="50">
        <v>199</v>
      </c>
      <c r="B204" s="51" t="s">
        <v>920</v>
      </c>
      <c r="C204" s="52" t="s">
        <v>920</v>
      </c>
      <c r="D204" s="53" t="s">
        <v>921</v>
      </c>
      <c r="E204" s="183">
        <v>6154.14</v>
      </c>
      <c r="F204" s="195">
        <v>-0.13033020000000001</v>
      </c>
      <c r="G204" s="185">
        <v>16.812046336000002</v>
      </c>
      <c r="H204" s="195">
        <v>-0.214</v>
      </c>
      <c r="I204" s="186">
        <v>0.22489998999999999</v>
      </c>
      <c r="J204" s="187">
        <v>15.037604999999999</v>
      </c>
      <c r="K204" s="201" t="s">
        <v>264</v>
      </c>
      <c r="L204" s="202" t="s">
        <v>264</v>
      </c>
      <c r="M204" s="203" t="s">
        <v>264</v>
      </c>
      <c r="N204" s="204" t="s">
        <v>264</v>
      </c>
      <c r="O204" s="208" t="s">
        <v>455</v>
      </c>
      <c r="P204" s="209">
        <v>7.0000000000000007E-2</v>
      </c>
      <c r="Q204" s="208" t="s">
        <v>461</v>
      </c>
      <c r="R204" s="209">
        <v>4800</v>
      </c>
      <c r="S204" s="210" t="s">
        <v>922</v>
      </c>
    </row>
    <row r="205" spans="1:19" ht="20" customHeight="1" x14ac:dyDescent="0.15">
      <c r="A205" s="54">
        <v>200</v>
      </c>
      <c r="B205" s="55" t="s">
        <v>923</v>
      </c>
      <c r="C205" s="56" t="s">
        <v>924</v>
      </c>
      <c r="D205" s="57" t="s">
        <v>925</v>
      </c>
      <c r="E205" s="189">
        <v>56.92</v>
      </c>
      <c r="F205" s="184">
        <v>0.68601893999999997</v>
      </c>
      <c r="G205" s="190">
        <v>85.098676224000002</v>
      </c>
      <c r="H205" s="184">
        <v>2.7E-2</v>
      </c>
      <c r="I205" s="191">
        <v>0.17802000000000001</v>
      </c>
      <c r="J205" s="192">
        <v>25.07489</v>
      </c>
      <c r="K205" s="200">
        <v>3043.124992</v>
      </c>
      <c r="L205" s="190">
        <v>41.462438020190618</v>
      </c>
      <c r="M205" s="195">
        <v>-0.51277223266021676</v>
      </c>
      <c r="N205" s="192">
        <v>27.964241458314699</v>
      </c>
      <c r="O205" s="207" t="s">
        <v>264</v>
      </c>
      <c r="P205" s="207" t="s">
        <v>264</v>
      </c>
      <c r="Q205" s="207" t="s">
        <v>264</v>
      </c>
      <c r="R205" s="207" t="s">
        <v>264</v>
      </c>
      <c r="S205" s="207" t="s">
        <v>264</v>
      </c>
    </row>
    <row r="206" spans="1:19" ht="20" customHeight="1" x14ac:dyDescent="0.15">
      <c r="A206" s="50">
        <v>201</v>
      </c>
      <c r="B206" s="51" t="s">
        <v>926</v>
      </c>
      <c r="C206" s="52" t="s">
        <v>927</v>
      </c>
      <c r="D206" s="53" t="s">
        <v>619</v>
      </c>
      <c r="E206" s="183">
        <v>214.4</v>
      </c>
      <c r="F206" s="195">
        <v>-4.4137299999999997E-2</v>
      </c>
      <c r="G206" s="185">
        <v>21.04271872</v>
      </c>
      <c r="H206" s="184">
        <v>9.1999999999999998E-2</v>
      </c>
      <c r="I206" s="186">
        <v>0.44322</v>
      </c>
      <c r="J206" s="187">
        <v>29.944133999999998</v>
      </c>
      <c r="K206" s="194">
        <v>870.69574399999999</v>
      </c>
      <c r="L206" s="185">
        <v>10.851724684527939</v>
      </c>
      <c r="M206" s="195">
        <v>-0.48430025469028659</v>
      </c>
      <c r="N206" s="187">
        <v>24.149980638931432</v>
      </c>
      <c r="O206" s="206" t="s">
        <v>264</v>
      </c>
      <c r="P206" s="206" t="s">
        <v>264</v>
      </c>
      <c r="Q206" s="206" t="s">
        <v>264</v>
      </c>
      <c r="R206" s="206" t="s">
        <v>264</v>
      </c>
      <c r="S206" s="206" t="s">
        <v>264</v>
      </c>
    </row>
    <row r="207" spans="1:19" ht="20" customHeight="1" x14ac:dyDescent="0.15">
      <c r="A207" s="54">
        <v>202</v>
      </c>
      <c r="B207" s="55" t="s">
        <v>928</v>
      </c>
      <c r="C207" s="56" t="s">
        <v>929</v>
      </c>
      <c r="D207" s="57" t="s">
        <v>809</v>
      </c>
      <c r="E207" s="189">
        <v>22.49</v>
      </c>
      <c r="F207" s="195">
        <v>-0.21336131999999999</v>
      </c>
      <c r="G207" s="190">
        <v>26.622418944</v>
      </c>
      <c r="H207" s="195">
        <v>-3.4000000000000002E-2</v>
      </c>
      <c r="I207" s="191">
        <v>0.33317003000000001</v>
      </c>
      <c r="J207" s="192">
        <v>10.510377</v>
      </c>
      <c r="K207" s="200">
        <v>2775.5000319999999</v>
      </c>
      <c r="L207" s="190">
        <v>19.68518822459782</v>
      </c>
      <c r="M207" s="195">
        <v>-0.26057852721777769</v>
      </c>
      <c r="N207" s="192">
        <v>9.5919362792462746</v>
      </c>
      <c r="O207" s="211" t="s">
        <v>455</v>
      </c>
      <c r="P207" s="212">
        <v>9.5</v>
      </c>
      <c r="Q207" s="211" t="s">
        <v>461</v>
      </c>
      <c r="R207" s="212">
        <v>80</v>
      </c>
      <c r="S207" s="213" t="s">
        <v>930</v>
      </c>
    </row>
    <row r="208" spans="1:19" ht="20" customHeight="1" x14ac:dyDescent="0.15">
      <c r="A208" s="50">
        <v>203</v>
      </c>
      <c r="B208" s="51" t="s">
        <v>931</v>
      </c>
      <c r="C208" s="52" t="s">
        <v>932</v>
      </c>
      <c r="D208" s="53" t="s">
        <v>933</v>
      </c>
      <c r="E208" s="183">
        <v>318</v>
      </c>
      <c r="F208" s="195">
        <v>-0.11622476599999999</v>
      </c>
      <c r="G208" s="185">
        <v>78.430126079999994</v>
      </c>
      <c r="H208" s="184">
        <v>6.8000000000000005E-2</v>
      </c>
      <c r="I208" s="186">
        <v>0.49036000000000002</v>
      </c>
      <c r="J208" s="187">
        <v>30.576923000000001</v>
      </c>
      <c r="K208" s="194">
        <v>2140.0249600000002</v>
      </c>
      <c r="L208" s="185">
        <v>22.95415133081595</v>
      </c>
      <c r="M208" s="195">
        <v>-0.70732991927869215</v>
      </c>
      <c r="N208" s="187">
        <v>36.649164820021539</v>
      </c>
      <c r="O208" s="206" t="s">
        <v>264</v>
      </c>
      <c r="P208" s="206" t="s">
        <v>264</v>
      </c>
      <c r="Q208" s="206" t="s">
        <v>264</v>
      </c>
      <c r="R208" s="206" t="s">
        <v>264</v>
      </c>
      <c r="S208" s="206" t="s">
        <v>264</v>
      </c>
    </row>
    <row r="209" spans="1:19" ht="20" customHeight="1" x14ac:dyDescent="0.15">
      <c r="A209" s="54">
        <v>204</v>
      </c>
      <c r="B209" s="55" t="s">
        <v>934</v>
      </c>
      <c r="C209" s="56" t="s">
        <v>935</v>
      </c>
      <c r="D209" s="57" t="s">
        <v>527</v>
      </c>
      <c r="E209" s="189">
        <v>89.26</v>
      </c>
      <c r="F209" s="195">
        <v>-0.16563844999999999</v>
      </c>
      <c r="G209" s="190">
        <v>38.950150143999998</v>
      </c>
      <c r="H209" s="195">
        <v>-4.8000000000000001E-2</v>
      </c>
      <c r="I209" s="191">
        <v>0.73819000000000001</v>
      </c>
      <c r="J209" s="192">
        <v>37.66245</v>
      </c>
      <c r="K209" s="200">
        <v>1202.875008</v>
      </c>
      <c r="L209" s="190">
        <v>6.9965460068852856</v>
      </c>
      <c r="M209" s="195">
        <v>-0.82037178339444594</v>
      </c>
      <c r="N209" s="192">
        <v>32.380878349714621</v>
      </c>
      <c r="O209" s="207" t="s">
        <v>264</v>
      </c>
      <c r="P209" s="207" t="s">
        <v>264</v>
      </c>
      <c r="Q209" s="207" t="s">
        <v>264</v>
      </c>
      <c r="R209" s="207" t="s">
        <v>264</v>
      </c>
      <c r="S209" s="207" t="s">
        <v>264</v>
      </c>
    </row>
    <row r="210" spans="1:19" ht="20" customHeight="1" x14ac:dyDescent="0.15">
      <c r="A210" s="50">
        <v>205</v>
      </c>
      <c r="B210" s="51" t="s">
        <v>936</v>
      </c>
      <c r="C210" s="52" t="s">
        <v>937</v>
      </c>
      <c r="D210" s="53" t="s">
        <v>938</v>
      </c>
      <c r="E210" s="183">
        <v>44.91</v>
      </c>
      <c r="F210" s="184">
        <v>8.9784026000000003E-2</v>
      </c>
      <c r="G210" s="185">
        <v>51.558256640000003</v>
      </c>
      <c r="H210" s="184">
        <v>0.124</v>
      </c>
      <c r="I210" s="186">
        <v>0.44893002999999998</v>
      </c>
      <c r="J210" s="187">
        <v>39.743361999999998</v>
      </c>
      <c r="K210" s="194">
        <v>903.862528</v>
      </c>
      <c r="L210" s="185">
        <v>9.6980861956549855</v>
      </c>
      <c r="M210" s="195">
        <v>-0.81190042434190834</v>
      </c>
      <c r="N210" s="187">
        <v>57.042141910224203</v>
      </c>
      <c r="O210" s="206" t="s">
        <v>264</v>
      </c>
      <c r="P210" s="206" t="s">
        <v>264</v>
      </c>
      <c r="Q210" s="206" t="s">
        <v>264</v>
      </c>
      <c r="R210" s="206" t="s">
        <v>264</v>
      </c>
      <c r="S210" s="206" t="s">
        <v>264</v>
      </c>
    </row>
    <row r="211" spans="1:19" ht="20" customHeight="1" x14ac:dyDescent="0.15">
      <c r="A211" s="54">
        <v>206</v>
      </c>
      <c r="B211" s="55" t="s">
        <v>939</v>
      </c>
      <c r="C211" s="56" t="s">
        <v>940</v>
      </c>
      <c r="D211" s="57" t="s">
        <v>933</v>
      </c>
      <c r="E211" s="189">
        <v>107.51</v>
      </c>
      <c r="F211" s="195">
        <v>-2.4587214E-2</v>
      </c>
      <c r="G211" s="190">
        <v>23.963979775999999</v>
      </c>
      <c r="H211" s="184">
        <v>6.7000000000000004E-2</v>
      </c>
      <c r="I211" s="191">
        <v>0.41691001999999999</v>
      </c>
      <c r="J211" s="192">
        <v>15.402578999999999</v>
      </c>
      <c r="K211" s="200">
        <v>728.37497599999995</v>
      </c>
      <c r="L211" s="190">
        <v>8.8872405998598065</v>
      </c>
      <c r="M211" s="195">
        <v>-0.62914170839184202</v>
      </c>
      <c r="N211" s="192">
        <v>32.900607227890269</v>
      </c>
      <c r="O211" s="207" t="s">
        <v>264</v>
      </c>
      <c r="P211" s="207" t="s">
        <v>264</v>
      </c>
      <c r="Q211" s="207" t="s">
        <v>264</v>
      </c>
      <c r="R211" s="207" t="s">
        <v>264</v>
      </c>
      <c r="S211" s="207" t="s">
        <v>264</v>
      </c>
    </row>
    <row r="212" spans="1:19" ht="20" customHeight="1" x14ac:dyDescent="0.15">
      <c r="A212" s="50">
        <v>207</v>
      </c>
      <c r="B212" s="51" t="s">
        <v>941</v>
      </c>
      <c r="C212" s="52" t="s">
        <v>942</v>
      </c>
      <c r="D212" s="53" t="s">
        <v>846</v>
      </c>
      <c r="E212" s="183">
        <v>206.56</v>
      </c>
      <c r="F212" s="195">
        <v>-0.17616557999999999</v>
      </c>
      <c r="G212" s="185">
        <v>63.817990143999999</v>
      </c>
      <c r="H212" s="184">
        <v>2.1999999999999999E-2</v>
      </c>
      <c r="I212" s="186">
        <v>0.43005001999999998</v>
      </c>
      <c r="J212" s="187">
        <v>30.110786000000001</v>
      </c>
      <c r="K212" s="194">
        <v>1770.1250560000001</v>
      </c>
      <c r="L212" s="185">
        <v>14.77348613296922</v>
      </c>
      <c r="M212" s="195">
        <v>-0.76850593226715425</v>
      </c>
      <c r="N212" s="187">
        <v>36.05281491451867</v>
      </c>
      <c r="O212" s="206" t="s">
        <v>264</v>
      </c>
      <c r="P212" s="206" t="s">
        <v>264</v>
      </c>
      <c r="Q212" s="206" t="s">
        <v>264</v>
      </c>
      <c r="R212" s="206" t="s">
        <v>264</v>
      </c>
      <c r="S212" s="206" t="s">
        <v>264</v>
      </c>
    </row>
    <row r="213" spans="1:19" ht="20" customHeight="1" x14ac:dyDescent="0.15">
      <c r="A213" s="54">
        <v>208</v>
      </c>
      <c r="B213" s="55" t="s">
        <v>943</v>
      </c>
      <c r="C213" s="56" t="s">
        <v>944</v>
      </c>
      <c r="D213" s="57" t="s">
        <v>695</v>
      </c>
      <c r="E213" s="189">
        <v>192.67</v>
      </c>
      <c r="F213" s="184">
        <v>8.5036873999999998E-2</v>
      </c>
      <c r="G213" s="190">
        <v>21.327882240000001</v>
      </c>
      <c r="H213" s="184">
        <v>9.1999999999999998E-2</v>
      </c>
      <c r="I213" s="191">
        <v>0.33277000000000001</v>
      </c>
      <c r="J213" s="192">
        <v>21.266003000000001</v>
      </c>
      <c r="K213" s="200">
        <v>947.87500799999998</v>
      </c>
      <c r="L213" s="190">
        <v>11.76448629619401</v>
      </c>
      <c r="M213" s="195">
        <v>-0.44839875971698878</v>
      </c>
      <c r="N213" s="192">
        <v>22.500731420729679</v>
      </c>
      <c r="O213" s="207" t="s">
        <v>264</v>
      </c>
      <c r="P213" s="207" t="s">
        <v>264</v>
      </c>
      <c r="Q213" s="207" t="s">
        <v>264</v>
      </c>
      <c r="R213" s="207" t="s">
        <v>264</v>
      </c>
      <c r="S213" s="207" t="s">
        <v>264</v>
      </c>
    </row>
    <row r="214" spans="1:19" ht="20" customHeight="1" x14ac:dyDescent="0.15">
      <c r="A214" s="50">
        <v>209</v>
      </c>
      <c r="B214" s="51" t="s">
        <v>945</v>
      </c>
      <c r="C214" s="52" t="s">
        <v>946</v>
      </c>
      <c r="D214" s="53" t="s">
        <v>933</v>
      </c>
      <c r="E214" s="183">
        <v>259.51</v>
      </c>
      <c r="F214" s="184">
        <v>1.7287374000000001E-2</v>
      </c>
      <c r="G214" s="185">
        <v>73.291800576</v>
      </c>
      <c r="H214" s="184">
        <v>0.1</v>
      </c>
      <c r="I214" s="186">
        <v>0.44374000000000002</v>
      </c>
      <c r="J214" s="187">
        <v>35.068919999999999</v>
      </c>
      <c r="K214" s="201" t="s">
        <v>264</v>
      </c>
      <c r="L214" s="202" t="s">
        <v>264</v>
      </c>
      <c r="M214" s="203" t="s">
        <v>264</v>
      </c>
      <c r="N214" s="204" t="s">
        <v>264</v>
      </c>
      <c r="O214" s="206" t="s">
        <v>264</v>
      </c>
      <c r="P214" s="206" t="s">
        <v>264</v>
      </c>
      <c r="Q214" s="206" t="s">
        <v>264</v>
      </c>
      <c r="R214" s="206" t="s">
        <v>264</v>
      </c>
      <c r="S214" s="206" t="s">
        <v>264</v>
      </c>
    </row>
    <row r="215" spans="1:19" ht="20" customHeight="1" x14ac:dyDescent="0.15">
      <c r="A215" s="54">
        <v>210</v>
      </c>
      <c r="B215" s="55" t="s">
        <v>947</v>
      </c>
      <c r="C215" s="56" t="s">
        <v>948</v>
      </c>
      <c r="D215" s="57" t="s">
        <v>949</v>
      </c>
      <c r="E215" s="189">
        <v>95.27</v>
      </c>
      <c r="F215" s="184">
        <v>0.55695380000000005</v>
      </c>
      <c r="G215" s="190">
        <v>13.482756095999999</v>
      </c>
      <c r="H215" s="184">
        <v>0.313</v>
      </c>
      <c r="I215" s="191">
        <v>0.63821000000000006</v>
      </c>
      <c r="J215" s="192">
        <v>15.030749</v>
      </c>
      <c r="K215" s="200">
        <v>434.35001599999998</v>
      </c>
      <c r="L215" s="190">
        <v>6.9043972512604723</v>
      </c>
      <c r="M215" s="195">
        <v>-0.48790905938669049</v>
      </c>
      <c r="N215" s="192">
        <v>31.041227121492732</v>
      </c>
      <c r="O215" s="207" t="s">
        <v>264</v>
      </c>
      <c r="P215" s="207" t="s">
        <v>264</v>
      </c>
      <c r="Q215" s="207" t="s">
        <v>264</v>
      </c>
      <c r="R215" s="207" t="s">
        <v>264</v>
      </c>
      <c r="S215" s="207" t="s">
        <v>264</v>
      </c>
    </row>
    <row r="216" spans="1:19" ht="20" customHeight="1" x14ac:dyDescent="0.15">
      <c r="A216" s="50">
        <v>211</v>
      </c>
      <c r="B216" s="51" t="s">
        <v>950</v>
      </c>
      <c r="C216" s="52" t="s">
        <v>951</v>
      </c>
      <c r="D216" s="53" t="s">
        <v>893</v>
      </c>
      <c r="E216" s="183">
        <v>531.95000000000005</v>
      </c>
      <c r="F216" s="184">
        <v>0.34913385000000002</v>
      </c>
      <c r="G216" s="185">
        <v>23.265701887999999</v>
      </c>
      <c r="H216" s="184">
        <v>0.11799999999999999</v>
      </c>
      <c r="I216" s="186">
        <v>0.43047002000000001</v>
      </c>
      <c r="J216" s="187">
        <v>20.746880999999998</v>
      </c>
      <c r="K216" s="194">
        <v>900.09612800000002</v>
      </c>
      <c r="L216" s="185">
        <v>8.8054071890524703</v>
      </c>
      <c r="M216" s="195">
        <v>-0.62152840986954583</v>
      </c>
      <c r="N216" s="187">
        <v>25.74387620429804</v>
      </c>
      <c r="O216" s="206" t="s">
        <v>264</v>
      </c>
      <c r="P216" s="206" t="s">
        <v>264</v>
      </c>
      <c r="Q216" s="206" t="s">
        <v>264</v>
      </c>
      <c r="R216" s="206" t="s">
        <v>264</v>
      </c>
      <c r="S216" s="206" t="s">
        <v>264</v>
      </c>
    </row>
    <row r="217" spans="1:19" ht="20" customHeight="1" x14ac:dyDescent="0.15">
      <c r="A217" s="54">
        <v>212</v>
      </c>
      <c r="B217" s="55" t="s">
        <v>952</v>
      </c>
      <c r="C217" s="56" t="s">
        <v>953</v>
      </c>
      <c r="D217" s="57" t="s">
        <v>622</v>
      </c>
      <c r="E217" s="189">
        <v>225.79</v>
      </c>
      <c r="F217" s="184">
        <v>0.30499363000000002</v>
      </c>
      <c r="G217" s="190">
        <v>30.405197823999998</v>
      </c>
      <c r="H217" s="184">
        <v>0.10100000000000001</v>
      </c>
      <c r="I217" s="191">
        <v>0.40040999999999999</v>
      </c>
      <c r="J217" s="192">
        <v>28.259073000000001</v>
      </c>
      <c r="K217" s="200">
        <v>840.76435200000003</v>
      </c>
      <c r="L217" s="190">
        <v>8.9540435340329445</v>
      </c>
      <c r="M217" s="195">
        <v>-0.70550944658004588</v>
      </c>
      <c r="N217" s="192">
        <v>36.163760505226563</v>
      </c>
      <c r="O217" s="207" t="s">
        <v>264</v>
      </c>
      <c r="P217" s="207" t="s">
        <v>264</v>
      </c>
      <c r="Q217" s="207" t="s">
        <v>264</v>
      </c>
      <c r="R217" s="207" t="s">
        <v>264</v>
      </c>
      <c r="S217" s="207" t="s">
        <v>264</v>
      </c>
    </row>
    <row r="218" spans="1:19" ht="20" customHeight="1" x14ac:dyDescent="0.15">
      <c r="A218" s="50">
        <v>213</v>
      </c>
      <c r="B218" s="51" t="s">
        <v>954</v>
      </c>
      <c r="C218" s="52" t="s">
        <v>955</v>
      </c>
      <c r="D218" s="53" t="s">
        <v>755</v>
      </c>
      <c r="E218" s="183">
        <v>301.07</v>
      </c>
      <c r="F218" s="184">
        <v>0.10602105000000001</v>
      </c>
      <c r="G218" s="185">
        <v>67.035041792000001</v>
      </c>
      <c r="H218" s="184">
        <v>8.7999999999999995E-2</v>
      </c>
      <c r="I218" s="186">
        <v>0.31983998000000002</v>
      </c>
      <c r="J218" s="187">
        <v>31.758441999999999</v>
      </c>
      <c r="K218" s="194">
        <v>-3517.0124799999999</v>
      </c>
      <c r="L218" s="188" t="s">
        <v>264</v>
      </c>
      <c r="M218" s="188" t="s">
        <v>264</v>
      </c>
      <c r="N218" s="187">
        <v>-19.060223615857058</v>
      </c>
      <c r="O218" s="206" t="s">
        <v>264</v>
      </c>
      <c r="P218" s="206" t="s">
        <v>264</v>
      </c>
      <c r="Q218" s="206" t="s">
        <v>264</v>
      </c>
      <c r="R218" s="206" t="s">
        <v>264</v>
      </c>
      <c r="S218" s="206" t="s">
        <v>264</v>
      </c>
    </row>
    <row r="219" spans="1:19" ht="20" customHeight="1" x14ac:dyDescent="0.15">
      <c r="A219" s="54">
        <v>214</v>
      </c>
      <c r="B219" s="55" t="s">
        <v>956</v>
      </c>
      <c r="C219" s="56" t="s">
        <v>957</v>
      </c>
      <c r="D219" s="57" t="s">
        <v>720</v>
      </c>
      <c r="E219" s="189">
        <v>216.59</v>
      </c>
      <c r="F219" s="184">
        <v>8.1598039999999997E-2</v>
      </c>
      <c r="G219" s="190">
        <v>55.754797056000001</v>
      </c>
      <c r="H219" s="184">
        <v>0.03</v>
      </c>
      <c r="I219" s="191">
        <v>0.34427999999999997</v>
      </c>
      <c r="J219" s="192">
        <v>4.7918139999999996</v>
      </c>
      <c r="K219" s="200">
        <v>12428.999680000001</v>
      </c>
      <c r="L219" s="190">
        <v>108.5608139238726</v>
      </c>
      <c r="M219" s="184">
        <v>0.94711163265170384</v>
      </c>
      <c r="N219" s="192">
        <v>4.485863759286862</v>
      </c>
      <c r="O219" s="207" t="s">
        <v>264</v>
      </c>
      <c r="P219" s="207" t="s">
        <v>264</v>
      </c>
      <c r="Q219" s="207" t="s">
        <v>264</v>
      </c>
      <c r="R219" s="207" t="s">
        <v>264</v>
      </c>
      <c r="S219" s="207" t="s">
        <v>264</v>
      </c>
    </row>
    <row r="220" spans="1:19" ht="20" customHeight="1" x14ac:dyDescent="0.15">
      <c r="A220" s="50">
        <v>215</v>
      </c>
      <c r="B220" s="51" t="s">
        <v>958</v>
      </c>
      <c r="C220" s="52" t="s">
        <v>959</v>
      </c>
      <c r="D220" s="53" t="s">
        <v>793</v>
      </c>
      <c r="E220" s="183">
        <v>155.25</v>
      </c>
      <c r="F220" s="195">
        <v>-0.33133774999999999</v>
      </c>
      <c r="G220" s="185">
        <v>17.96242432</v>
      </c>
      <c r="H220" s="184">
        <v>7.8E-2</v>
      </c>
      <c r="I220" s="186">
        <v>0.31313999999999997</v>
      </c>
      <c r="J220" s="187">
        <v>16.604277</v>
      </c>
      <c r="K220" s="194">
        <v>1187.662464</v>
      </c>
      <c r="L220" s="185">
        <v>10.03508327586108</v>
      </c>
      <c r="M220" s="195">
        <v>-0.44132912701056359</v>
      </c>
      <c r="N220" s="187">
        <v>15.124183464974781</v>
      </c>
      <c r="O220" s="206" t="s">
        <v>264</v>
      </c>
      <c r="P220" s="206" t="s">
        <v>264</v>
      </c>
      <c r="Q220" s="206" t="s">
        <v>264</v>
      </c>
      <c r="R220" s="206" t="s">
        <v>264</v>
      </c>
      <c r="S220" s="206" t="s">
        <v>264</v>
      </c>
    </row>
    <row r="221" spans="1:19" ht="20" customHeight="1" x14ac:dyDescent="0.15">
      <c r="A221" s="54">
        <v>216</v>
      </c>
      <c r="B221" s="55" t="s">
        <v>960</v>
      </c>
      <c r="C221" s="56" t="s">
        <v>961</v>
      </c>
      <c r="D221" s="57" t="s">
        <v>893</v>
      </c>
      <c r="E221" s="189">
        <v>96.67</v>
      </c>
      <c r="F221" s="184">
        <v>4.5352339999999998E-2</v>
      </c>
      <c r="G221" s="190">
        <v>80.457736191999999</v>
      </c>
      <c r="H221" s="184">
        <v>0.10199999999999999</v>
      </c>
      <c r="I221" s="191">
        <v>0.51632</v>
      </c>
      <c r="J221" s="192">
        <v>31.591502999999999</v>
      </c>
      <c r="K221" s="200">
        <v>1333.467136</v>
      </c>
      <c r="L221" s="190">
        <v>17.218259243557991</v>
      </c>
      <c r="M221" s="195">
        <v>-0.78599622536645497</v>
      </c>
      <c r="N221" s="192">
        <v>60.337247678310987</v>
      </c>
      <c r="O221" s="207" t="s">
        <v>264</v>
      </c>
      <c r="P221" s="207" t="s">
        <v>264</v>
      </c>
      <c r="Q221" s="207" t="s">
        <v>264</v>
      </c>
      <c r="R221" s="207" t="s">
        <v>264</v>
      </c>
      <c r="S221" s="207" t="s">
        <v>264</v>
      </c>
    </row>
    <row r="222" spans="1:19" ht="20" customHeight="1" x14ac:dyDescent="0.15">
      <c r="A222" s="50">
        <v>217</v>
      </c>
      <c r="B222" s="51" t="s">
        <v>962</v>
      </c>
      <c r="C222" s="52" t="s">
        <v>963</v>
      </c>
      <c r="D222" s="53" t="s">
        <v>622</v>
      </c>
      <c r="E222" s="183">
        <v>79.099999999999994</v>
      </c>
      <c r="F222" s="195">
        <v>-0.14982802000000001</v>
      </c>
      <c r="G222" s="185">
        <v>12.782997504000001</v>
      </c>
      <c r="H222" s="184">
        <v>2.5999999999999999E-2</v>
      </c>
      <c r="I222" s="186">
        <v>0.41222998</v>
      </c>
      <c r="J222" s="187">
        <v>19.874369999999999</v>
      </c>
      <c r="K222" s="194">
        <v>574.21248000000003</v>
      </c>
      <c r="L222" s="185">
        <v>3.6712517558856339</v>
      </c>
      <c r="M222" s="195">
        <v>-0.71280196567848486</v>
      </c>
      <c r="N222" s="187">
        <v>22.261791128433849</v>
      </c>
      <c r="O222" s="206" t="s">
        <v>264</v>
      </c>
      <c r="P222" s="206" t="s">
        <v>264</v>
      </c>
      <c r="Q222" s="206" t="s">
        <v>264</v>
      </c>
      <c r="R222" s="206" t="s">
        <v>264</v>
      </c>
      <c r="S222" s="206" t="s">
        <v>264</v>
      </c>
    </row>
    <row r="223" spans="1:19" ht="20" customHeight="1" x14ac:dyDescent="0.15">
      <c r="A223" s="54">
        <v>218</v>
      </c>
      <c r="B223" s="55" t="s">
        <v>964</v>
      </c>
      <c r="C223" s="56" t="s">
        <v>965</v>
      </c>
      <c r="D223" s="57" t="s">
        <v>838</v>
      </c>
      <c r="E223" s="189">
        <v>138.94999999999999</v>
      </c>
      <c r="F223" s="184">
        <v>0.28040910000000002</v>
      </c>
      <c r="G223" s="190">
        <v>74.437713919999993</v>
      </c>
      <c r="H223" s="191">
        <v>0</v>
      </c>
      <c r="I223" s="191">
        <v>0.62019999999999997</v>
      </c>
      <c r="J223" s="192">
        <v>15.235745</v>
      </c>
      <c r="K223" s="200">
        <v>2327.2499200000002</v>
      </c>
      <c r="L223" s="190">
        <v>32.791424539301147</v>
      </c>
      <c r="M223" s="195">
        <v>-0.55947835025477965</v>
      </c>
      <c r="N223" s="192">
        <v>31.9852679832942</v>
      </c>
      <c r="O223" s="207" t="s">
        <v>264</v>
      </c>
      <c r="P223" s="207" t="s">
        <v>264</v>
      </c>
      <c r="Q223" s="207" t="s">
        <v>264</v>
      </c>
      <c r="R223" s="207" t="s">
        <v>264</v>
      </c>
      <c r="S223" s="207" t="s">
        <v>264</v>
      </c>
    </row>
    <row r="224" spans="1:19" ht="20" customHeight="1" x14ac:dyDescent="0.15">
      <c r="A224" s="50">
        <v>219</v>
      </c>
      <c r="B224" s="51" t="s">
        <v>966</v>
      </c>
      <c r="C224" s="52" t="s">
        <v>967</v>
      </c>
      <c r="D224" s="53" t="s">
        <v>631</v>
      </c>
      <c r="E224" s="183">
        <v>294.73</v>
      </c>
      <c r="F224" s="195">
        <v>-0.22716069</v>
      </c>
      <c r="G224" s="185">
        <v>112.87695359999999</v>
      </c>
      <c r="H224" s="184">
        <v>2.5999999999999999E-2</v>
      </c>
      <c r="I224" s="186">
        <v>0.64906995999999995</v>
      </c>
      <c r="J224" s="187">
        <v>35.086905999999999</v>
      </c>
      <c r="K224" s="194">
        <v>5103.124992</v>
      </c>
      <c r="L224" s="185">
        <v>45.494979824919973</v>
      </c>
      <c r="M224" s="195">
        <v>-0.59695067616601605</v>
      </c>
      <c r="N224" s="187">
        <v>22.119181690364911</v>
      </c>
      <c r="O224" s="206" t="s">
        <v>264</v>
      </c>
      <c r="P224" s="206" t="s">
        <v>264</v>
      </c>
      <c r="Q224" s="206" t="s">
        <v>264</v>
      </c>
      <c r="R224" s="206" t="s">
        <v>264</v>
      </c>
      <c r="S224" s="206" t="s">
        <v>264</v>
      </c>
    </row>
    <row r="225" spans="1:19" ht="20" customHeight="1" x14ac:dyDescent="0.15">
      <c r="A225" s="54">
        <v>220</v>
      </c>
      <c r="B225" s="55" t="s">
        <v>968</v>
      </c>
      <c r="C225" s="56" t="s">
        <v>969</v>
      </c>
      <c r="D225" s="57" t="s">
        <v>614</v>
      </c>
      <c r="E225" s="189">
        <v>105.9</v>
      </c>
      <c r="F225" s="184">
        <v>0.29684054999999998</v>
      </c>
      <c r="G225" s="190">
        <v>120.69422694399999</v>
      </c>
      <c r="H225" s="184">
        <v>8.7999999999999995E-2</v>
      </c>
      <c r="I225" s="191">
        <v>0.21897</v>
      </c>
      <c r="J225" s="192">
        <v>80.839699999999993</v>
      </c>
      <c r="K225" s="200">
        <v>-1304.087552</v>
      </c>
      <c r="L225" s="193" t="s">
        <v>264</v>
      </c>
      <c r="M225" s="193" t="s">
        <v>264</v>
      </c>
      <c r="N225" s="192">
        <v>-92.550710889693406</v>
      </c>
      <c r="O225" s="207" t="s">
        <v>264</v>
      </c>
      <c r="P225" s="207" t="s">
        <v>264</v>
      </c>
      <c r="Q225" s="207" t="s">
        <v>264</v>
      </c>
      <c r="R225" s="207" t="s">
        <v>264</v>
      </c>
      <c r="S225" s="207" t="s">
        <v>264</v>
      </c>
    </row>
    <row r="226" spans="1:19" ht="20" customHeight="1" x14ac:dyDescent="0.15">
      <c r="A226" s="50">
        <v>221</v>
      </c>
      <c r="B226" s="51" t="s">
        <v>970</v>
      </c>
      <c r="C226" s="52" t="s">
        <v>971</v>
      </c>
      <c r="D226" s="53" t="s">
        <v>622</v>
      </c>
      <c r="E226" s="183">
        <v>486.48</v>
      </c>
      <c r="F226" s="184">
        <v>0.20744598</v>
      </c>
      <c r="G226" s="185">
        <v>107.571470336</v>
      </c>
      <c r="H226" s="184">
        <v>0.06</v>
      </c>
      <c r="I226" s="186">
        <v>0.35924998000000002</v>
      </c>
      <c r="J226" s="187">
        <v>37.164250000000003</v>
      </c>
      <c r="K226" s="194">
        <v>2657.0623999999998</v>
      </c>
      <c r="L226" s="185">
        <v>27.88944517263997</v>
      </c>
      <c r="M226" s="195">
        <v>-0.74073567010354002</v>
      </c>
      <c r="N226" s="187">
        <v>40.485111685355982</v>
      </c>
      <c r="O226" s="206" t="s">
        <v>264</v>
      </c>
      <c r="P226" s="206" t="s">
        <v>264</v>
      </c>
      <c r="Q226" s="206" t="s">
        <v>264</v>
      </c>
      <c r="R226" s="206" t="s">
        <v>264</v>
      </c>
      <c r="S226" s="206" t="s">
        <v>264</v>
      </c>
    </row>
    <row r="227" spans="1:19" ht="20" customHeight="1" x14ac:dyDescent="0.15">
      <c r="A227" s="54">
        <v>222</v>
      </c>
      <c r="B227" s="55" t="s">
        <v>972</v>
      </c>
      <c r="C227" s="56" t="s">
        <v>973</v>
      </c>
      <c r="D227" s="57" t="s">
        <v>616</v>
      </c>
      <c r="E227" s="189">
        <v>264.95</v>
      </c>
      <c r="F227" s="184">
        <v>0.38869965000000001</v>
      </c>
      <c r="G227" s="190">
        <v>44.956012543999996</v>
      </c>
      <c r="H227" s="184">
        <v>0.13</v>
      </c>
      <c r="I227" s="191">
        <v>0.35238999999999998</v>
      </c>
      <c r="J227" s="192">
        <v>37.475250000000003</v>
      </c>
      <c r="K227" s="200">
        <v>1123.2500480000001</v>
      </c>
      <c r="L227" s="190">
        <v>16.588724397383739</v>
      </c>
      <c r="M227" s="195">
        <v>-0.63100098388068149</v>
      </c>
      <c r="N227" s="192">
        <v>40.023156823136851</v>
      </c>
      <c r="O227" s="207" t="s">
        <v>264</v>
      </c>
      <c r="P227" s="207" t="s">
        <v>264</v>
      </c>
      <c r="Q227" s="207" t="s">
        <v>264</v>
      </c>
      <c r="R227" s="207" t="s">
        <v>264</v>
      </c>
      <c r="S227" s="207" t="s">
        <v>264</v>
      </c>
    </row>
    <row r="228" spans="1:19" ht="20" customHeight="1" x14ac:dyDescent="0.15">
      <c r="A228" s="50">
        <v>223</v>
      </c>
      <c r="B228" s="51" t="s">
        <v>974</v>
      </c>
      <c r="C228" s="52" t="s">
        <v>975</v>
      </c>
      <c r="D228" s="53" t="s">
        <v>898</v>
      </c>
      <c r="E228" s="183">
        <v>171.74</v>
      </c>
      <c r="F228" s="195">
        <v>-0.56437707000000004</v>
      </c>
      <c r="G228" s="185">
        <v>24.245972991999999</v>
      </c>
      <c r="H228" s="195">
        <v>-0.01</v>
      </c>
      <c r="I228" s="186">
        <v>0.55345999999999995</v>
      </c>
      <c r="J228" s="187">
        <v>4.6466450000000004</v>
      </c>
      <c r="K228" s="194">
        <v>2403.6249600000001</v>
      </c>
      <c r="L228" s="185">
        <v>17.179481093271018</v>
      </c>
      <c r="M228" s="195">
        <v>-0.29145012662765002</v>
      </c>
      <c r="N228" s="187">
        <v>10.08725300142498</v>
      </c>
      <c r="O228" s="208" t="s">
        <v>474</v>
      </c>
      <c r="P228" s="209" t="s">
        <v>264</v>
      </c>
      <c r="Q228" s="208" t="s">
        <v>475</v>
      </c>
      <c r="R228" s="209">
        <v>380</v>
      </c>
      <c r="S228" s="210" t="s">
        <v>976</v>
      </c>
    </row>
    <row r="229" spans="1:19" ht="20" customHeight="1" x14ac:dyDescent="0.15">
      <c r="A229" s="54">
        <v>224</v>
      </c>
      <c r="B229" s="55" t="s">
        <v>14</v>
      </c>
      <c r="C229" s="56" t="s">
        <v>977</v>
      </c>
      <c r="D229" s="57" t="s">
        <v>921</v>
      </c>
      <c r="E229" s="189">
        <v>88.45</v>
      </c>
      <c r="F229" s="195">
        <v>-0.1900925</v>
      </c>
      <c r="G229" s="190">
        <v>21.785083904</v>
      </c>
      <c r="H229" s="195">
        <v>-0.13300000000000001</v>
      </c>
      <c r="I229" s="191">
        <v>0.16871000999999999</v>
      </c>
      <c r="J229" s="192">
        <v>12.726618999999999</v>
      </c>
      <c r="K229" s="200">
        <v>3444.0028160000002</v>
      </c>
      <c r="L229" s="190">
        <v>26.380872724082959</v>
      </c>
      <c r="M229" s="184">
        <v>0.2109603451763212</v>
      </c>
      <c r="N229" s="192">
        <v>5.527976607525515</v>
      </c>
      <c r="O229" s="207" t="s">
        <v>264</v>
      </c>
      <c r="P229" s="207" t="s">
        <v>264</v>
      </c>
      <c r="Q229" s="207" t="s">
        <v>264</v>
      </c>
      <c r="R229" s="207" t="s">
        <v>264</v>
      </c>
      <c r="S229" s="207" t="s">
        <v>264</v>
      </c>
    </row>
    <row r="230" spans="1:19" ht="20" customHeight="1" x14ac:dyDescent="0.15">
      <c r="A230" s="50">
        <v>225</v>
      </c>
      <c r="B230" s="51" t="s">
        <v>978</v>
      </c>
      <c r="C230" s="52" t="s">
        <v>979</v>
      </c>
      <c r="D230" s="53" t="s">
        <v>622</v>
      </c>
      <c r="E230" s="183">
        <v>77.08</v>
      </c>
      <c r="F230" s="195">
        <v>-0.20870548</v>
      </c>
      <c r="G230" s="185">
        <v>29.576835072000002</v>
      </c>
      <c r="H230" s="184">
        <v>6.4000000000000001E-2</v>
      </c>
      <c r="I230" s="186">
        <v>0.30546000000000001</v>
      </c>
      <c r="J230" s="187">
        <v>20.5</v>
      </c>
      <c r="K230" s="194">
        <v>1682.1250560000001</v>
      </c>
      <c r="L230" s="185">
        <v>13.50956654479319</v>
      </c>
      <c r="M230" s="195">
        <v>-0.54323826359695537</v>
      </c>
      <c r="N230" s="187">
        <v>17.5830180001076</v>
      </c>
      <c r="O230" s="206" t="s">
        <v>264</v>
      </c>
      <c r="P230" s="206" t="s">
        <v>264</v>
      </c>
      <c r="Q230" s="206" t="s">
        <v>264</v>
      </c>
      <c r="R230" s="206" t="s">
        <v>264</v>
      </c>
      <c r="S230" s="206" t="s">
        <v>264</v>
      </c>
    </row>
    <row r="231" spans="1:19" ht="20" customHeight="1" x14ac:dyDescent="0.15">
      <c r="A231" s="54">
        <v>226</v>
      </c>
      <c r="B231" s="55" t="s">
        <v>980</v>
      </c>
      <c r="C231" s="56" t="s">
        <v>981</v>
      </c>
      <c r="D231" s="57" t="s">
        <v>982</v>
      </c>
      <c r="E231" s="189">
        <v>228.84</v>
      </c>
      <c r="F231" s="184">
        <v>0.61758672999999997</v>
      </c>
      <c r="G231" s="190">
        <v>74.017136640000004</v>
      </c>
      <c r="H231" s="184">
        <v>0.122</v>
      </c>
      <c r="I231" s="191">
        <v>0.32562000000000002</v>
      </c>
      <c r="J231" s="192">
        <v>34.620269999999998</v>
      </c>
      <c r="K231" s="200">
        <v>1636.926336</v>
      </c>
      <c r="L231" s="190">
        <v>18.84458171854557</v>
      </c>
      <c r="M231" s="195">
        <v>-0.74540244902743691</v>
      </c>
      <c r="N231" s="192">
        <v>45.03585810004342</v>
      </c>
      <c r="O231" s="207" t="s">
        <v>264</v>
      </c>
      <c r="P231" s="207" t="s">
        <v>264</v>
      </c>
      <c r="Q231" s="207" t="s">
        <v>264</v>
      </c>
      <c r="R231" s="207" t="s">
        <v>264</v>
      </c>
      <c r="S231" s="207" t="s">
        <v>264</v>
      </c>
    </row>
    <row r="232" spans="1:19" ht="20" customHeight="1" x14ac:dyDescent="0.15">
      <c r="A232" s="50">
        <v>227</v>
      </c>
      <c r="B232" s="51" t="s">
        <v>983</v>
      </c>
      <c r="C232" s="52" t="s">
        <v>984</v>
      </c>
      <c r="D232" s="53" t="s">
        <v>985</v>
      </c>
      <c r="E232" s="183">
        <v>323.88</v>
      </c>
      <c r="F232" s="195">
        <v>-0.10463607</v>
      </c>
      <c r="G232" s="185">
        <v>322.59342335999997</v>
      </c>
      <c r="H232" s="195">
        <v>-3.7999999999999999E-2</v>
      </c>
      <c r="I232" s="186">
        <v>0.33316000000000001</v>
      </c>
      <c r="J232" s="187">
        <v>22.776371000000001</v>
      </c>
      <c r="K232" s="194">
        <v>8622.7496960000008</v>
      </c>
      <c r="L232" s="185">
        <v>39.873958352372547</v>
      </c>
      <c r="M232" s="195">
        <v>-0.87639562537555216</v>
      </c>
      <c r="N232" s="187">
        <v>37.411898668783998</v>
      </c>
      <c r="O232" s="206" t="s">
        <v>264</v>
      </c>
      <c r="P232" s="206" t="s">
        <v>264</v>
      </c>
      <c r="Q232" s="206" t="s">
        <v>264</v>
      </c>
      <c r="R232" s="206" t="s">
        <v>264</v>
      </c>
      <c r="S232" s="206" t="s">
        <v>264</v>
      </c>
    </row>
    <row r="233" spans="1:19" ht="20" customHeight="1" x14ac:dyDescent="0.15">
      <c r="A233" s="54">
        <v>228</v>
      </c>
      <c r="B233" s="55" t="s">
        <v>986</v>
      </c>
      <c r="C233" s="56" t="s">
        <v>987</v>
      </c>
      <c r="D233" s="57" t="s">
        <v>921</v>
      </c>
      <c r="E233" s="189">
        <v>119.21</v>
      </c>
      <c r="F233" s="184">
        <v>0.14989876999999999</v>
      </c>
      <c r="G233" s="190">
        <v>22.707877887999999</v>
      </c>
      <c r="H233" s="195">
        <v>-0.124</v>
      </c>
      <c r="I233" s="191">
        <v>0.26100000000000001</v>
      </c>
      <c r="J233" s="192">
        <v>11.529014</v>
      </c>
      <c r="K233" s="200">
        <v>1483.3597440000001</v>
      </c>
      <c r="L233" s="190">
        <v>9.8812396454510445</v>
      </c>
      <c r="M233" s="195">
        <v>-0.56485411388120965</v>
      </c>
      <c r="N233" s="192">
        <v>15.308409327528571</v>
      </c>
      <c r="O233" s="207" t="s">
        <v>264</v>
      </c>
      <c r="P233" s="207" t="s">
        <v>264</v>
      </c>
      <c r="Q233" s="207" t="s">
        <v>264</v>
      </c>
      <c r="R233" s="207" t="s">
        <v>264</v>
      </c>
      <c r="S233" s="207" t="s">
        <v>264</v>
      </c>
    </row>
    <row r="234" spans="1:19" ht="20" customHeight="1" x14ac:dyDescent="0.15">
      <c r="A234" s="50">
        <v>229</v>
      </c>
      <c r="B234" s="51" t="s">
        <v>988</v>
      </c>
      <c r="C234" s="52" t="s">
        <v>989</v>
      </c>
      <c r="D234" s="53" t="s">
        <v>443</v>
      </c>
      <c r="E234" s="183">
        <v>156.19999999999999</v>
      </c>
      <c r="F234" s="184">
        <v>9.8993899999999996E-2</v>
      </c>
      <c r="G234" s="185">
        <v>30.396518400000001</v>
      </c>
      <c r="H234" s="184">
        <v>0.13400000000000001</v>
      </c>
      <c r="I234" s="186">
        <v>0.93011999999999995</v>
      </c>
      <c r="J234" s="187">
        <v>14.7497635</v>
      </c>
      <c r="K234" s="188" t="s">
        <v>264</v>
      </c>
      <c r="L234" s="188" t="s">
        <v>264</v>
      </c>
      <c r="M234" s="188" t="s">
        <v>264</v>
      </c>
      <c r="N234" s="188" t="s">
        <v>264</v>
      </c>
      <c r="O234" s="206" t="s">
        <v>264</v>
      </c>
      <c r="P234" s="206" t="s">
        <v>264</v>
      </c>
      <c r="Q234" s="206" t="s">
        <v>264</v>
      </c>
      <c r="R234" s="206" t="s">
        <v>264</v>
      </c>
      <c r="S234" s="206" t="s">
        <v>264</v>
      </c>
    </row>
    <row r="235" spans="1:19" ht="20" customHeight="1" x14ac:dyDescent="0.15">
      <c r="A235" s="54">
        <v>230</v>
      </c>
      <c r="B235" s="55" t="s">
        <v>990</v>
      </c>
      <c r="C235" s="56" t="s">
        <v>991</v>
      </c>
      <c r="D235" s="57" t="s">
        <v>793</v>
      </c>
      <c r="E235" s="189">
        <v>146.4</v>
      </c>
      <c r="F235" s="195">
        <v>-0.65712680000000001</v>
      </c>
      <c r="G235" s="190">
        <v>9.8834913279999999</v>
      </c>
      <c r="H235" s="184">
        <v>2.1999999999999999E-2</v>
      </c>
      <c r="I235" s="191">
        <v>0.68393000000000004</v>
      </c>
      <c r="J235" s="192">
        <v>15.170984000000001</v>
      </c>
      <c r="K235" s="200">
        <v>922.79372799999999</v>
      </c>
      <c r="L235" s="190">
        <v>6.8771113528192798</v>
      </c>
      <c r="M235" s="195">
        <v>-0.30418198138785479</v>
      </c>
      <c r="N235" s="192">
        <v>10.710402186868791</v>
      </c>
      <c r="O235" s="207" t="s">
        <v>264</v>
      </c>
      <c r="P235" s="207" t="s">
        <v>264</v>
      </c>
      <c r="Q235" s="207" t="s">
        <v>264</v>
      </c>
      <c r="R235" s="207" t="s">
        <v>264</v>
      </c>
      <c r="S235" s="207" t="s">
        <v>264</v>
      </c>
    </row>
    <row r="236" spans="1:19" ht="20" customHeight="1" x14ac:dyDescent="0.15">
      <c r="A236" s="50">
        <v>231</v>
      </c>
      <c r="B236" s="51" t="s">
        <v>992</v>
      </c>
      <c r="C236" s="52" t="s">
        <v>993</v>
      </c>
      <c r="D236" s="53" t="s">
        <v>741</v>
      </c>
      <c r="E236" s="183">
        <v>313.37</v>
      </c>
      <c r="F236" s="184">
        <v>0.43340040000000002</v>
      </c>
      <c r="G236" s="185">
        <v>58.379247616000001</v>
      </c>
      <c r="H236" s="184">
        <v>1.9</v>
      </c>
      <c r="I236" s="186">
        <v>0.30414000000000002</v>
      </c>
      <c r="J236" s="187">
        <v>34.024970000000003</v>
      </c>
      <c r="K236" s="201" t="s">
        <v>264</v>
      </c>
      <c r="L236" s="202" t="s">
        <v>264</v>
      </c>
      <c r="M236" s="203" t="s">
        <v>264</v>
      </c>
      <c r="N236" s="204" t="s">
        <v>264</v>
      </c>
      <c r="O236" s="206" t="s">
        <v>264</v>
      </c>
      <c r="P236" s="206" t="s">
        <v>264</v>
      </c>
      <c r="Q236" s="206" t="s">
        <v>264</v>
      </c>
      <c r="R236" s="206" t="s">
        <v>264</v>
      </c>
      <c r="S236" s="206" t="s">
        <v>264</v>
      </c>
    </row>
    <row r="237" spans="1:19" ht="20" customHeight="1" x14ac:dyDescent="0.15">
      <c r="A237" s="54">
        <v>232</v>
      </c>
      <c r="B237" s="55" t="s">
        <v>994</v>
      </c>
      <c r="C237" s="56" t="s">
        <v>995</v>
      </c>
      <c r="D237" s="57" t="s">
        <v>741</v>
      </c>
      <c r="E237" s="189">
        <v>512.77</v>
      </c>
      <c r="F237" s="184">
        <v>8.7390780000000001E-2</v>
      </c>
      <c r="G237" s="190">
        <v>118.226108416</v>
      </c>
      <c r="H237" s="184">
        <v>3.0000000000000001E-3</v>
      </c>
      <c r="I237" s="191">
        <v>9.9059999999999995E-2</v>
      </c>
      <c r="J237" s="192">
        <v>24.819459999999999</v>
      </c>
      <c r="K237" s="200">
        <v>3987.124992</v>
      </c>
      <c r="L237" s="190">
        <v>37.298956604155109</v>
      </c>
      <c r="M237" s="195">
        <v>-0.68451167763289678</v>
      </c>
      <c r="N237" s="192">
        <v>29.651967648713232</v>
      </c>
      <c r="O237" s="207" t="s">
        <v>264</v>
      </c>
      <c r="P237" s="207" t="s">
        <v>264</v>
      </c>
      <c r="Q237" s="207" t="s">
        <v>264</v>
      </c>
      <c r="R237" s="207" t="s">
        <v>264</v>
      </c>
      <c r="S237" s="207" t="s">
        <v>264</v>
      </c>
    </row>
    <row r="238" spans="1:19" ht="20" customHeight="1" x14ac:dyDescent="0.15">
      <c r="A238" s="50">
        <v>233</v>
      </c>
      <c r="B238" s="51" t="s">
        <v>996</v>
      </c>
      <c r="C238" s="52" t="s">
        <v>997</v>
      </c>
      <c r="D238" s="53" t="s">
        <v>998</v>
      </c>
      <c r="E238" s="183">
        <v>71.239999999999995</v>
      </c>
      <c r="F238" s="184">
        <v>0.15349746</v>
      </c>
      <c r="G238" s="185">
        <v>14.371560448</v>
      </c>
      <c r="H238" s="184">
        <v>6.5000000000000002E-2</v>
      </c>
      <c r="I238" s="186">
        <v>0.35682000000000003</v>
      </c>
      <c r="J238" s="187">
        <v>17.633662999999999</v>
      </c>
      <c r="K238" s="194">
        <v>738.49996799999997</v>
      </c>
      <c r="L238" s="185">
        <v>8.0210630430297147</v>
      </c>
      <c r="M238" s="195">
        <v>-0.44187946242497589</v>
      </c>
      <c r="N238" s="187">
        <v>19.460476526222411</v>
      </c>
      <c r="O238" s="206" t="s">
        <v>264</v>
      </c>
      <c r="P238" s="206" t="s">
        <v>264</v>
      </c>
      <c r="Q238" s="206" t="s">
        <v>264</v>
      </c>
      <c r="R238" s="206" t="s">
        <v>264</v>
      </c>
      <c r="S238" s="206" t="s">
        <v>264</v>
      </c>
    </row>
    <row r="239" spans="1:19" ht="20" customHeight="1" x14ac:dyDescent="0.15">
      <c r="A239" s="54">
        <v>234</v>
      </c>
      <c r="B239" s="55" t="s">
        <v>999</v>
      </c>
      <c r="C239" s="56" t="s">
        <v>1000</v>
      </c>
      <c r="D239" s="57" t="s">
        <v>998</v>
      </c>
      <c r="E239" s="189">
        <v>67.62</v>
      </c>
      <c r="F239" s="195">
        <v>-4.5050144E-2</v>
      </c>
      <c r="G239" s="190">
        <v>56.163848192000003</v>
      </c>
      <c r="H239" s="184">
        <v>2.4E-2</v>
      </c>
      <c r="I239" s="191">
        <v>0.24989</v>
      </c>
      <c r="J239" s="192">
        <v>45.08</v>
      </c>
      <c r="K239" s="200">
        <v>776.62502400000005</v>
      </c>
      <c r="L239" s="190">
        <v>7.515014594760113</v>
      </c>
      <c r="M239" s="195">
        <v>-0.86619480614879674</v>
      </c>
      <c r="N239" s="192">
        <v>72.317845121689004</v>
      </c>
      <c r="O239" s="207" t="s">
        <v>264</v>
      </c>
      <c r="P239" s="207" t="s">
        <v>264</v>
      </c>
      <c r="Q239" s="207" t="s">
        <v>264</v>
      </c>
      <c r="R239" s="207" t="s">
        <v>264</v>
      </c>
      <c r="S239" s="207" t="s">
        <v>264</v>
      </c>
    </row>
    <row r="240" spans="1:19" ht="20" customHeight="1" x14ac:dyDescent="0.15">
      <c r="A240" s="50">
        <v>235</v>
      </c>
      <c r="B240" s="51" t="s">
        <v>1001</v>
      </c>
      <c r="C240" s="52" t="s">
        <v>1002</v>
      </c>
      <c r="D240" s="53" t="s">
        <v>1003</v>
      </c>
      <c r="E240" s="183">
        <v>190.63</v>
      </c>
      <c r="F240" s="184">
        <v>0.40686345000000002</v>
      </c>
      <c r="G240" s="185">
        <v>379.71568230399998</v>
      </c>
      <c r="H240" s="184">
        <v>3.5000000000000003E-2</v>
      </c>
      <c r="I240" s="186">
        <v>0.42416999999999999</v>
      </c>
      <c r="J240" s="187">
        <v>33.210804000000003</v>
      </c>
      <c r="K240" s="201" t="s">
        <v>264</v>
      </c>
      <c r="L240" s="202" t="s">
        <v>264</v>
      </c>
      <c r="M240" s="203" t="s">
        <v>264</v>
      </c>
      <c r="N240" s="204" t="s">
        <v>264</v>
      </c>
      <c r="O240" s="208" t="s">
        <v>455</v>
      </c>
      <c r="P240" s="209">
        <v>17.5</v>
      </c>
      <c r="Q240" s="208" t="s">
        <v>456</v>
      </c>
      <c r="R240" s="209">
        <v>141</v>
      </c>
      <c r="S240" s="210" t="s">
        <v>1004</v>
      </c>
    </row>
    <row r="241" spans="1:19" ht="20" customHeight="1" x14ac:dyDescent="0.15">
      <c r="A241" s="50">
        <v>236</v>
      </c>
      <c r="B241" s="51" t="s">
        <v>1005</v>
      </c>
      <c r="C241" s="52" t="s">
        <v>1006</v>
      </c>
      <c r="D241" s="53" t="s">
        <v>741</v>
      </c>
      <c r="E241" s="189">
        <v>568.14</v>
      </c>
      <c r="F241" s="184">
        <v>0.15164291999999999</v>
      </c>
      <c r="G241" s="190">
        <v>80.694902784000007</v>
      </c>
      <c r="H241" s="184">
        <v>4.3999999999999997E-2</v>
      </c>
      <c r="I241" s="191">
        <v>0.20517999000000001</v>
      </c>
      <c r="J241" s="192">
        <v>17.826796000000002</v>
      </c>
      <c r="K241" s="200">
        <v>2071.6249600000001</v>
      </c>
      <c r="L241" s="190">
        <v>24.88512421559458</v>
      </c>
      <c r="M241" s="195">
        <v>-0.69161467010864597</v>
      </c>
      <c r="N241" s="192">
        <v>38.952465148247683</v>
      </c>
      <c r="O241" s="207" t="s">
        <v>264</v>
      </c>
      <c r="P241" s="207" t="s">
        <v>264</v>
      </c>
      <c r="Q241" s="207" t="s">
        <v>264</v>
      </c>
      <c r="R241" s="207" t="s">
        <v>264</v>
      </c>
      <c r="S241" s="207" t="s">
        <v>264</v>
      </c>
    </row>
    <row r="242" spans="1:19" ht="20" customHeight="1" x14ac:dyDescent="0.15">
      <c r="A242" s="54">
        <v>237</v>
      </c>
      <c r="B242" s="55" t="s">
        <v>1007</v>
      </c>
      <c r="C242" s="56" t="s">
        <v>1008</v>
      </c>
      <c r="D242" s="57" t="s">
        <v>1009</v>
      </c>
      <c r="E242" s="183">
        <v>362.21</v>
      </c>
      <c r="F242" s="184">
        <v>0.52310670000000004</v>
      </c>
      <c r="G242" s="185">
        <v>21.964652544</v>
      </c>
      <c r="H242" s="184">
        <v>0.122</v>
      </c>
      <c r="I242" s="186">
        <v>0.69649004999999997</v>
      </c>
      <c r="J242" s="187">
        <v>24.623384000000001</v>
      </c>
      <c r="K242" s="194">
        <v>571.95001600000001</v>
      </c>
      <c r="L242" s="185">
        <v>9.746371396642564</v>
      </c>
      <c r="M242" s="195">
        <v>-0.55627017649751331</v>
      </c>
      <c r="N242" s="187">
        <v>24.47989646138938</v>
      </c>
      <c r="O242" s="206" t="s">
        <v>264</v>
      </c>
      <c r="P242" s="206" t="s">
        <v>264</v>
      </c>
      <c r="Q242" s="206" t="s">
        <v>264</v>
      </c>
      <c r="R242" s="206" t="s">
        <v>264</v>
      </c>
      <c r="S242" s="206" t="s">
        <v>264</v>
      </c>
    </row>
    <row r="243" spans="1:19" ht="20" customHeight="1" x14ac:dyDescent="0.15">
      <c r="A243" s="50">
        <v>238</v>
      </c>
      <c r="B243" s="51" t="s">
        <v>1010</v>
      </c>
      <c r="C243" s="52" t="s">
        <v>1011</v>
      </c>
      <c r="D243" s="53" t="s">
        <v>695</v>
      </c>
      <c r="E243" s="189">
        <v>255.84</v>
      </c>
      <c r="F243" s="184">
        <v>3.6544800000000002E-2</v>
      </c>
      <c r="G243" s="190">
        <v>21.05563136</v>
      </c>
      <c r="H243" s="184">
        <v>5.8000000000000003E-2</v>
      </c>
      <c r="I243" s="191">
        <v>0.28833999999999999</v>
      </c>
      <c r="J243" s="192">
        <v>22.680851000000001</v>
      </c>
      <c r="K243" s="200">
        <v>1142.537472</v>
      </c>
      <c r="L243" s="190">
        <v>12.241636399549479</v>
      </c>
      <c r="M243" s="195">
        <v>-0.41860511374618381</v>
      </c>
      <c r="N243" s="192">
        <v>18.428832765670549</v>
      </c>
      <c r="O243" s="207" t="s">
        <v>264</v>
      </c>
      <c r="P243" s="207" t="s">
        <v>264</v>
      </c>
      <c r="Q243" s="207" t="s">
        <v>264</v>
      </c>
      <c r="R243" s="207" t="s">
        <v>264</v>
      </c>
      <c r="S243" s="207" t="s">
        <v>264</v>
      </c>
    </row>
    <row r="244" spans="1:19" ht="20" customHeight="1" x14ac:dyDescent="0.15">
      <c r="A244" s="54">
        <v>239</v>
      </c>
      <c r="B244" s="55" t="s">
        <v>1012</v>
      </c>
      <c r="C244" s="56" t="s">
        <v>1013</v>
      </c>
      <c r="D244" s="57" t="s">
        <v>933</v>
      </c>
      <c r="E244" s="183">
        <v>70.81</v>
      </c>
      <c r="F244" s="195">
        <v>-0.10536957</v>
      </c>
      <c r="G244" s="185">
        <v>18.087550975999999</v>
      </c>
      <c r="H244" s="195">
        <v>-6.6000000000000003E-2</v>
      </c>
      <c r="I244" s="186">
        <v>0.36161998000000001</v>
      </c>
      <c r="J244" s="187">
        <v>14.914244999999999</v>
      </c>
      <c r="K244" s="194">
        <v>3094.8748799999998</v>
      </c>
      <c r="L244" s="185">
        <v>18.324313494776661</v>
      </c>
      <c r="M244" s="184">
        <v>1.308980519755365E-2</v>
      </c>
      <c r="N244" s="187">
        <v>5.844356494634769</v>
      </c>
      <c r="O244" s="206" t="s">
        <v>264</v>
      </c>
      <c r="P244" s="206" t="s">
        <v>264</v>
      </c>
      <c r="Q244" s="206" t="s">
        <v>264</v>
      </c>
      <c r="R244" s="206" t="s">
        <v>264</v>
      </c>
      <c r="S244" s="206" t="s">
        <v>264</v>
      </c>
    </row>
    <row r="245" spans="1:19" ht="20" customHeight="1" x14ac:dyDescent="0.15">
      <c r="A245" s="50">
        <v>240</v>
      </c>
      <c r="B245" s="51" t="s">
        <v>1014</v>
      </c>
      <c r="C245" s="52" t="s">
        <v>1014</v>
      </c>
      <c r="D245" s="53" t="s">
        <v>649</v>
      </c>
      <c r="E245" s="189">
        <v>14.82</v>
      </c>
      <c r="F245" s="195">
        <v>-0.58730159999999998</v>
      </c>
      <c r="G245" s="190">
        <v>1.853171328</v>
      </c>
      <c r="H245" s="195">
        <v>-4.1000000000000002E-2</v>
      </c>
      <c r="I245" s="191">
        <v>0.32090999999999997</v>
      </c>
      <c r="J245" s="192">
        <v>6.6168979999999999</v>
      </c>
      <c r="K245" s="200">
        <v>50.6875</v>
      </c>
      <c r="L245" s="190">
        <v>0.58103301108903205</v>
      </c>
      <c r="M245" s="195">
        <v>-0.68646557265911246</v>
      </c>
      <c r="N245" s="192">
        <v>36.560717352799017</v>
      </c>
      <c r="O245" s="207" t="s">
        <v>264</v>
      </c>
      <c r="P245" s="207" t="s">
        <v>264</v>
      </c>
      <c r="Q245" s="207" t="s">
        <v>264</v>
      </c>
      <c r="R245" s="207" t="s">
        <v>264</v>
      </c>
      <c r="S245" s="207" t="s">
        <v>264</v>
      </c>
    </row>
    <row r="246" spans="1:19" ht="20" customHeight="1" x14ac:dyDescent="0.15">
      <c r="A246" s="54">
        <v>241</v>
      </c>
      <c r="B246" s="55" t="s">
        <v>1015</v>
      </c>
      <c r="C246" s="56" t="s">
        <v>1016</v>
      </c>
      <c r="D246" s="57" t="s">
        <v>933</v>
      </c>
      <c r="E246" s="183">
        <v>507.92</v>
      </c>
      <c r="F246" s="184">
        <v>0.12249994</v>
      </c>
      <c r="G246" s="185">
        <v>234.835443712</v>
      </c>
      <c r="H246" s="184">
        <v>8.2000000000000003E-2</v>
      </c>
      <c r="I246" s="186">
        <v>0.48765999999999998</v>
      </c>
      <c r="J246" s="187">
        <v>33.659377999999997</v>
      </c>
      <c r="K246" s="194">
        <v>4737.3752320000003</v>
      </c>
      <c r="L246" s="185">
        <v>57.248704048732748</v>
      </c>
      <c r="M246" s="195">
        <v>-0.75621778746933099</v>
      </c>
      <c r="N246" s="187">
        <v>49.570792726937611</v>
      </c>
      <c r="O246" s="206" t="s">
        <v>264</v>
      </c>
      <c r="P246" s="206" t="s">
        <v>264</v>
      </c>
      <c r="Q246" s="206" t="s">
        <v>264</v>
      </c>
      <c r="R246" s="206" t="s">
        <v>264</v>
      </c>
      <c r="S246" s="206" t="s">
        <v>264</v>
      </c>
    </row>
    <row r="247" spans="1:19" ht="20" customHeight="1" x14ac:dyDescent="0.15">
      <c r="A247" s="50">
        <v>242</v>
      </c>
      <c r="B247" s="51" t="s">
        <v>1017</v>
      </c>
      <c r="C247" s="52" t="s">
        <v>1018</v>
      </c>
      <c r="D247" s="53" t="s">
        <v>1019</v>
      </c>
      <c r="E247" s="189">
        <v>147.22999999999999</v>
      </c>
      <c r="F247" s="184">
        <v>0.31725871999999999</v>
      </c>
      <c r="G247" s="190">
        <v>19.579234304</v>
      </c>
      <c r="H247" s="195">
        <v>-3.3000000000000002E-2</v>
      </c>
      <c r="I247" s="191">
        <v>0.13435</v>
      </c>
      <c r="J247" s="192">
        <v>24.744537000000001</v>
      </c>
      <c r="K247" s="200">
        <v>803.03724799999998</v>
      </c>
      <c r="L247" s="190">
        <v>5.9030569219519577</v>
      </c>
      <c r="M247" s="195">
        <v>-0.698504199383018</v>
      </c>
      <c r="N247" s="192">
        <v>24.381478442466971</v>
      </c>
      <c r="O247" s="207" t="s">
        <v>264</v>
      </c>
      <c r="P247" s="207" t="s">
        <v>264</v>
      </c>
      <c r="Q247" s="207" t="s">
        <v>264</v>
      </c>
      <c r="R247" s="207" t="s">
        <v>264</v>
      </c>
      <c r="S247" s="207" t="s">
        <v>264</v>
      </c>
    </row>
    <row r="248" spans="1:19" ht="20" customHeight="1" x14ac:dyDescent="0.15">
      <c r="A248" s="54">
        <v>243</v>
      </c>
      <c r="B248" s="55" t="s">
        <v>1020</v>
      </c>
      <c r="C248" s="56" t="s">
        <v>1021</v>
      </c>
      <c r="D248" s="57" t="s">
        <v>755</v>
      </c>
      <c r="E248" s="183">
        <v>40.29</v>
      </c>
      <c r="F248" s="184">
        <v>0.3917098</v>
      </c>
      <c r="G248" s="185">
        <v>29.038673920000001</v>
      </c>
      <c r="H248" s="195">
        <v>-6.0999999999999999E-2</v>
      </c>
      <c r="I248" s="186">
        <v>6.2549999999999994E-2</v>
      </c>
      <c r="J248" s="187">
        <v>19.472799999999999</v>
      </c>
      <c r="K248" s="194">
        <v>-675.87500799999998</v>
      </c>
      <c r="L248" s="188" t="s">
        <v>264</v>
      </c>
      <c r="M248" s="188" t="s">
        <v>264</v>
      </c>
      <c r="N248" s="187">
        <v>-42.964560300800471</v>
      </c>
      <c r="O248" s="206" t="s">
        <v>264</v>
      </c>
      <c r="P248" s="206" t="s">
        <v>264</v>
      </c>
      <c r="Q248" s="206" t="s">
        <v>264</v>
      </c>
      <c r="R248" s="206" t="s">
        <v>264</v>
      </c>
      <c r="S248" s="206" t="s">
        <v>264</v>
      </c>
    </row>
    <row r="249" spans="1:19" ht="20" customHeight="1" x14ac:dyDescent="0.15">
      <c r="A249" s="50">
        <v>244</v>
      </c>
      <c r="B249" s="51" t="s">
        <v>1022</v>
      </c>
      <c r="C249" s="52" t="s">
        <v>1023</v>
      </c>
      <c r="D249" s="53" t="s">
        <v>809</v>
      </c>
      <c r="E249" s="189">
        <v>14.06</v>
      </c>
      <c r="F249" s="195">
        <v>-0.40195661999999999</v>
      </c>
      <c r="G249" s="190">
        <v>6.7268264960000002</v>
      </c>
      <c r="H249" s="195">
        <v>-1.9E-2</v>
      </c>
      <c r="I249" s="191">
        <v>0.24274999</v>
      </c>
      <c r="J249" s="192">
        <v>8.2773570000000003</v>
      </c>
      <c r="K249" s="200">
        <v>654.67500800000005</v>
      </c>
      <c r="L249" s="190">
        <v>4.3994488739133599</v>
      </c>
      <c r="M249" s="195">
        <v>-0.34598448814914112</v>
      </c>
      <c r="N249" s="192">
        <v>10.27506217765991</v>
      </c>
      <c r="O249" s="207" t="s">
        <v>264</v>
      </c>
      <c r="P249" s="207" t="s">
        <v>264</v>
      </c>
      <c r="Q249" s="207" t="s">
        <v>264</v>
      </c>
      <c r="R249" s="207" t="s">
        <v>264</v>
      </c>
      <c r="S249" s="207" t="s">
        <v>264</v>
      </c>
    </row>
    <row r="250" spans="1:19" ht="20" customHeight="1" x14ac:dyDescent="0.15">
      <c r="A250" s="54">
        <v>245</v>
      </c>
      <c r="B250" s="55" t="s">
        <v>1024</v>
      </c>
      <c r="C250" s="56" t="s">
        <v>1025</v>
      </c>
      <c r="D250" s="57" t="s">
        <v>454</v>
      </c>
      <c r="E250" s="183">
        <v>312.47000000000003</v>
      </c>
      <c r="F250" s="184">
        <v>0.23721099000000001</v>
      </c>
      <c r="G250" s="185">
        <v>837.26336000000003</v>
      </c>
      <c r="H250" s="184">
        <v>0.127</v>
      </c>
      <c r="I250" s="186">
        <v>0</v>
      </c>
      <c r="J250" s="187">
        <v>14.950718</v>
      </c>
      <c r="K250" s="188" t="s">
        <v>264</v>
      </c>
      <c r="L250" s="188" t="s">
        <v>264</v>
      </c>
      <c r="M250" s="188" t="s">
        <v>264</v>
      </c>
      <c r="N250" s="188" t="s">
        <v>264</v>
      </c>
      <c r="O250" s="206" t="s">
        <v>264</v>
      </c>
      <c r="P250" s="206" t="s">
        <v>264</v>
      </c>
      <c r="Q250" s="206" t="s">
        <v>264</v>
      </c>
      <c r="R250" s="206" t="s">
        <v>264</v>
      </c>
      <c r="S250" s="206" t="s">
        <v>264</v>
      </c>
    </row>
    <row r="251" spans="1:19" ht="20" customHeight="1" x14ac:dyDescent="0.15">
      <c r="A251" s="50">
        <v>246</v>
      </c>
      <c r="B251" s="51" t="s">
        <v>1026</v>
      </c>
      <c r="C251" s="52" t="s">
        <v>1027</v>
      </c>
      <c r="D251" s="53" t="s">
        <v>726</v>
      </c>
      <c r="E251" s="189">
        <v>97.67</v>
      </c>
      <c r="F251" s="195">
        <v>-0.25385790000000003</v>
      </c>
      <c r="G251" s="190">
        <v>32.420614143999998</v>
      </c>
      <c r="H251" s="184">
        <v>2.7E-2</v>
      </c>
      <c r="I251" s="191">
        <v>0.37147000000000002</v>
      </c>
      <c r="J251" s="192">
        <v>18.891681999999999</v>
      </c>
      <c r="K251" s="200">
        <v>1054.6250239999999</v>
      </c>
      <c r="L251" s="190">
        <v>9.3997059601910351</v>
      </c>
      <c r="M251" s="195">
        <v>-0.71007008323651344</v>
      </c>
      <c r="N251" s="192">
        <v>30.741366770555601</v>
      </c>
      <c r="O251" s="207" t="s">
        <v>264</v>
      </c>
      <c r="P251" s="207" t="s">
        <v>264</v>
      </c>
      <c r="Q251" s="207" t="s">
        <v>264</v>
      </c>
      <c r="R251" s="207" t="s">
        <v>264</v>
      </c>
      <c r="S251" s="207" t="s">
        <v>264</v>
      </c>
    </row>
    <row r="252" spans="1:19" ht="20" customHeight="1" x14ac:dyDescent="0.15">
      <c r="A252" s="54">
        <v>247</v>
      </c>
      <c r="B252" s="55" t="s">
        <v>1028</v>
      </c>
      <c r="C252" s="56" t="s">
        <v>1029</v>
      </c>
      <c r="D252" s="57" t="s">
        <v>864</v>
      </c>
      <c r="E252" s="183">
        <v>38.5</v>
      </c>
      <c r="F252" s="184">
        <v>0.20049893999999999</v>
      </c>
      <c r="G252" s="185">
        <v>9.8500956160000008</v>
      </c>
      <c r="H252" s="184">
        <v>4.2000000000000003E-2</v>
      </c>
      <c r="I252" s="186">
        <v>0.44159999999999999</v>
      </c>
      <c r="J252" s="187">
        <v>52.739722999999998</v>
      </c>
      <c r="K252" s="194">
        <v>528.36025600000005</v>
      </c>
      <c r="L252" s="185">
        <v>6.6977796614249216</v>
      </c>
      <c r="M252" s="195">
        <v>-0.32002897001878999</v>
      </c>
      <c r="N252" s="187">
        <v>18.642764443660202</v>
      </c>
      <c r="O252" s="206" t="s">
        <v>264</v>
      </c>
      <c r="P252" s="206" t="s">
        <v>264</v>
      </c>
      <c r="Q252" s="206" t="s">
        <v>264</v>
      </c>
      <c r="R252" s="206" t="s">
        <v>264</v>
      </c>
      <c r="S252" s="206" t="s">
        <v>264</v>
      </c>
    </row>
    <row r="253" spans="1:19" ht="20" customHeight="1" x14ac:dyDescent="0.15">
      <c r="A253" s="50">
        <v>248</v>
      </c>
      <c r="B253" s="51" t="s">
        <v>1030</v>
      </c>
      <c r="C253" s="52" t="s">
        <v>1031</v>
      </c>
      <c r="D253" s="53" t="s">
        <v>1032</v>
      </c>
      <c r="E253" s="189">
        <v>44.4</v>
      </c>
      <c r="F253" s="195">
        <v>-0.22580647000000001</v>
      </c>
      <c r="G253" s="190">
        <v>65.751388160000005</v>
      </c>
      <c r="H253" s="184">
        <v>1E-3</v>
      </c>
      <c r="I253" s="191">
        <v>0.40919998000000002</v>
      </c>
      <c r="J253" s="192">
        <v>29.210526999999999</v>
      </c>
      <c r="K253" s="200">
        <v>1313.8749439999999</v>
      </c>
      <c r="L253" s="190">
        <v>15.55250368488106</v>
      </c>
      <c r="M253" s="195">
        <v>-0.76346501389392019</v>
      </c>
      <c r="N253" s="192">
        <v>40.534883719039847</v>
      </c>
      <c r="O253" s="207" t="s">
        <v>264</v>
      </c>
      <c r="P253" s="207" t="s">
        <v>264</v>
      </c>
      <c r="Q253" s="207" t="s">
        <v>264</v>
      </c>
      <c r="R253" s="207" t="s">
        <v>264</v>
      </c>
      <c r="S253" s="207" t="s">
        <v>264</v>
      </c>
    </row>
    <row r="254" spans="1:19" ht="20" customHeight="1" x14ac:dyDescent="0.15">
      <c r="A254" s="54">
        <v>249</v>
      </c>
      <c r="B254" s="55" t="s">
        <v>1033</v>
      </c>
      <c r="C254" s="56" t="s">
        <v>1034</v>
      </c>
      <c r="D254" s="57" t="s">
        <v>652</v>
      </c>
      <c r="E254" s="183">
        <v>157.41</v>
      </c>
      <c r="F254" s="184">
        <v>0.19259035999999999</v>
      </c>
      <c r="G254" s="185">
        <v>215.17017088</v>
      </c>
      <c r="H254" s="184">
        <v>8.5000000000000006E-2</v>
      </c>
      <c r="I254" s="186">
        <v>0.54383000000000004</v>
      </c>
      <c r="J254" s="187">
        <v>24.672415000000001</v>
      </c>
      <c r="K254" s="194">
        <v>8746.2502399999994</v>
      </c>
      <c r="L254" s="185">
        <v>109.8513190402963</v>
      </c>
      <c r="M254" s="195">
        <v>-0.48946771482762719</v>
      </c>
      <c r="N254" s="187">
        <v>24.598312941038149</v>
      </c>
      <c r="O254" s="206" t="s">
        <v>264</v>
      </c>
      <c r="P254" s="206" t="s">
        <v>264</v>
      </c>
      <c r="Q254" s="206" t="s">
        <v>264</v>
      </c>
      <c r="R254" s="206" t="s">
        <v>264</v>
      </c>
      <c r="S254" s="206" t="s">
        <v>264</v>
      </c>
    </row>
    <row r="255" spans="1:19" ht="20" customHeight="1" x14ac:dyDescent="0.15">
      <c r="A255" s="50">
        <v>250</v>
      </c>
      <c r="B255" s="51" t="s">
        <v>1035</v>
      </c>
      <c r="C255" s="52" t="s">
        <v>1036</v>
      </c>
      <c r="D255" s="53" t="s">
        <v>741</v>
      </c>
      <c r="E255" s="189">
        <v>173.99</v>
      </c>
      <c r="F255" s="184">
        <v>0.35306013000000003</v>
      </c>
      <c r="G255" s="190">
        <v>234.309451776</v>
      </c>
      <c r="H255" s="184">
        <v>8.6999999999999994E-2</v>
      </c>
      <c r="I255" s="191">
        <v>0.20212999000000001</v>
      </c>
      <c r="J255" s="192">
        <v>32.704886999999999</v>
      </c>
      <c r="K255" s="200">
        <v>7233.3752320000003</v>
      </c>
      <c r="L255" s="190">
        <v>107.8520402454316</v>
      </c>
      <c r="M255" s="195">
        <v>-0.53970256245344184</v>
      </c>
      <c r="N255" s="192">
        <v>32.392823837086411</v>
      </c>
      <c r="O255" s="207" t="s">
        <v>264</v>
      </c>
      <c r="P255" s="207" t="s">
        <v>264</v>
      </c>
      <c r="Q255" s="207" t="s">
        <v>264</v>
      </c>
      <c r="R255" s="207" t="s">
        <v>264</v>
      </c>
      <c r="S255" s="207" t="s">
        <v>264</v>
      </c>
    </row>
    <row r="256" spans="1:19" ht="20" customHeight="1" x14ac:dyDescent="0.15">
      <c r="A256" s="54">
        <v>251</v>
      </c>
      <c r="B256" s="55" t="s">
        <v>1037</v>
      </c>
      <c r="C256" s="56" t="s">
        <v>1038</v>
      </c>
      <c r="D256" s="57" t="s">
        <v>1039</v>
      </c>
      <c r="E256" s="183">
        <v>142.74</v>
      </c>
      <c r="F256" s="184">
        <v>0.94760540000000004</v>
      </c>
      <c r="G256" s="185">
        <v>29.211707392000001</v>
      </c>
      <c r="H256" s="184">
        <v>0.14000000000000001</v>
      </c>
      <c r="I256" s="186">
        <v>0.75981003000000003</v>
      </c>
      <c r="J256" s="187">
        <v>55.325583999999999</v>
      </c>
      <c r="K256" s="194">
        <v>1419.2</v>
      </c>
      <c r="L256" s="185">
        <v>21.261451546479371</v>
      </c>
      <c r="M256" s="195">
        <v>-0.27215991653051769</v>
      </c>
      <c r="N256" s="187">
        <v>20.363404165036641</v>
      </c>
      <c r="O256" s="206" t="s">
        <v>264</v>
      </c>
      <c r="P256" s="206" t="s">
        <v>264</v>
      </c>
      <c r="Q256" s="206" t="s">
        <v>264</v>
      </c>
      <c r="R256" s="206" t="s">
        <v>264</v>
      </c>
      <c r="S256" s="206" t="s">
        <v>264</v>
      </c>
    </row>
    <row r="257" spans="1:19" ht="20" customHeight="1" x14ac:dyDescent="0.15">
      <c r="A257" s="50">
        <v>252</v>
      </c>
      <c r="B257" s="51" t="s">
        <v>1040</v>
      </c>
      <c r="C257" s="52" t="s">
        <v>1041</v>
      </c>
      <c r="D257" s="53" t="s">
        <v>1042</v>
      </c>
      <c r="E257" s="189">
        <v>889.67</v>
      </c>
      <c r="F257" s="184">
        <v>1.7534585</v>
      </c>
      <c r="G257" s="190">
        <v>413.95218022400002</v>
      </c>
      <c r="H257" s="184">
        <v>0.222</v>
      </c>
      <c r="I257" s="191">
        <v>0.28604000000000002</v>
      </c>
      <c r="J257" s="192">
        <v>44.240177000000003</v>
      </c>
      <c r="K257" s="200">
        <v>3744.4999680000001</v>
      </c>
      <c r="L257" s="190">
        <v>56.437676735152941</v>
      </c>
      <c r="M257" s="195">
        <v>-0.86366136130841709</v>
      </c>
      <c r="N257" s="192">
        <v>110.549388222198</v>
      </c>
      <c r="O257" s="207" t="s">
        <v>264</v>
      </c>
      <c r="P257" s="207" t="s">
        <v>264</v>
      </c>
      <c r="Q257" s="207" t="s">
        <v>264</v>
      </c>
      <c r="R257" s="207" t="s">
        <v>264</v>
      </c>
      <c r="S257" s="207" t="s">
        <v>264</v>
      </c>
    </row>
    <row r="258" spans="1:19" ht="20" customHeight="1" x14ac:dyDescent="0.15">
      <c r="A258" s="54">
        <v>253</v>
      </c>
      <c r="B258" s="55" t="s">
        <v>1043</v>
      </c>
      <c r="C258" s="56" t="s">
        <v>1044</v>
      </c>
      <c r="D258" s="57" t="s">
        <v>454</v>
      </c>
      <c r="E258" s="183">
        <v>80.81</v>
      </c>
      <c r="F258" s="184">
        <v>9.4245075999999997E-2</v>
      </c>
      <c r="G258" s="185">
        <v>247.29390284799999</v>
      </c>
      <c r="H258" s="184">
        <v>5.7000000000000002E-2</v>
      </c>
      <c r="I258" s="186">
        <v>0</v>
      </c>
      <c r="J258" s="187">
        <v>12.489954000000001</v>
      </c>
      <c r="K258" s="188" t="s">
        <v>264</v>
      </c>
      <c r="L258" s="188" t="s">
        <v>264</v>
      </c>
      <c r="M258" s="188" t="s">
        <v>264</v>
      </c>
      <c r="N258" s="188" t="s">
        <v>264</v>
      </c>
      <c r="O258" s="206" t="s">
        <v>264</v>
      </c>
      <c r="P258" s="206" t="s">
        <v>264</v>
      </c>
      <c r="Q258" s="206" t="s">
        <v>264</v>
      </c>
      <c r="R258" s="206" t="s">
        <v>264</v>
      </c>
      <c r="S258" s="206" t="s">
        <v>264</v>
      </c>
    </row>
    <row r="259" spans="1:19" ht="20" customHeight="1" x14ac:dyDescent="0.15">
      <c r="A259" s="50">
        <v>254</v>
      </c>
      <c r="B259" s="51" t="s">
        <v>1045</v>
      </c>
      <c r="C259" s="52" t="s">
        <v>1046</v>
      </c>
      <c r="D259" s="53" t="s">
        <v>655</v>
      </c>
      <c r="E259" s="189">
        <v>268.26</v>
      </c>
      <c r="F259" s="184">
        <v>0.43954919999999997</v>
      </c>
      <c r="G259" s="190">
        <v>2884.9356144640001</v>
      </c>
      <c r="H259" s="184">
        <v>0.16600000000000001</v>
      </c>
      <c r="I259" s="191">
        <v>0.50604000000000005</v>
      </c>
      <c r="J259" s="192">
        <v>32.050182</v>
      </c>
      <c r="K259" s="200">
        <v>27258.624</v>
      </c>
      <c r="L259" s="190">
        <v>391.64069228342959</v>
      </c>
      <c r="M259" s="195">
        <v>-0.86424629710282341</v>
      </c>
      <c r="N259" s="192">
        <v>105.83570130318169</v>
      </c>
      <c r="O259" s="211" t="s">
        <v>474</v>
      </c>
      <c r="P259" s="212" t="s">
        <v>264</v>
      </c>
      <c r="Q259" s="211" t="s">
        <v>475</v>
      </c>
      <c r="R259" s="212">
        <v>85</v>
      </c>
      <c r="S259" s="213" t="s">
        <v>1047</v>
      </c>
    </row>
    <row r="260" spans="1:19" ht="20" customHeight="1" x14ac:dyDescent="0.15">
      <c r="A260" s="54">
        <v>255</v>
      </c>
      <c r="B260" s="55" t="s">
        <v>1048</v>
      </c>
      <c r="C260" s="56" t="s">
        <v>1049</v>
      </c>
      <c r="D260" s="57" t="s">
        <v>793</v>
      </c>
      <c r="E260" s="183">
        <v>149.22999999999999</v>
      </c>
      <c r="F260" s="184">
        <v>8.7198020000000005E-3</v>
      </c>
      <c r="G260" s="185">
        <v>18.861580287999999</v>
      </c>
      <c r="H260" s="195">
        <v>-3.5999999999999997E-2</v>
      </c>
      <c r="I260" s="186">
        <v>0.18045</v>
      </c>
      <c r="J260" s="187">
        <v>13.407906000000001</v>
      </c>
      <c r="K260" s="194">
        <v>1105.6249600000001</v>
      </c>
      <c r="L260" s="185">
        <v>5.9685924734634321</v>
      </c>
      <c r="M260" s="195">
        <v>-0.68355819701593434</v>
      </c>
      <c r="N260" s="187">
        <v>16.99700937916597</v>
      </c>
      <c r="O260" s="206" t="s">
        <v>264</v>
      </c>
      <c r="P260" s="206" t="s">
        <v>264</v>
      </c>
      <c r="Q260" s="206" t="s">
        <v>264</v>
      </c>
      <c r="R260" s="206" t="s">
        <v>264</v>
      </c>
      <c r="S260" s="206" t="s">
        <v>264</v>
      </c>
    </row>
    <row r="261" spans="1:19" ht="20" customHeight="1" x14ac:dyDescent="0.15">
      <c r="A261" s="50">
        <v>256</v>
      </c>
      <c r="B261" s="51" t="s">
        <v>1050</v>
      </c>
      <c r="C261" s="52" t="s">
        <v>1051</v>
      </c>
      <c r="D261" s="53" t="s">
        <v>827</v>
      </c>
      <c r="E261" s="189">
        <v>78.53</v>
      </c>
      <c r="F261" s="184">
        <v>0.30709051999999998</v>
      </c>
      <c r="G261" s="190">
        <v>12.207925248</v>
      </c>
      <c r="H261" s="184">
        <v>2.7E-2</v>
      </c>
      <c r="I261" s="191">
        <v>0.30622998000000001</v>
      </c>
      <c r="J261" s="192">
        <v>32.184424999999997</v>
      </c>
      <c r="K261" s="200">
        <v>842.18751999999995</v>
      </c>
      <c r="L261" s="190">
        <v>7.4349157680370377</v>
      </c>
      <c r="M261" s="195">
        <v>-0.39097630293443308</v>
      </c>
      <c r="N261" s="192">
        <v>14.495495541088051</v>
      </c>
      <c r="O261" s="207" t="s">
        <v>264</v>
      </c>
      <c r="P261" s="207" t="s">
        <v>264</v>
      </c>
      <c r="Q261" s="207" t="s">
        <v>264</v>
      </c>
      <c r="R261" s="207" t="s">
        <v>264</v>
      </c>
      <c r="S261" s="207" t="s">
        <v>264</v>
      </c>
    </row>
    <row r="262" spans="1:19" ht="20" customHeight="1" x14ac:dyDescent="0.15">
      <c r="A262" s="54">
        <v>257</v>
      </c>
      <c r="B262" s="55" t="s">
        <v>1052</v>
      </c>
      <c r="C262" s="56" t="s">
        <v>1053</v>
      </c>
      <c r="D262" s="57" t="s">
        <v>695</v>
      </c>
      <c r="E262" s="183">
        <v>157.77000000000001</v>
      </c>
      <c r="F262" s="184">
        <v>3.5915969999999998E-2</v>
      </c>
      <c r="G262" s="185">
        <v>26.484273152</v>
      </c>
      <c r="H262" s="184">
        <v>0.10299999999999999</v>
      </c>
      <c r="I262" s="186">
        <v>0.33291999</v>
      </c>
      <c r="J262" s="187">
        <v>20.123723999999999</v>
      </c>
      <c r="K262" s="194">
        <v>2216.6248959999998</v>
      </c>
      <c r="L262" s="185">
        <v>30.01222575337027</v>
      </c>
      <c r="M262" s="184">
        <v>0.1332093420545262</v>
      </c>
      <c r="N262" s="187">
        <v>11.94801716421307</v>
      </c>
      <c r="O262" s="206" t="s">
        <v>264</v>
      </c>
      <c r="P262" s="206" t="s">
        <v>264</v>
      </c>
      <c r="Q262" s="206" t="s">
        <v>264</v>
      </c>
      <c r="R262" s="206" t="s">
        <v>264</v>
      </c>
      <c r="S262" s="206" t="s">
        <v>264</v>
      </c>
    </row>
    <row r="263" spans="1:19" ht="20" customHeight="1" x14ac:dyDescent="0.15">
      <c r="A263" s="50">
        <v>258</v>
      </c>
      <c r="B263" s="51" t="s">
        <v>1054</v>
      </c>
      <c r="C263" s="52" t="s">
        <v>1055</v>
      </c>
      <c r="D263" s="53" t="s">
        <v>760</v>
      </c>
      <c r="E263" s="189">
        <v>20.83</v>
      </c>
      <c r="F263" s="195">
        <v>-0.19575292</v>
      </c>
      <c r="G263" s="190">
        <v>19.121616895999999</v>
      </c>
      <c r="H263" s="184">
        <v>6.9000000000000006E-2</v>
      </c>
      <c r="I263" s="191">
        <v>0.20251</v>
      </c>
      <c r="J263" s="192">
        <v>7.8901510000000004</v>
      </c>
      <c r="K263" s="200">
        <v>2825.3749760000001</v>
      </c>
      <c r="L263" s="190">
        <v>32.531879248071242</v>
      </c>
      <c r="M263" s="184">
        <v>0.7013142468551653</v>
      </c>
      <c r="N263" s="192">
        <v>6.7424964144546866</v>
      </c>
      <c r="O263" s="207" t="s">
        <v>264</v>
      </c>
      <c r="P263" s="207" t="s">
        <v>264</v>
      </c>
      <c r="Q263" s="207" t="s">
        <v>264</v>
      </c>
      <c r="R263" s="207" t="s">
        <v>264</v>
      </c>
      <c r="S263" s="207" t="s">
        <v>264</v>
      </c>
    </row>
    <row r="264" spans="1:19" ht="20" customHeight="1" x14ac:dyDescent="0.15">
      <c r="A264" s="54">
        <v>259</v>
      </c>
      <c r="B264" s="55" t="s">
        <v>1056</v>
      </c>
      <c r="C264" s="56" t="s">
        <v>1057</v>
      </c>
      <c r="D264" s="57" t="s">
        <v>851</v>
      </c>
      <c r="E264" s="183">
        <v>68.98</v>
      </c>
      <c r="F264" s="184">
        <v>0.51571082999999995</v>
      </c>
      <c r="G264" s="185">
        <v>45.319475199999999</v>
      </c>
      <c r="H264" s="184">
        <v>0.129</v>
      </c>
      <c r="I264" s="186">
        <v>0.19900998</v>
      </c>
      <c r="J264" s="187">
        <v>10.070074</v>
      </c>
      <c r="K264" s="194">
        <v>3093.3749760000001</v>
      </c>
      <c r="L264" s="185">
        <v>48.289623276775657</v>
      </c>
      <c r="M264" s="184">
        <v>6.5538006864996931E-2</v>
      </c>
      <c r="N264" s="187">
        <v>14.650493368832381</v>
      </c>
      <c r="O264" s="208" t="s">
        <v>455</v>
      </c>
      <c r="P264" s="209">
        <v>2.6</v>
      </c>
      <c r="Q264" s="208" t="s">
        <v>745</v>
      </c>
      <c r="R264" s="209">
        <v>65</v>
      </c>
      <c r="S264" s="210" t="s">
        <v>1058</v>
      </c>
    </row>
    <row r="265" spans="1:19" ht="20" customHeight="1" x14ac:dyDescent="0.15">
      <c r="A265" s="50">
        <v>260</v>
      </c>
      <c r="B265" s="51" t="s">
        <v>1059</v>
      </c>
      <c r="C265" s="52" t="s">
        <v>1060</v>
      </c>
      <c r="D265" s="53" t="s">
        <v>938</v>
      </c>
      <c r="E265" s="189">
        <v>1148.6199999999999</v>
      </c>
      <c r="F265" s="184">
        <v>7.8030585999999999E-2</v>
      </c>
      <c r="G265" s="190">
        <v>54.364164096000003</v>
      </c>
      <c r="H265" s="184">
        <v>4.4999999999999998E-2</v>
      </c>
      <c r="I265" s="191">
        <v>0.39064997000000001</v>
      </c>
      <c r="J265" s="192">
        <v>32.465232999999998</v>
      </c>
      <c r="K265" s="200">
        <v>1091.5000319999999</v>
      </c>
      <c r="L265" s="190">
        <v>8.0055552230399911</v>
      </c>
      <c r="M265" s="195">
        <v>-0.8527420524869429</v>
      </c>
      <c r="N265" s="192">
        <v>49.806839923848933</v>
      </c>
      <c r="O265" s="207" t="s">
        <v>264</v>
      </c>
      <c r="P265" s="207" t="s">
        <v>264</v>
      </c>
      <c r="Q265" s="207" t="s">
        <v>264</v>
      </c>
      <c r="R265" s="207" t="s">
        <v>264</v>
      </c>
      <c r="S265" s="207" t="s">
        <v>264</v>
      </c>
    </row>
    <row r="266" spans="1:19" ht="20" customHeight="1" x14ac:dyDescent="0.15">
      <c r="A266" s="54">
        <v>261</v>
      </c>
      <c r="B266" s="55" t="s">
        <v>1061</v>
      </c>
      <c r="C266" s="56" t="s">
        <v>1062</v>
      </c>
      <c r="D266" s="57" t="s">
        <v>1063</v>
      </c>
      <c r="E266" s="183">
        <v>949.23</v>
      </c>
      <c r="F266" s="184">
        <v>0.44319092999999998</v>
      </c>
      <c r="G266" s="185">
        <v>59.465990144000003</v>
      </c>
      <c r="H266" s="184">
        <v>7.1999999999999995E-2</v>
      </c>
      <c r="I266" s="186">
        <v>0.38393002999999998</v>
      </c>
      <c r="J266" s="187">
        <v>24.270772999999998</v>
      </c>
      <c r="K266" s="194">
        <v>1870.6250239999999</v>
      </c>
      <c r="L266" s="185">
        <v>20.472413469329702</v>
      </c>
      <c r="M266" s="195">
        <v>-0.6557290407549814</v>
      </c>
      <c r="N266" s="187">
        <v>31.789370150706379</v>
      </c>
      <c r="O266" s="206" t="s">
        <v>264</v>
      </c>
      <c r="P266" s="206" t="s">
        <v>264</v>
      </c>
      <c r="Q266" s="206" t="s">
        <v>264</v>
      </c>
      <c r="R266" s="206" t="s">
        <v>264</v>
      </c>
      <c r="S266" s="206" t="s">
        <v>264</v>
      </c>
    </row>
    <row r="267" spans="1:19" ht="20" customHeight="1" x14ac:dyDescent="0.15">
      <c r="A267" s="50">
        <v>262</v>
      </c>
      <c r="B267" s="51" t="s">
        <v>1064</v>
      </c>
      <c r="C267" s="52" t="s">
        <v>1065</v>
      </c>
      <c r="D267" s="53" t="s">
        <v>1066</v>
      </c>
      <c r="E267" s="189">
        <v>163.03</v>
      </c>
      <c r="F267" s="195">
        <v>-4.621774E-2</v>
      </c>
      <c r="G267" s="190">
        <v>12.539783168</v>
      </c>
      <c r="H267" s="184">
        <v>7.0000000000000007E-2</v>
      </c>
      <c r="I267" s="191">
        <v>0.28754999999999997</v>
      </c>
      <c r="J267" s="192">
        <v>18.338581000000001</v>
      </c>
      <c r="K267" s="200">
        <v>762.44998399999997</v>
      </c>
      <c r="L267" s="190">
        <v>8.3937566030288959</v>
      </c>
      <c r="M267" s="195">
        <v>-0.33062984498418269</v>
      </c>
      <c r="N267" s="192">
        <v>16.44669660578024</v>
      </c>
      <c r="O267" s="207" t="s">
        <v>264</v>
      </c>
      <c r="P267" s="207" t="s">
        <v>264</v>
      </c>
      <c r="Q267" s="207" t="s">
        <v>264</v>
      </c>
      <c r="R267" s="207" t="s">
        <v>264</v>
      </c>
      <c r="S267" s="207" t="s">
        <v>264</v>
      </c>
    </row>
    <row r="268" spans="1:19" ht="20" customHeight="1" x14ac:dyDescent="0.15">
      <c r="A268" s="50">
        <v>263</v>
      </c>
      <c r="B268" s="51" t="s">
        <v>350</v>
      </c>
      <c r="C268" s="52" t="s">
        <v>1067</v>
      </c>
      <c r="D268" s="53" t="s">
        <v>614</v>
      </c>
      <c r="E268" s="183">
        <v>32.979999999999997</v>
      </c>
      <c r="F268" s="195">
        <v>-0.3405319</v>
      </c>
      <c r="G268" s="185">
        <v>42.392428543999998</v>
      </c>
      <c r="H268" s="184">
        <v>7.3999999999999996E-2</v>
      </c>
      <c r="I268" s="186">
        <v>0.39648998000000002</v>
      </c>
      <c r="J268" s="187">
        <v>30.256879999999999</v>
      </c>
      <c r="K268" s="194">
        <v>1087.90976</v>
      </c>
      <c r="L268" s="185">
        <v>9.6861850417019397</v>
      </c>
      <c r="M268" s="195">
        <v>-0.77151143790574672</v>
      </c>
      <c r="N268" s="187">
        <v>38.966863652202179</v>
      </c>
      <c r="O268" s="206" t="s">
        <v>264</v>
      </c>
      <c r="P268" s="206" t="s">
        <v>264</v>
      </c>
      <c r="Q268" s="206" t="s">
        <v>264</v>
      </c>
      <c r="R268" s="206" t="s">
        <v>264</v>
      </c>
      <c r="S268" s="206" t="s">
        <v>264</v>
      </c>
    </row>
    <row r="269" spans="1:19" ht="20" customHeight="1" x14ac:dyDescent="0.15">
      <c r="A269" s="54">
        <v>264</v>
      </c>
      <c r="B269" s="55" t="s">
        <v>1068</v>
      </c>
      <c r="C269" s="56" t="s">
        <v>1069</v>
      </c>
      <c r="D269" s="57" t="s">
        <v>982</v>
      </c>
      <c r="E269" s="189">
        <v>156.83000000000001</v>
      </c>
      <c r="F269" s="184">
        <v>0.21630215999999999</v>
      </c>
      <c r="G269" s="190">
        <v>174.1545472</v>
      </c>
      <c r="H269" s="184">
        <v>8.5000000000000006E-2</v>
      </c>
      <c r="I269" s="191">
        <v>0.30963000000000002</v>
      </c>
      <c r="J269" s="192">
        <v>32.137295000000002</v>
      </c>
      <c r="K269" s="200">
        <v>3892</v>
      </c>
      <c r="L269" s="190">
        <v>35.162727892539777</v>
      </c>
      <c r="M269" s="195">
        <v>-0.79809468970018504</v>
      </c>
      <c r="N269" s="192">
        <v>44.599464251495377</v>
      </c>
      <c r="O269" s="207" t="s">
        <v>264</v>
      </c>
      <c r="P269" s="207" t="s">
        <v>264</v>
      </c>
      <c r="Q269" s="207" t="s">
        <v>264</v>
      </c>
      <c r="R269" s="207" t="s">
        <v>264</v>
      </c>
      <c r="S269" s="207" t="s">
        <v>264</v>
      </c>
    </row>
    <row r="270" spans="1:19" ht="20" customHeight="1" x14ac:dyDescent="0.15">
      <c r="A270" s="50">
        <v>265</v>
      </c>
      <c r="B270" s="51" t="s">
        <v>10</v>
      </c>
      <c r="C270" s="52" t="s">
        <v>1070</v>
      </c>
      <c r="D270" s="53" t="s">
        <v>1071</v>
      </c>
      <c r="E270" s="183">
        <v>368.78</v>
      </c>
      <c r="F270" s="195">
        <v>-8.9004694999999995E-2</v>
      </c>
      <c r="G270" s="185">
        <v>334.93087027199999</v>
      </c>
      <c r="H270" s="184">
        <v>0.02</v>
      </c>
      <c r="I270" s="186">
        <v>0.18801000000000001</v>
      </c>
      <c r="J270" s="187">
        <v>27.853476000000001</v>
      </c>
      <c r="K270" s="194">
        <v>17687.500800000002</v>
      </c>
      <c r="L270" s="185">
        <v>159.98598276194761</v>
      </c>
      <c r="M270" s="195">
        <v>-0.52233133174012381</v>
      </c>
      <c r="N270" s="187">
        <v>18.936019300160261</v>
      </c>
      <c r="O270" s="208" t="s">
        <v>474</v>
      </c>
      <c r="P270" s="209" t="s">
        <v>264</v>
      </c>
      <c r="Q270" s="208" t="s">
        <v>475</v>
      </c>
      <c r="R270" s="209">
        <v>420</v>
      </c>
      <c r="S270" s="210" t="s">
        <v>1072</v>
      </c>
    </row>
    <row r="271" spans="1:19" ht="20" customHeight="1" x14ac:dyDescent="0.15">
      <c r="A271" s="54">
        <v>266</v>
      </c>
      <c r="B271" s="55" t="s">
        <v>1073</v>
      </c>
      <c r="C271" s="56" t="s">
        <v>1074</v>
      </c>
      <c r="D271" s="57" t="s">
        <v>910</v>
      </c>
      <c r="E271" s="189">
        <v>433.09</v>
      </c>
      <c r="F271" s="184">
        <v>0.23959589000000001</v>
      </c>
      <c r="G271" s="190">
        <v>96.076603391999996</v>
      </c>
      <c r="H271" s="184">
        <v>4.2999999999999997E-2</v>
      </c>
      <c r="I271" s="191">
        <v>0.41612998000000001</v>
      </c>
      <c r="J271" s="192">
        <v>14.923845</v>
      </c>
      <c r="K271" s="200">
        <v>5726.0001279999997</v>
      </c>
      <c r="L271" s="190">
        <v>54.092844791660553</v>
      </c>
      <c r="M271" s="195">
        <v>-0.43698212799054159</v>
      </c>
      <c r="N271" s="192">
        <v>16.77900748066487</v>
      </c>
      <c r="O271" s="207" t="s">
        <v>264</v>
      </c>
      <c r="P271" s="207" t="s">
        <v>264</v>
      </c>
      <c r="Q271" s="207" t="s">
        <v>264</v>
      </c>
      <c r="R271" s="207" t="s">
        <v>264</v>
      </c>
      <c r="S271" s="207" t="s">
        <v>264</v>
      </c>
    </row>
    <row r="272" spans="1:19" ht="20" customHeight="1" x14ac:dyDescent="0.15">
      <c r="A272" s="50">
        <v>267</v>
      </c>
      <c r="B272" s="51" t="s">
        <v>1075</v>
      </c>
      <c r="C272" s="52" t="s">
        <v>1076</v>
      </c>
      <c r="D272" s="53" t="s">
        <v>777</v>
      </c>
      <c r="E272" s="183">
        <v>42.15</v>
      </c>
      <c r="F272" s="184">
        <v>0.59659090000000004</v>
      </c>
      <c r="G272" s="185">
        <v>6.2117995519999996</v>
      </c>
      <c r="H272" s="184">
        <v>2.1000000000000001E-2</v>
      </c>
      <c r="I272" s="186">
        <v>0.29792000000000002</v>
      </c>
      <c r="J272" s="187">
        <v>14.096990999999999</v>
      </c>
      <c r="K272" s="194">
        <v>332.5</v>
      </c>
      <c r="L272" s="185">
        <v>2.9975459790762091</v>
      </c>
      <c r="M272" s="195">
        <v>-0.51744322172934643</v>
      </c>
      <c r="N272" s="187">
        <v>18.68210304721805</v>
      </c>
      <c r="O272" s="206" t="s">
        <v>264</v>
      </c>
      <c r="P272" s="206" t="s">
        <v>264</v>
      </c>
      <c r="Q272" s="206" t="s">
        <v>264</v>
      </c>
      <c r="R272" s="206" t="s">
        <v>264</v>
      </c>
      <c r="S272" s="206" t="s">
        <v>264</v>
      </c>
    </row>
    <row r="273" spans="1:19" ht="20" customHeight="1" x14ac:dyDescent="0.15">
      <c r="A273" s="54">
        <v>268</v>
      </c>
      <c r="B273" s="55" t="s">
        <v>1077</v>
      </c>
      <c r="C273" s="56" t="s">
        <v>1078</v>
      </c>
      <c r="D273" s="57" t="s">
        <v>816</v>
      </c>
      <c r="E273" s="189">
        <v>33.270000000000003</v>
      </c>
      <c r="F273" s="195">
        <v>-0.45503687999999998</v>
      </c>
      <c r="G273" s="190">
        <v>32.049270784000001</v>
      </c>
      <c r="H273" s="195">
        <v>-3.5999999999999997E-2</v>
      </c>
      <c r="I273" s="191">
        <v>0.47344002000000002</v>
      </c>
      <c r="J273" s="192">
        <v>20.924527999999999</v>
      </c>
      <c r="K273" s="200">
        <v>1035.3715199999999</v>
      </c>
      <c r="L273" s="190">
        <v>9.9610250080901874</v>
      </c>
      <c r="M273" s="195">
        <v>-0.68919651635059842</v>
      </c>
      <c r="N273" s="192">
        <v>30.95436705537352</v>
      </c>
      <c r="O273" s="207" t="s">
        <v>264</v>
      </c>
      <c r="P273" s="207" t="s">
        <v>264</v>
      </c>
      <c r="Q273" s="207" t="s">
        <v>264</v>
      </c>
      <c r="R273" s="207" t="s">
        <v>264</v>
      </c>
      <c r="S273" s="207" t="s">
        <v>264</v>
      </c>
    </row>
    <row r="274" spans="1:19" ht="20" customHeight="1" x14ac:dyDescent="0.15">
      <c r="A274" s="50">
        <v>269</v>
      </c>
      <c r="B274" s="51" t="s">
        <v>1079</v>
      </c>
      <c r="C274" s="52" t="s">
        <v>1080</v>
      </c>
      <c r="D274" s="53" t="s">
        <v>933</v>
      </c>
      <c r="E274" s="183">
        <v>74.989999999999995</v>
      </c>
      <c r="F274" s="184">
        <v>0.33410430000000002</v>
      </c>
      <c r="G274" s="185">
        <v>24.204468223999999</v>
      </c>
      <c r="H274" s="195">
        <v>-6.3E-2</v>
      </c>
      <c r="I274" s="186">
        <v>9.6219994000000003E-2</v>
      </c>
      <c r="J274" s="187">
        <v>13.144379000000001</v>
      </c>
      <c r="K274" s="194">
        <v>1053.124992</v>
      </c>
      <c r="L274" s="185">
        <v>7.9880520956434893</v>
      </c>
      <c r="M274" s="195">
        <v>-0.66997613739256134</v>
      </c>
      <c r="N274" s="187">
        <v>22.983471991461389</v>
      </c>
      <c r="O274" s="206" t="s">
        <v>264</v>
      </c>
      <c r="P274" s="206" t="s">
        <v>264</v>
      </c>
      <c r="Q274" s="206" t="s">
        <v>264</v>
      </c>
      <c r="R274" s="206" t="s">
        <v>264</v>
      </c>
      <c r="S274" s="206" t="s">
        <v>264</v>
      </c>
    </row>
    <row r="275" spans="1:19" ht="20" customHeight="1" x14ac:dyDescent="0.15">
      <c r="A275" s="54">
        <v>270</v>
      </c>
      <c r="B275" s="55" t="s">
        <v>1081</v>
      </c>
      <c r="C275" s="56" t="s">
        <v>1082</v>
      </c>
      <c r="D275" s="57" t="s">
        <v>1083</v>
      </c>
      <c r="E275" s="189">
        <v>11.88</v>
      </c>
      <c r="F275" s="184">
        <v>0.1681416</v>
      </c>
      <c r="G275" s="190">
        <v>47.651655679999998</v>
      </c>
      <c r="H275" s="184">
        <v>6.4000000000000001E-2</v>
      </c>
      <c r="I275" s="191">
        <v>7.0690000000000003E-2</v>
      </c>
      <c r="J275" s="192">
        <v>6.4276669999999996</v>
      </c>
      <c r="K275" s="200">
        <v>-1678</v>
      </c>
      <c r="L275" s="197" t="s">
        <v>264</v>
      </c>
      <c r="M275" s="198" t="s">
        <v>264</v>
      </c>
      <c r="N275" s="192">
        <v>-27.896266148867699</v>
      </c>
      <c r="O275" s="207" t="s">
        <v>264</v>
      </c>
      <c r="P275" s="207" t="s">
        <v>264</v>
      </c>
      <c r="Q275" s="207" t="s">
        <v>264</v>
      </c>
      <c r="R275" s="207" t="s">
        <v>264</v>
      </c>
      <c r="S275" s="207" t="s">
        <v>264</v>
      </c>
    </row>
    <row r="276" spans="1:19" ht="20" customHeight="1" x14ac:dyDescent="0.15">
      <c r="A276" s="50">
        <v>271</v>
      </c>
      <c r="B276" s="51" t="s">
        <v>1084</v>
      </c>
      <c r="C276" s="52" t="s">
        <v>1085</v>
      </c>
      <c r="D276" s="53" t="s">
        <v>809</v>
      </c>
      <c r="E276" s="183">
        <v>21.33</v>
      </c>
      <c r="F276" s="195">
        <v>-0.26977062000000002</v>
      </c>
      <c r="G276" s="185">
        <v>11.737562112000001</v>
      </c>
      <c r="H276" s="195">
        <v>-2.9000000000000001E-2</v>
      </c>
      <c r="I276" s="186">
        <v>0.15609998999999999</v>
      </c>
      <c r="J276" s="187">
        <v>23.966293</v>
      </c>
      <c r="K276" s="194">
        <v>381.50963200000001</v>
      </c>
      <c r="L276" s="185">
        <v>2.8199973641663649</v>
      </c>
      <c r="M276" s="195">
        <v>-0.75974590487718774</v>
      </c>
      <c r="N276" s="187">
        <v>30.766096451556951</v>
      </c>
      <c r="O276" s="206" t="s">
        <v>264</v>
      </c>
      <c r="P276" s="206" t="s">
        <v>264</v>
      </c>
      <c r="Q276" s="206" t="s">
        <v>264</v>
      </c>
      <c r="R276" s="206" t="s">
        <v>264</v>
      </c>
      <c r="S276" s="206" t="s">
        <v>264</v>
      </c>
    </row>
    <row r="277" spans="1:19" ht="20" customHeight="1" x14ac:dyDescent="0.15">
      <c r="A277" s="54">
        <v>272</v>
      </c>
      <c r="B277" s="55" t="s">
        <v>1086</v>
      </c>
      <c r="C277" s="56" t="s">
        <v>1086</v>
      </c>
      <c r="D277" s="57" t="s">
        <v>1087</v>
      </c>
      <c r="E277" s="189">
        <v>28.51</v>
      </c>
      <c r="F277" s="195">
        <v>-0.27749622000000002</v>
      </c>
      <c r="G277" s="190">
        <v>7.264086528</v>
      </c>
      <c r="H277" s="184">
        <v>4.2999999999999997E-2</v>
      </c>
      <c r="I277" s="191">
        <v>0.38301997999999998</v>
      </c>
      <c r="J277" s="192">
        <v>14.255000000000001</v>
      </c>
      <c r="K277" s="200">
        <v>789.75001599999996</v>
      </c>
      <c r="L277" s="190">
        <v>7.5962143915473801</v>
      </c>
      <c r="M277" s="184">
        <v>4.5721903541094511E-2</v>
      </c>
      <c r="N277" s="192">
        <v>9.1979570227067917</v>
      </c>
      <c r="O277" s="207" t="s">
        <v>264</v>
      </c>
      <c r="P277" s="207" t="s">
        <v>264</v>
      </c>
      <c r="Q277" s="207" t="s">
        <v>264</v>
      </c>
      <c r="R277" s="207" t="s">
        <v>264</v>
      </c>
      <c r="S277" s="207" t="s">
        <v>264</v>
      </c>
    </row>
    <row r="278" spans="1:19" ht="20" customHeight="1" x14ac:dyDescent="0.15">
      <c r="A278" s="50">
        <v>273</v>
      </c>
      <c r="B278" s="51" t="s">
        <v>1088</v>
      </c>
      <c r="C278" s="52" t="s">
        <v>1089</v>
      </c>
      <c r="D278" s="53" t="s">
        <v>584</v>
      </c>
      <c r="E278" s="183">
        <v>265.55</v>
      </c>
      <c r="F278" s="184">
        <v>0.16087436999999999</v>
      </c>
      <c r="G278" s="185">
        <v>71.838793727999999</v>
      </c>
      <c r="H278" s="184">
        <v>0.113</v>
      </c>
      <c r="I278" s="186">
        <v>0.50914000000000004</v>
      </c>
      <c r="J278" s="187">
        <v>16.211842999999998</v>
      </c>
      <c r="K278" s="194">
        <v>-194.87500800000001</v>
      </c>
      <c r="L278" s="188" t="s">
        <v>264</v>
      </c>
      <c r="M278" s="188" t="s">
        <v>264</v>
      </c>
      <c r="N278" s="187">
        <v>-365.45772488974058</v>
      </c>
      <c r="O278" s="206" t="s">
        <v>264</v>
      </c>
      <c r="P278" s="206" t="s">
        <v>264</v>
      </c>
      <c r="Q278" s="206" t="s">
        <v>264</v>
      </c>
      <c r="R278" s="206" t="s">
        <v>264</v>
      </c>
      <c r="S278" s="206" t="s">
        <v>264</v>
      </c>
    </row>
    <row r="279" spans="1:19" ht="20" customHeight="1" x14ac:dyDescent="0.15">
      <c r="A279" s="54">
        <v>274</v>
      </c>
      <c r="B279" s="55" t="s">
        <v>1090</v>
      </c>
      <c r="C279" s="56" t="s">
        <v>1091</v>
      </c>
      <c r="D279" s="57" t="s">
        <v>1087</v>
      </c>
      <c r="E279" s="189">
        <v>60.49</v>
      </c>
      <c r="F279" s="184">
        <v>2.9091477000000001E-2</v>
      </c>
      <c r="G279" s="190">
        <v>15.191826431999999</v>
      </c>
      <c r="H279" s="184">
        <v>0.05</v>
      </c>
      <c r="I279" s="191">
        <v>0.19153998999999999</v>
      </c>
      <c r="J279" s="192">
        <v>80.653335999999996</v>
      </c>
      <c r="K279" s="200">
        <v>1300.7499519999999</v>
      </c>
      <c r="L279" s="190">
        <v>13.912167444635431</v>
      </c>
      <c r="M279" s="195">
        <v>-8.4233386491903414E-2</v>
      </c>
      <c r="N279" s="192">
        <v>9.911911762461477</v>
      </c>
      <c r="O279" s="207" t="s">
        <v>264</v>
      </c>
      <c r="P279" s="207" t="s">
        <v>264</v>
      </c>
      <c r="Q279" s="207" t="s">
        <v>264</v>
      </c>
      <c r="R279" s="207" t="s">
        <v>264</v>
      </c>
      <c r="S279" s="207" t="s">
        <v>264</v>
      </c>
    </row>
    <row r="280" spans="1:19" ht="20" customHeight="1" x14ac:dyDescent="0.15">
      <c r="A280" s="50">
        <v>275</v>
      </c>
      <c r="B280" s="51" t="s">
        <v>1092</v>
      </c>
      <c r="C280" s="52" t="s">
        <v>1093</v>
      </c>
      <c r="D280" s="53" t="s">
        <v>1094</v>
      </c>
      <c r="E280" s="183">
        <v>73.930000000000007</v>
      </c>
      <c r="F280" s="184">
        <v>0.11039352400000001</v>
      </c>
      <c r="G280" s="185">
        <v>8.4833233920000009</v>
      </c>
      <c r="H280" s="184">
        <v>7.6999999999999999E-2</v>
      </c>
      <c r="I280" s="186">
        <v>0.31136000000000003</v>
      </c>
      <c r="J280" s="187">
        <v>22.608561999999999</v>
      </c>
      <c r="K280" s="194">
        <v>383</v>
      </c>
      <c r="L280" s="185">
        <v>4.3941072046380247</v>
      </c>
      <c r="M280" s="195">
        <v>-0.48202997792330021</v>
      </c>
      <c r="N280" s="187">
        <v>22.149669478929511</v>
      </c>
      <c r="O280" s="206" t="s">
        <v>264</v>
      </c>
      <c r="P280" s="206" t="s">
        <v>264</v>
      </c>
      <c r="Q280" s="206" t="s">
        <v>264</v>
      </c>
      <c r="R280" s="206" t="s">
        <v>264</v>
      </c>
      <c r="S280" s="206" t="s">
        <v>264</v>
      </c>
    </row>
    <row r="281" spans="1:19" ht="20" customHeight="1" x14ac:dyDescent="0.15">
      <c r="A281" s="54">
        <v>276</v>
      </c>
      <c r="B281" s="55" t="s">
        <v>1095</v>
      </c>
      <c r="C281" s="56" t="s">
        <v>1096</v>
      </c>
      <c r="D281" s="57" t="s">
        <v>1097</v>
      </c>
      <c r="E281" s="189">
        <v>226.04</v>
      </c>
      <c r="F281" s="184">
        <v>0.87600635999999998</v>
      </c>
      <c r="G281" s="190">
        <v>51.477364735999998</v>
      </c>
      <c r="H281" s="184">
        <v>0.21299999999999999</v>
      </c>
      <c r="I281" s="191">
        <v>0.14062999000000001</v>
      </c>
      <c r="J281" s="192">
        <v>22.424603000000001</v>
      </c>
      <c r="K281" s="200">
        <v>-395.12499200000002</v>
      </c>
      <c r="L281" s="193" t="s">
        <v>264</v>
      </c>
      <c r="M281" s="193" t="s">
        <v>264</v>
      </c>
      <c r="N281" s="192">
        <v>-130.28121736668081</v>
      </c>
      <c r="O281" s="207" t="s">
        <v>264</v>
      </c>
      <c r="P281" s="207" t="s">
        <v>264</v>
      </c>
      <c r="Q281" s="207" t="s">
        <v>264</v>
      </c>
      <c r="R281" s="207" t="s">
        <v>264</v>
      </c>
      <c r="S281" s="207" t="s">
        <v>264</v>
      </c>
    </row>
    <row r="282" spans="1:19" ht="20" customHeight="1" x14ac:dyDescent="0.15">
      <c r="A282" s="50">
        <v>277</v>
      </c>
      <c r="B282" s="51" t="s">
        <v>1098</v>
      </c>
      <c r="C282" s="52" t="s">
        <v>1099</v>
      </c>
      <c r="D282" s="53" t="s">
        <v>921</v>
      </c>
      <c r="E282" s="183">
        <v>149.97999999999999</v>
      </c>
      <c r="F282" s="184">
        <v>0.19344317999999999</v>
      </c>
      <c r="G282" s="185">
        <v>42.531270655999997</v>
      </c>
      <c r="H282" s="195">
        <v>-2.3E-2</v>
      </c>
      <c r="I282" s="186">
        <v>0.21597</v>
      </c>
      <c r="J282" s="187">
        <v>14.082629000000001</v>
      </c>
      <c r="K282" s="194">
        <v>2875.4250240000001</v>
      </c>
      <c r="L282" s="185">
        <v>20.118746279171919</v>
      </c>
      <c r="M282" s="195">
        <v>-0.52696578379010373</v>
      </c>
      <c r="N282" s="187">
        <v>14.791298678542759</v>
      </c>
      <c r="O282" s="206" t="s">
        <v>264</v>
      </c>
      <c r="P282" s="206" t="s">
        <v>264</v>
      </c>
      <c r="Q282" s="206" t="s">
        <v>264</v>
      </c>
      <c r="R282" s="206" t="s">
        <v>264</v>
      </c>
      <c r="S282" s="206" t="s">
        <v>264</v>
      </c>
    </row>
    <row r="283" spans="1:19" ht="20" customHeight="1" x14ac:dyDescent="0.15">
      <c r="A283" s="50">
        <v>278</v>
      </c>
      <c r="B283" s="51" t="s">
        <v>1100</v>
      </c>
      <c r="C283" s="52" t="s">
        <v>1101</v>
      </c>
      <c r="D283" s="53" t="s">
        <v>1071</v>
      </c>
      <c r="E283" s="189">
        <v>282.89999999999998</v>
      </c>
      <c r="F283" s="195">
        <v>-0.15047598000000001</v>
      </c>
      <c r="G283" s="190">
        <v>74.826481663999999</v>
      </c>
      <c r="H283" s="184">
        <v>4.5999999999999999E-2</v>
      </c>
      <c r="I283" s="191">
        <v>9.1490000000000002E-2</v>
      </c>
      <c r="J283" s="192">
        <v>11.992369999999999</v>
      </c>
      <c r="K283" s="200">
        <v>6923.3751039999997</v>
      </c>
      <c r="L283" s="190">
        <v>67.47729351386532</v>
      </c>
      <c r="M283" s="195">
        <v>-9.8216406634423797E-2</v>
      </c>
      <c r="N283" s="192">
        <v>10.80780444161819</v>
      </c>
      <c r="O283" s="207" t="s">
        <v>264</v>
      </c>
      <c r="P283" s="207" t="s">
        <v>264</v>
      </c>
      <c r="Q283" s="207" t="s">
        <v>264</v>
      </c>
      <c r="R283" s="207" t="s">
        <v>264</v>
      </c>
      <c r="S283" s="207" t="s">
        <v>264</v>
      </c>
    </row>
    <row r="284" spans="1:19" ht="20" customHeight="1" x14ac:dyDescent="0.15">
      <c r="A284" s="54">
        <v>279</v>
      </c>
      <c r="B284" s="55" t="s">
        <v>1102</v>
      </c>
      <c r="C284" s="56" t="s">
        <v>1103</v>
      </c>
      <c r="D284" s="57" t="s">
        <v>448</v>
      </c>
      <c r="E284" s="183">
        <v>115.32</v>
      </c>
      <c r="F284" s="184">
        <v>0.21864104000000001</v>
      </c>
      <c r="G284" s="185">
        <v>10.023317504</v>
      </c>
      <c r="H284" s="184">
        <v>0.10299999999999999</v>
      </c>
      <c r="I284" s="186">
        <v>0.67988999999999999</v>
      </c>
      <c r="J284" s="187">
        <v>24.641026</v>
      </c>
      <c r="K284" s="201" t="s">
        <v>264</v>
      </c>
      <c r="L284" s="202" t="s">
        <v>264</v>
      </c>
      <c r="M284" s="203" t="s">
        <v>264</v>
      </c>
      <c r="N284" s="204" t="s">
        <v>264</v>
      </c>
      <c r="O284" s="206" t="s">
        <v>264</v>
      </c>
      <c r="P284" s="206" t="s">
        <v>264</v>
      </c>
      <c r="Q284" s="206" t="s">
        <v>264</v>
      </c>
      <c r="R284" s="206" t="s">
        <v>264</v>
      </c>
      <c r="S284" s="206" t="s">
        <v>264</v>
      </c>
    </row>
    <row r="285" spans="1:19" ht="20" customHeight="1" x14ac:dyDescent="0.15">
      <c r="A285" s="50">
        <v>280</v>
      </c>
      <c r="B285" s="51" t="s">
        <v>1104</v>
      </c>
      <c r="C285" s="52" t="s">
        <v>1105</v>
      </c>
      <c r="D285" s="53" t="s">
        <v>851</v>
      </c>
      <c r="E285" s="189">
        <v>92.52</v>
      </c>
      <c r="F285" s="184">
        <v>0.23590707999999999</v>
      </c>
      <c r="G285" s="190">
        <v>30.029191168000001</v>
      </c>
      <c r="H285" s="184">
        <v>0.106</v>
      </c>
      <c r="I285" s="191">
        <v>0.33794999999999997</v>
      </c>
      <c r="J285" s="192">
        <v>8.2754919999999998</v>
      </c>
      <c r="K285" s="200">
        <v>1647.0000640000001</v>
      </c>
      <c r="L285" s="190">
        <v>31.69488995450196</v>
      </c>
      <c r="M285" s="184">
        <v>5.546931907633177E-2</v>
      </c>
      <c r="N285" s="192">
        <v>18.23265942177887</v>
      </c>
      <c r="O285" s="207" t="s">
        <v>264</v>
      </c>
      <c r="P285" s="207" t="s">
        <v>264</v>
      </c>
      <c r="Q285" s="207" t="s">
        <v>264</v>
      </c>
      <c r="R285" s="207" t="s">
        <v>264</v>
      </c>
      <c r="S285" s="207" t="s">
        <v>264</v>
      </c>
    </row>
    <row r="286" spans="1:19" ht="20" customHeight="1" x14ac:dyDescent="0.15">
      <c r="A286" s="54">
        <v>281</v>
      </c>
      <c r="B286" s="55" t="s">
        <v>1106</v>
      </c>
      <c r="C286" s="56" t="s">
        <v>1107</v>
      </c>
      <c r="D286" s="57" t="s">
        <v>1087</v>
      </c>
      <c r="E286" s="183">
        <v>56.77</v>
      </c>
      <c r="F286" s="184">
        <v>0.92767405999999997</v>
      </c>
      <c r="G286" s="185">
        <v>11.754159103999999</v>
      </c>
      <c r="H286" s="184">
        <v>3.9E-2</v>
      </c>
      <c r="I286" s="186">
        <v>0.18595</v>
      </c>
      <c r="J286" s="187">
        <v>44.351562000000001</v>
      </c>
      <c r="K286" s="194">
        <v>984.49996799999997</v>
      </c>
      <c r="L286" s="185">
        <v>10.63850572158819</v>
      </c>
      <c r="M286" s="195">
        <v>-9.4915627101912231E-2</v>
      </c>
      <c r="N286" s="187">
        <v>11.8822864946604</v>
      </c>
      <c r="O286" s="206" t="s">
        <v>264</v>
      </c>
      <c r="P286" s="206" t="s">
        <v>264</v>
      </c>
      <c r="Q286" s="206" t="s">
        <v>264</v>
      </c>
      <c r="R286" s="206" t="s">
        <v>264</v>
      </c>
      <c r="S286" s="206" t="s">
        <v>264</v>
      </c>
    </row>
    <row r="287" spans="1:19" ht="20" customHeight="1" x14ac:dyDescent="0.15">
      <c r="A287" s="50">
        <v>282</v>
      </c>
      <c r="B287" s="51" t="s">
        <v>1108</v>
      </c>
      <c r="C287" s="52" t="s">
        <v>1109</v>
      </c>
      <c r="D287" s="53" t="s">
        <v>527</v>
      </c>
      <c r="E287" s="189">
        <v>127.19</v>
      </c>
      <c r="F287" s="184">
        <v>0.30894303000000001</v>
      </c>
      <c r="G287" s="190">
        <v>37.836333056000001</v>
      </c>
      <c r="H287" s="184">
        <v>0.216</v>
      </c>
      <c r="I287" s="191">
        <v>0.55018</v>
      </c>
      <c r="J287" s="192">
        <v>138.25</v>
      </c>
      <c r="K287" s="200">
        <v>-499.46451200000001</v>
      </c>
      <c r="L287" s="193" t="s">
        <v>264</v>
      </c>
      <c r="M287" s="193" t="s">
        <v>264</v>
      </c>
      <c r="N287" s="192">
        <v>-75.753791961559827</v>
      </c>
      <c r="O287" s="207" t="s">
        <v>264</v>
      </c>
      <c r="P287" s="207" t="s">
        <v>264</v>
      </c>
      <c r="Q287" s="207" t="s">
        <v>264</v>
      </c>
      <c r="R287" s="207" t="s">
        <v>264</v>
      </c>
      <c r="S287" s="207" t="s">
        <v>264</v>
      </c>
    </row>
    <row r="288" spans="1:19" ht="20" customHeight="1" x14ac:dyDescent="0.15">
      <c r="A288" s="54">
        <v>283</v>
      </c>
      <c r="B288" s="55" t="s">
        <v>1110</v>
      </c>
      <c r="C288" s="56" t="s">
        <v>1111</v>
      </c>
      <c r="D288" s="57" t="s">
        <v>1112</v>
      </c>
      <c r="E288" s="183">
        <v>128.88999999999999</v>
      </c>
      <c r="F288" s="184">
        <v>0.37087858000000001</v>
      </c>
      <c r="G288" s="185">
        <v>58.538778624000003</v>
      </c>
      <c r="H288" s="195">
        <v>-1.4999999999999999E-2</v>
      </c>
      <c r="I288" s="186">
        <v>0.27933999999999998</v>
      </c>
      <c r="J288" s="187">
        <v>15.853628</v>
      </c>
      <c r="K288" s="194">
        <v>2590.1250559999999</v>
      </c>
      <c r="L288" s="185">
        <v>21.578366980626139</v>
      </c>
      <c r="M288" s="195">
        <v>-0.63138337546763668</v>
      </c>
      <c r="N288" s="187">
        <v>22.60075294056767</v>
      </c>
      <c r="O288" s="206" t="s">
        <v>264</v>
      </c>
      <c r="P288" s="206" t="s">
        <v>264</v>
      </c>
      <c r="Q288" s="206" t="s">
        <v>264</v>
      </c>
      <c r="R288" s="206" t="s">
        <v>264</v>
      </c>
      <c r="S288" s="206" t="s">
        <v>264</v>
      </c>
    </row>
    <row r="289" spans="1:19" ht="20" customHeight="1" x14ac:dyDescent="0.15">
      <c r="A289" s="50">
        <v>284</v>
      </c>
      <c r="B289" s="51" t="s">
        <v>1113</v>
      </c>
      <c r="C289" s="52" t="s">
        <v>1114</v>
      </c>
      <c r="D289" s="53" t="s">
        <v>1112</v>
      </c>
      <c r="E289" s="189">
        <v>114.43</v>
      </c>
      <c r="F289" s="184">
        <v>0.24097167999999999</v>
      </c>
      <c r="G289" s="190">
        <v>25.200498688</v>
      </c>
      <c r="H289" s="184">
        <v>5.8999999999999997E-2</v>
      </c>
      <c r="I289" s="191">
        <v>0.30660999999999999</v>
      </c>
      <c r="J289" s="192">
        <v>16.705110000000001</v>
      </c>
      <c r="K289" s="200">
        <v>2162.651648</v>
      </c>
      <c r="L289" s="190">
        <v>22.771871093970969</v>
      </c>
      <c r="M289" s="195">
        <v>-9.6372203744741661E-2</v>
      </c>
      <c r="N289" s="192">
        <v>11.65259223366148</v>
      </c>
      <c r="O289" s="207" t="s">
        <v>264</v>
      </c>
      <c r="P289" s="207" t="s">
        <v>264</v>
      </c>
      <c r="Q289" s="207" t="s">
        <v>264</v>
      </c>
      <c r="R289" s="207" t="s">
        <v>264</v>
      </c>
      <c r="S289" s="207" t="s">
        <v>264</v>
      </c>
    </row>
    <row r="290" spans="1:19" ht="20" customHeight="1" x14ac:dyDescent="0.15">
      <c r="A290" s="54">
        <v>285</v>
      </c>
      <c r="B290" s="55" t="s">
        <v>1115</v>
      </c>
      <c r="C290" s="56" t="s">
        <v>1116</v>
      </c>
      <c r="D290" s="57" t="s">
        <v>741</v>
      </c>
      <c r="E290" s="183">
        <v>345.84</v>
      </c>
      <c r="F290" s="184">
        <v>0.27081644999999999</v>
      </c>
      <c r="G290" s="185">
        <v>93.525573632000004</v>
      </c>
      <c r="H290" s="184">
        <v>0.10299999999999999</v>
      </c>
      <c r="I290" s="186">
        <v>0.15240999999999999</v>
      </c>
      <c r="J290" s="187">
        <v>21.792059999999999</v>
      </c>
      <c r="K290" s="194">
        <v>5289.5001599999996</v>
      </c>
      <c r="L290" s="185">
        <v>84.606052664614936</v>
      </c>
      <c r="M290" s="195">
        <v>-9.536986110859022E-2</v>
      </c>
      <c r="N290" s="187">
        <v>17.681363653097989</v>
      </c>
      <c r="O290" s="206" t="s">
        <v>264</v>
      </c>
      <c r="P290" s="206" t="s">
        <v>264</v>
      </c>
      <c r="Q290" s="206" t="s">
        <v>264</v>
      </c>
      <c r="R290" s="206" t="s">
        <v>264</v>
      </c>
      <c r="S290" s="206" t="s">
        <v>264</v>
      </c>
    </row>
    <row r="291" spans="1:19" ht="20" customHeight="1" x14ac:dyDescent="0.15">
      <c r="A291" s="50">
        <v>286</v>
      </c>
      <c r="B291" s="51" t="s">
        <v>1117</v>
      </c>
      <c r="C291" s="52" t="s">
        <v>1118</v>
      </c>
      <c r="D291" s="53" t="s">
        <v>741</v>
      </c>
      <c r="E291" s="189">
        <v>94.72</v>
      </c>
      <c r="F291" s="184">
        <v>0.34373664999999998</v>
      </c>
      <c r="G291" s="190">
        <v>16.490647551999999</v>
      </c>
      <c r="H291" s="184">
        <v>0.11799999999999999</v>
      </c>
      <c r="I291" s="191">
        <v>0.17705000000000001</v>
      </c>
      <c r="J291" s="192">
        <v>18.076338</v>
      </c>
      <c r="K291" s="200">
        <v>1354.3750399999999</v>
      </c>
      <c r="L291" s="190">
        <v>22.893127687341469</v>
      </c>
      <c r="M291" s="184">
        <v>0.38824916457358721</v>
      </c>
      <c r="N291" s="192">
        <v>12.17583495596611</v>
      </c>
      <c r="O291" s="207" t="s">
        <v>264</v>
      </c>
      <c r="P291" s="207" t="s">
        <v>264</v>
      </c>
      <c r="Q291" s="207" t="s">
        <v>264</v>
      </c>
      <c r="R291" s="207" t="s">
        <v>264</v>
      </c>
      <c r="S291" s="207" t="s">
        <v>264</v>
      </c>
    </row>
    <row r="292" spans="1:19" ht="20" customHeight="1" x14ac:dyDescent="0.15">
      <c r="A292" s="54">
        <v>287</v>
      </c>
      <c r="B292" s="55" t="s">
        <v>1119</v>
      </c>
      <c r="C292" s="56" t="s">
        <v>1120</v>
      </c>
      <c r="D292" s="57" t="s">
        <v>1019</v>
      </c>
      <c r="E292" s="183">
        <v>177.3</v>
      </c>
      <c r="F292" s="184">
        <v>0.97131420000000002</v>
      </c>
      <c r="G292" s="185">
        <v>21.031473152</v>
      </c>
      <c r="H292" s="195">
        <v>-8.0000000000000002E-3</v>
      </c>
      <c r="I292" s="186">
        <v>8.5739999999999997E-2</v>
      </c>
      <c r="J292" s="187">
        <v>35.818184000000002</v>
      </c>
      <c r="K292" s="194">
        <v>658.00537599999996</v>
      </c>
      <c r="L292" s="185">
        <v>4.7661807841248924</v>
      </c>
      <c r="M292" s="195">
        <v>-0.77337865257091376</v>
      </c>
      <c r="N292" s="187">
        <v>31.754874636313001</v>
      </c>
      <c r="O292" s="206" t="s">
        <v>264</v>
      </c>
      <c r="P292" s="206" t="s">
        <v>264</v>
      </c>
      <c r="Q292" s="206" t="s">
        <v>264</v>
      </c>
      <c r="R292" s="206" t="s">
        <v>264</v>
      </c>
      <c r="S292" s="206" t="s">
        <v>264</v>
      </c>
    </row>
    <row r="293" spans="1:19" ht="20" customHeight="1" x14ac:dyDescent="0.15">
      <c r="A293" s="50">
        <v>288</v>
      </c>
      <c r="B293" s="51" t="s">
        <v>1121</v>
      </c>
      <c r="C293" s="52" t="s">
        <v>1122</v>
      </c>
      <c r="D293" s="53" t="s">
        <v>879</v>
      </c>
      <c r="E293" s="189">
        <v>354.97</v>
      </c>
      <c r="F293" s="184">
        <v>0.43555630000000001</v>
      </c>
      <c r="G293" s="190">
        <v>94.061567999999994</v>
      </c>
      <c r="H293" s="184">
        <v>6.3E-2</v>
      </c>
      <c r="I293" s="191">
        <v>0.79074997000000002</v>
      </c>
      <c r="J293" s="192">
        <v>37.325974000000002</v>
      </c>
      <c r="K293" s="200">
        <v>1673.2500480000001</v>
      </c>
      <c r="L293" s="190">
        <v>17.61111732494285</v>
      </c>
      <c r="M293" s="195">
        <v>-0.81277031948964684</v>
      </c>
      <c r="N293" s="192">
        <v>56.203739344049318</v>
      </c>
      <c r="O293" s="207" t="s">
        <v>264</v>
      </c>
      <c r="P293" s="207" t="s">
        <v>264</v>
      </c>
      <c r="Q293" s="207" t="s">
        <v>264</v>
      </c>
      <c r="R293" s="207" t="s">
        <v>264</v>
      </c>
      <c r="S293" s="207" t="s">
        <v>264</v>
      </c>
    </row>
    <row r="294" spans="1:19" ht="20" customHeight="1" x14ac:dyDescent="0.15">
      <c r="A294" s="54">
        <v>289</v>
      </c>
      <c r="B294" s="55" t="s">
        <v>1123</v>
      </c>
      <c r="C294" s="56" t="s">
        <v>1124</v>
      </c>
      <c r="D294" s="57" t="s">
        <v>720</v>
      </c>
      <c r="E294" s="183">
        <v>111.7</v>
      </c>
      <c r="F294" s="184">
        <v>0.29043436</v>
      </c>
      <c r="G294" s="185">
        <v>22.984251392000001</v>
      </c>
      <c r="H294" s="184">
        <v>4.1000000000000002E-2</v>
      </c>
      <c r="I294" s="186">
        <v>0.36501998000000002</v>
      </c>
      <c r="J294" s="187">
        <v>13.997494</v>
      </c>
      <c r="K294" s="194">
        <v>1541.6249600000001</v>
      </c>
      <c r="L294" s="185">
        <v>18.930130675919681</v>
      </c>
      <c r="M294" s="195">
        <v>-0.1763868940926836</v>
      </c>
      <c r="N294" s="187">
        <v>14.90910724914573</v>
      </c>
      <c r="O294" s="206" t="s">
        <v>264</v>
      </c>
      <c r="P294" s="206" t="s">
        <v>264</v>
      </c>
      <c r="Q294" s="206" t="s">
        <v>264</v>
      </c>
      <c r="R294" s="206" t="s">
        <v>264</v>
      </c>
      <c r="S294" s="206" t="s">
        <v>264</v>
      </c>
    </row>
    <row r="295" spans="1:19" ht="20" customHeight="1" x14ac:dyDescent="0.15">
      <c r="A295" s="50">
        <v>290</v>
      </c>
      <c r="B295" s="51" t="s">
        <v>1125</v>
      </c>
      <c r="C295" s="52" t="s">
        <v>1125</v>
      </c>
      <c r="D295" s="53" t="s">
        <v>793</v>
      </c>
      <c r="E295" s="189">
        <v>136.03</v>
      </c>
      <c r="F295" s="195">
        <v>-0.17930620999999999</v>
      </c>
      <c r="G295" s="190">
        <v>17.54699776</v>
      </c>
      <c r="H295" s="184">
        <v>6.3E-2</v>
      </c>
      <c r="I295" s="191">
        <v>0.21733</v>
      </c>
      <c r="J295" s="192">
        <v>16.835395999999999</v>
      </c>
      <c r="K295" s="200">
        <v>920.35001599999998</v>
      </c>
      <c r="L295" s="190">
        <v>7.4652707069362227</v>
      </c>
      <c r="M295" s="195">
        <v>-0.57455566991898765</v>
      </c>
      <c r="N295" s="192">
        <v>18.91494094556521</v>
      </c>
      <c r="O295" s="207" t="s">
        <v>264</v>
      </c>
      <c r="P295" s="207" t="s">
        <v>264</v>
      </c>
      <c r="Q295" s="207" t="s">
        <v>264</v>
      </c>
      <c r="R295" s="207" t="s">
        <v>264</v>
      </c>
      <c r="S295" s="207" t="s">
        <v>264</v>
      </c>
    </row>
    <row r="296" spans="1:19" ht="20" customHeight="1" x14ac:dyDescent="0.15">
      <c r="A296" s="54">
        <v>291</v>
      </c>
      <c r="B296" s="55" t="s">
        <v>1126</v>
      </c>
      <c r="C296" s="56" t="s">
        <v>1127</v>
      </c>
      <c r="D296" s="57" t="s">
        <v>736</v>
      </c>
      <c r="E296" s="183">
        <v>82.61</v>
      </c>
      <c r="F296" s="184">
        <v>0.18931758000000001</v>
      </c>
      <c r="G296" s="185">
        <v>19.023773695999999</v>
      </c>
      <c r="H296" s="184">
        <v>6.6000000000000003E-2</v>
      </c>
      <c r="I296" s="186">
        <v>0.52266000000000001</v>
      </c>
      <c r="J296" s="187">
        <v>22.571037</v>
      </c>
      <c r="K296" s="194">
        <v>-862.12499200000002</v>
      </c>
      <c r="L296" s="188" t="s">
        <v>264</v>
      </c>
      <c r="M296" s="188" t="s">
        <v>264</v>
      </c>
      <c r="N296" s="187">
        <v>-22.06614322217677</v>
      </c>
      <c r="O296" s="206" t="s">
        <v>264</v>
      </c>
      <c r="P296" s="206" t="s">
        <v>264</v>
      </c>
      <c r="Q296" s="206" t="s">
        <v>264</v>
      </c>
      <c r="R296" s="206" t="s">
        <v>264</v>
      </c>
      <c r="S296" s="206" t="s">
        <v>264</v>
      </c>
    </row>
    <row r="297" spans="1:19" ht="20" customHeight="1" x14ac:dyDescent="0.15">
      <c r="A297" s="54">
        <v>292</v>
      </c>
      <c r="B297" s="55" t="s">
        <v>1128</v>
      </c>
      <c r="C297" s="56" t="s">
        <v>1129</v>
      </c>
      <c r="D297" s="57" t="s">
        <v>522</v>
      </c>
      <c r="E297" s="189">
        <v>360.54</v>
      </c>
      <c r="F297" s="184">
        <v>2.5842527999999998</v>
      </c>
      <c r="G297" s="190">
        <v>587.82836326400002</v>
      </c>
      <c r="H297" s="184">
        <v>0.34100000000000003</v>
      </c>
      <c r="I297" s="191">
        <v>0.52493000000000001</v>
      </c>
      <c r="J297" s="192">
        <v>138.66924</v>
      </c>
      <c r="K297" s="200">
        <v>4587.2501759999996</v>
      </c>
      <c r="L297" s="190">
        <v>56.708749534170451</v>
      </c>
      <c r="M297" s="195">
        <v>-0.90352838842398298</v>
      </c>
      <c r="N297" s="192">
        <v>128.13827910585269</v>
      </c>
      <c r="O297" s="207" t="s">
        <v>264</v>
      </c>
      <c r="P297" s="207" t="s">
        <v>264</v>
      </c>
      <c r="Q297" s="207" t="s">
        <v>264</v>
      </c>
      <c r="R297" s="207" t="s">
        <v>264</v>
      </c>
      <c r="S297" s="207" t="s">
        <v>264</v>
      </c>
    </row>
    <row r="298" spans="1:19" ht="20" customHeight="1" x14ac:dyDescent="0.15">
      <c r="A298" s="50">
        <v>293</v>
      </c>
      <c r="B298" s="51" t="s">
        <v>1130</v>
      </c>
      <c r="C298" s="52" t="s">
        <v>1131</v>
      </c>
      <c r="D298" s="53" t="s">
        <v>893</v>
      </c>
      <c r="E298" s="183">
        <v>60.05</v>
      </c>
      <c r="F298" s="195">
        <v>-0.11247414</v>
      </c>
      <c r="G298" s="185">
        <v>12.582583295999999</v>
      </c>
      <c r="H298" s="195">
        <v>-0.01</v>
      </c>
      <c r="I298" s="186">
        <v>0.22481999999999999</v>
      </c>
      <c r="J298" s="187">
        <v>11.914682000000001</v>
      </c>
      <c r="K298" s="194">
        <v>842.49996799999997</v>
      </c>
      <c r="L298" s="185">
        <v>5.3937564815261707</v>
      </c>
      <c r="M298" s="195">
        <v>-0.57133154975887623</v>
      </c>
      <c r="N298" s="187">
        <v>14.904701158220099</v>
      </c>
      <c r="O298" s="206" t="s">
        <v>264</v>
      </c>
      <c r="P298" s="206" t="s">
        <v>264</v>
      </c>
      <c r="Q298" s="206" t="s">
        <v>264</v>
      </c>
      <c r="R298" s="206" t="s">
        <v>264</v>
      </c>
      <c r="S298" s="206" t="s">
        <v>264</v>
      </c>
    </row>
    <row r="299" spans="1:19" ht="20" customHeight="1" x14ac:dyDescent="0.15">
      <c r="A299" s="54">
        <v>294</v>
      </c>
      <c r="B299" s="55" t="s">
        <v>1132</v>
      </c>
      <c r="C299" s="56" t="s">
        <v>1133</v>
      </c>
      <c r="D299" s="57" t="s">
        <v>925</v>
      </c>
      <c r="E299" s="189">
        <v>41.66</v>
      </c>
      <c r="F299" s="184">
        <v>1.0976836999999999</v>
      </c>
      <c r="G299" s="190">
        <v>34.802671615999998</v>
      </c>
      <c r="H299" s="195">
        <v>-3.0000000000000001E-3</v>
      </c>
      <c r="I299" s="191">
        <v>0.15282999999999999</v>
      </c>
      <c r="J299" s="192">
        <v>23.016575</v>
      </c>
      <c r="K299" s="200">
        <v>2027.0000640000001</v>
      </c>
      <c r="L299" s="190">
        <v>23.39308702048783</v>
      </c>
      <c r="M299" s="195">
        <v>-0.32783645811451972</v>
      </c>
      <c r="N299" s="192">
        <v>17.169545407621651</v>
      </c>
      <c r="O299" s="207" t="s">
        <v>264</v>
      </c>
      <c r="P299" s="207" t="s">
        <v>264</v>
      </c>
      <c r="Q299" s="207" t="s">
        <v>264</v>
      </c>
      <c r="R299" s="207" t="s">
        <v>264</v>
      </c>
      <c r="S299" s="207" t="s">
        <v>264</v>
      </c>
    </row>
    <row r="300" spans="1:19" ht="20" customHeight="1" x14ac:dyDescent="0.15">
      <c r="A300" s="50">
        <v>295</v>
      </c>
      <c r="B300" s="51" t="s">
        <v>1134</v>
      </c>
      <c r="C300" s="52" t="s">
        <v>1135</v>
      </c>
      <c r="D300" s="53" t="s">
        <v>741</v>
      </c>
      <c r="E300" s="183">
        <v>360.6</v>
      </c>
      <c r="F300" s="184">
        <v>0.54644479999999995</v>
      </c>
      <c r="G300" s="185">
        <v>14.19940864</v>
      </c>
      <c r="H300" s="184">
        <v>0.157</v>
      </c>
      <c r="I300" s="186">
        <v>0.12695999999999999</v>
      </c>
      <c r="J300" s="187">
        <v>23.415585</v>
      </c>
      <c r="K300" s="194">
        <v>686</v>
      </c>
      <c r="L300" s="185">
        <v>11.602783108853099</v>
      </c>
      <c r="M300" s="195">
        <v>-0.18286856847208091</v>
      </c>
      <c r="N300" s="187">
        <v>20.698845280758022</v>
      </c>
      <c r="O300" s="206" t="s">
        <v>264</v>
      </c>
      <c r="P300" s="206" t="s">
        <v>264</v>
      </c>
      <c r="Q300" s="206" t="s">
        <v>264</v>
      </c>
      <c r="R300" s="206" t="s">
        <v>264</v>
      </c>
      <c r="S300" s="206" t="s">
        <v>264</v>
      </c>
    </row>
    <row r="301" spans="1:19" ht="20" customHeight="1" x14ac:dyDescent="0.15">
      <c r="A301" s="50">
        <v>296</v>
      </c>
      <c r="B301" s="51" t="s">
        <v>1136</v>
      </c>
      <c r="C301" s="52" t="s">
        <v>1137</v>
      </c>
      <c r="D301" s="53" t="s">
        <v>1138</v>
      </c>
      <c r="E301" s="189">
        <v>141.81</v>
      </c>
      <c r="F301" s="184">
        <v>0.12583363</v>
      </c>
      <c r="G301" s="190">
        <v>41.524318207999997</v>
      </c>
      <c r="H301" s="184">
        <v>0.186</v>
      </c>
      <c r="I301" s="191">
        <v>0.18501000000000001</v>
      </c>
      <c r="J301" s="192">
        <v>32.376713000000002</v>
      </c>
      <c r="K301" s="200">
        <v>1094.4999680000001</v>
      </c>
      <c r="L301" s="190">
        <v>13.606687335905621</v>
      </c>
      <c r="M301" s="195">
        <v>-0.67232003021101561</v>
      </c>
      <c r="N301" s="192">
        <v>37.939077461891713</v>
      </c>
      <c r="O301" s="207" t="s">
        <v>264</v>
      </c>
      <c r="P301" s="207" t="s">
        <v>264</v>
      </c>
      <c r="Q301" s="207" t="s">
        <v>264</v>
      </c>
      <c r="R301" s="207" t="s">
        <v>264</v>
      </c>
      <c r="S301" s="207" t="s">
        <v>264</v>
      </c>
    </row>
    <row r="302" spans="1:19" ht="20" customHeight="1" x14ac:dyDescent="0.15">
      <c r="A302" s="54">
        <v>297</v>
      </c>
      <c r="B302" s="55" t="s">
        <v>1139</v>
      </c>
      <c r="C302" s="56" t="s">
        <v>1140</v>
      </c>
      <c r="D302" s="57" t="s">
        <v>925</v>
      </c>
      <c r="E302" s="183">
        <v>69.12</v>
      </c>
      <c r="F302" s="184">
        <v>0.88081633999999998</v>
      </c>
      <c r="G302" s="185">
        <v>68.571791360000006</v>
      </c>
      <c r="H302" s="184">
        <v>2.5000000000000001E-2</v>
      </c>
      <c r="I302" s="186">
        <v>0.23643998999999999</v>
      </c>
      <c r="J302" s="187">
        <v>22.083067</v>
      </c>
      <c r="K302" s="194">
        <v>3151.2499200000002</v>
      </c>
      <c r="L302" s="185">
        <v>52.006413964310148</v>
      </c>
      <c r="M302" s="195">
        <v>-0.2415771422496765</v>
      </c>
      <c r="N302" s="187">
        <v>21.76018725186989</v>
      </c>
      <c r="O302" s="206" t="s">
        <v>264</v>
      </c>
      <c r="P302" s="206" t="s">
        <v>264</v>
      </c>
      <c r="Q302" s="206" t="s">
        <v>264</v>
      </c>
      <c r="R302" s="206" t="s">
        <v>264</v>
      </c>
      <c r="S302" s="206" t="s">
        <v>264</v>
      </c>
    </row>
    <row r="303" spans="1:19" ht="20" customHeight="1" x14ac:dyDescent="0.15">
      <c r="A303" s="50">
        <v>298</v>
      </c>
      <c r="B303" s="51" t="s">
        <v>1141</v>
      </c>
      <c r="C303" s="52" t="s">
        <v>1142</v>
      </c>
      <c r="D303" s="53" t="s">
        <v>985</v>
      </c>
      <c r="E303" s="189">
        <v>233.33</v>
      </c>
      <c r="F303" s="184">
        <v>3.6147236999999999E-2</v>
      </c>
      <c r="G303" s="190">
        <v>130.67948032000001</v>
      </c>
      <c r="H303" s="184">
        <v>0.109</v>
      </c>
      <c r="I303" s="191">
        <v>0.33476</v>
      </c>
      <c r="J303" s="192">
        <v>19.690294000000002</v>
      </c>
      <c r="K303" s="200">
        <v>4987.3751039999997</v>
      </c>
      <c r="L303" s="190">
        <v>45.484906710916917</v>
      </c>
      <c r="M303" s="195">
        <v>-0.65193535664867797</v>
      </c>
      <c r="N303" s="192">
        <v>26.202054607619509</v>
      </c>
      <c r="O303" s="207" t="s">
        <v>264</v>
      </c>
      <c r="P303" s="207" t="s">
        <v>264</v>
      </c>
      <c r="Q303" s="207" t="s">
        <v>264</v>
      </c>
      <c r="R303" s="207" t="s">
        <v>264</v>
      </c>
      <c r="S303" s="207" t="s">
        <v>264</v>
      </c>
    </row>
    <row r="304" spans="1:19" ht="20" customHeight="1" x14ac:dyDescent="0.15">
      <c r="A304" s="50">
        <v>299</v>
      </c>
      <c r="B304" s="51" t="s">
        <v>1143</v>
      </c>
      <c r="C304" s="52" t="s">
        <v>1144</v>
      </c>
      <c r="D304" s="53" t="s">
        <v>838</v>
      </c>
      <c r="E304" s="183">
        <v>58.71</v>
      </c>
      <c r="F304" s="184">
        <v>0.51275444000000003</v>
      </c>
      <c r="G304" s="185">
        <v>58.222424064000002</v>
      </c>
      <c r="H304" s="184">
        <v>1.4890000000000001</v>
      </c>
      <c r="I304" s="186">
        <v>0.69818999999999998</v>
      </c>
      <c r="J304" s="187">
        <v>43.488888000000003</v>
      </c>
      <c r="K304" s="194">
        <v>2053.8749440000001</v>
      </c>
      <c r="L304" s="185">
        <v>40.695785583493631</v>
      </c>
      <c r="M304" s="195">
        <v>-0.30102900664597049</v>
      </c>
      <c r="N304" s="187">
        <v>28.347599373854582</v>
      </c>
      <c r="O304" s="208" t="s">
        <v>455</v>
      </c>
      <c r="P304" s="209">
        <v>10.199999999999999</v>
      </c>
      <c r="Q304" s="208" t="s">
        <v>461</v>
      </c>
      <c r="R304" s="209">
        <v>57</v>
      </c>
      <c r="S304" s="210" t="s">
        <v>1145</v>
      </c>
    </row>
    <row r="305" spans="1:19" ht="20" customHeight="1" x14ac:dyDescent="0.15">
      <c r="A305" s="54">
        <v>300</v>
      </c>
      <c r="B305" s="55" t="s">
        <v>1146</v>
      </c>
      <c r="C305" s="56" t="s">
        <v>1147</v>
      </c>
      <c r="D305" s="57" t="s">
        <v>1112</v>
      </c>
      <c r="E305" s="189">
        <v>94.67</v>
      </c>
      <c r="F305" s="184">
        <v>0.12769507999999999</v>
      </c>
      <c r="G305" s="190">
        <v>18.678222848000001</v>
      </c>
      <c r="H305" s="184">
        <v>0.09</v>
      </c>
      <c r="I305" s="191">
        <v>0.36692999999999998</v>
      </c>
      <c r="J305" s="192">
        <v>15.937709999999999</v>
      </c>
      <c r="K305" s="200">
        <v>1284.5625600000001</v>
      </c>
      <c r="L305" s="190">
        <v>15.911395550712029</v>
      </c>
      <c r="M305" s="195">
        <v>-0.1481311857024038</v>
      </c>
      <c r="N305" s="192">
        <v>14.5405313723218</v>
      </c>
      <c r="O305" s="207" t="s">
        <v>264</v>
      </c>
      <c r="P305" s="207" t="s">
        <v>264</v>
      </c>
      <c r="Q305" s="207" t="s">
        <v>264</v>
      </c>
      <c r="R305" s="207" t="s">
        <v>264</v>
      </c>
      <c r="S305" s="207" t="s">
        <v>264</v>
      </c>
    </row>
    <row r="306" spans="1:19" ht="20" customHeight="1" x14ac:dyDescent="0.15">
      <c r="A306" s="50">
        <v>301</v>
      </c>
      <c r="B306" s="51" t="s">
        <v>1148</v>
      </c>
      <c r="C306" s="52" t="s">
        <v>1149</v>
      </c>
      <c r="D306" s="53" t="s">
        <v>1042</v>
      </c>
      <c r="E306" s="183">
        <v>116.08</v>
      </c>
      <c r="F306" s="184">
        <v>0.29770827</v>
      </c>
      <c r="G306" s="185">
        <v>61.091307520000001</v>
      </c>
      <c r="H306" s="195">
        <v>-8.8999999999999996E-2</v>
      </c>
      <c r="I306" s="186">
        <v>0.13583000000000001</v>
      </c>
      <c r="J306" s="187">
        <v>24.697873999999999</v>
      </c>
      <c r="K306" s="194">
        <v>1485.1624959999999</v>
      </c>
      <c r="L306" s="185">
        <v>14.77827124868662</v>
      </c>
      <c r="M306" s="195">
        <v>-0.75809535188212285</v>
      </c>
      <c r="N306" s="187">
        <v>41.134425106247768</v>
      </c>
      <c r="O306" s="206" t="s">
        <v>264</v>
      </c>
      <c r="P306" s="206" t="s">
        <v>264</v>
      </c>
      <c r="Q306" s="206" t="s">
        <v>264</v>
      </c>
      <c r="R306" s="206" t="s">
        <v>264</v>
      </c>
      <c r="S306" s="206" t="s">
        <v>264</v>
      </c>
    </row>
    <row r="307" spans="1:19" ht="20" customHeight="1" x14ac:dyDescent="0.15">
      <c r="A307" s="54">
        <v>302</v>
      </c>
      <c r="B307" s="55" t="s">
        <v>1150</v>
      </c>
      <c r="C307" s="56" t="s">
        <v>1151</v>
      </c>
      <c r="D307" s="57" t="s">
        <v>1152</v>
      </c>
      <c r="E307" s="189">
        <v>246.15</v>
      </c>
      <c r="F307" s="184">
        <v>0.71736549999999999</v>
      </c>
      <c r="G307" s="190">
        <v>72.490401792</v>
      </c>
      <c r="H307" s="195">
        <v>-1.2E-2</v>
      </c>
      <c r="I307" s="191">
        <v>0.10308</v>
      </c>
      <c r="J307" s="192">
        <v>18.619513999999999</v>
      </c>
      <c r="K307" s="200">
        <v>2569.3749760000001</v>
      </c>
      <c r="L307" s="190">
        <v>29.157952628950049</v>
      </c>
      <c r="M307" s="195">
        <v>-0.59776809193837432</v>
      </c>
      <c r="N307" s="192">
        <v>28.213245321067529</v>
      </c>
      <c r="O307" s="207" t="s">
        <v>264</v>
      </c>
      <c r="P307" s="207" t="s">
        <v>264</v>
      </c>
      <c r="Q307" s="207" t="s">
        <v>264</v>
      </c>
      <c r="R307" s="207" t="s">
        <v>264</v>
      </c>
      <c r="S307" s="207" t="s">
        <v>264</v>
      </c>
    </row>
    <row r="308" spans="1:19" ht="20" customHeight="1" x14ac:dyDescent="0.15">
      <c r="A308" s="50">
        <v>303</v>
      </c>
      <c r="B308" s="51" t="s">
        <v>1153</v>
      </c>
      <c r="C308" s="52" t="s">
        <v>1154</v>
      </c>
      <c r="D308" s="53" t="s">
        <v>1152</v>
      </c>
      <c r="E308" s="183">
        <v>246.87</v>
      </c>
      <c r="F308" s="184">
        <v>1.0686274</v>
      </c>
      <c r="G308" s="185">
        <v>73.820602367999996</v>
      </c>
      <c r="H308" s="184">
        <v>0.126</v>
      </c>
      <c r="I308" s="186">
        <v>0.14577999999999999</v>
      </c>
      <c r="J308" s="187">
        <v>18.019708999999999</v>
      </c>
      <c r="K308" s="201" t="s">
        <v>264</v>
      </c>
      <c r="L308" s="202" t="s">
        <v>264</v>
      </c>
      <c r="M308" s="203" t="s">
        <v>264</v>
      </c>
      <c r="N308" s="204" t="s">
        <v>264</v>
      </c>
      <c r="O308" s="206" t="s">
        <v>264</v>
      </c>
      <c r="P308" s="206" t="s">
        <v>264</v>
      </c>
      <c r="Q308" s="206" t="s">
        <v>264</v>
      </c>
      <c r="R308" s="206" t="s">
        <v>264</v>
      </c>
      <c r="S308" s="206" t="s">
        <v>264</v>
      </c>
    </row>
    <row r="309" spans="1:19" ht="20" customHeight="1" x14ac:dyDescent="0.15">
      <c r="A309" s="54">
        <v>304</v>
      </c>
      <c r="B309" s="55" t="s">
        <v>1155</v>
      </c>
      <c r="C309" s="56" t="s">
        <v>1156</v>
      </c>
      <c r="D309" s="57" t="s">
        <v>584</v>
      </c>
      <c r="E309" s="189">
        <v>26.66</v>
      </c>
      <c r="F309" s="184">
        <v>0.36298573000000001</v>
      </c>
      <c r="G309" s="190">
        <v>36.927819776</v>
      </c>
      <c r="H309" s="184">
        <v>6.0999999999999999E-2</v>
      </c>
      <c r="I309" s="191">
        <v>0.55966000000000005</v>
      </c>
      <c r="J309" s="192">
        <v>11.744493500000001</v>
      </c>
      <c r="K309" s="200">
        <v>2174.0001280000001</v>
      </c>
      <c r="L309" s="190">
        <v>23.331040881611411</v>
      </c>
      <c r="M309" s="195">
        <v>-0.36819879908603098</v>
      </c>
      <c r="N309" s="192">
        <v>15.19399434548699</v>
      </c>
      <c r="O309" s="207" t="s">
        <v>264</v>
      </c>
      <c r="P309" s="207" t="s">
        <v>264</v>
      </c>
      <c r="Q309" s="207" t="s">
        <v>264</v>
      </c>
      <c r="R309" s="207" t="s">
        <v>264</v>
      </c>
      <c r="S309" s="207" t="s">
        <v>264</v>
      </c>
    </row>
    <row r="310" spans="1:19" ht="20" customHeight="1" x14ac:dyDescent="0.15">
      <c r="A310" s="50">
        <v>305</v>
      </c>
      <c r="B310" s="51" t="s">
        <v>1157</v>
      </c>
      <c r="C310" s="52" t="s">
        <v>1158</v>
      </c>
      <c r="D310" s="53" t="s">
        <v>893</v>
      </c>
      <c r="E310" s="183">
        <v>104.99</v>
      </c>
      <c r="F310" s="195">
        <v>-0.115501285</v>
      </c>
      <c r="G310" s="185">
        <v>14.606430208000001</v>
      </c>
      <c r="H310" s="184">
        <v>6.8000000000000005E-2</v>
      </c>
      <c r="I310" s="186">
        <v>0.37515998</v>
      </c>
      <c r="J310" s="187">
        <v>238.61363</v>
      </c>
      <c r="K310" s="194">
        <v>755.36249599999996</v>
      </c>
      <c r="L310" s="185">
        <v>8.4069982199045974</v>
      </c>
      <c r="M310" s="195">
        <v>-0.42443169890340138</v>
      </c>
      <c r="N310" s="187">
        <v>19.12883027164483</v>
      </c>
      <c r="O310" s="206" t="s">
        <v>264</v>
      </c>
      <c r="P310" s="206" t="s">
        <v>264</v>
      </c>
      <c r="Q310" s="206" t="s">
        <v>264</v>
      </c>
      <c r="R310" s="206" t="s">
        <v>264</v>
      </c>
      <c r="S310" s="206" t="s">
        <v>264</v>
      </c>
    </row>
    <row r="311" spans="1:19" ht="20" customHeight="1" x14ac:dyDescent="0.15">
      <c r="A311" s="54">
        <v>306</v>
      </c>
      <c r="B311" s="55" t="s">
        <v>1159</v>
      </c>
      <c r="C311" s="56" t="s">
        <v>1160</v>
      </c>
      <c r="D311" s="57" t="s">
        <v>1161</v>
      </c>
      <c r="E311" s="189">
        <v>63.68</v>
      </c>
      <c r="F311" s="184">
        <v>0.13552069999999999</v>
      </c>
      <c r="G311" s="190">
        <v>22.420389887999999</v>
      </c>
      <c r="H311" s="184">
        <v>5.0999999999999997E-2</v>
      </c>
      <c r="I311" s="191">
        <v>6.1510000000000002E-2</v>
      </c>
      <c r="J311" s="192">
        <v>113.71429000000001</v>
      </c>
      <c r="K311" s="200">
        <v>1153.2500480000001</v>
      </c>
      <c r="L311" s="190">
        <v>12.133339158102951</v>
      </c>
      <c r="M311" s="195">
        <v>-0.45882568417790792</v>
      </c>
      <c r="N311" s="192">
        <v>15.575299691190651</v>
      </c>
      <c r="O311" s="207" t="s">
        <v>264</v>
      </c>
      <c r="P311" s="207" t="s">
        <v>264</v>
      </c>
      <c r="Q311" s="207" t="s">
        <v>264</v>
      </c>
      <c r="R311" s="207" t="s">
        <v>264</v>
      </c>
      <c r="S311" s="207" t="s">
        <v>264</v>
      </c>
    </row>
    <row r="312" spans="1:19" ht="20" customHeight="1" x14ac:dyDescent="0.15">
      <c r="A312" s="50">
        <v>307</v>
      </c>
      <c r="B312" s="51" t="s">
        <v>1162</v>
      </c>
      <c r="C312" s="52" t="s">
        <v>1163</v>
      </c>
      <c r="D312" s="53" t="s">
        <v>597</v>
      </c>
      <c r="E312" s="183">
        <v>28.57</v>
      </c>
      <c r="F312" s="184">
        <v>0.71385719999999997</v>
      </c>
      <c r="G312" s="185">
        <v>37.908221951999998</v>
      </c>
      <c r="H312" s="184">
        <v>0.184</v>
      </c>
      <c r="I312" s="186">
        <v>0.32071</v>
      </c>
      <c r="J312" s="187">
        <v>10.507809999999999</v>
      </c>
      <c r="K312" s="194">
        <v>2551.5000319999999</v>
      </c>
      <c r="L312" s="185">
        <v>40.315264330445451</v>
      </c>
      <c r="M312" s="184">
        <v>6.3496578169593101E-2</v>
      </c>
      <c r="N312" s="187">
        <v>14.85722941301143</v>
      </c>
      <c r="O312" s="206" t="s">
        <v>264</v>
      </c>
      <c r="P312" s="206" t="s">
        <v>264</v>
      </c>
      <c r="Q312" s="206" t="s">
        <v>264</v>
      </c>
      <c r="R312" s="206" t="s">
        <v>264</v>
      </c>
      <c r="S312" s="206" t="s">
        <v>264</v>
      </c>
    </row>
    <row r="313" spans="1:19" ht="20" customHeight="1" x14ac:dyDescent="0.15">
      <c r="A313" s="54">
        <v>308</v>
      </c>
      <c r="B313" s="55" t="s">
        <v>1164</v>
      </c>
      <c r="C313" s="56" t="s">
        <v>1165</v>
      </c>
      <c r="D313" s="57" t="s">
        <v>1019</v>
      </c>
      <c r="E313" s="189">
        <v>107.57</v>
      </c>
      <c r="F313" s="184">
        <v>0.12568020999999999</v>
      </c>
      <c r="G313" s="190">
        <v>91.399315455999997</v>
      </c>
      <c r="H313" s="195">
        <v>-1.6E-2</v>
      </c>
      <c r="I313" s="191">
        <v>0.22442000000000001</v>
      </c>
      <c r="J313" s="192">
        <v>17.378029000000002</v>
      </c>
      <c r="K313" s="200">
        <v>4676.7498240000004</v>
      </c>
      <c r="L313" s="190">
        <v>35.832801837058767</v>
      </c>
      <c r="M313" s="195">
        <v>-0.60795327997495974</v>
      </c>
      <c r="N313" s="192">
        <v>17.150326203367172</v>
      </c>
      <c r="O313" s="207" t="s">
        <v>264</v>
      </c>
      <c r="P313" s="207" t="s">
        <v>264</v>
      </c>
      <c r="Q313" s="207" t="s">
        <v>264</v>
      </c>
      <c r="R313" s="207" t="s">
        <v>264</v>
      </c>
      <c r="S313" s="207" t="s">
        <v>264</v>
      </c>
    </row>
    <row r="314" spans="1:19" ht="20" customHeight="1" x14ac:dyDescent="0.15">
      <c r="A314" s="50">
        <v>309</v>
      </c>
      <c r="B314" s="51" t="s">
        <v>1166</v>
      </c>
      <c r="C314" s="52" t="s">
        <v>1167</v>
      </c>
      <c r="D314" s="53" t="s">
        <v>1112</v>
      </c>
      <c r="E314" s="183">
        <v>131.6</v>
      </c>
      <c r="F314" s="184">
        <v>0.32487666999999998</v>
      </c>
      <c r="G314" s="185">
        <v>1048.9823887360001</v>
      </c>
      <c r="H314" s="184">
        <v>5.6000000000000001E-2</v>
      </c>
      <c r="I314" s="186">
        <v>0.24926999999999999</v>
      </c>
      <c r="J314" s="187">
        <v>48.382354999999997</v>
      </c>
      <c r="K314" s="194">
        <v>10554.250239999999</v>
      </c>
      <c r="L314" s="185">
        <v>113.1412828760055</v>
      </c>
      <c r="M314" s="195">
        <v>-0.89214186616389413</v>
      </c>
      <c r="N314" s="187">
        <v>99.389566091432741</v>
      </c>
      <c r="O314" s="206" t="s">
        <v>264</v>
      </c>
      <c r="P314" s="206" t="s">
        <v>264</v>
      </c>
      <c r="Q314" s="206" t="s">
        <v>264</v>
      </c>
      <c r="R314" s="206" t="s">
        <v>264</v>
      </c>
      <c r="S314" s="206" t="s">
        <v>264</v>
      </c>
    </row>
    <row r="315" spans="1:19" ht="20" customHeight="1" x14ac:dyDescent="0.15">
      <c r="A315" s="54">
        <v>310</v>
      </c>
      <c r="B315" s="55" t="s">
        <v>1168</v>
      </c>
      <c r="C315" s="56" t="s">
        <v>1169</v>
      </c>
      <c r="D315" s="57" t="s">
        <v>1019</v>
      </c>
      <c r="E315" s="189">
        <v>248.73</v>
      </c>
      <c r="F315" s="184">
        <v>0.86161220000000005</v>
      </c>
      <c r="G315" s="190">
        <v>23.455039488000001</v>
      </c>
      <c r="H315" s="184">
        <v>4.5999999999999999E-2</v>
      </c>
      <c r="I315" s="191">
        <v>0.18861</v>
      </c>
      <c r="J315" s="192">
        <v>38.622669999999999</v>
      </c>
      <c r="K315" s="200">
        <v>829.84998399999995</v>
      </c>
      <c r="L315" s="190">
        <v>7.8576884264782372</v>
      </c>
      <c r="M315" s="195">
        <v>-0.66498933286817252</v>
      </c>
      <c r="N315" s="192">
        <v>28.264193787331571</v>
      </c>
      <c r="O315" s="207" t="s">
        <v>264</v>
      </c>
      <c r="P315" s="207" t="s">
        <v>264</v>
      </c>
      <c r="Q315" s="207" t="s">
        <v>264</v>
      </c>
      <c r="R315" s="207" t="s">
        <v>264</v>
      </c>
      <c r="S315" s="207" t="s">
        <v>264</v>
      </c>
    </row>
    <row r="316" spans="1:19" ht="20" customHeight="1" x14ac:dyDescent="0.15">
      <c r="A316" s="50">
        <v>311</v>
      </c>
      <c r="B316" s="51" t="s">
        <v>1170</v>
      </c>
      <c r="C316" s="52" t="s">
        <v>1171</v>
      </c>
      <c r="D316" s="53" t="s">
        <v>522</v>
      </c>
      <c r="E316" s="183">
        <v>542.21</v>
      </c>
      <c r="F316" s="184">
        <v>5.7422285000000004</v>
      </c>
      <c r="G316" s="185">
        <v>611.46870579200004</v>
      </c>
      <c r="H316" s="184">
        <v>1.9630000000000001</v>
      </c>
      <c r="I316" s="186">
        <v>0.58436999999999995</v>
      </c>
      <c r="J316" s="187">
        <v>25.575942999999999</v>
      </c>
      <c r="K316" s="194">
        <v>2893.4999039999998</v>
      </c>
      <c r="L316" s="185">
        <v>41.164696872277517</v>
      </c>
      <c r="M316" s="195">
        <v>-0.93267898016308248</v>
      </c>
      <c r="N316" s="187">
        <v>211.3249352272002</v>
      </c>
      <c r="O316" s="206" t="s">
        <v>264</v>
      </c>
      <c r="P316" s="206" t="s">
        <v>264</v>
      </c>
      <c r="Q316" s="206" t="s">
        <v>264</v>
      </c>
      <c r="R316" s="206" t="s">
        <v>264</v>
      </c>
      <c r="S316" s="206" t="s">
        <v>264</v>
      </c>
    </row>
    <row r="317" spans="1:19" ht="20" customHeight="1" x14ac:dyDescent="0.15">
      <c r="A317" s="54">
        <v>312</v>
      </c>
      <c r="B317" s="55" t="s">
        <v>1172</v>
      </c>
      <c r="C317" s="56" t="s">
        <v>1173</v>
      </c>
      <c r="D317" s="57" t="s">
        <v>1112</v>
      </c>
      <c r="E317" s="189">
        <v>1011.7</v>
      </c>
      <c r="F317" s="195">
        <v>-3.1431913000000001E-3</v>
      </c>
      <c r="G317" s="190">
        <v>448.84328448000002</v>
      </c>
      <c r="H317" s="184">
        <v>0.215</v>
      </c>
      <c r="I317" s="191">
        <v>0.12926000000000001</v>
      </c>
      <c r="J317" s="192">
        <v>52.637880000000003</v>
      </c>
      <c r="K317" s="200">
        <v>6690.3751679999996</v>
      </c>
      <c r="L317" s="190">
        <v>104.5832473073619</v>
      </c>
      <c r="M317" s="195">
        <v>-0.76699384635212919</v>
      </c>
      <c r="N317" s="192">
        <v>67.087908143748507</v>
      </c>
      <c r="O317" s="207" t="s">
        <v>264</v>
      </c>
      <c r="P317" s="207" t="s">
        <v>264</v>
      </c>
      <c r="Q317" s="207" t="s">
        <v>264</v>
      </c>
      <c r="R317" s="207" t="s">
        <v>264</v>
      </c>
      <c r="S317" s="207" t="s">
        <v>264</v>
      </c>
    </row>
    <row r="318" spans="1:19" ht="20" customHeight="1" x14ac:dyDescent="0.15">
      <c r="A318" s="50">
        <v>313</v>
      </c>
      <c r="B318" s="51" t="s">
        <v>1174</v>
      </c>
      <c r="C318" s="52" t="s">
        <v>1175</v>
      </c>
      <c r="D318" s="53" t="s">
        <v>1042</v>
      </c>
      <c r="E318" s="183">
        <v>577.26</v>
      </c>
      <c r="F318" s="184">
        <v>0.19927703999999999</v>
      </c>
      <c r="G318" s="185">
        <v>155.922137088</v>
      </c>
      <c r="H318" s="195">
        <v>-0.111</v>
      </c>
      <c r="I318" s="186">
        <v>0.26247999999999999</v>
      </c>
      <c r="J318" s="187">
        <v>32.576749999999997</v>
      </c>
      <c r="K318" s="194">
        <v>4200.2501119999997</v>
      </c>
      <c r="L318" s="185">
        <v>30.650160042493489</v>
      </c>
      <c r="M318" s="195">
        <v>-0.80342650110551639</v>
      </c>
      <c r="N318" s="187">
        <v>37.122105934085859</v>
      </c>
      <c r="O318" s="206" t="s">
        <v>264</v>
      </c>
      <c r="P318" s="206" t="s">
        <v>264</v>
      </c>
      <c r="Q318" s="206" t="s">
        <v>264</v>
      </c>
      <c r="R318" s="206" t="s">
        <v>264</v>
      </c>
      <c r="S318" s="206" t="s">
        <v>264</v>
      </c>
    </row>
    <row r="319" spans="1:19" ht="20" customHeight="1" x14ac:dyDescent="0.15">
      <c r="A319" s="54">
        <v>314</v>
      </c>
      <c r="B319" s="55" t="s">
        <v>1176</v>
      </c>
      <c r="C319" s="56" t="s">
        <v>1177</v>
      </c>
      <c r="D319" s="57" t="s">
        <v>622</v>
      </c>
      <c r="E319" s="189">
        <v>286.51</v>
      </c>
      <c r="F319" s="184">
        <v>0.37125491999999999</v>
      </c>
      <c r="G319" s="190">
        <v>299.35416115200002</v>
      </c>
      <c r="H319" s="184">
        <v>0.247</v>
      </c>
      <c r="I319" s="191">
        <v>0.31148999999999999</v>
      </c>
      <c r="J319" s="192">
        <v>35.591304999999998</v>
      </c>
      <c r="K319" s="200">
        <v>5667.9997439999997</v>
      </c>
      <c r="L319" s="190">
        <v>99.006155157520297</v>
      </c>
      <c r="M319" s="195">
        <v>-0.66926748311593054</v>
      </c>
      <c r="N319" s="192">
        <v>52.739337456090396</v>
      </c>
      <c r="O319" s="207" t="s">
        <v>264</v>
      </c>
      <c r="P319" s="207" t="s">
        <v>264</v>
      </c>
      <c r="Q319" s="207" t="s">
        <v>264</v>
      </c>
      <c r="R319" s="207" t="s">
        <v>264</v>
      </c>
      <c r="S319" s="207" t="s">
        <v>264</v>
      </c>
    </row>
    <row r="320" spans="1:19" ht="20" customHeight="1" x14ac:dyDescent="0.15">
      <c r="A320" s="50">
        <v>315</v>
      </c>
      <c r="B320" s="51" t="s">
        <v>1178</v>
      </c>
      <c r="C320" s="52" t="s">
        <v>1179</v>
      </c>
      <c r="D320" s="53" t="s">
        <v>1180</v>
      </c>
      <c r="E320" s="183">
        <v>742.21</v>
      </c>
      <c r="F320" s="184">
        <v>1.3005701999999999</v>
      </c>
      <c r="G320" s="185">
        <v>111.37359872</v>
      </c>
      <c r="H320" s="184">
        <v>0.26300000000000001</v>
      </c>
      <c r="I320" s="186">
        <v>0.15100000999999999</v>
      </c>
      <c r="J320" s="187">
        <v>102.09216000000001</v>
      </c>
      <c r="K320" s="201" t="s">
        <v>264</v>
      </c>
      <c r="L320" s="202" t="s">
        <v>264</v>
      </c>
      <c r="M320" s="203" t="s">
        <v>264</v>
      </c>
      <c r="N320" s="204" t="s">
        <v>264</v>
      </c>
      <c r="O320" s="206" t="s">
        <v>264</v>
      </c>
      <c r="P320" s="206" t="s">
        <v>264</v>
      </c>
      <c r="Q320" s="206" t="s">
        <v>264</v>
      </c>
      <c r="R320" s="206" t="s">
        <v>264</v>
      </c>
      <c r="S320" s="206" t="s">
        <v>264</v>
      </c>
    </row>
    <row r="321" spans="1:19" ht="20" customHeight="1" x14ac:dyDescent="0.15">
      <c r="A321" s="54">
        <v>316</v>
      </c>
      <c r="B321" s="55" t="s">
        <v>1181</v>
      </c>
      <c r="C321" s="56" t="s">
        <v>1182</v>
      </c>
      <c r="D321" s="57" t="s">
        <v>1183</v>
      </c>
      <c r="E321" s="189">
        <v>74.05</v>
      </c>
      <c r="F321" s="184">
        <v>4.8421382999999998E-2</v>
      </c>
      <c r="G321" s="190">
        <v>35.409424383999998</v>
      </c>
      <c r="H321" s="184">
        <v>4.7E-2</v>
      </c>
      <c r="I321" s="191">
        <v>0.18537001</v>
      </c>
      <c r="J321" s="192">
        <v>20.569447</v>
      </c>
      <c r="K321" s="200">
        <v>1868.3750399999999</v>
      </c>
      <c r="L321" s="190">
        <v>19.148826966072509</v>
      </c>
      <c r="M321" s="195">
        <v>-0.45921665491052033</v>
      </c>
      <c r="N321" s="192">
        <v>18.951988420055109</v>
      </c>
      <c r="O321" s="207" t="s">
        <v>264</v>
      </c>
      <c r="P321" s="207" t="s">
        <v>264</v>
      </c>
      <c r="Q321" s="207" t="s">
        <v>264</v>
      </c>
      <c r="R321" s="207" t="s">
        <v>264</v>
      </c>
      <c r="S321" s="207" t="s">
        <v>264</v>
      </c>
    </row>
    <row r="322" spans="1:19" ht="20" customHeight="1" x14ac:dyDescent="0.15">
      <c r="A322" s="50">
        <v>317</v>
      </c>
      <c r="B322" s="51" t="s">
        <v>1184</v>
      </c>
      <c r="C322" s="52" t="s">
        <v>1185</v>
      </c>
      <c r="D322" s="53" t="s">
        <v>777</v>
      </c>
      <c r="E322" s="183">
        <v>37.75</v>
      </c>
      <c r="F322" s="195">
        <v>-0.18904406000000001</v>
      </c>
      <c r="G322" s="185">
        <v>17.442224127999999</v>
      </c>
      <c r="H322" s="184">
        <v>0.68100000000000005</v>
      </c>
      <c r="I322" s="186">
        <v>0.1893</v>
      </c>
      <c r="J322" s="187">
        <v>28.383457</v>
      </c>
      <c r="K322" s="194">
        <v>446.24998399999998</v>
      </c>
      <c r="L322" s="185">
        <v>7.2024558858017906</v>
      </c>
      <c r="M322" s="195">
        <v>-0.58706780551915461</v>
      </c>
      <c r="N322" s="187">
        <v>39.086219435024113</v>
      </c>
      <c r="O322" s="206" t="s">
        <v>264</v>
      </c>
      <c r="P322" s="206" t="s">
        <v>264</v>
      </c>
      <c r="Q322" s="206" t="s">
        <v>264</v>
      </c>
      <c r="R322" s="206" t="s">
        <v>264</v>
      </c>
      <c r="S322" s="206" t="s">
        <v>264</v>
      </c>
    </row>
    <row r="323" spans="1:19" ht="20" customHeight="1" x14ac:dyDescent="0.15">
      <c r="A323" s="54">
        <v>318</v>
      </c>
      <c r="B323" s="55" t="s">
        <v>1186</v>
      </c>
      <c r="C323" s="56" t="s">
        <v>1187</v>
      </c>
      <c r="D323" s="57" t="s">
        <v>769</v>
      </c>
      <c r="E323" s="189">
        <v>26.24</v>
      </c>
      <c r="F323" s="195">
        <v>-5.3391040000000001E-2</v>
      </c>
      <c r="G323" s="190">
        <v>14.373773312000001</v>
      </c>
      <c r="H323" s="184">
        <v>5.5E-2</v>
      </c>
      <c r="I323" s="191">
        <v>0.56667000000000001</v>
      </c>
      <c r="J323" s="192">
        <v>34.077922999999998</v>
      </c>
      <c r="K323" s="200">
        <v>1718.3750399999999</v>
      </c>
      <c r="L323" s="190">
        <v>18.551724153325321</v>
      </c>
      <c r="M323" s="184">
        <v>0.29066486235993028</v>
      </c>
      <c r="N323" s="192">
        <v>5.5754944481502706</v>
      </c>
      <c r="O323" s="207" t="s">
        <v>264</v>
      </c>
      <c r="P323" s="207" t="s">
        <v>264</v>
      </c>
      <c r="Q323" s="207" t="s">
        <v>264</v>
      </c>
      <c r="R323" s="207" t="s">
        <v>264</v>
      </c>
      <c r="S323" s="207" t="s">
        <v>264</v>
      </c>
    </row>
    <row r="324" spans="1:19" ht="20" customHeight="1" x14ac:dyDescent="0.15">
      <c r="A324" s="50">
        <v>319</v>
      </c>
      <c r="B324" s="51" t="s">
        <v>1188</v>
      </c>
      <c r="C324" s="52" t="s">
        <v>1189</v>
      </c>
      <c r="D324" s="53" t="s">
        <v>1003</v>
      </c>
      <c r="E324" s="183">
        <v>152.75</v>
      </c>
      <c r="F324" s="184">
        <v>0.47913240000000001</v>
      </c>
      <c r="G324" s="185">
        <v>634.91447193600004</v>
      </c>
      <c r="H324" s="195">
        <v>-1.2999999999999999E-2</v>
      </c>
      <c r="I324" s="186">
        <v>0.31048999999999999</v>
      </c>
      <c r="J324" s="187">
        <v>25.715488000000001</v>
      </c>
      <c r="K324" s="194">
        <v>12229.749760000001</v>
      </c>
      <c r="L324" s="185">
        <v>132.84919114648201</v>
      </c>
      <c r="M324" s="195">
        <v>-0.79076049291900008</v>
      </c>
      <c r="N324" s="187">
        <v>51.915571708414909</v>
      </c>
      <c r="O324" s="206" t="s">
        <v>264</v>
      </c>
      <c r="P324" s="206" t="s">
        <v>264</v>
      </c>
      <c r="Q324" s="206" t="s">
        <v>264</v>
      </c>
      <c r="R324" s="206" t="s">
        <v>264</v>
      </c>
      <c r="S324" s="206" t="s">
        <v>264</v>
      </c>
    </row>
    <row r="325" spans="1:19" ht="20" customHeight="1" x14ac:dyDescent="0.15">
      <c r="A325" s="54">
        <v>320</v>
      </c>
      <c r="B325" s="55" t="s">
        <v>1190</v>
      </c>
      <c r="C325" s="56" t="s">
        <v>1191</v>
      </c>
      <c r="D325" s="57" t="s">
        <v>838</v>
      </c>
      <c r="E325" s="189">
        <v>50.56</v>
      </c>
      <c r="F325" s="184">
        <v>0.65120840000000002</v>
      </c>
      <c r="G325" s="190">
        <v>31.420022784</v>
      </c>
      <c r="H325" s="195">
        <v>-0.121</v>
      </c>
      <c r="I325" s="191">
        <v>0.47699000000000003</v>
      </c>
      <c r="J325" s="192">
        <v>12.124701</v>
      </c>
      <c r="K325" s="200">
        <v>2122.3750399999999</v>
      </c>
      <c r="L325" s="190">
        <v>16.733558280776229</v>
      </c>
      <c r="M325" s="195">
        <v>-0.46742373817445321</v>
      </c>
      <c r="N325" s="192">
        <v>14.804179716248459</v>
      </c>
      <c r="O325" s="207" t="s">
        <v>264</v>
      </c>
      <c r="P325" s="207" t="s">
        <v>264</v>
      </c>
      <c r="Q325" s="207" t="s">
        <v>264</v>
      </c>
      <c r="R325" s="207" t="s">
        <v>264</v>
      </c>
      <c r="S325" s="207" t="s">
        <v>264</v>
      </c>
    </row>
    <row r="326" spans="1:19" ht="20" customHeight="1" x14ac:dyDescent="0.15">
      <c r="A326" s="54">
        <v>321</v>
      </c>
      <c r="B326" s="55" t="s">
        <v>1192</v>
      </c>
      <c r="C326" s="56" t="s">
        <v>1193</v>
      </c>
      <c r="D326" s="57" t="s">
        <v>1194</v>
      </c>
      <c r="E326" s="183">
        <v>63.94</v>
      </c>
      <c r="F326" s="184">
        <v>0.1749357</v>
      </c>
      <c r="G326" s="185">
        <v>56.201003008000001</v>
      </c>
      <c r="H326" s="184">
        <v>0.20399999999999999</v>
      </c>
      <c r="I326" s="186">
        <v>0.49019000000000001</v>
      </c>
      <c r="J326" s="187">
        <v>18.426511999999999</v>
      </c>
      <c r="K326" s="194">
        <v>-9005.8752000000004</v>
      </c>
      <c r="L326" s="188" t="s">
        <v>264</v>
      </c>
      <c r="M326" s="188" t="s">
        <v>264</v>
      </c>
      <c r="N326" s="187">
        <v>-6.2404822137641878</v>
      </c>
      <c r="O326" s="206" t="s">
        <v>264</v>
      </c>
      <c r="P326" s="206" t="s">
        <v>264</v>
      </c>
      <c r="Q326" s="206" t="s">
        <v>264</v>
      </c>
      <c r="R326" s="206" t="s">
        <v>264</v>
      </c>
      <c r="S326" s="206" t="s">
        <v>264</v>
      </c>
    </row>
    <row r="327" spans="1:19" ht="20" customHeight="1" x14ac:dyDescent="0.15">
      <c r="A327" s="50">
        <v>322</v>
      </c>
      <c r="B327" s="51" t="s">
        <v>1195</v>
      </c>
      <c r="C327" s="52" t="s">
        <v>1196</v>
      </c>
      <c r="D327" s="53" t="s">
        <v>1094</v>
      </c>
      <c r="E327" s="189">
        <v>814.02</v>
      </c>
      <c r="F327" s="184">
        <v>0.15137196</v>
      </c>
      <c r="G327" s="190">
        <v>99.707240447999993</v>
      </c>
      <c r="H327" s="184">
        <v>0.114</v>
      </c>
      <c r="I327" s="191">
        <v>3.4529999999999998E-2</v>
      </c>
      <c r="J327" s="192">
        <v>23.472318999999999</v>
      </c>
      <c r="K327" s="200">
        <v>9158.5003519999991</v>
      </c>
      <c r="L327" s="190">
        <v>126.8448597277669</v>
      </c>
      <c r="M327" s="184">
        <v>0.27217300526855792</v>
      </c>
      <c r="N327" s="192">
        <v>10.88685211562462</v>
      </c>
      <c r="O327" s="207" t="s">
        <v>264</v>
      </c>
      <c r="P327" s="207" t="s">
        <v>264</v>
      </c>
      <c r="Q327" s="207" t="s">
        <v>264</v>
      </c>
      <c r="R327" s="207" t="s">
        <v>264</v>
      </c>
      <c r="S327" s="207" t="s">
        <v>264</v>
      </c>
    </row>
    <row r="328" spans="1:19" ht="20" customHeight="1" x14ac:dyDescent="0.15">
      <c r="A328" s="54">
        <v>323</v>
      </c>
      <c r="B328" s="55" t="s">
        <v>1197</v>
      </c>
      <c r="C328" s="56" t="s">
        <v>1198</v>
      </c>
      <c r="D328" s="57" t="s">
        <v>1199</v>
      </c>
      <c r="E328" s="183">
        <v>67.77</v>
      </c>
      <c r="F328" s="195">
        <v>-7.0115269999999993E-2</v>
      </c>
      <c r="G328" s="185">
        <v>42.888183808000001</v>
      </c>
      <c r="H328" s="184">
        <v>1.2E-2</v>
      </c>
      <c r="I328" s="186">
        <v>0.24099999999999999</v>
      </c>
      <c r="J328" s="187">
        <v>44.006492999999999</v>
      </c>
      <c r="K328" s="194">
        <v>3398.8748799999998</v>
      </c>
      <c r="L328" s="185">
        <v>29.174576006550339</v>
      </c>
      <c r="M328" s="195">
        <v>-0.31975258879793461</v>
      </c>
      <c r="N328" s="187">
        <v>12.214115147854461</v>
      </c>
      <c r="O328" s="208" t="s">
        <v>455</v>
      </c>
      <c r="P328" s="209">
        <v>3.4</v>
      </c>
      <c r="Q328" s="208" t="s">
        <v>461</v>
      </c>
      <c r="R328" s="209">
        <v>28.5</v>
      </c>
      <c r="S328" s="210" t="s">
        <v>1200</v>
      </c>
    </row>
    <row r="329" spans="1:19" ht="20" customHeight="1" x14ac:dyDescent="0.15">
      <c r="A329" s="50">
        <v>324</v>
      </c>
      <c r="B329" s="51" t="s">
        <v>1201</v>
      </c>
      <c r="C329" s="52" t="s">
        <v>1202</v>
      </c>
      <c r="D329" s="53" t="s">
        <v>1094</v>
      </c>
      <c r="E329" s="189">
        <v>195.24</v>
      </c>
      <c r="F329" s="184">
        <v>0.28455817999999999</v>
      </c>
      <c r="G329" s="190">
        <v>45.943099392000001</v>
      </c>
      <c r="H329" s="184">
        <v>0.11</v>
      </c>
      <c r="I329" s="191">
        <v>3.7550001999999999E-2</v>
      </c>
      <c r="J329" s="192">
        <v>29.853211999999999</v>
      </c>
      <c r="K329" s="200">
        <v>4856.875008</v>
      </c>
      <c r="L329" s="190">
        <v>67.582626894110803</v>
      </c>
      <c r="M329" s="184">
        <v>0.47100713248525111</v>
      </c>
      <c r="N329" s="192">
        <v>9.4593949583147268</v>
      </c>
      <c r="O329" s="207" t="s">
        <v>264</v>
      </c>
      <c r="P329" s="207" t="s">
        <v>264</v>
      </c>
      <c r="Q329" s="207" t="s">
        <v>264</v>
      </c>
      <c r="R329" s="207" t="s">
        <v>264</v>
      </c>
      <c r="S329" s="207" t="s">
        <v>264</v>
      </c>
    </row>
    <row r="330" spans="1:19" ht="20" customHeight="1" x14ac:dyDescent="0.15">
      <c r="A330" s="54">
        <v>325</v>
      </c>
      <c r="B330" s="55" t="s">
        <v>1203</v>
      </c>
      <c r="C330" s="56" t="s">
        <v>1204</v>
      </c>
      <c r="D330" s="57" t="s">
        <v>1071</v>
      </c>
      <c r="E330" s="183">
        <v>53.34</v>
      </c>
      <c r="F330" s="195">
        <v>-0.10772836</v>
      </c>
      <c r="G330" s="185">
        <v>26.339131391999999</v>
      </c>
      <c r="H330" s="184">
        <v>5.0999999999999997E-2</v>
      </c>
      <c r="I330" s="186">
        <v>0.10559</v>
      </c>
      <c r="J330" s="187">
        <v>12.023398</v>
      </c>
      <c r="K330" s="194">
        <v>6847.4997759999997</v>
      </c>
      <c r="L330" s="185">
        <v>79.888407201403396</v>
      </c>
      <c r="M330" s="184">
        <v>2.0330691628528021</v>
      </c>
      <c r="N330" s="187">
        <v>3.8465327260494102</v>
      </c>
      <c r="O330" s="206" t="s">
        <v>264</v>
      </c>
      <c r="P330" s="206" t="s">
        <v>264</v>
      </c>
      <c r="Q330" s="206" t="s">
        <v>264</v>
      </c>
      <c r="R330" s="206" t="s">
        <v>264</v>
      </c>
      <c r="S330" s="206" t="s">
        <v>264</v>
      </c>
    </row>
    <row r="331" spans="1:19" ht="20" customHeight="1" x14ac:dyDescent="0.15">
      <c r="A331" s="50">
        <v>326</v>
      </c>
      <c r="B331" s="51" t="s">
        <v>1205</v>
      </c>
      <c r="C331" s="52" t="s">
        <v>1206</v>
      </c>
      <c r="D331" s="53" t="s">
        <v>1152</v>
      </c>
      <c r="E331" s="189">
        <v>176.19</v>
      </c>
      <c r="F331" s="184">
        <v>0.64817583999999995</v>
      </c>
      <c r="G331" s="190">
        <v>70.640738303999996</v>
      </c>
      <c r="H331" s="184">
        <v>6.9000000000000006E-2</v>
      </c>
      <c r="I331" s="191">
        <v>0.12520000000000001</v>
      </c>
      <c r="J331" s="192">
        <v>17.427301</v>
      </c>
      <c r="K331" s="200">
        <v>-1134.4999680000001</v>
      </c>
      <c r="L331" s="197" t="s">
        <v>264</v>
      </c>
      <c r="M331" s="198" t="s">
        <v>264</v>
      </c>
      <c r="N331" s="192">
        <v>-62.265970177444729</v>
      </c>
      <c r="O331" s="207" t="s">
        <v>264</v>
      </c>
      <c r="P331" s="207" t="s">
        <v>264</v>
      </c>
      <c r="Q331" s="207" t="s">
        <v>264</v>
      </c>
      <c r="R331" s="207" t="s">
        <v>264</v>
      </c>
      <c r="S331" s="207" t="s">
        <v>264</v>
      </c>
    </row>
    <row r="332" spans="1:19" ht="20" customHeight="1" x14ac:dyDescent="0.15">
      <c r="A332" s="54">
        <v>327</v>
      </c>
      <c r="B332" s="55" t="s">
        <v>1207</v>
      </c>
      <c r="C332" s="56" t="s">
        <v>1208</v>
      </c>
      <c r="D332" s="57" t="s">
        <v>736</v>
      </c>
      <c r="E332" s="183">
        <v>117.46</v>
      </c>
      <c r="F332" s="184">
        <v>8.0588820000000005E-2</v>
      </c>
      <c r="G332" s="185">
        <v>38.256676863999999</v>
      </c>
      <c r="H332" s="184">
        <v>0.111</v>
      </c>
      <c r="I332" s="186">
        <v>0.42377999999999999</v>
      </c>
      <c r="J332" s="187">
        <v>24.369292999999999</v>
      </c>
      <c r="K332" s="194">
        <v>-2139.3374720000002</v>
      </c>
      <c r="L332" s="188" t="s">
        <v>264</v>
      </c>
      <c r="M332" s="188" t="s">
        <v>264</v>
      </c>
      <c r="N332" s="187">
        <v>-17.882487665639321</v>
      </c>
      <c r="O332" s="206" t="s">
        <v>264</v>
      </c>
      <c r="P332" s="206" t="s">
        <v>264</v>
      </c>
      <c r="Q332" s="206" t="s">
        <v>264</v>
      </c>
      <c r="R332" s="206" t="s">
        <v>264</v>
      </c>
      <c r="S332" s="206" t="s">
        <v>264</v>
      </c>
    </row>
    <row r="333" spans="1:19" ht="20" customHeight="1" x14ac:dyDescent="0.15">
      <c r="A333" s="50">
        <v>328</v>
      </c>
      <c r="B333" s="51" t="s">
        <v>1209</v>
      </c>
      <c r="C333" s="52" t="s">
        <v>1210</v>
      </c>
      <c r="D333" s="53" t="s">
        <v>898</v>
      </c>
      <c r="E333" s="189">
        <v>158.25</v>
      </c>
      <c r="F333" s="184">
        <v>0.16257715</v>
      </c>
      <c r="G333" s="190">
        <v>37.208502271999997</v>
      </c>
      <c r="H333" s="184">
        <v>0.111</v>
      </c>
      <c r="I333" s="191">
        <v>0.25546000000000002</v>
      </c>
      <c r="J333" s="192">
        <v>71.078550000000007</v>
      </c>
      <c r="K333" s="200">
        <v>1107.258368</v>
      </c>
      <c r="L333" s="190">
        <v>19.947517739898199</v>
      </c>
      <c r="M333" s="195">
        <v>-0.46389893379532682</v>
      </c>
      <c r="N333" s="192">
        <v>33.604172626808271</v>
      </c>
      <c r="O333" s="207" t="s">
        <v>264</v>
      </c>
      <c r="P333" s="207" t="s">
        <v>264</v>
      </c>
      <c r="Q333" s="207" t="s">
        <v>264</v>
      </c>
      <c r="R333" s="207" t="s">
        <v>264</v>
      </c>
      <c r="S333" s="207" t="s">
        <v>264</v>
      </c>
    </row>
    <row r="334" spans="1:19" ht="20" customHeight="1" x14ac:dyDescent="0.15">
      <c r="A334" s="54">
        <v>329</v>
      </c>
      <c r="B334" s="55" t="s">
        <v>1211</v>
      </c>
      <c r="C334" s="56" t="s">
        <v>1212</v>
      </c>
      <c r="D334" s="57" t="s">
        <v>819</v>
      </c>
      <c r="E334" s="183">
        <v>158.26</v>
      </c>
      <c r="F334" s="184">
        <v>2.4851353</v>
      </c>
      <c r="G334" s="185">
        <v>135.954210816</v>
      </c>
      <c r="H334" s="184">
        <v>0.2</v>
      </c>
      <c r="I334" s="186">
        <v>0.36468</v>
      </c>
      <c r="J334" s="187">
        <v>76.45411</v>
      </c>
      <c r="K334" s="194">
        <v>744.12499200000002</v>
      </c>
      <c r="L334" s="185">
        <v>12.004706413247799</v>
      </c>
      <c r="M334" s="195">
        <v>-0.91170037072632537</v>
      </c>
      <c r="N334" s="187">
        <v>182.70346712410921</v>
      </c>
      <c r="O334" s="206" t="s">
        <v>264</v>
      </c>
      <c r="P334" s="206" t="s">
        <v>264</v>
      </c>
      <c r="Q334" s="206" t="s">
        <v>264</v>
      </c>
      <c r="R334" s="206" t="s">
        <v>264</v>
      </c>
      <c r="S334" s="206" t="s">
        <v>264</v>
      </c>
    </row>
    <row r="335" spans="1:19" ht="20" customHeight="1" x14ac:dyDescent="0.15">
      <c r="A335" s="50">
        <v>330</v>
      </c>
      <c r="B335" s="51" t="s">
        <v>1213</v>
      </c>
      <c r="C335" s="52" t="s">
        <v>1214</v>
      </c>
      <c r="D335" s="53" t="s">
        <v>898</v>
      </c>
      <c r="E335" s="189">
        <v>103.08</v>
      </c>
      <c r="F335" s="184">
        <v>0.119096756</v>
      </c>
      <c r="G335" s="190">
        <v>182.60826521600001</v>
      </c>
      <c r="H335" s="184">
        <v>5.1999999999999998E-2</v>
      </c>
      <c r="I335" s="191">
        <v>0.37284001999999999</v>
      </c>
      <c r="J335" s="192">
        <v>15.1811495</v>
      </c>
      <c r="K335" s="200">
        <v>3174.5000960000002</v>
      </c>
      <c r="L335" s="190">
        <v>35.120730546569163</v>
      </c>
      <c r="M335" s="195">
        <v>-0.80767173651736823</v>
      </c>
      <c r="N335" s="192">
        <v>57.523471639258688</v>
      </c>
      <c r="O335" s="207" t="s">
        <v>264</v>
      </c>
      <c r="P335" s="207" t="s">
        <v>264</v>
      </c>
      <c r="Q335" s="207" t="s">
        <v>264</v>
      </c>
      <c r="R335" s="207" t="s">
        <v>264</v>
      </c>
      <c r="S335" s="207" t="s">
        <v>264</v>
      </c>
    </row>
    <row r="336" spans="1:19" ht="20" customHeight="1" x14ac:dyDescent="0.15">
      <c r="A336" s="54">
        <v>331</v>
      </c>
      <c r="B336" s="55" t="s">
        <v>1215</v>
      </c>
      <c r="C336" s="56" t="s">
        <v>1216</v>
      </c>
      <c r="D336" s="57" t="s">
        <v>649</v>
      </c>
      <c r="E336" s="183">
        <v>80.849999999999994</v>
      </c>
      <c r="F336" s="184">
        <v>0.29546547000000001</v>
      </c>
      <c r="G336" s="185">
        <v>54.279172096000003</v>
      </c>
      <c r="H336" s="195">
        <v>-1.7000000000000001E-2</v>
      </c>
      <c r="I336" s="186">
        <v>0.47289999999999999</v>
      </c>
      <c r="J336" s="187">
        <v>46.2</v>
      </c>
      <c r="K336" s="194">
        <v>2929.9998719999999</v>
      </c>
      <c r="L336" s="185">
        <v>22.986551799830082</v>
      </c>
      <c r="M336" s="195">
        <v>-0.5765124832933104</v>
      </c>
      <c r="N336" s="187">
        <v>18.525315890082059</v>
      </c>
      <c r="O336" s="206" t="s">
        <v>264</v>
      </c>
      <c r="P336" s="206" t="s">
        <v>264</v>
      </c>
      <c r="Q336" s="206" t="s">
        <v>264</v>
      </c>
      <c r="R336" s="206" t="s">
        <v>264</v>
      </c>
      <c r="S336" s="206" t="s">
        <v>264</v>
      </c>
    </row>
    <row r="337" spans="1:19" ht="20" customHeight="1" x14ac:dyDescent="0.15">
      <c r="A337" s="50">
        <v>332</v>
      </c>
      <c r="B337" s="51" t="s">
        <v>1217</v>
      </c>
      <c r="C337" s="52" t="s">
        <v>1218</v>
      </c>
      <c r="D337" s="53" t="s">
        <v>851</v>
      </c>
      <c r="E337" s="189">
        <v>11.84</v>
      </c>
      <c r="F337" s="184">
        <v>0.11069416999999999</v>
      </c>
      <c r="G337" s="190">
        <v>7.8308003839999998</v>
      </c>
      <c r="H337" s="184">
        <v>0.108</v>
      </c>
      <c r="I337" s="191">
        <v>0.22872000000000001</v>
      </c>
      <c r="J337" s="192">
        <v>38.193550000000002</v>
      </c>
      <c r="K337" s="200">
        <v>861.12499200000002</v>
      </c>
      <c r="L337" s="190">
        <v>17.05512618781524</v>
      </c>
      <c r="M337" s="184">
        <v>1.177954404592219</v>
      </c>
      <c r="N337" s="192">
        <v>9.093685695839147</v>
      </c>
      <c r="O337" s="207" t="s">
        <v>264</v>
      </c>
      <c r="P337" s="207" t="s">
        <v>264</v>
      </c>
      <c r="Q337" s="207" t="s">
        <v>264</v>
      </c>
      <c r="R337" s="207" t="s">
        <v>264</v>
      </c>
      <c r="S337" s="207" t="s">
        <v>264</v>
      </c>
    </row>
    <row r="338" spans="1:19" ht="20" customHeight="1" x14ac:dyDescent="0.15">
      <c r="A338" s="54">
        <v>333</v>
      </c>
      <c r="B338" s="55" t="s">
        <v>1219</v>
      </c>
      <c r="C338" s="56" t="s">
        <v>1220</v>
      </c>
      <c r="D338" s="57" t="s">
        <v>622</v>
      </c>
      <c r="E338" s="183">
        <v>239.51</v>
      </c>
      <c r="F338" s="184">
        <v>0.55183360000000004</v>
      </c>
      <c r="G338" s="185">
        <v>96.029155328000002</v>
      </c>
      <c r="H338" s="184">
        <v>0.14599999999999999</v>
      </c>
      <c r="I338" s="186">
        <v>0.34173999999999999</v>
      </c>
      <c r="J338" s="187">
        <v>64.557950000000005</v>
      </c>
      <c r="K338" s="194">
        <v>917.24998400000004</v>
      </c>
      <c r="L338" s="185">
        <v>15.294384847287141</v>
      </c>
      <c r="M338" s="195">
        <v>-0.84073186112022746</v>
      </c>
      <c r="N338" s="187">
        <v>104.6333123043914</v>
      </c>
      <c r="O338" s="206" t="s">
        <v>264</v>
      </c>
      <c r="P338" s="206" t="s">
        <v>264</v>
      </c>
      <c r="Q338" s="206" t="s">
        <v>264</v>
      </c>
      <c r="R338" s="206" t="s">
        <v>264</v>
      </c>
      <c r="S338" s="206" t="s">
        <v>264</v>
      </c>
    </row>
    <row r="339" spans="1:19" ht="20" customHeight="1" x14ac:dyDescent="0.15">
      <c r="A339" s="50">
        <v>334</v>
      </c>
      <c r="B339" s="51" t="s">
        <v>1221</v>
      </c>
      <c r="C339" s="52" t="s">
        <v>1222</v>
      </c>
      <c r="D339" s="53" t="s">
        <v>780</v>
      </c>
      <c r="E339" s="189">
        <v>196.06</v>
      </c>
      <c r="F339" s="195">
        <v>-0.21039063</v>
      </c>
      <c r="G339" s="190">
        <v>212.17704345600001</v>
      </c>
      <c r="H339" s="184">
        <v>0.106</v>
      </c>
      <c r="I339" s="191">
        <v>0.63292999999999999</v>
      </c>
      <c r="J339" s="192">
        <v>20.835280999999998</v>
      </c>
      <c r="K339" s="200">
        <v>10791.749631999999</v>
      </c>
      <c r="L339" s="190">
        <v>143.37524470271251</v>
      </c>
      <c r="M339" s="195">
        <v>-0.3242659885943564</v>
      </c>
      <c r="N339" s="192">
        <v>19.661043301622438</v>
      </c>
      <c r="O339" s="211" t="s">
        <v>474</v>
      </c>
      <c r="P339" s="211" t="s">
        <v>264</v>
      </c>
      <c r="Q339" s="211" t="s">
        <v>475</v>
      </c>
      <c r="R339" s="212">
        <v>152</v>
      </c>
      <c r="S339" s="213" t="s">
        <v>1223</v>
      </c>
    </row>
    <row r="340" spans="1:19" ht="20" customHeight="1" x14ac:dyDescent="0.15">
      <c r="A340" s="54">
        <v>335</v>
      </c>
      <c r="B340" s="55" t="s">
        <v>1224</v>
      </c>
      <c r="C340" s="56" t="s">
        <v>1225</v>
      </c>
      <c r="D340" s="57" t="s">
        <v>1019</v>
      </c>
      <c r="E340" s="183">
        <v>393.67</v>
      </c>
      <c r="F340" s="184">
        <v>0.81423104000000002</v>
      </c>
      <c r="G340" s="185">
        <v>93.932322815999996</v>
      </c>
      <c r="H340" s="184">
        <v>8.3000000000000004E-2</v>
      </c>
      <c r="I340" s="186">
        <v>0.27551999999999999</v>
      </c>
      <c r="J340" s="187">
        <v>21.006938999999999</v>
      </c>
      <c r="K340" s="194">
        <v>894</v>
      </c>
      <c r="L340" s="185">
        <v>16.23832926251308</v>
      </c>
      <c r="M340" s="195">
        <v>-0.82712735322939213</v>
      </c>
      <c r="N340" s="187">
        <v>105.06971100058171</v>
      </c>
      <c r="O340" s="206" t="s">
        <v>264</v>
      </c>
      <c r="P340" s="206" t="s">
        <v>264</v>
      </c>
      <c r="Q340" s="206" t="s">
        <v>264</v>
      </c>
      <c r="R340" s="206" t="s">
        <v>264</v>
      </c>
      <c r="S340" s="206" t="s">
        <v>264</v>
      </c>
    </row>
    <row r="341" spans="1:19" ht="20" customHeight="1" x14ac:dyDescent="0.15">
      <c r="A341" s="50">
        <v>336</v>
      </c>
      <c r="B341" s="51" t="s">
        <v>1226</v>
      </c>
      <c r="C341" s="52" t="s">
        <v>1227</v>
      </c>
      <c r="D341" s="53" t="s">
        <v>838</v>
      </c>
      <c r="E341" s="189">
        <v>40.130000000000003</v>
      </c>
      <c r="F341" s="184">
        <v>1.5890321999999999</v>
      </c>
      <c r="G341" s="190">
        <v>14.181958656000001</v>
      </c>
      <c r="H341" s="195">
        <v>-0.28000000000000003</v>
      </c>
      <c r="I341" s="191">
        <v>0.68013999999999997</v>
      </c>
      <c r="J341" s="192">
        <v>10.057644</v>
      </c>
      <c r="K341" s="200">
        <v>1960.875008</v>
      </c>
      <c r="L341" s="190">
        <v>14.87296656110925</v>
      </c>
      <c r="M341" s="184">
        <v>4.8724433759148332E-2</v>
      </c>
      <c r="N341" s="192">
        <v>7.2324643620630003</v>
      </c>
      <c r="O341" s="207" t="s">
        <v>264</v>
      </c>
      <c r="P341" s="207" t="s">
        <v>264</v>
      </c>
      <c r="Q341" s="207" t="s">
        <v>264</v>
      </c>
      <c r="R341" s="207" t="s">
        <v>264</v>
      </c>
      <c r="S341" s="207" t="s">
        <v>264</v>
      </c>
    </row>
    <row r="342" spans="1:19" ht="20" customHeight="1" x14ac:dyDescent="0.15">
      <c r="A342" s="54">
        <v>337</v>
      </c>
      <c r="B342" s="55" t="s">
        <v>1228</v>
      </c>
      <c r="C342" s="56" t="s">
        <v>1229</v>
      </c>
      <c r="D342" s="57" t="s">
        <v>1194</v>
      </c>
      <c r="E342" s="183">
        <v>46.92</v>
      </c>
      <c r="F342" s="184">
        <v>8.8883760000000006E-2</v>
      </c>
      <c r="G342" s="185">
        <v>27.139989503999999</v>
      </c>
      <c r="H342" s="184">
        <v>0.11600000000000001</v>
      </c>
      <c r="I342" s="186">
        <v>0.68425005999999999</v>
      </c>
      <c r="J342" s="187">
        <v>25.499998000000001</v>
      </c>
      <c r="K342" s="194">
        <v>-1835.124992</v>
      </c>
      <c r="L342" s="188" t="s">
        <v>264</v>
      </c>
      <c r="M342" s="188" t="s">
        <v>264</v>
      </c>
      <c r="N342" s="187">
        <v>-14.78917831172995</v>
      </c>
      <c r="O342" s="206" t="s">
        <v>264</v>
      </c>
      <c r="P342" s="206" t="s">
        <v>264</v>
      </c>
      <c r="Q342" s="206" t="s">
        <v>264</v>
      </c>
      <c r="R342" s="206" t="s">
        <v>264</v>
      </c>
      <c r="S342" s="206" t="s">
        <v>264</v>
      </c>
    </row>
    <row r="343" spans="1:19" ht="20" customHeight="1" x14ac:dyDescent="0.15">
      <c r="A343" s="50">
        <v>338</v>
      </c>
      <c r="B343" s="51" t="s">
        <v>1230</v>
      </c>
      <c r="C343" s="52" t="s">
        <v>1231</v>
      </c>
      <c r="D343" s="53" t="s">
        <v>527</v>
      </c>
      <c r="E343" s="189">
        <v>1085.03</v>
      </c>
      <c r="F343" s="184">
        <v>0.2285074</v>
      </c>
      <c r="G343" s="190">
        <v>107.01026918399999</v>
      </c>
      <c r="H343" s="184">
        <v>0.121</v>
      </c>
      <c r="I343" s="191">
        <v>0.51605999999999996</v>
      </c>
      <c r="J343" s="192">
        <v>75.192660000000004</v>
      </c>
      <c r="K343" s="200">
        <v>2725.1251200000002</v>
      </c>
      <c r="L343" s="190">
        <v>39.492502012629878</v>
      </c>
      <c r="M343" s="195">
        <v>-0.63094661555589526</v>
      </c>
      <c r="N343" s="192">
        <v>39.268020034045257</v>
      </c>
      <c r="O343" s="207" t="s">
        <v>264</v>
      </c>
      <c r="P343" s="207" t="s">
        <v>264</v>
      </c>
      <c r="Q343" s="207" t="s">
        <v>264</v>
      </c>
      <c r="R343" s="207" t="s">
        <v>264</v>
      </c>
      <c r="S343" s="207" t="s">
        <v>264</v>
      </c>
    </row>
    <row r="344" spans="1:19" ht="20" customHeight="1" x14ac:dyDescent="0.15">
      <c r="A344" s="54">
        <v>339</v>
      </c>
      <c r="B344" s="55" t="s">
        <v>1232</v>
      </c>
      <c r="C344" s="56" t="s">
        <v>1233</v>
      </c>
      <c r="D344" s="57" t="s">
        <v>1194</v>
      </c>
      <c r="E344" s="183">
        <v>46.5</v>
      </c>
      <c r="F344" s="184">
        <v>1.0869622000000001E-2</v>
      </c>
      <c r="G344" s="185">
        <v>47.577640959999997</v>
      </c>
      <c r="H344" s="195">
        <v>-1.0999999999999999E-2</v>
      </c>
      <c r="I344" s="186">
        <v>0.42930000000000001</v>
      </c>
      <c r="J344" s="187">
        <v>17.032966999999999</v>
      </c>
      <c r="K344" s="194">
        <v>-2124.249984</v>
      </c>
      <c r="L344" s="188" t="s">
        <v>264</v>
      </c>
      <c r="M344" s="188" t="s">
        <v>264</v>
      </c>
      <c r="N344" s="187">
        <v>-22.3973835894354</v>
      </c>
      <c r="O344" s="206" t="s">
        <v>264</v>
      </c>
      <c r="P344" s="206" t="s">
        <v>264</v>
      </c>
      <c r="Q344" s="206" t="s">
        <v>264</v>
      </c>
      <c r="R344" s="206" t="s">
        <v>264</v>
      </c>
      <c r="S344" s="206" t="s">
        <v>264</v>
      </c>
    </row>
    <row r="345" spans="1:19" ht="20" customHeight="1" x14ac:dyDescent="0.15">
      <c r="A345" s="50">
        <v>340</v>
      </c>
      <c r="B345" s="51" t="s">
        <v>1234</v>
      </c>
      <c r="C345" s="52" t="s">
        <v>1235</v>
      </c>
      <c r="D345" s="53" t="s">
        <v>1236</v>
      </c>
      <c r="E345" s="189">
        <v>78.77</v>
      </c>
      <c r="F345" s="195">
        <v>-5.1535249999999998E-2</v>
      </c>
      <c r="G345" s="190">
        <v>41.976532992000003</v>
      </c>
      <c r="H345" s="184">
        <v>1.6E-2</v>
      </c>
      <c r="I345" s="191">
        <v>0.34991001999999999</v>
      </c>
      <c r="J345" s="192">
        <v>13.867957000000001</v>
      </c>
      <c r="K345" s="196" t="s">
        <v>264</v>
      </c>
      <c r="L345" s="197" t="s">
        <v>264</v>
      </c>
      <c r="M345" s="198" t="s">
        <v>264</v>
      </c>
      <c r="N345" s="199" t="s">
        <v>264</v>
      </c>
      <c r="O345" s="207" t="s">
        <v>264</v>
      </c>
      <c r="P345" s="207" t="s">
        <v>264</v>
      </c>
      <c r="Q345" s="207" t="s">
        <v>264</v>
      </c>
      <c r="R345" s="207" t="s">
        <v>264</v>
      </c>
      <c r="S345" s="207" t="s">
        <v>264</v>
      </c>
    </row>
    <row r="346" spans="1:19" ht="20" customHeight="1" x14ac:dyDescent="0.15">
      <c r="A346" s="54">
        <v>341</v>
      </c>
      <c r="B346" s="55" t="s">
        <v>1237</v>
      </c>
      <c r="C346" s="56" t="s">
        <v>1238</v>
      </c>
      <c r="D346" s="57" t="s">
        <v>649</v>
      </c>
      <c r="E346" s="183">
        <v>23.15</v>
      </c>
      <c r="F346" s="195">
        <v>-0.24346404999999999</v>
      </c>
      <c r="G346" s="185">
        <v>7.3581501439999997</v>
      </c>
      <c r="H346" s="184">
        <v>5.6000000000000001E-2</v>
      </c>
      <c r="I346" s="186">
        <v>0.1578</v>
      </c>
      <c r="J346" s="187">
        <v>13.617646000000001</v>
      </c>
      <c r="K346" s="194">
        <v>-433.04998399999999</v>
      </c>
      <c r="L346" s="188" t="s">
        <v>264</v>
      </c>
      <c r="M346" s="188" t="s">
        <v>264</v>
      </c>
      <c r="N346" s="187">
        <v>-16.99145613777462</v>
      </c>
      <c r="O346" s="206" t="s">
        <v>264</v>
      </c>
      <c r="P346" s="206" t="s">
        <v>264</v>
      </c>
      <c r="Q346" s="206" t="s">
        <v>264</v>
      </c>
      <c r="R346" s="206" t="s">
        <v>264</v>
      </c>
      <c r="S346" s="206" t="s">
        <v>264</v>
      </c>
    </row>
    <row r="347" spans="1:19" ht="20" customHeight="1" x14ac:dyDescent="0.15">
      <c r="A347" s="50">
        <v>342</v>
      </c>
      <c r="B347" s="51" t="s">
        <v>1239</v>
      </c>
      <c r="C347" s="52" t="s">
        <v>1240</v>
      </c>
      <c r="D347" s="53" t="s">
        <v>1241</v>
      </c>
      <c r="E347" s="189">
        <v>38.53</v>
      </c>
      <c r="F347" s="195">
        <v>-0.41876602000000002</v>
      </c>
      <c r="G347" s="190">
        <v>5.4643522559999997</v>
      </c>
      <c r="H347" s="195">
        <v>-1.2E-2</v>
      </c>
      <c r="I347" s="191">
        <v>0.12139</v>
      </c>
      <c r="J347" s="192">
        <v>22.934525000000001</v>
      </c>
      <c r="K347" s="200">
        <v>-88.674248000000006</v>
      </c>
      <c r="L347" s="197" t="s">
        <v>264</v>
      </c>
      <c r="M347" s="198" t="s">
        <v>264</v>
      </c>
      <c r="N347" s="192">
        <v>-61.622762777193223</v>
      </c>
      <c r="O347" s="207" t="s">
        <v>264</v>
      </c>
      <c r="P347" s="207" t="s">
        <v>264</v>
      </c>
      <c r="Q347" s="207" t="s">
        <v>264</v>
      </c>
      <c r="R347" s="207" t="s">
        <v>264</v>
      </c>
      <c r="S347" s="207" t="s">
        <v>264</v>
      </c>
    </row>
    <row r="348" spans="1:19" ht="20" customHeight="1" x14ac:dyDescent="0.15">
      <c r="A348" s="54">
        <v>343</v>
      </c>
      <c r="B348" s="55" t="s">
        <v>1242</v>
      </c>
      <c r="C348" s="56" t="s">
        <v>1243</v>
      </c>
      <c r="D348" s="57" t="s">
        <v>609</v>
      </c>
      <c r="E348" s="183">
        <v>173.85</v>
      </c>
      <c r="F348" s="195">
        <v>-0.33733564999999999</v>
      </c>
      <c r="G348" s="185">
        <v>20.972326912</v>
      </c>
      <c r="H348" s="184">
        <v>0.14299999999999999</v>
      </c>
      <c r="I348" s="186">
        <v>0.56123999999999996</v>
      </c>
      <c r="J348" s="187">
        <v>30.607396999999999</v>
      </c>
      <c r="K348" s="194">
        <v>1024.6625280000001</v>
      </c>
      <c r="L348" s="185">
        <v>14.922586312814859</v>
      </c>
      <c r="M348" s="195">
        <v>-0.28846301245302353</v>
      </c>
      <c r="N348" s="187">
        <v>20.20249373718681</v>
      </c>
      <c r="O348" s="206" t="s">
        <v>264</v>
      </c>
      <c r="P348" s="206" t="s">
        <v>264</v>
      </c>
      <c r="Q348" s="206" t="s">
        <v>264</v>
      </c>
      <c r="R348" s="206" t="s">
        <v>264</v>
      </c>
      <c r="S348" s="206" t="s">
        <v>264</v>
      </c>
    </row>
    <row r="349" spans="1:19" ht="20" customHeight="1" x14ac:dyDescent="0.15">
      <c r="A349" s="50">
        <v>344</v>
      </c>
      <c r="B349" s="51" t="s">
        <v>1244</v>
      </c>
      <c r="C349" s="52" t="s">
        <v>1245</v>
      </c>
      <c r="D349" s="53" t="s">
        <v>864</v>
      </c>
      <c r="E349" s="189">
        <v>105.98</v>
      </c>
      <c r="F349" s="184">
        <v>0.27717520000000001</v>
      </c>
      <c r="G349" s="190">
        <v>11.051943936000001</v>
      </c>
      <c r="H349" s="184">
        <v>1.4999999999999999E-2</v>
      </c>
      <c r="I349" s="191">
        <v>0.68184995999999998</v>
      </c>
      <c r="J349" s="192">
        <v>33.75159</v>
      </c>
      <c r="K349" s="200">
        <v>414.476992</v>
      </c>
      <c r="L349" s="190">
        <v>4.8054175623928161</v>
      </c>
      <c r="M349" s="195">
        <v>-0.56519707390661744</v>
      </c>
      <c r="N349" s="192">
        <v>26.603452835519519</v>
      </c>
      <c r="O349" s="207" t="s">
        <v>264</v>
      </c>
      <c r="P349" s="207" t="s">
        <v>264</v>
      </c>
      <c r="Q349" s="207" t="s">
        <v>264</v>
      </c>
      <c r="R349" s="207" t="s">
        <v>264</v>
      </c>
      <c r="S349" s="207" t="s">
        <v>264</v>
      </c>
    </row>
    <row r="350" spans="1:19" ht="20" customHeight="1" x14ac:dyDescent="0.15">
      <c r="A350" s="54">
        <v>345</v>
      </c>
      <c r="B350" s="55" t="s">
        <v>1246</v>
      </c>
      <c r="C350" s="56" t="s">
        <v>1247</v>
      </c>
      <c r="D350" s="57" t="s">
        <v>736</v>
      </c>
      <c r="E350" s="183">
        <v>110.49</v>
      </c>
      <c r="F350" s="184">
        <v>8.8567730000000001E-3</v>
      </c>
      <c r="G350" s="185">
        <v>40.706863104</v>
      </c>
      <c r="H350" s="184">
        <v>8.8999999999999996E-2</v>
      </c>
      <c r="I350" s="186">
        <v>0.53251000000000004</v>
      </c>
      <c r="J350" s="187">
        <v>19.625221</v>
      </c>
      <c r="K350" s="194">
        <v>-145.25</v>
      </c>
      <c r="L350" s="188" t="s">
        <v>264</v>
      </c>
      <c r="M350" s="188" t="s">
        <v>264</v>
      </c>
      <c r="N350" s="187">
        <v>-280.25379325672981</v>
      </c>
      <c r="O350" s="206" t="s">
        <v>264</v>
      </c>
      <c r="P350" s="206" t="s">
        <v>264</v>
      </c>
      <c r="Q350" s="206" t="s">
        <v>264</v>
      </c>
      <c r="R350" s="206" t="s">
        <v>264</v>
      </c>
      <c r="S350" s="206" t="s">
        <v>264</v>
      </c>
    </row>
    <row r="351" spans="1:19" ht="20" customHeight="1" x14ac:dyDescent="0.15">
      <c r="A351" s="50">
        <v>346</v>
      </c>
      <c r="B351" s="51" t="s">
        <v>1248</v>
      </c>
      <c r="C351" s="52" t="s">
        <v>1249</v>
      </c>
      <c r="D351" s="53" t="s">
        <v>736</v>
      </c>
      <c r="E351" s="189">
        <v>148.79</v>
      </c>
      <c r="F351" s="184">
        <v>8.852148E-2</v>
      </c>
      <c r="G351" s="190">
        <v>30.952501248000001</v>
      </c>
      <c r="H351" s="184">
        <v>0.158</v>
      </c>
      <c r="I351" s="191">
        <v>0.28011000000000003</v>
      </c>
      <c r="J351" s="192">
        <v>24.431854000000001</v>
      </c>
      <c r="K351" s="200">
        <v>-2261.1251200000002</v>
      </c>
      <c r="L351" s="193" t="s">
        <v>264</v>
      </c>
      <c r="M351" s="193" t="s">
        <v>264</v>
      </c>
      <c r="N351" s="192">
        <v>-13.68898308839716</v>
      </c>
      <c r="O351" s="207" t="s">
        <v>264</v>
      </c>
      <c r="P351" s="207" t="s">
        <v>264</v>
      </c>
      <c r="Q351" s="207" t="s">
        <v>264</v>
      </c>
      <c r="R351" s="207" t="s">
        <v>264</v>
      </c>
      <c r="S351" s="207" t="s">
        <v>264</v>
      </c>
    </row>
    <row r="352" spans="1:19" ht="20" customHeight="1" x14ac:dyDescent="0.15">
      <c r="A352" s="54">
        <v>347</v>
      </c>
      <c r="B352" s="55" t="s">
        <v>1250</v>
      </c>
      <c r="C352" s="56" t="s">
        <v>1251</v>
      </c>
      <c r="D352" s="57" t="s">
        <v>1180</v>
      </c>
      <c r="E352" s="183">
        <v>128.91999999999999</v>
      </c>
      <c r="F352" s="184">
        <v>2.8264999999999998E-2</v>
      </c>
      <c r="G352" s="185">
        <v>15.141229568</v>
      </c>
      <c r="H352" s="184">
        <v>0.123</v>
      </c>
      <c r="I352" s="186">
        <v>0.24445998999999999</v>
      </c>
      <c r="J352" s="187">
        <v>34.015830000000001</v>
      </c>
      <c r="K352" s="194">
        <v>1088.8666880000001</v>
      </c>
      <c r="L352" s="185">
        <v>16.669930996598978</v>
      </c>
      <c r="M352" s="184">
        <v>0.10096283275631671</v>
      </c>
      <c r="N352" s="187">
        <v>13.905494958038419</v>
      </c>
      <c r="O352" s="206" t="s">
        <v>264</v>
      </c>
      <c r="P352" s="206" t="s">
        <v>264</v>
      </c>
      <c r="Q352" s="206" t="s">
        <v>264</v>
      </c>
      <c r="R352" s="206" t="s">
        <v>264</v>
      </c>
      <c r="S352" s="206" t="s">
        <v>264</v>
      </c>
    </row>
    <row r="353" spans="1:19" ht="20" customHeight="1" x14ac:dyDescent="0.15">
      <c r="A353" s="50">
        <v>348</v>
      </c>
      <c r="B353" s="51" t="s">
        <v>1252</v>
      </c>
      <c r="C353" s="52" t="s">
        <v>1253</v>
      </c>
      <c r="D353" s="53" t="s">
        <v>933</v>
      </c>
      <c r="E353" s="189">
        <v>193.88</v>
      </c>
      <c r="F353" s="184">
        <v>2.3462203000000001</v>
      </c>
      <c r="G353" s="190">
        <v>22.855911423999999</v>
      </c>
      <c r="H353" s="184">
        <v>0.159</v>
      </c>
      <c r="I353" s="191">
        <v>0.13097</v>
      </c>
      <c r="J353" s="192">
        <v>21.514037999999999</v>
      </c>
      <c r="K353" s="200">
        <v>453.28636799999998</v>
      </c>
      <c r="L353" s="190">
        <v>7.7079436310398242</v>
      </c>
      <c r="M353" s="195">
        <v>-0.6627592972316978</v>
      </c>
      <c r="N353" s="192">
        <v>50.422671549566651</v>
      </c>
      <c r="O353" s="207" t="s">
        <v>264</v>
      </c>
      <c r="P353" s="207" t="s">
        <v>264</v>
      </c>
      <c r="Q353" s="207" t="s">
        <v>264</v>
      </c>
      <c r="R353" s="207" t="s">
        <v>264</v>
      </c>
      <c r="S353" s="207" t="s">
        <v>264</v>
      </c>
    </row>
    <row r="354" spans="1:19" ht="20" customHeight="1" x14ac:dyDescent="0.15">
      <c r="A354" s="54">
        <v>349</v>
      </c>
      <c r="B354" s="55" t="s">
        <v>1254</v>
      </c>
      <c r="C354" s="56" t="s">
        <v>1255</v>
      </c>
      <c r="D354" s="57" t="s">
        <v>755</v>
      </c>
      <c r="E354" s="183">
        <v>46.24</v>
      </c>
      <c r="F354" s="184">
        <v>0.69213899999999995</v>
      </c>
      <c r="G354" s="185">
        <v>18.952722432000002</v>
      </c>
      <c r="H354" s="188" t="s">
        <v>264</v>
      </c>
      <c r="I354" s="186">
        <v>0.34500997999999999</v>
      </c>
      <c r="J354" s="187">
        <v>220.19049000000001</v>
      </c>
      <c r="K354" s="194">
        <v>13435.374592</v>
      </c>
      <c r="L354" s="185">
        <v>117.1654641046586</v>
      </c>
      <c r="M354" s="184">
        <v>5.1819859666617099</v>
      </c>
      <c r="N354" s="187">
        <v>1.4106581808240219</v>
      </c>
      <c r="O354" s="206" t="s">
        <v>264</v>
      </c>
      <c r="P354" s="206" t="s">
        <v>264</v>
      </c>
      <c r="Q354" s="206" t="s">
        <v>264</v>
      </c>
      <c r="R354" s="206" t="s">
        <v>264</v>
      </c>
      <c r="S354" s="206" t="s">
        <v>264</v>
      </c>
    </row>
    <row r="355" spans="1:19" ht="20" customHeight="1" x14ac:dyDescent="0.15">
      <c r="A355" s="50">
        <v>350</v>
      </c>
      <c r="B355" s="51" t="s">
        <v>1256</v>
      </c>
      <c r="C355" s="52" t="s">
        <v>1257</v>
      </c>
      <c r="D355" s="53" t="s">
        <v>1258</v>
      </c>
      <c r="E355" s="189">
        <v>48.08</v>
      </c>
      <c r="F355" s="184">
        <v>0.2230984</v>
      </c>
      <c r="G355" s="190">
        <v>23.00787712</v>
      </c>
      <c r="H355" s="184">
        <v>0.19800000000000001</v>
      </c>
      <c r="I355" s="191">
        <v>0.50614000000000003</v>
      </c>
      <c r="J355" s="192">
        <v>24.656410000000001</v>
      </c>
      <c r="K355" s="200">
        <v>-1115.5999999999999</v>
      </c>
      <c r="L355" s="193" t="s">
        <v>264</v>
      </c>
      <c r="M355" s="193" t="s">
        <v>264</v>
      </c>
      <c r="N355" s="192">
        <v>-20.6237673553962</v>
      </c>
      <c r="O355" s="207" t="s">
        <v>264</v>
      </c>
      <c r="P355" s="207" t="s">
        <v>264</v>
      </c>
      <c r="Q355" s="207" t="s">
        <v>264</v>
      </c>
      <c r="R355" s="207" t="s">
        <v>264</v>
      </c>
      <c r="S355" s="207" t="s">
        <v>264</v>
      </c>
    </row>
    <row r="356" spans="1:19" ht="20" customHeight="1" x14ac:dyDescent="0.15">
      <c r="A356" s="54">
        <v>351</v>
      </c>
      <c r="B356" s="55" t="s">
        <v>1259</v>
      </c>
      <c r="C356" s="56" t="s">
        <v>1260</v>
      </c>
      <c r="D356" s="57" t="s">
        <v>736</v>
      </c>
      <c r="E356" s="183">
        <v>113.56</v>
      </c>
      <c r="F356" s="184">
        <v>0.14073324000000001</v>
      </c>
      <c r="G356" s="185">
        <v>31.416737791999999</v>
      </c>
      <c r="H356" s="195">
        <v>-8.7999999999999995E-2</v>
      </c>
      <c r="I356" s="186">
        <v>0.49243999999999999</v>
      </c>
      <c r="J356" s="187">
        <v>21.226168000000001</v>
      </c>
      <c r="K356" s="194">
        <v>-1484.3750399999999</v>
      </c>
      <c r="L356" s="188" t="s">
        <v>264</v>
      </c>
      <c r="M356" s="188" t="s">
        <v>264</v>
      </c>
      <c r="N356" s="187">
        <v>-21.164960810470109</v>
      </c>
      <c r="O356" s="206" t="s">
        <v>264</v>
      </c>
      <c r="P356" s="206" t="s">
        <v>264</v>
      </c>
      <c r="Q356" s="206" t="s">
        <v>264</v>
      </c>
      <c r="R356" s="206" t="s">
        <v>264</v>
      </c>
      <c r="S356" s="206" t="s">
        <v>264</v>
      </c>
    </row>
    <row r="357" spans="1:19" ht="20" customHeight="1" x14ac:dyDescent="0.15">
      <c r="A357" s="50">
        <v>352</v>
      </c>
      <c r="B357" s="51" t="s">
        <v>1261</v>
      </c>
      <c r="C357" s="52" t="s">
        <v>1262</v>
      </c>
      <c r="D357" s="53" t="s">
        <v>498</v>
      </c>
      <c r="E357" s="189">
        <v>29.84</v>
      </c>
      <c r="F357" s="184">
        <v>0.49125433000000002</v>
      </c>
      <c r="G357" s="190">
        <v>15.505972224000001</v>
      </c>
      <c r="H357" s="184">
        <v>8.6999999999999994E-2</v>
      </c>
      <c r="I357" s="191">
        <v>0.37355998000000001</v>
      </c>
      <c r="J357" s="192">
        <v>22.778627</v>
      </c>
      <c r="K357" s="200">
        <v>-242.13750400000001</v>
      </c>
      <c r="L357" s="197" t="s">
        <v>264</v>
      </c>
      <c r="M357" s="198" t="s">
        <v>264</v>
      </c>
      <c r="N357" s="192">
        <v>-64.037882021283252</v>
      </c>
      <c r="O357" s="207" t="s">
        <v>264</v>
      </c>
      <c r="P357" s="207" t="s">
        <v>264</v>
      </c>
      <c r="Q357" s="207" t="s">
        <v>264</v>
      </c>
      <c r="R357" s="207" t="s">
        <v>264</v>
      </c>
      <c r="S357" s="207" t="s">
        <v>264</v>
      </c>
    </row>
    <row r="358" spans="1:19" ht="20" customHeight="1" x14ac:dyDescent="0.15">
      <c r="A358" s="54">
        <v>353</v>
      </c>
      <c r="B358" s="55" t="s">
        <v>1263</v>
      </c>
      <c r="C358" s="56" t="s">
        <v>1264</v>
      </c>
      <c r="D358" s="57" t="s">
        <v>1194</v>
      </c>
      <c r="E358" s="183">
        <v>94.67</v>
      </c>
      <c r="F358" s="184">
        <v>0.25623667</v>
      </c>
      <c r="G358" s="185">
        <v>61.850992640000001</v>
      </c>
      <c r="H358" s="195">
        <v>-2E-3</v>
      </c>
      <c r="I358" s="186">
        <v>0.41183999999999998</v>
      </c>
      <c r="J358" s="187">
        <v>34.425452999999997</v>
      </c>
      <c r="K358" s="194">
        <v>-27727.874048000001</v>
      </c>
      <c r="L358" s="188" t="s">
        <v>264</v>
      </c>
      <c r="M358" s="188" t="s">
        <v>264</v>
      </c>
      <c r="N358" s="187">
        <v>-2.230643177672011</v>
      </c>
      <c r="O358" s="206" t="s">
        <v>264</v>
      </c>
      <c r="P358" s="206" t="s">
        <v>264</v>
      </c>
      <c r="Q358" s="206" t="s">
        <v>264</v>
      </c>
      <c r="R358" s="206" t="s">
        <v>264</v>
      </c>
      <c r="S358" s="206" t="s">
        <v>264</v>
      </c>
    </row>
    <row r="359" spans="1:19" ht="20" customHeight="1" x14ac:dyDescent="0.15">
      <c r="A359" s="50">
        <v>354</v>
      </c>
      <c r="B359" s="51" t="s">
        <v>1265</v>
      </c>
      <c r="C359" s="52" t="s">
        <v>1266</v>
      </c>
      <c r="D359" s="53" t="s">
        <v>741</v>
      </c>
      <c r="E359" s="189">
        <v>227.38</v>
      </c>
      <c r="F359" s="184">
        <v>0.21945727000000001</v>
      </c>
      <c r="G359" s="190">
        <v>179.24418764800001</v>
      </c>
      <c r="H359" s="184">
        <v>0.14000000000000001</v>
      </c>
      <c r="I359" s="191">
        <v>4.8249997000000003E-2</v>
      </c>
      <c r="J359" s="192">
        <v>90.230159999999998</v>
      </c>
      <c r="K359" s="200">
        <v>2554.249984</v>
      </c>
      <c r="L359" s="190">
        <v>56.17383001250073</v>
      </c>
      <c r="M359" s="195">
        <v>-0.68660724372934767</v>
      </c>
      <c r="N359" s="192">
        <v>70.174879180024689</v>
      </c>
      <c r="O359" s="207" t="s">
        <v>264</v>
      </c>
      <c r="P359" s="207" t="s">
        <v>264</v>
      </c>
      <c r="Q359" s="207" t="s">
        <v>264</v>
      </c>
      <c r="R359" s="207" t="s">
        <v>264</v>
      </c>
      <c r="S359" s="207" t="s">
        <v>264</v>
      </c>
    </row>
    <row r="360" spans="1:19" ht="20" customHeight="1" x14ac:dyDescent="0.15">
      <c r="A360" s="54">
        <v>355</v>
      </c>
      <c r="B360" s="55" t="s">
        <v>1267</v>
      </c>
      <c r="C360" s="56" t="s">
        <v>1268</v>
      </c>
      <c r="D360" s="57" t="s">
        <v>1083</v>
      </c>
      <c r="E360" s="183">
        <v>75.77</v>
      </c>
      <c r="F360" s="184">
        <v>0.66967832999999999</v>
      </c>
      <c r="G360" s="185">
        <v>68.319170560000003</v>
      </c>
      <c r="H360" s="195">
        <v>-8.9999999999999993E-3</v>
      </c>
      <c r="I360" s="186">
        <v>0.111420006</v>
      </c>
      <c r="J360" s="187">
        <v>27.653283999999999</v>
      </c>
      <c r="K360" s="194">
        <v>22466.625536</v>
      </c>
      <c r="L360" s="185">
        <v>175.53167269687401</v>
      </c>
      <c r="M360" s="184">
        <v>1.5692886968338799</v>
      </c>
      <c r="N360" s="187">
        <v>3.0409182596503839</v>
      </c>
      <c r="O360" s="206" t="s">
        <v>264</v>
      </c>
      <c r="P360" s="206" t="s">
        <v>264</v>
      </c>
      <c r="Q360" s="206" t="s">
        <v>264</v>
      </c>
      <c r="R360" s="206" t="s">
        <v>264</v>
      </c>
      <c r="S360" s="206" t="s">
        <v>264</v>
      </c>
    </row>
    <row r="361" spans="1:19" ht="20" customHeight="1" x14ac:dyDescent="0.15">
      <c r="A361" s="50">
        <v>356</v>
      </c>
      <c r="B361" s="51" t="s">
        <v>1269</v>
      </c>
      <c r="C361" s="52" t="s">
        <v>1270</v>
      </c>
      <c r="D361" s="53" t="s">
        <v>498</v>
      </c>
      <c r="E361" s="189">
        <v>133.78</v>
      </c>
      <c r="F361" s="184">
        <v>0.62788999999999995</v>
      </c>
      <c r="G361" s="190">
        <v>91.823783935999998</v>
      </c>
      <c r="H361" s="184">
        <v>0.13400000000000001</v>
      </c>
      <c r="I361" s="191">
        <v>0</v>
      </c>
      <c r="J361" s="192">
        <v>16.618632999999999</v>
      </c>
      <c r="K361" s="193" t="s">
        <v>264</v>
      </c>
      <c r="L361" s="193" t="s">
        <v>264</v>
      </c>
      <c r="M361" s="193" t="s">
        <v>264</v>
      </c>
      <c r="N361" s="193" t="s">
        <v>264</v>
      </c>
      <c r="O361" s="207" t="s">
        <v>264</v>
      </c>
      <c r="P361" s="207" t="s">
        <v>264</v>
      </c>
      <c r="Q361" s="207" t="s">
        <v>264</v>
      </c>
      <c r="R361" s="207" t="s">
        <v>264</v>
      </c>
      <c r="S361" s="207" t="s">
        <v>264</v>
      </c>
    </row>
    <row r="362" spans="1:19" ht="20" customHeight="1" x14ac:dyDescent="0.15">
      <c r="A362" s="54">
        <v>357</v>
      </c>
      <c r="B362" s="55" t="s">
        <v>1271</v>
      </c>
      <c r="C362" s="56" t="s">
        <v>1272</v>
      </c>
      <c r="D362" s="57" t="s">
        <v>736</v>
      </c>
      <c r="E362" s="183">
        <v>76.03</v>
      </c>
      <c r="F362" s="184">
        <v>4.0936470000000003E-2</v>
      </c>
      <c r="G362" s="185">
        <v>23.487158271999999</v>
      </c>
      <c r="H362" s="184">
        <v>0.11600000000000001</v>
      </c>
      <c r="I362" s="186">
        <v>0.40545999999999999</v>
      </c>
      <c r="J362" s="187">
        <v>21.060942000000001</v>
      </c>
      <c r="K362" s="194">
        <v>-2156</v>
      </c>
      <c r="L362" s="188" t="s">
        <v>264</v>
      </c>
      <c r="M362" s="188" t="s">
        <v>264</v>
      </c>
      <c r="N362" s="187">
        <v>-10.893857764406309</v>
      </c>
      <c r="O362" s="206" t="s">
        <v>264</v>
      </c>
      <c r="P362" s="206" t="s">
        <v>264</v>
      </c>
      <c r="Q362" s="206" t="s">
        <v>264</v>
      </c>
      <c r="R362" s="206" t="s">
        <v>264</v>
      </c>
      <c r="S362" s="206" t="s">
        <v>264</v>
      </c>
    </row>
    <row r="363" spans="1:19" ht="20" customHeight="1" x14ac:dyDescent="0.15">
      <c r="A363" s="50">
        <v>358</v>
      </c>
      <c r="B363" s="51" t="s">
        <v>1273</v>
      </c>
      <c r="C363" s="52" t="s">
        <v>1274</v>
      </c>
      <c r="D363" s="53" t="s">
        <v>736</v>
      </c>
      <c r="E363" s="189">
        <v>103.54</v>
      </c>
      <c r="F363" s="184">
        <v>0.10254502</v>
      </c>
      <c r="G363" s="190">
        <v>12.5309952</v>
      </c>
      <c r="H363" s="184">
        <v>0.03</v>
      </c>
      <c r="I363" s="191">
        <v>0.41601001999999998</v>
      </c>
      <c r="J363" s="192">
        <v>20.502970000000001</v>
      </c>
      <c r="K363" s="200">
        <v>-601.88390400000003</v>
      </c>
      <c r="L363" s="193" t="s">
        <v>264</v>
      </c>
      <c r="M363" s="193" t="s">
        <v>264</v>
      </c>
      <c r="N363" s="192">
        <v>-20.819623061526499</v>
      </c>
      <c r="O363" s="207" t="s">
        <v>264</v>
      </c>
      <c r="P363" s="207" t="s">
        <v>264</v>
      </c>
      <c r="Q363" s="207" t="s">
        <v>264</v>
      </c>
      <c r="R363" s="207" t="s">
        <v>264</v>
      </c>
      <c r="S363" s="207" t="s">
        <v>264</v>
      </c>
    </row>
    <row r="364" spans="1:19" ht="20" customHeight="1" x14ac:dyDescent="0.15">
      <c r="A364" s="54">
        <v>359</v>
      </c>
      <c r="B364" s="55" t="s">
        <v>1275</v>
      </c>
      <c r="C364" s="56" t="s">
        <v>1276</v>
      </c>
      <c r="D364" s="57" t="s">
        <v>1258</v>
      </c>
      <c r="E364" s="183">
        <v>43.35</v>
      </c>
      <c r="F364" s="184">
        <v>0.114969134</v>
      </c>
      <c r="G364" s="185">
        <v>28.358246399999999</v>
      </c>
      <c r="H364" s="184">
        <v>1.9E-2</v>
      </c>
      <c r="I364" s="186">
        <v>0.4592</v>
      </c>
      <c r="J364" s="187">
        <v>26.595089999999999</v>
      </c>
      <c r="K364" s="194">
        <v>-4945.3752320000003</v>
      </c>
      <c r="L364" s="188" t="s">
        <v>264</v>
      </c>
      <c r="M364" s="188" t="s">
        <v>264</v>
      </c>
      <c r="N364" s="187">
        <v>-5.7342963127453954</v>
      </c>
      <c r="O364" s="206" t="s">
        <v>264</v>
      </c>
      <c r="P364" s="206" t="s">
        <v>264</v>
      </c>
      <c r="Q364" s="206" t="s">
        <v>264</v>
      </c>
      <c r="R364" s="206" t="s">
        <v>264</v>
      </c>
      <c r="S364" s="206" t="s">
        <v>264</v>
      </c>
    </row>
    <row r="365" spans="1:19" ht="20" customHeight="1" x14ac:dyDescent="0.15">
      <c r="A365" s="50">
        <v>360</v>
      </c>
      <c r="B365" s="51" t="s">
        <v>1277</v>
      </c>
      <c r="C365" s="52" t="s">
        <v>1278</v>
      </c>
      <c r="D365" s="53" t="s">
        <v>1279</v>
      </c>
      <c r="E365" s="189">
        <v>56.55</v>
      </c>
      <c r="F365" s="184">
        <v>0.51405619999999996</v>
      </c>
      <c r="G365" s="190">
        <v>81.177616384000004</v>
      </c>
      <c r="H365" s="184">
        <v>8.7999999999999995E-2</v>
      </c>
      <c r="I365" s="191">
        <v>0.37098998</v>
      </c>
      <c r="J365" s="192">
        <v>29.920635000000001</v>
      </c>
      <c r="K365" s="200">
        <v>1398</v>
      </c>
      <c r="L365" s="190">
        <v>19.266709725197021</v>
      </c>
      <c r="M365" s="195">
        <v>-0.76265982442674363</v>
      </c>
      <c r="N365" s="192">
        <v>58.066964105364796</v>
      </c>
      <c r="O365" s="207" t="s">
        <v>264</v>
      </c>
      <c r="P365" s="207" t="s">
        <v>264</v>
      </c>
      <c r="Q365" s="207" t="s">
        <v>264</v>
      </c>
      <c r="R365" s="207" t="s">
        <v>264</v>
      </c>
      <c r="S365" s="207" t="s">
        <v>264</v>
      </c>
    </row>
    <row r="366" spans="1:19" ht="20" customHeight="1" x14ac:dyDescent="0.15">
      <c r="A366" s="54">
        <v>361</v>
      </c>
      <c r="B366" s="55" t="s">
        <v>1280</v>
      </c>
      <c r="C366" s="56" t="s">
        <v>1281</v>
      </c>
      <c r="D366" s="57" t="s">
        <v>736</v>
      </c>
      <c r="E366" s="183">
        <v>96.71</v>
      </c>
      <c r="F366" s="184">
        <v>6.2163589999999998E-2</v>
      </c>
      <c r="G366" s="185">
        <v>109.021577216</v>
      </c>
      <c r="H366" s="184">
        <v>0.10100000000000001</v>
      </c>
      <c r="I366" s="186">
        <v>0.48469000000000001</v>
      </c>
      <c r="J366" s="187">
        <v>24.734014999999999</v>
      </c>
      <c r="K366" s="194">
        <v>-3460.1249280000002</v>
      </c>
      <c r="L366" s="188" t="s">
        <v>264</v>
      </c>
      <c r="M366" s="188" t="s">
        <v>264</v>
      </c>
      <c r="N366" s="187">
        <v>-31.507989499343299</v>
      </c>
      <c r="O366" s="206" t="s">
        <v>264</v>
      </c>
      <c r="P366" s="206" t="s">
        <v>264</v>
      </c>
      <c r="Q366" s="206" t="s">
        <v>264</v>
      </c>
      <c r="R366" s="206" t="s">
        <v>264</v>
      </c>
      <c r="S366" s="206" t="s">
        <v>264</v>
      </c>
    </row>
    <row r="367" spans="1:19" ht="20" customHeight="1" x14ac:dyDescent="0.15">
      <c r="A367" s="50">
        <v>362</v>
      </c>
      <c r="B367" s="51" t="s">
        <v>1282</v>
      </c>
      <c r="C367" s="52" t="s">
        <v>1282</v>
      </c>
      <c r="D367" s="53" t="s">
        <v>736</v>
      </c>
      <c r="E367" s="189">
        <v>37.6</v>
      </c>
      <c r="F367" s="184">
        <v>3.638363E-2</v>
      </c>
      <c r="G367" s="190">
        <v>28.281407487999999</v>
      </c>
      <c r="H367" s="184">
        <v>2.8000000000000001E-2</v>
      </c>
      <c r="I367" s="191">
        <v>0.43475000000000003</v>
      </c>
      <c r="J367" s="192">
        <v>23.647797000000001</v>
      </c>
      <c r="K367" s="200">
        <v>-1334.3750399999999</v>
      </c>
      <c r="L367" s="193" t="s">
        <v>264</v>
      </c>
      <c r="M367" s="193" t="s">
        <v>264</v>
      </c>
      <c r="N367" s="192">
        <v>-21.194496898862859</v>
      </c>
      <c r="O367" s="207" t="s">
        <v>264</v>
      </c>
      <c r="P367" s="207" t="s">
        <v>264</v>
      </c>
      <c r="Q367" s="207" t="s">
        <v>264</v>
      </c>
      <c r="R367" s="207" t="s">
        <v>264</v>
      </c>
      <c r="S367" s="207" t="s">
        <v>264</v>
      </c>
    </row>
    <row r="368" spans="1:19" ht="20" customHeight="1" x14ac:dyDescent="0.15">
      <c r="A368" s="54">
        <v>363</v>
      </c>
      <c r="B368" s="55" t="s">
        <v>1283</v>
      </c>
      <c r="C368" s="56" t="s">
        <v>1284</v>
      </c>
      <c r="D368" s="57" t="s">
        <v>736</v>
      </c>
      <c r="E368" s="183">
        <v>82.58</v>
      </c>
      <c r="F368" s="184">
        <v>0.16490340000000001</v>
      </c>
      <c r="G368" s="185">
        <v>51.543314432000003</v>
      </c>
      <c r="H368" s="184">
        <v>2.9000000000000001E-2</v>
      </c>
      <c r="I368" s="186">
        <v>0.45928000000000002</v>
      </c>
      <c r="J368" s="187">
        <v>23.798271</v>
      </c>
      <c r="K368" s="194">
        <v>-7471.6252160000004</v>
      </c>
      <c r="L368" s="188" t="s">
        <v>264</v>
      </c>
      <c r="M368" s="188" t="s">
        <v>264</v>
      </c>
      <c r="N368" s="187">
        <v>-6.8985411350081298</v>
      </c>
      <c r="O368" s="206" t="s">
        <v>264</v>
      </c>
      <c r="P368" s="206" t="s">
        <v>264</v>
      </c>
      <c r="Q368" s="206" t="s">
        <v>264</v>
      </c>
      <c r="R368" s="206" t="s">
        <v>264</v>
      </c>
      <c r="S368" s="206" t="s">
        <v>264</v>
      </c>
    </row>
    <row r="369" spans="1:19" ht="20" customHeight="1" x14ac:dyDescent="0.15">
      <c r="A369" s="50">
        <v>364</v>
      </c>
      <c r="B369" s="51" t="s">
        <v>1285</v>
      </c>
      <c r="C369" s="52" t="s">
        <v>1286</v>
      </c>
      <c r="D369" s="53" t="s">
        <v>1161</v>
      </c>
      <c r="E369" s="189">
        <v>74.94</v>
      </c>
      <c r="F369" s="184">
        <v>0.57768416</v>
      </c>
      <c r="G369" s="190">
        <v>36.113219583999999</v>
      </c>
      <c r="H369" s="195">
        <v>-0.13700000000000001</v>
      </c>
      <c r="I369" s="191">
        <v>6.2700000000000006E-2</v>
      </c>
      <c r="J369" s="192">
        <v>33.605379999999997</v>
      </c>
      <c r="K369" s="200">
        <v>2147.7498879999998</v>
      </c>
      <c r="L369" s="190">
        <v>13.175562878716519</v>
      </c>
      <c r="M369" s="195">
        <v>-0.63515956122189743</v>
      </c>
      <c r="N369" s="192">
        <v>16.814443337081901</v>
      </c>
      <c r="O369" s="207" t="s">
        <v>264</v>
      </c>
      <c r="P369" s="207" t="s">
        <v>264</v>
      </c>
      <c r="Q369" s="207" t="s">
        <v>264</v>
      </c>
      <c r="R369" s="207" t="s">
        <v>264</v>
      </c>
      <c r="S369" s="207" t="s">
        <v>264</v>
      </c>
    </row>
    <row r="370" spans="1:19" ht="20" customHeight="1" x14ac:dyDescent="0.15">
      <c r="A370" s="54">
        <v>365</v>
      </c>
      <c r="B370" s="55" t="s">
        <v>1287</v>
      </c>
      <c r="C370" s="56" t="s">
        <v>1288</v>
      </c>
      <c r="D370" s="57" t="s">
        <v>1289</v>
      </c>
      <c r="E370" s="183">
        <v>127.38</v>
      </c>
      <c r="F370" s="195">
        <v>-0.14019572999999999</v>
      </c>
      <c r="G370" s="185">
        <v>24.87483392</v>
      </c>
      <c r="H370" s="184">
        <v>5.7000000000000002E-2</v>
      </c>
      <c r="I370" s="186">
        <v>0.60826000000000002</v>
      </c>
      <c r="J370" s="187">
        <v>22.585106</v>
      </c>
      <c r="K370" s="194">
        <v>-1896.6250239999999</v>
      </c>
      <c r="L370" s="188" t="s">
        <v>264</v>
      </c>
      <c r="M370" s="188" t="s">
        <v>264</v>
      </c>
      <c r="N370" s="187">
        <v>-13.11531401843404</v>
      </c>
      <c r="O370" s="206" t="s">
        <v>264</v>
      </c>
      <c r="P370" s="206" t="s">
        <v>264</v>
      </c>
      <c r="Q370" s="206" t="s">
        <v>264</v>
      </c>
      <c r="R370" s="206" t="s">
        <v>264</v>
      </c>
      <c r="S370" s="206" t="s">
        <v>264</v>
      </c>
    </row>
    <row r="371" spans="1:19" ht="20" customHeight="1" x14ac:dyDescent="0.15">
      <c r="A371" s="50">
        <v>366</v>
      </c>
      <c r="B371" s="51" t="s">
        <v>1290</v>
      </c>
      <c r="C371" s="52" t="s">
        <v>1291</v>
      </c>
      <c r="D371" s="53" t="s">
        <v>736</v>
      </c>
      <c r="E371" s="189">
        <v>71.069999999999993</v>
      </c>
      <c r="F371" s="184">
        <v>0.19868445000000001</v>
      </c>
      <c r="G371" s="190">
        <v>26.711328768000001</v>
      </c>
      <c r="H371" s="184">
        <v>0.13400000000000001</v>
      </c>
      <c r="I371" s="191">
        <v>0.53622000000000003</v>
      </c>
      <c r="J371" s="192">
        <v>15.585526</v>
      </c>
      <c r="K371" s="200">
        <v>761.49440000000004</v>
      </c>
      <c r="L371" s="190">
        <v>10.420527560638041</v>
      </c>
      <c r="M371" s="195">
        <v>-0.60988359466707742</v>
      </c>
      <c r="N371" s="192">
        <v>35.077511626021142</v>
      </c>
      <c r="O371" s="207" t="s">
        <v>264</v>
      </c>
      <c r="P371" s="207" t="s">
        <v>264</v>
      </c>
      <c r="Q371" s="207" t="s">
        <v>264</v>
      </c>
      <c r="R371" s="207" t="s">
        <v>264</v>
      </c>
      <c r="S371" s="207" t="s">
        <v>264</v>
      </c>
    </row>
    <row r="372" spans="1:19" ht="20" customHeight="1" x14ac:dyDescent="0.15">
      <c r="A372" s="54">
        <v>367</v>
      </c>
      <c r="B372" s="55" t="s">
        <v>1292</v>
      </c>
      <c r="C372" s="56" t="s">
        <v>1293</v>
      </c>
      <c r="D372" s="57" t="s">
        <v>736</v>
      </c>
      <c r="E372" s="183">
        <v>128.6</v>
      </c>
      <c r="F372" s="184">
        <v>6.5010310000000002E-2</v>
      </c>
      <c r="G372" s="185">
        <v>100.07867392</v>
      </c>
      <c r="H372" s="184">
        <v>0.08</v>
      </c>
      <c r="I372" s="186">
        <v>0.51897000000000004</v>
      </c>
      <c r="J372" s="187">
        <v>20.38035</v>
      </c>
      <c r="K372" s="194">
        <v>-2002.6250239999999</v>
      </c>
      <c r="L372" s="202" t="s">
        <v>264</v>
      </c>
      <c r="M372" s="203" t="s">
        <v>264</v>
      </c>
      <c r="N372" s="187">
        <v>-49.973740875016652</v>
      </c>
      <c r="O372" s="206" t="s">
        <v>264</v>
      </c>
      <c r="P372" s="206" t="s">
        <v>264</v>
      </c>
      <c r="Q372" s="206" t="s">
        <v>264</v>
      </c>
      <c r="R372" s="206" t="s">
        <v>264</v>
      </c>
      <c r="S372" s="206" t="s">
        <v>264</v>
      </c>
    </row>
    <row r="373" spans="1:19" ht="20" customHeight="1" x14ac:dyDescent="0.15">
      <c r="A373" s="50">
        <v>368</v>
      </c>
      <c r="B373" s="51" t="s">
        <v>1294</v>
      </c>
      <c r="C373" s="52" t="s">
        <v>1295</v>
      </c>
      <c r="D373" s="53" t="s">
        <v>736</v>
      </c>
      <c r="E373" s="189">
        <v>136.91</v>
      </c>
      <c r="F373" s="184">
        <v>0.2742926</v>
      </c>
      <c r="G373" s="190">
        <v>74.419273727999993</v>
      </c>
      <c r="H373" s="184">
        <v>0.13200000000000001</v>
      </c>
      <c r="I373" s="191">
        <v>0.47521999999999998</v>
      </c>
      <c r="J373" s="192">
        <v>20.587969999999999</v>
      </c>
      <c r="K373" s="200">
        <v>-5140.3750399999999</v>
      </c>
      <c r="L373" s="193" t="s">
        <v>264</v>
      </c>
      <c r="M373" s="193" t="s">
        <v>264</v>
      </c>
      <c r="N373" s="192">
        <v>-14.47740203150625</v>
      </c>
      <c r="O373" s="207" t="s">
        <v>264</v>
      </c>
      <c r="P373" s="207" t="s">
        <v>264</v>
      </c>
      <c r="Q373" s="207" t="s">
        <v>264</v>
      </c>
      <c r="R373" s="207" t="s">
        <v>264</v>
      </c>
      <c r="S373" s="207" t="s">
        <v>264</v>
      </c>
    </row>
    <row r="374" spans="1:19" ht="20" customHeight="1" x14ac:dyDescent="0.15">
      <c r="A374" s="54">
        <v>369</v>
      </c>
      <c r="B374" s="55" t="s">
        <v>1296</v>
      </c>
      <c r="C374" s="56" t="s">
        <v>1297</v>
      </c>
      <c r="D374" s="57" t="s">
        <v>736</v>
      </c>
      <c r="E374" s="183">
        <v>96.95</v>
      </c>
      <c r="F374" s="184">
        <v>0.46671711999999999</v>
      </c>
      <c r="G374" s="185">
        <v>202.17384140799999</v>
      </c>
      <c r="H374" s="184">
        <v>7.2999999999999995E-2</v>
      </c>
      <c r="I374" s="186">
        <v>0.61401004000000003</v>
      </c>
      <c r="J374" s="187">
        <v>24.606598000000002</v>
      </c>
      <c r="K374" s="194">
        <v>-18453.374975999999</v>
      </c>
      <c r="L374" s="188" t="s">
        <v>264</v>
      </c>
      <c r="M374" s="188" t="s">
        <v>264</v>
      </c>
      <c r="N374" s="187">
        <v>-10.95592835576919</v>
      </c>
      <c r="O374" s="206" t="s">
        <v>264</v>
      </c>
      <c r="P374" s="206" t="s">
        <v>264</v>
      </c>
      <c r="Q374" s="206" t="s">
        <v>264</v>
      </c>
      <c r="R374" s="206" t="s">
        <v>264</v>
      </c>
      <c r="S374" s="206" t="s">
        <v>264</v>
      </c>
    </row>
    <row r="375" spans="1:19" ht="20" customHeight="1" x14ac:dyDescent="0.15">
      <c r="A375" s="50">
        <v>370</v>
      </c>
      <c r="B375" s="51" t="s">
        <v>1298</v>
      </c>
      <c r="C375" s="52" t="s">
        <v>1299</v>
      </c>
      <c r="D375" s="53" t="s">
        <v>898</v>
      </c>
      <c r="E375" s="189">
        <v>92.06</v>
      </c>
      <c r="F375" s="195">
        <v>-0.18822639999999999</v>
      </c>
      <c r="G375" s="190">
        <v>387.64609536</v>
      </c>
      <c r="H375" s="184">
        <v>0.16200000000000001</v>
      </c>
      <c r="I375" s="191">
        <v>0.49029</v>
      </c>
      <c r="J375" s="192">
        <v>29.696774000000001</v>
      </c>
      <c r="K375" s="200">
        <v>25993.676800000001</v>
      </c>
      <c r="L375" s="190">
        <v>384.05460506250972</v>
      </c>
      <c r="M375" s="195">
        <v>-9.264869014493712E-3</v>
      </c>
      <c r="N375" s="192">
        <v>14.91309272906248</v>
      </c>
      <c r="O375" s="207" t="s">
        <v>264</v>
      </c>
      <c r="P375" s="207" t="s">
        <v>264</v>
      </c>
      <c r="Q375" s="207" t="s">
        <v>264</v>
      </c>
      <c r="R375" s="207" t="s">
        <v>264</v>
      </c>
      <c r="S375" s="207" t="s">
        <v>264</v>
      </c>
    </row>
    <row r="376" spans="1:19" ht="20" customHeight="1" x14ac:dyDescent="0.15">
      <c r="A376" s="54">
        <v>371</v>
      </c>
      <c r="B376" s="55" t="s">
        <v>1300</v>
      </c>
      <c r="C376" s="56" t="s">
        <v>1301</v>
      </c>
      <c r="D376" s="57" t="s">
        <v>1194</v>
      </c>
      <c r="E376" s="183">
        <v>116.43</v>
      </c>
      <c r="F376" s="184">
        <v>0.37966585000000003</v>
      </c>
      <c r="G376" s="185">
        <v>53.305389056000003</v>
      </c>
      <c r="H376" s="184">
        <v>0.12</v>
      </c>
      <c r="I376" s="186">
        <v>0.46976003</v>
      </c>
      <c r="J376" s="187">
        <v>29.701530000000002</v>
      </c>
      <c r="K376" s="194">
        <v>-3908.844544</v>
      </c>
      <c r="L376" s="188" t="s">
        <v>264</v>
      </c>
      <c r="M376" s="188" t="s">
        <v>264</v>
      </c>
      <c r="N376" s="187">
        <v>-13.63712148438411</v>
      </c>
      <c r="O376" s="206" t="s">
        <v>264</v>
      </c>
      <c r="P376" s="206" t="s">
        <v>264</v>
      </c>
      <c r="Q376" s="206" t="s">
        <v>264</v>
      </c>
      <c r="R376" s="206" t="s">
        <v>264</v>
      </c>
      <c r="S376" s="206" t="s">
        <v>264</v>
      </c>
    </row>
    <row r="377" spans="1:19" ht="20" customHeight="1" x14ac:dyDescent="0.15">
      <c r="A377" s="50">
        <v>372</v>
      </c>
      <c r="B377" s="51" t="s">
        <v>1302</v>
      </c>
      <c r="C377" s="52" t="s">
        <v>1303</v>
      </c>
      <c r="D377" s="53" t="s">
        <v>711</v>
      </c>
      <c r="E377" s="189">
        <v>90.36</v>
      </c>
      <c r="F377" s="184">
        <v>0.1273861</v>
      </c>
      <c r="G377" s="190">
        <v>56.929767423999998</v>
      </c>
      <c r="H377" s="184">
        <v>0.19600000000000001</v>
      </c>
      <c r="I377" s="191">
        <v>0.29636000000000001</v>
      </c>
      <c r="J377" s="192">
        <v>16.106950000000001</v>
      </c>
      <c r="K377" s="200">
        <v>454.37500799999998</v>
      </c>
      <c r="L377" s="190">
        <v>8.8002540944998664</v>
      </c>
      <c r="M377" s="195">
        <v>-0.84541911037581496</v>
      </c>
      <c r="N377" s="192">
        <v>125.2924731870816</v>
      </c>
      <c r="O377" s="207" t="s">
        <v>264</v>
      </c>
      <c r="P377" s="207" t="s">
        <v>264</v>
      </c>
      <c r="Q377" s="207" t="s">
        <v>264</v>
      </c>
      <c r="R377" s="207" t="s">
        <v>264</v>
      </c>
      <c r="S377" s="207" t="s">
        <v>264</v>
      </c>
    </row>
    <row r="378" spans="1:19" ht="20" customHeight="1" x14ac:dyDescent="0.15">
      <c r="A378" s="54">
        <v>373</v>
      </c>
      <c r="B378" s="55" t="s">
        <v>1304</v>
      </c>
      <c r="C378" s="56" t="s">
        <v>1305</v>
      </c>
      <c r="D378" s="57" t="s">
        <v>454</v>
      </c>
      <c r="E378" s="183">
        <v>127.44</v>
      </c>
      <c r="F378" s="184">
        <v>0.81435084000000002</v>
      </c>
      <c r="G378" s="185">
        <v>222.93322137600001</v>
      </c>
      <c r="H378" s="184">
        <v>0.16900000000000001</v>
      </c>
      <c r="I378" s="186">
        <v>0</v>
      </c>
      <c r="J378" s="187">
        <v>15.752781000000001</v>
      </c>
      <c r="K378" s="188" t="s">
        <v>264</v>
      </c>
      <c r="L378" s="188" t="s">
        <v>264</v>
      </c>
      <c r="M378" s="188" t="s">
        <v>264</v>
      </c>
      <c r="N378" s="188" t="s">
        <v>264</v>
      </c>
      <c r="O378" s="208" t="s">
        <v>474</v>
      </c>
      <c r="P378" s="208" t="s">
        <v>264</v>
      </c>
      <c r="Q378" s="208" t="s">
        <v>475</v>
      </c>
      <c r="R378" s="209">
        <v>51</v>
      </c>
      <c r="S378" s="210" t="s">
        <v>1306</v>
      </c>
    </row>
    <row r="379" spans="1:19" ht="20" customHeight="1" x14ac:dyDescent="0.15">
      <c r="A379" s="50">
        <v>374</v>
      </c>
      <c r="B379" s="51" t="s">
        <v>1307</v>
      </c>
      <c r="C379" s="52" t="s">
        <v>1308</v>
      </c>
      <c r="D379" s="53" t="s">
        <v>838</v>
      </c>
      <c r="E379" s="189">
        <v>207.65</v>
      </c>
      <c r="F379" s="184">
        <v>0.5603397</v>
      </c>
      <c r="G379" s="190">
        <v>58.414383104000002</v>
      </c>
      <c r="H379" s="195">
        <v>-9.4E-2</v>
      </c>
      <c r="I379" s="191">
        <v>0.73040000000000005</v>
      </c>
      <c r="J379" s="192">
        <v>36.239089999999997</v>
      </c>
      <c r="K379" s="200">
        <v>497.62499200000002</v>
      </c>
      <c r="L379" s="190">
        <v>3.7536662687719149</v>
      </c>
      <c r="M379" s="195">
        <v>-0.9357407188211001</v>
      </c>
      <c r="N379" s="192">
        <v>117.38634850256879</v>
      </c>
      <c r="O379" s="207" t="s">
        <v>264</v>
      </c>
      <c r="P379" s="207" t="s">
        <v>264</v>
      </c>
      <c r="Q379" s="207" t="s">
        <v>264</v>
      </c>
      <c r="R379" s="207" t="s">
        <v>264</v>
      </c>
      <c r="S379" s="207" t="s">
        <v>264</v>
      </c>
    </row>
    <row r="380" spans="1:19" ht="20" customHeight="1" x14ac:dyDescent="0.15">
      <c r="A380" s="54">
        <v>375</v>
      </c>
      <c r="B380" s="55" t="s">
        <v>1309</v>
      </c>
      <c r="C380" s="56" t="s">
        <v>1310</v>
      </c>
      <c r="D380" s="57" t="s">
        <v>1258</v>
      </c>
      <c r="E380" s="183">
        <v>188.54</v>
      </c>
      <c r="F380" s="184">
        <v>0.16815363999999999</v>
      </c>
      <c r="G380" s="185">
        <v>31.191857152000001</v>
      </c>
      <c r="H380" s="184">
        <v>0.14199999999999999</v>
      </c>
      <c r="I380" s="186">
        <v>0.57824003999999996</v>
      </c>
      <c r="J380" s="187">
        <v>24.581486000000002</v>
      </c>
      <c r="K380" s="194">
        <v>-1871.672832</v>
      </c>
      <c r="L380" s="188" t="s">
        <v>264</v>
      </c>
      <c r="M380" s="188" t="s">
        <v>264</v>
      </c>
      <c r="N380" s="187">
        <v>-16.6652303466464</v>
      </c>
      <c r="O380" s="206" t="s">
        <v>264</v>
      </c>
      <c r="P380" s="206" t="s">
        <v>264</v>
      </c>
      <c r="Q380" s="206" t="s">
        <v>264</v>
      </c>
      <c r="R380" s="206" t="s">
        <v>264</v>
      </c>
      <c r="S380" s="206" t="s">
        <v>264</v>
      </c>
    </row>
    <row r="381" spans="1:19" ht="20" customHeight="1" x14ac:dyDescent="0.15">
      <c r="A381" s="50">
        <v>376</v>
      </c>
      <c r="B381" s="51" t="s">
        <v>1311</v>
      </c>
      <c r="C381" s="52" t="s">
        <v>1312</v>
      </c>
      <c r="D381" s="53" t="s">
        <v>736</v>
      </c>
      <c r="E381" s="189">
        <v>69.88</v>
      </c>
      <c r="F381" s="184">
        <v>0.27216457999999999</v>
      </c>
      <c r="G381" s="190">
        <v>26.88940032</v>
      </c>
      <c r="H381" s="184">
        <v>7.6999999999999999E-2</v>
      </c>
      <c r="I381" s="191">
        <v>0.58677000000000001</v>
      </c>
      <c r="J381" s="192">
        <v>7.5956520000000003</v>
      </c>
      <c r="K381" s="200">
        <v>-1134</v>
      </c>
      <c r="L381" s="193" t="s">
        <v>264</v>
      </c>
      <c r="M381" s="193" t="s">
        <v>264</v>
      </c>
      <c r="N381" s="192">
        <v>-23.711993471851851</v>
      </c>
      <c r="O381" s="207" t="s">
        <v>264</v>
      </c>
      <c r="P381" s="207" t="s">
        <v>264</v>
      </c>
      <c r="Q381" s="207" t="s">
        <v>264</v>
      </c>
      <c r="R381" s="207" t="s">
        <v>264</v>
      </c>
      <c r="S381" s="207" t="s">
        <v>264</v>
      </c>
    </row>
    <row r="382" spans="1:19" ht="20" customHeight="1" x14ac:dyDescent="0.15">
      <c r="A382" s="54">
        <v>377</v>
      </c>
      <c r="B382" s="55" t="s">
        <v>1313</v>
      </c>
      <c r="C382" s="56" t="s">
        <v>1314</v>
      </c>
      <c r="D382" s="57" t="s">
        <v>1315</v>
      </c>
      <c r="E382" s="183">
        <v>141.66</v>
      </c>
      <c r="F382" s="184">
        <v>0.13427818</v>
      </c>
      <c r="G382" s="185">
        <v>84.220452863999995</v>
      </c>
      <c r="H382" s="184">
        <v>0.12</v>
      </c>
      <c r="I382" s="186">
        <v>0.82959000000000005</v>
      </c>
      <c r="J382" s="187">
        <v>35.238807999999999</v>
      </c>
      <c r="K382" s="194">
        <v>3543.0000639999998</v>
      </c>
      <c r="L382" s="185">
        <v>57.735757881510118</v>
      </c>
      <c r="M382" s="195">
        <v>-0.31446868405300099</v>
      </c>
      <c r="N382" s="187">
        <v>16.74881770658077</v>
      </c>
      <c r="O382" s="206" t="s">
        <v>264</v>
      </c>
      <c r="P382" s="206" t="s">
        <v>264</v>
      </c>
      <c r="Q382" s="206" t="s">
        <v>264</v>
      </c>
      <c r="R382" s="206" t="s">
        <v>264</v>
      </c>
      <c r="S382" s="206" t="s">
        <v>264</v>
      </c>
    </row>
    <row r="383" spans="1:19" ht="20" customHeight="1" x14ac:dyDescent="0.15">
      <c r="A383" s="50">
        <v>378</v>
      </c>
      <c r="B383" s="51" t="s">
        <v>1316</v>
      </c>
      <c r="C383" s="52" t="s">
        <v>1317</v>
      </c>
      <c r="D383" s="53" t="s">
        <v>1318</v>
      </c>
      <c r="E383" s="189">
        <v>43.41</v>
      </c>
      <c r="F383" s="184">
        <v>0.31465779999999999</v>
      </c>
      <c r="G383" s="190">
        <v>13.344581632000001</v>
      </c>
      <c r="H383" s="184">
        <v>0.19700000000000001</v>
      </c>
      <c r="I383" s="191">
        <v>0</v>
      </c>
      <c r="J383" s="192">
        <v>10.536408</v>
      </c>
      <c r="K383" s="193" t="s">
        <v>264</v>
      </c>
      <c r="L383" s="193" t="s">
        <v>264</v>
      </c>
      <c r="M383" s="193" t="s">
        <v>264</v>
      </c>
      <c r="N383" s="193" t="s">
        <v>264</v>
      </c>
      <c r="O383" s="211" t="s">
        <v>455</v>
      </c>
      <c r="P383" s="212">
        <v>1.1000000000000001</v>
      </c>
      <c r="Q383" s="211" t="s">
        <v>461</v>
      </c>
      <c r="R383" s="212">
        <v>35</v>
      </c>
      <c r="S383" s="213" t="s">
        <v>1319</v>
      </c>
    </row>
    <row r="384" spans="1:19" ht="20" customHeight="1" x14ac:dyDescent="0.15">
      <c r="A384" s="54">
        <v>379</v>
      </c>
      <c r="B384" s="55" t="s">
        <v>1320</v>
      </c>
      <c r="C384" s="56" t="s">
        <v>1321</v>
      </c>
      <c r="D384" s="57" t="s">
        <v>1322</v>
      </c>
      <c r="E384" s="183">
        <v>460</v>
      </c>
      <c r="F384" s="184">
        <v>0.52398619999999996</v>
      </c>
      <c r="G384" s="185">
        <v>154.68003328</v>
      </c>
      <c r="H384" s="184">
        <v>0.65900000000000003</v>
      </c>
      <c r="I384" s="186">
        <v>0.87863999999999998</v>
      </c>
      <c r="J384" s="187">
        <v>45.862414999999999</v>
      </c>
      <c r="K384" s="194">
        <v>2699.1871999999998</v>
      </c>
      <c r="L384" s="185">
        <v>40.752250750881167</v>
      </c>
      <c r="M384" s="195">
        <v>-0.73653838904267688</v>
      </c>
      <c r="N384" s="187">
        <v>52.158131618288643</v>
      </c>
      <c r="O384" s="206" t="s">
        <v>264</v>
      </c>
      <c r="P384" s="206" t="s">
        <v>264</v>
      </c>
      <c r="Q384" s="206" t="s">
        <v>264</v>
      </c>
      <c r="R384" s="206" t="s">
        <v>264</v>
      </c>
      <c r="S384" s="206" t="s">
        <v>264</v>
      </c>
    </row>
    <row r="385" spans="1:19" ht="20" customHeight="1" x14ac:dyDescent="0.15">
      <c r="A385" s="50">
        <v>380</v>
      </c>
      <c r="B385" s="51" t="s">
        <v>1323</v>
      </c>
      <c r="C385" s="52" t="s">
        <v>1324</v>
      </c>
      <c r="D385" s="53" t="s">
        <v>1322</v>
      </c>
      <c r="E385" s="189">
        <v>211.18</v>
      </c>
      <c r="F385" s="184">
        <v>0.73169326999999995</v>
      </c>
      <c r="G385" s="190">
        <v>224.27285913599999</v>
      </c>
      <c r="H385" s="184">
        <v>0.26300000000000001</v>
      </c>
      <c r="I385" s="191">
        <v>0.97494999999999998</v>
      </c>
      <c r="J385" s="192">
        <v>277.86840000000001</v>
      </c>
      <c r="K385" s="200">
        <v>824.75001599999996</v>
      </c>
      <c r="L385" s="190">
        <v>11.31425782670833</v>
      </c>
      <c r="M385" s="195">
        <v>-0.94955137295571135</v>
      </c>
      <c r="N385" s="192">
        <v>271.92828548113658</v>
      </c>
      <c r="O385" s="207" t="s">
        <v>264</v>
      </c>
      <c r="P385" s="207" t="s">
        <v>264</v>
      </c>
      <c r="Q385" s="207" t="s">
        <v>264</v>
      </c>
      <c r="R385" s="207" t="s">
        <v>264</v>
      </c>
      <c r="S385" s="207" t="s">
        <v>264</v>
      </c>
    </row>
    <row r="386" spans="1:19" ht="20" customHeight="1" x14ac:dyDescent="0.15">
      <c r="A386" s="54">
        <v>381</v>
      </c>
      <c r="B386" s="55" t="s">
        <v>1325</v>
      </c>
      <c r="C386" s="56" t="s">
        <v>1326</v>
      </c>
      <c r="D386" s="57" t="s">
        <v>1327</v>
      </c>
      <c r="E386" s="183">
        <v>402.31</v>
      </c>
      <c r="F386" s="195">
        <v>-0.35257483000000001</v>
      </c>
      <c r="G386" s="185">
        <v>32.415000575999997</v>
      </c>
      <c r="H386" s="184">
        <v>0.38500000000000001</v>
      </c>
      <c r="I386" s="186">
        <v>0.59823000000000004</v>
      </c>
      <c r="J386" s="187">
        <v>262.94772</v>
      </c>
      <c r="K386" s="194">
        <v>230.03111999999999</v>
      </c>
      <c r="L386" s="185">
        <v>4.9963504480095651</v>
      </c>
      <c r="M386" s="195">
        <v>-0.84586301529456542</v>
      </c>
      <c r="N386" s="187">
        <v>140.91572559534549</v>
      </c>
      <c r="O386" s="206" t="s">
        <v>264</v>
      </c>
      <c r="P386" s="206" t="s">
        <v>264</v>
      </c>
      <c r="Q386" s="206" t="s">
        <v>264</v>
      </c>
      <c r="R386" s="206" t="s">
        <v>264</v>
      </c>
      <c r="S386" s="206" t="s">
        <v>264</v>
      </c>
    </row>
    <row r="387" spans="1:19" ht="20" customHeight="1" x14ac:dyDescent="0.15">
      <c r="A387" s="50">
        <v>382</v>
      </c>
      <c r="B387" s="51" t="s">
        <v>1328</v>
      </c>
      <c r="C387" s="52" t="s">
        <v>1329</v>
      </c>
      <c r="D387" s="53" t="s">
        <v>1330</v>
      </c>
      <c r="E387" s="189">
        <v>61.33</v>
      </c>
      <c r="F387" s="184">
        <v>0.1828351</v>
      </c>
      <c r="G387" s="190">
        <v>16.323167231999999</v>
      </c>
      <c r="H387" s="184">
        <v>0.16200000000000001</v>
      </c>
      <c r="I387" s="191">
        <v>0.19588</v>
      </c>
      <c r="J387" s="192">
        <v>18.584848000000001</v>
      </c>
      <c r="K387" s="200">
        <v>883.50003200000003</v>
      </c>
      <c r="L387" s="190">
        <v>13.62772182821544</v>
      </c>
      <c r="M387" s="195">
        <v>-0.1651300489344005</v>
      </c>
      <c r="N387" s="192">
        <v>18.47557040851358</v>
      </c>
      <c r="O387" s="207" t="s">
        <v>264</v>
      </c>
      <c r="P387" s="207" t="s">
        <v>264</v>
      </c>
      <c r="Q387" s="207" t="s">
        <v>264</v>
      </c>
      <c r="R387" s="207" t="s">
        <v>264</v>
      </c>
      <c r="S387" s="207" t="s">
        <v>264</v>
      </c>
    </row>
    <row r="388" spans="1:19" ht="20" customHeight="1" x14ac:dyDescent="0.15">
      <c r="A388" s="54">
        <v>383</v>
      </c>
      <c r="B388" s="55" t="s">
        <v>1331</v>
      </c>
      <c r="C388" s="56" t="s">
        <v>1332</v>
      </c>
      <c r="D388" s="57" t="s">
        <v>1333</v>
      </c>
      <c r="E388" s="183">
        <v>124.61</v>
      </c>
      <c r="F388" s="184">
        <v>0.60125934999999997</v>
      </c>
      <c r="G388" s="185">
        <v>24.176596992</v>
      </c>
      <c r="H388" s="184">
        <v>0.878</v>
      </c>
      <c r="I388" s="186">
        <v>4.4420000000000001E-2</v>
      </c>
      <c r="J388" s="187">
        <v>32.792107000000001</v>
      </c>
      <c r="K388" s="194">
        <v>-6827.5000319999999</v>
      </c>
      <c r="L388" s="188" t="s">
        <v>264</v>
      </c>
      <c r="M388" s="188" t="s">
        <v>264</v>
      </c>
      <c r="N388" s="187">
        <v>-3.5410614715248672</v>
      </c>
      <c r="O388" s="206" t="s">
        <v>264</v>
      </c>
      <c r="P388" s="206" t="s">
        <v>264</v>
      </c>
      <c r="Q388" s="206" t="s">
        <v>264</v>
      </c>
      <c r="R388" s="206" t="s">
        <v>264</v>
      </c>
      <c r="S388" s="206" t="s">
        <v>264</v>
      </c>
    </row>
    <row r="389" spans="1:19" ht="20" customHeight="1" x14ac:dyDescent="0.15">
      <c r="A389" s="50">
        <v>384</v>
      </c>
      <c r="B389" s="51" t="s">
        <v>1334</v>
      </c>
      <c r="C389" s="52" t="s">
        <v>1335</v>
      </c>
      <c r="D389" s="53" t="s">
        <v>1327</v>
      </c>
      <c r="E389" s="189">
        <v>75.72</v>
      </c>
      <c r="F389" s="195">
        <v>-0.32308245000000002</v>
      </c>
      <c r="G389" s="190">
        <v>8.1412628480000002</v>
      </c>
      <c r="H389" s="195">
        <v>-0.10100000000000001</v>
      </c>
      <c r="I389" s="191">
        <v>0.29887999999999998</v>
      </c>
      <c r="J389" s="192">
        <v>28.900763999999999</v>
      </c>
      <c r="K389" s="200">
        <v>640.90009599999996</v>
      </c>
      <c r="L389" s="190">
        <v>3.7775150285490402</v>
      </c>
      <c r="M389" s="195">
        <v>-0.53600379952392374</v>
      </c>
      <c r="N389" s="192">
        <v>12.70285807540275</v>
      </c>
      <c r="O389" s="207" t="s">
        <v>264</v>
      </c>
      <c r="P389" s="207" t="s">
        <v>264</v>
      </c>
      <c r="Q389" s="207" t="s">
        <v>264</v>
      </c>
      <c r="R389" s="207" t="s">
        <v>264</v>
      </c>
      <c r="S389" s="207" t="s">
        <v>264</v>
      </c>
    </row>
    <row r="390" spans="1:19" ht="20" customHeight="1" x14ac:dyDescent="0.15">
      <c r="A390" s="54">
        <v>385</v>
      </c>
      <c r="B390" s="55" t="s">
        <v>1336</v>
      </c>
      <c r="C390" s="56" t="s">
        <v>1337</v>
      </c>
      <c r="D390" s="57" t="s">
        <v>1318</v>
      </c>
      <c r="E390" s="183">
        <v>57.63</v>
      </c>
      <c r="F390" s="195">
        <v>-0.47798913999999998</v>
      </c>
      <c r="G390" s="185">
        <v>19.533563904000001</v>
      </c>
      <c r="H390" s="184">
        <v>0.35699999999999998</v>
      </c>
      <c r="I390" s="186">
        <v>0.53371999999999997</v>
      </c>
      <c r="J390" s="187">
        <v>18.771988</v>
      </c>
      <c r="K390" s="194">
        <v>1522.4999680000001</v>
      </c>
      <c r="L390" s="185">
        <v>21.361682898347539</v>
      </c>
      <c r="M390" s="184">
        <v>9.3588604892176727E-2</v>
      </c>
      <c r="N390" s="187">
        <v>12.82992741371933</v>
      </c>
      <c r="O390" s="206" t="s">
        <v>264</v>
      </c>
      <c r="P390" s="206" t="s">
        <v>264</v>
      </c>
      <c r="Q390" s="206" t="s">
        <v>264</v>
      </c>
      <c r="R390" s="206" t="s">
        <v>264</v>
      </c>
      <c r="S390" s="206" t="s">
        <v>264</v>
      </c>
    </row>
    <row r="391" spans="1:19" ht="20" customHeight="1" x14ac:dyDescent="0.15">
      <c r="A391" s="50">
        <v>386</v>
      </c>
      <c r="B391" s="51" t="s">
        <v>1338</v>
      </c>
      <c r="C391" s="52" t="s">
        <v>1339</v>
      </c>
      <c r="D391" s="53" t="s">
        <v>1318</v>
      </c>
      <c r="E391" s="189">
        <v>326.95999999999998</v>
      </c>
      <c r="F391" s="184">
        <v>0.41131783</v>
      </c>
      <c r="G391" s="190">
        <v>34.246533120000002</v>
      </c>
      <c r="H391" s="184">
        <v>8.6999999999999994E-2</v>
      </c>
      <c r="I391" s="191">
        <v>0.51527000000000001</v>
      </c>
      <c r="J391" s="192">
        <v>27.921434000000001</v>
      </c>
      <c r="K391" s="200">
        <v>1265.6999679999999</v>
      </c>
      <c r="L391" s="190">
        <v>16.523533411022211</v>
      </c>
      <c r="M391" s="195">
        <v>-0.51751222954090936</v>
      </c>
      <c r="N391" s="192">
        <v>27.057386778791479</v>
      </c>
      <c r="O391" s="207" t="s">
        <v>264</v>
      </c>
      <c r="P391" s="207" t="s">
        <v>264</v>
      </c>
      <c r="Q391" s="207" t="s">
        <v>264</v>
      </c>
      <c r="R391" s="207" t="s">
        <v>264</v>
      </c>
      <c r="S391" s="207" t="s">
        <v>264</v>
      </c>
    </row>
    <row r="392" spans="1:19" ht="20" customHeight="1" x14ac:dyDescent="0.15">
      <c r="A392" s="54">
        <v>387</v>
      </c>
      <c r="B392" s="55" t="s">
        <v>1340</v>
      </c>
      <c r="C392" s="56" t="s">
        <v>1341</v>
      </c>
      <c r="D392" s="57" t="s">
        <v>1342</v>
      </c>
      <c r="E392" s="183">
        <v>307.81</v>
      </c>
      <c r="F392" s="184">
        <v>0.23981953</v>
      </c>
      <c r="G392" s="185">
        <v>111.517917184</v>
      </c>
      <c r="H392" s="184">
        <v>0.129</v>
      </c>
      <c r="I392" s="186">
        <v>0.18379999999999999</v>
      </c>
      <c r="J392" s="187">
        <v>41.652233000000003</v>
      </c>
      <c r="K392" s="194">
        <v>1258</v>
      </c>
      <c r="L392" s="185">
        <v>19.675392106199229</v>
      </c>
      <c r="M392" s="195">
        <v>-0.82356743559211532</v>
      </c>
      <c r="N392" s="187">
        <v>88.646997605977745</v>
      </c>
      <c r="O392" s="206" t="s">
        <v>264</v>
      </c>
      <c r="P392" s="206" t="s">
        <v>264</v>
      </c>
      <c r="Q392" s="206" t="s">
        <v>264</v>
      </c>
      <c r="R392" s="206" t="s">
        <v>264</v>
      </c>
      <c r="S392" s="206" t="s">
        <v>264</v>
      </c>
    </row>
    <row r="393" spans="1:19" ht="20" customHeight="1" x14ac:dyDescent="0.15">
      <c r="A393" s="50">
        <v>388</v>
      </c>
      <c r="B393" s="51" t="s">
        <v>1343</v>
      </c>
      <c r="C393" s="52" t="s">
        <v>1344</v>
      </c>
      <c r="D393" s="53" t="s">
        <v>1318</v>
      </c>
      <c r="E393" s="189">
        <v>191.25</v>
      </c>
      <c r="F393" s="195">
        <v>-4.0872632999999998E-2</v>
      </c>
      <c r="G393" s="190">
        <v>50.504376319999999</v>
      </c>
      <c r="H393" s="195">
        <v>-0.222</v>
      </c>
      <c r="I393" s="191">
        <v>0.85177999999999998</v>
      </c>
      <c r="J393" s="192">
        <v>42.881165000000003</v>
      </c>
      <c r="K393" s="200">
        <v>1298.3619839999999</v>
      </c>
      <c r="L393" s="190">
        <v>15.85776049641529</v>
      </c>
      <c r="M393" s="195">
        <v>-0.68601215078988043</v>
      </c>
      <c r="N393" s="192">
        <v>32.854200094555438</v>
      </c>
      <c r="O393" s="207" t="s">
        <v>264</v>
      </c>
      <c r="P393" s="207" t="s">
        <v>264</v>
      </c>
      <c r="Q393" s="207" t="s">
        <v>264</v>
      </c>
      <c r="R393" s="207" t="s">
        <v>264</v>
      </c>
      <c r="S393" s="207" t="s">
        <v>264</v>
      </c>
    </row>
    <row r="394" spans="1:19" ht="20" customHeight="1" x14ac:dyDescent="0.15">
      <c r="A394" s="54">
        <v>389</v>
      </c>
      <c r="B394" s="55" t="s">
        <v>1345</v>
      </c>
      <c r="C394" s="56" t="s">
        <v>1346</v>
      </c>
      <c r="D394" s="57" t="s">
        <v>1347</v>
      </c>
      <c r="E394" s="183">
        <v>304</v>
      </c>
      <c r="F394" s="184">
        <v>4.1202902999999999E-2</v>
      </c>
      <c r="G394" s="185">
        <v>59.137327104000001</v>
      </c>
      <c r="H394" s="184">
        <v>5.5E-2</v>
      </c>
      <c r="I394" s="186">
        <v>3.6130000000000002E-2</v>
      </c>
      <c r="J394" s="187">
        <v>36.494599999999998</v>
      </c>
      <c r="K394" s="194">
        <v>3463.3203199999998</v>
      </c>
      <c r="L394" s="185">
        <v>35.669021436135942</v>
      </c>
      <c r="M394" s="195">
        <v>-0.39684420681699512</v>
      </c>
      <c r="N394" s="187">
        <v>17.075327103442749</v>
      </c>
      <c r="O394" s="206" t="s">
        <v>264</v>
      </c>
      <c r="P394" s="206" t="s">
        <v>264</v>
      </c>
      <c r="Q394" s="206" t="s">
        <v>264</v>
      </c>
      <c r="R394" s="206" t="s">
        <v>264</v>
      </c>
      <c r="S394" s="206" t="s">
        <v>264</v>
      </c>
    </row>
    <row r="395" spans="1:19" ht="20" customHeight="1" x14ac:dyDescent="0.15">
      <c r="A395" s="50">
        <v>390</v>
      </c>
      <c r="B395" s="51" t="s">
        <v>1348</v>
      </c>
      <c r="C395" s="52" t="s">
        <v>1349</v>
      </c>
      <c r="D395" s="53" t="s">
        <v>1350</v>
      </c>
      <c r="E395" s="189">
        <v>104.45</v>
      </c>
      <c r="F395" s="195">
        <v>-0.12381512</v>
      </c>
      <c r="G395" s="190">
        <v>10.350012416</v>
      </c>
      <c r="H395" s="195">
        <v>-5.0000000000000001E-3</v>
      </c>
      <c r="I395" s="191">
        <v>0.61621999999999999</v>
      </c>
      <c r="J395" s="192">
        <v>29.175978000000001</v>
      </c>
      <c r="K395" s="196" t="s">
        <v>264</v>
      </c>
      <c r="L395" s="197" t="s">
        <v>264</v>
      </c>
      <c r="M395" s="198" t="s">
        <v>264</v>
      </c>
      <c r="N395" s="199" t="s">
        <v>264</v>
      </c>
      <c r="O395" s="207" t="s">
        <v>264</v>
      </c>
      <c r="P395" s="207" t="s">
        <v>264</v>
      </c>
      <c r="Q395" s="207" t="s">
        <v>264</v>
      </c>
      <c r="R395" s="207" t="s">
        <v>264</v>
      </c>
      <c r="S395" s="207" t="s">
        <v>264</v>
      </c>
    </row>
    <row r="396" spans="1:19" ht="20" customHeight="1" x14ac:dyDescent="0.15">
      <c r="A396" s="54">
        <v>391</v>
      </c>
      <c r="B396" s="55" t="s">
        <v>1351</v>
      </c>
      <c r="C396" s="56" t="s">
        <v>1352</v>
      </c>
      <c r="D396" s="57" t="s">
        <v>1322</v>
      </c>
      <c r="E396" s="183">
        <v>455.64</v>
      </c>
      <c r="F396" s="184">
        <v>2.7442694E-2</v>
      </c>
      <c r="G396" s="185">
        <v>115.556728832</v>
      </c>
      <c r="H396" s="184">
        <v>0.23300000000000001</v>
      </c>
      <c r="I396" s="186">
        <v>0.74808996999999999</v>
      </c>
      <c r="J396" s="187">
        <v>73.827789999999993</v>
      </c>
      <c r="K396" s="194">
        <v>1604.6150399999999</v>
      </c>
      <c r="L396" s="185">
        <v>23.586566220485889</v>
      </c>
      <c r="M396" s="195">
        <v>-0.79588755705626812</v>
      </c>
      <c r="N396" s="187">
        <v>72.015231745303836</v>
      </c>
      <c r="O396" s="206" t="s">
        <v>264</v>
      </c>
      <c r="P396" s="206" t="s">
        <v>264</v>
      </c>
      <c r="Q396" s="206" t="s">
        <v>264</v>
      </c>
      <c r="R396" s="206" t="s">
        <v>264</v>
      </c>
      <c r="S396" s="206" t="s">
        <v>264</v>
      </c>
    </row>
    <row r="397" spans="1:19" ht="20" customHeight="1" x14ac:dyDescent="0.15">
      <c r="A397" s="50">
        <v>392</v>
      </c>
      <c r="B397" s="51" t="s">
        <v>1353</v>
      </c>
      <c r="C397" s="52" t="s">
        <v>1354</v>
      </c>
      <c r="D397" s="53" t="s">
        <v>1355</v>
      </c>
      <c r="E397" s="189">
        <v>35.380000000000003</v>
      </c>
      <c r="F397" s="184">
        <v>0.40007913000000001</v>
      </c>
      <c r="G397" s="190">
        <v>26.866036736000002</v>
      </c>
      <c r="H397" s="184">
        <v>0.23400000000000001</v>
      </c>
      <c r="I397" s="191">
        <v>0.74124000000000001</v>
      </c>
      <c r="J397" s="192">
        <v>15.794643000000001</v>
      </c>
      <c r="K397" s="200">
        <v>1216.4999680000001</v>
      </c>
      <c r="L397" s="190">
        <v>23.294152232050749</v>
      </c>
      <c r="M397" s="195">
        <v>-0.13295167199570559</v>
      </c>
      <c r="N397" s="192">
        <v>22.084700276967041</v>
      </c>
      <c r="O397" s="207" t="s">
        <v>264</v>
      </c>
      <c r="P397" s="207" t="s">
        <v>264</v>
      </c>
      <c r="Q397" s="207" t="s">
        <v>264</v>
      </c>
      <c r="R397" s="207" t="s">
        <v>264</v>
      </c>
      <c r="S397" s="207" t="s">
        <v>264</v>
      </c>
    </row>
    <row r="398" spans="1:19" ht="20" customHeight="1" x14ac:dyDescent="0.15">
      <c r="A398" s="54">
        <v>393</v>
      </c>
      <c r="B398" s="55" t="s">
        <v>1356</v>
      </c>
      <c r="C398" s="56" t="s">
        <v>1357</v>
      </c>
      <c r="D398" s="57" t="s">
        <v>1315</v>
      </c>
      <c r="E398" s="183">
        <v>28.38</v>
      </c>
      <c r="F398" s="184">
        <v>2.7516246000000001E-2</v>
      </c>
      <c r="G398" s="185">
        <v>5.7803509760000003</v>
      </c>
      <c r="H398" s="184">
        <v>2.7E-2</v>
      </c>
      <c r="I398" s="186">
        <v>0.49939</v>
      </c>
      <c r="J398" s="187">
        <v>32.104073</v>
      </c>
      <c r="K398" s="194">
        <v>752.62502400000005</v>
      </c>
      <c r="L398" s="185">
        <v>7.0537759774394626</v>
      </c>
      <c r="M398" s="184">
        <v>0.22030236688511129</v>
      </c>
      <c r="N398" s="187">
        <v>7.6802538967930989</v>
      </c>
      <c r="O398" s="206" t="s">
        <v>264</v>
      </c>
      <c r="P398" s="206" t="s">
        <v>264</v>
      </c>
      <c r="Q398" s="206" t="s">
        <v>264</v>
      </c>
      <c r="R398" s="206" t="s">
        <v>264</v>
      </c>
      <c r="S398" s="206" t="s">
        <v>264</v>
      </c>
    </row>
    <row r="399" spans="1:19" ht="20" customHeight="1" x14ac:dyDescent="0.15">
      <c r="A399" s="50">
        <v>394</v>
      </c>
      <c r="B399" s="51" t="s">
        <v>1358</v>
      </c>
      <c r="C399" s="52" t="s">
        <v>1359</v>
      </c>
      <c r="D399" s="53" t="s">
        <v>1315</v>
      </c>
      <c r="E399" s="189">
        <v>175.84</v>
      </c>
      <c r="F399" s="195">
        <v>-0.14391434</v>
      </c>
      <c r="G399" s="190">
        <v>76.621643775999999</v>
      </c>
      <c r="H399" s="184">
        <v>0.377</v>
      </c>
      <c r="I399" s="191">
        <v>0.51826000000000005</v>
      </c>
      <c r="J399" s="192">
        <v>82.553985999999995</v>
      </c>
      <c r="K399" s="200">
        <v>2375.6249600000001</v>
      </c>
      <c r="L399" s="190">
        <v>29.396213803396531</v>
      </c>
      <c r="M399" s="195">
        <v>-0.61634582143219141</v>
      </c>
      <c r="N399" s="192">
        <v>30.44853255800108</v>
      </c>
      <c r="O399" s="207" t="s">
        <v>264</v>
      </c>
      <c r="P399" s="207" t="s">
        <v>264</v>
      </c>
      <c r="Q399" s="207" t="s">
        <v>264</v>
      </c>
      <c r="R399" s="207" t="s">
        <v>264</v>
      </c>
      <c r="S399" s="207" t="s">
        <v>264</v>
      </c>
    </row>
    <row r="400" spans="1:19" ht="20" customHeight="1" x14ac:dyDescent="0.15">
      <c r="A400" s="50">
        <v>395</v>
      </c>
      <c r="B400" s="51" t="s">
        <v>1360</v>
      </c>
      <c r="C400" s="52" t="s">
        <v>1361</v>
      </c>
      <c r="D400" s="53" t="s">
        <v>1322</v>
      </c>
      <c r="E400" s="183">
        <v>140.53</v>
      </c>
      <c r="F400" s="184">
        <v>0.32951747999999997</v>
      </c>
      <c r="G400" s="185">
        <v>50.020556800000001</v>
      </c>
      <c r="H400" s="184">
        <v>0.29199999999999998</v>
      </c>
      <c r="I400" s="186">
        <v>0.79976000000000003</v>
      </c>
      <c r="J400" s="187">
        <v>453.32256999999998</v>
      </c>
      <c r="K400" s="194">
        <v>879.64671999999996</v>
      </c>
      <c r="L400" s="185">
        <v>14.05549229644083</v>
      </c>
      <c r="M400" s="195">
        <v>-0.71900568095153972</v>
      </c>
      <c r="N400" s="187">
        <v>52.843859488227267</v>
      </c>
      <c r="O400" s="206" t="s">
        <v>264</v>
      </c>
      <c r="P400" s="206" t="s">
        <v>264</v>
      </c>
      <c r="Q400" s="206" t="s">
        <v>264</v>
      </c>
      <c r="R400" s="206" t="s">
        <v>264</v>
      </c>
      <c r="S400" s="206" t="s">
        <v>264</v>
      </c>
    </row>
    <row r="401" spans="1:19" ht="20" customHeight="1" x14ac:dyDescent="0.15">
      <c r="A401" s="54">
        <v>396</v>
      </c>
      <c r="B401" s="55" t="s">
        <v>1362</v>
      </c>
      <c r="C401" s="56" t="s">
        <v>1363</v>
      </c>
      <c r="D401" s="57" t="s">
        <v>1315</v>
      </c>
      <c r="E401" s="189">
        <v>100.88</v>
      </c>
      <c r="F401" s="195">
        <v>-0.14746892</v>
      </c>
      <c r="G401" s="190">
        <v>14.319911936</v>
      </c>
      <c r="H401" s="184">
        <v>7.0999999999999994E-2</v>
      </c>
      <c r="I401" s="191">
        <v>0.57545000000000002</v>
      </c>
      <c r="J401" s="192">
        <v>14.329545</v>
      </c>
      <c r="K401" s="200">
        <v>758.73190399999999</v>
      </c>
      <c r="L401" s="190">
        <v>9.7164295001326693</v>
      </c>
      <c r="M401" s="195">
        <v>-0.32147421411819288</v>
      </c>
      <c r="N401" s="192">
        <v>18.87348218650892</v>
      </c>
      <c r="O401" s="207" t="s">
        <v>264</v>
      </c>
      <c r="P401" s="207" t="s">
        <v>264</v>
      </c>
      <c r="Q401" s="207" t="s">
        <v>264</v>
      </c>
      <c r="R401" s="207" t="s">
        <v>264</v>
      </c>
      <c r="S401" s="207" t="s">
        <v>264</v>
      </c>
    </row>
    <row r="402" spans="1:19" ht="20" customHeight="1" x14ac:dyDescent="0.15">
      <c r="A402" s="50">
        <v>397</v>
      </c>
      <c r="B402" s="51" t="s">
        <v>1364</v>
      </c>
      <c r="C402" s="52" t="s">
        <v>1365</v>
      </c>
      <c r="D402" s="53" t="s">
        <v>1322</v>
      </c>
      <c r="E402" s="183">
        <v>210.17</v>
      </c>
      <c r="F402" s="184">
        <v>1.2273209</v>
      </c>
      <c r="G402" s="185">
        <v>136.65016217600001</v>
      </c>
      <c r="H402" s="184">
        <v>0.39500000000000002</v>
      </c>
      <c r="I402" s="186">
        <v>0.20125000000000001</v>
      </c>
      <c r="J402" s="187">
        <v>24.213132999999999</v>
      </c>
      <c r="K402" s="194">
        <v>6606.7502080000004</v>
      </c>
      <c r="L402" s="185">
        <v>103.6691990282723</v>
      </c>
      <c r="M402" s="195">
        <v>-0.24135326751569869</v>
      </c>
      <c r="N402" s="187">
        <v>10.359530713404871</v>
      </c>
      <c r="O402" s="206" t="s">
        <v>264</v>
      </c>
      <c r="P402" s="206" t="s">
        <v>264</v>
      </c>
      <c r="Q402" s="206" t="s">
        <v>264</v>
      </c>
      <c r="R402" s="206" t="s">
        <v>264</v>
      </c>
      <c r="S402" s="206" t="s">
        <v>264</v>
      </c>
    </row>
    <row r="403" spans="1:19" ht="20" customHeight="1" x14ac:dyDescent="0.15">
      <c r="A403" s="54">
        <v>398</v>
      </c>
      <c r="B403" s="55" t="s">
        <v>1366</v>
      </c>
      <c r="C403" s="56" t="s">
        <v>1367</v>
      </c>
      <c r="D403" s="57" t="s">
        <v>1315</v>
      </c>
      <c r="E403" s="189">
        <v>23</v>
      </c>
      <c r="F403" s="195">
        <v>-0.32610607000000003</v>
      </c>
      <c r="G403" s="190">
        <v>11.402084351999999</v>
      </c>
      <c r="H403" s="184">
        <v>0.42799999999999999</v>
      </c>
      <c r="I403" s="191">
        <v>0.76110999999999995</v>
      </c>
      <c r="J403" s="192">
        <v>13.083494999999999</v>
      </c>
      <c r="K403" s="200">
        <v>605.93439999999998</v>
      </c>
      <c r="L403" s="190">
        <v>9.5582202924459008</v>
      </c>
      <c r="M403" s="195">
        <v>-0.16171289411928211</v>
      </c>
      <c r="N403" s="192">
        <v>18.8173579384171</v>
      </c>
      <c r="O403" s="207" t="s">
        <v>264</v>
      </c>
      <c r="P403" s="207" t="s">
        <v>264</v>
      </c>
      <c r="Q403" s="207" t="s">
        <v>264</v>
      </c>
      <c r="R403" s="207" t="s">
        <v>264</v>
      </c>
      <c r="S403" s="207" t="s">
        <v>264</v>
      </c>
    </row>
    <row r="404" spans="1:19" ht="20" customHeight="1" x14ac:dyDescent="0.15">
      <c r="A404" s="50">
        <v>399</v>
      </c>
      <c r="B404" s="51" t="s">
        <v>24</v>
      </c>
      <c r="C404" s="52" t="s">
        <v>1368</v>
      </c>
      <c r="D404" s="53" t="s">
        <v>1315</v>
      </c>
      <c r="E404" s="183">
        <v>337.77</v>
      </c>
      <c r="F404" s="195">
        <v>-0.29313159999999999</v>
      </c>
      <c r="G404" s="185">
        <v>11.234861056</v>
      </c>
      <c r="H404" s="184">
        <v>3.5000000000000003E-2</v>
      </c>
      <c r="I404" s="186">
        <v>0.28700999999999999</v>
      </c>
      <c r="J404" s="187">
        <v>19.456797000000002</v>
      </c>
      <c r="K404" s="194">
        <v>524.71273599999995</v>
      </c>
      <c r="L404" s="185">
        <v>3.7368489389906321</v>
      </c>
      <c r="M404" s="195">
        <v>-0.66738805933029677</v>
      </c>
      <c r="N404" s="187">
        <v>21.411452513132819</v>
      </c>
      <c r="O404" s="208" t="s">
        <v>474</v>
      </c>
      <c r="P404" s="209" t="s">
        <v>264</v>
      </c>
      <c r="Q404" s="208" t="s">
        <v>475</v>
      </c>
      <c r="R404" s="209">
        <v>437</v>
      </c>
      <c r="S404" s="210" t="s">
        <v>1369</v>
      </c>
    </row>
    <row r="405" spans="1:19" ht="20" customHeight="1" x14ac:dyDescent="0.15">
      <c r="A405" s="54">
        <v>400</v>
      </c>
      <c r="B405" s="55" t="s">
        <v>1370</v>
      </c>
      <c r="C405" s="56" t="s">
        <v>1371</v>
      </c>
      <c r="D405" s="57" t="s">
        <v>1347</v>
      </c>
      <c r="E405" s="189">
        <v>61.35</v>
      </c>
      <c r="F405" s="195">
        <v>-0.23570447999999999</v>
      </c>
      <c r="G405" s="190">
        <v>23.673307135999998</v>
      </c>
      <c r="H405" s="184">
        <v>0.15</v>
      </c>
      <c r="I405" s="191">
        <v>0.61504000000000003</v>
      </c>
      <c r="J405" s="192">
        <v>26.330473000000001</v>
      </c>
      <c r="K405" s="200">
        <v>1046.537472</v>
      </c>
      <c r="L405" s="190">
        <v>16.84523719647806</v>
      </c>
      <c r="M405" s="195">
        <v>-0.28842906909016058</v>
      </c>
      <c r="N405" s="192">
        <v>22.62060152868564</v>
      </c>
      <c r="O405" s="207" t="s">
        <v>264</v>
      </c>
      <c r="P405" s="207" t="s">
        <v>264</v>
      </c>
      <c r="Q405" s="207" t="s">
        <v>264</v>
      </c>
      <c r="R405" s="207" t="s">
        <v>264</v>
      </c>
      <c r="S405" s="207" t="s">
        <v>264</v>
      </c>
    </row>
    <row r="406" spans="1:19" ht="20" customHeight="1" x14ac:dyDescent="0.15">
      <c r="A406" s="50">
        <v>401</v>
      </c>
      <c r="B406" s="51" t="s">
        <v>1372</v>
      </c>
      <c r="C406" s="52" t="s">
        <v>1373</v>
      </c>
      <c r="D406" s="53" t="s">
        <v>1347</v>
      </c>
      <c r="E406" s="183">
        <v>372.68</v>
      </c>
      <c r="F406" s="195">
        <v>-0.1047802</v>
      </c>
      <c r="G406" s="185">
        <v>80.932077567999997</v>
      </c>
      <c r="H406" s="184">
        <v>2.5999999999999999E-2</v>
      </c>
      <c r="I406" s="186">
        <v>0.25890999999999997</v>
      </c>
      <c r="J406" s="187">
        <v>15.798219</v>
      </c>
      <c r="K406" s="194">
        <v>4298.6250239999999</v>
      </c>
      <c r="L406" s="185">
        <v>61.197121800333143</v>
      </c>
      <c r="M406" s="195">
        <v>-0.24384590585958121</v>
      </c>
      <c r="N406" s="187">
        <v>18.827433266810111</v>
      </c>
      <c r="O406" s="206" t="s">
        <v>264</v>
      </c>
      <c r="P406" s="206" t="s">
        <v>264</v>
      </c>
      <c r="Q406" s="206" t="s">
        <v>264</v>
      </c>
      <c r="R406" s="206" t="s">
        <v>264</v>
      </c>
      <c r="S406" s="206" t="s">
        <v>264</v>
      </c>
    </row>
    <row r="407" spans="1:19" ht="20" customHeight="1" x14ac:dyDescent="0.15">
      <c r="A407" s="54">
        <v>402</v>
      </c>
      <c r="B407" s="55" t="s">
        <v>1374</v>
      </c>
      <c r="C407" s="56" t="s">
        <v>1375</v>
      </c>
      <c r="D407" s="57" t="s">
        <v>1322</v>
      </c>
      <c r="E407" s="189">
        <v>33.85</v>
      </c>
      <c r="F407" s="195">
        <v>-0.23795587000000001</v>
      </c>
      <c r="G407" s="190">
        <v>4.4613698560000001</v>
      </c>
      <c r="H407" s="195">
        <v>-0.20599999999999999</v>
      </c>
      <c r="I407" s="191">
        <v>0.27178999999999998</v>
      </c>
      <c r="J407" s="192">
        <v>33.514850000000003</v>
      </c>
      <c r="K407" s="200">
        <v>91.614248000000003</v>
      </c>
      <c r="L407" s="190">
        <v>1.199921558112188</v>
      </c>
      <c r="M407" s="195">
        <v>-0.73104190039334227</v>
      </c>
      <c r="N407" s="192">
        <v>48.697335233270707</v>
      </c>
      <c r="O407" s="207" t="s">
        <v>264</v>
      </c>
      <c r="P407" s="207" t="s">
        <v>264</v>
      </c>
      <c r="Q407" s="207" t="s">
        <v>264</v>
      </c>
      <c r="R407" s="207" t="s">
        <v>264</v>
      </c>
      <c r="S407" s="207" t="s">
        <v>264</v>
      </c>
    </row>
    <row r="408" spans="1:19" ht="20" customHeight="1" x14ac:dyDescent="0.15">
      <c r="A408" s="50">
        <v>403</v>
      </c>
      <c r="B408" s="51" t="s">
        <v>1376</v>
      </c>
      <c r="C408" s="52" t="s">
        <v>1377</v>
      </c>
      <c r="D408" s="53" t="s">
        <v>1322</v>
      </c>
      <c r="E408" s="183">
        <v>112.33</v>
      </c>
      <c r="F408" s="195">
        <v>-0.29405480000000001</v>
      </c>
      <c r="G408" s="185">
        <v>5.9261767680000004</v>
      </c>
      <c r="H408" s="184">
        <v>0.128</v>
      </c>
      <c r="I408" s="186">
        <v>0.28877002000000002</v>
      </c>
      <c r="J408" s="187">
        <v>16.715775000000001</v>
      </c>
      <c r="K408" s="194">
        <v>725.30534399999999</v>
      </c>
      <c r="L408" s="185">
        <v>8.6536731027711404</v>
      </c>
      <c r="M408" s="184">
        <v>0.46024552448367673</v>
      </c>
      <c r="N408" s="187">
        <v>8.1705954053745398</v>
      </c>
      <c r="O408" s="206" t="s">
        <v>264</v>
      </c>
      <c r="P408" s="206" t="s">
        <v>264</v>
      </c>
      <c r="Q408" s="206" t="s">
        <v>264</v>
      </c>
      <c r="R408" s="206" t="s">
        <v>264</v>
      </c>
      <c r="S408" s="206" t="s">
        <v>264</v>
      </c>
    </row>
    <row r="409" spans="1:19" ht="20" customHeight="1" x14ac:dyDescent="0.15">
      <c r="A409" s="54">
        <v>404</v>
      </c>
      <c r="B409" s="55" t="s">
        <v>1378</v>
      </c>
      <c r="C409" s="56" t="s">
        <v>1379</v>
      </c>
      <c r="D409" s="57" t="s">
        <v>1355</v>
      </c>
      <c r="E409" s="189">
        <v>58.66</v>
      </c>
      <c r="F409" s="184">
        <v>9.6038819999999997E-2</v>
      </c>
      <c r="G409" s="190">
        <v>36.690538496000002</v>
      </c>
      <c r="H409" s="184">
        <v>0.499</v>
      </c>
      <c r="I409" s="191">
        <v>0.80966000000000005</v>
      </c>
      <c r="J409" s="192">
        <v>11.130929999999999</v>
      </c>
      <c r="K409" s="200">
        <v>2503.225856</v>
      </c>
      <c r="L409" s="190">
        <v>48.003855652894877</v>
      </c>
      <c r="M409" s="184">
        <v>0.30834426586920383</v>
      </c>
      <c r="N409" s="192">
        <v>14.657302852659569</v>
      </c>
      <c r="O409" s="207" t="s">
        <v>264</v>
      </c>
      <c r="P409" s="207" t="s">
        <v>264</v>
      </c>
      <c r="Q409" s="207" t="s">
        <v>264</v>
      </c>
      <c r="R409" s="207" t="s">
        <v>264</v>
      </c>
      <c r="S409" s="207" t="s">
        <v>264</v>
      </c>
    </row>
    <row r="410" spans="1:19" ht="20" customHeight="1" x14ac:dyDescent="0.15">
      <c r="A410" s="50">
        <v>405</v>
      </c>
      <c r="B410" s="51" t="s">
        <v>1380</v>
      </c>
      <c r="C410" s="52" t="s">
        <v>1381</v>
      </c>
      <c r="D410" s="53" t="s">
        <v>1318</v>
      </c>
      <c r="E410" s="183">
        <v>214.96</v>
      </c>
      <c r="F410" s="195">
        <v>-0.40450996</v>
      </c>
      <c r="G410" s="185">
        <v>11.240229888</v>
      </c>
      <c r="H410" s="184">
        <v>2.3E-2</v>
      </c>
      <c r="I410" s="186">
        <v>0.17913000000000001</v>
      </c>
      <c r="J410" s="187">
        <v>19.684982000000002</v>
      </c>
      <c r="K410" s="194">
        <v>447.47299199999998</v>
      </c>
      <c r="L410" s="185">
        <v>3.8341481946524798</v>
      </c>
      <c r="M410" s="195">
        <v>-0.65889058917328791</v>
      </c>
      <c r="N410" s="187">
        <v>22.188606317674701</v>
      </c>
      <c r="O410" s="206" t="s">
        <v>264</v>
      </c>
      <c r="P410" s="206" t="s">
        <v>264</v>
      </c>
      <c r="Q410" s="206" t="s">
        <v>264</v>
      </c>
      <c r="R410" s="206" t="s">
        <v>264</v>
      </c>
      <c r="S410" s="206" t="s">
        <v>264</v>
      </c>
    </row>
    <row r="411" spans="1:19" ht="20" customHeight="1" x14ac:dyDescent="0.15">
      <c r="A411" s="54">
        <v>406</v>
      </c>
      <c r="B411" s="55" t="s">
        <v>1382</v>
      </c>
      <c r="C411" s="56" t="s">
        <v>1383</v>
      </c>
      <c r="D411" s="57" t="s">
        <v>1315</v>
      </c>
      <c r="E411" s="189">
        <v>63.17</v>
      </c>
      <c r="F411" s="184">
        <v>0.40128659999999999</v>
      </c>
      <c r="G411" s="190">
        <v>5.9945948160000002</v>
      </c>
      <c r="H411" s="184">
        <v>3.1E-2</v>
      </c>
      <c r="I411" s="191">
        <v>0.71553999999999995</v>
      </c>
      <c r="J411" s="192">
        <v>24.203066</v>
      </c>
      <c r="K411" s="200">
        <v>165.65550400000001</v>
      </c>
      <c r="L411" s="190">
        <v>1.966752821795003</v>
      </c>
      <c r="M411" s="195">
        <v>-0.67191230063696716</v>
      </c>
      <c r="N411" s="192">
        <v>36.187115836911772</v>
      </c>
      <c r="O411" s="207" t="s">
        <v>264</v>
      </c>
      <c r="P411" s="207" t="s">
        <v>264</v>
      </c>
      <c r="Q411" s="207" t="s">
        <v>264</v>
      </c>
      <c r="R411" s="207" t="s">
        <v>264</v>
      </c>
      <c r="S411" s="207" t="s">
        <v>264</v>
      </c>
    </row>
    <row r="412" spans="1:19" ht="20" customHeight="1" x14ac:dyDescent="0.15">
      <c r="A412" s="50">
        <v>407</v>
      </c>
      <c r="B412" s="51" t="s">
        <v>1384</v>
      </c>
      <c r="C412" s="52" t="s">
        <v>1385</v>
      </c>
      <c r="D412" s="53" t="s">
        <v>1318</v>
      </c>
      <c r="E412" s="183">
        <v>227.58</v>
      </c>
      <c r="F412" s="195">
        <v>-0.47452032999999999</v>
      </c>
      <c r="G412" s="185">
        <v>8.2909962240000006</v>
      </c>
      <c r="H412" s="184">
        <v>7.0999999999999994E-2</v>
      </c>
      <c r="I412" s="186">
        <v>0.51936000000000004</v>
      </c>
      <c r="J412" s="187">
        <v>14.644788</v>
      </c>
      <c r="K412" s="194">
        <v>590.24934399999995</v>
      </c>
      <c r="L412" s="185">
        <v>6.5953855889252537</v>
      </c>
      <c r="M412" s="195">
        <v>-0.20451229131747181</v>
      </c>
      <c r="N412" s="187">
        <v>14.046599063496799</v>
      </c>
      <c r="O412" s="206" t="s">
        <v>264</v>
      </c>
      <c r="P412" s="206" t="s">
        <v>264</v>
      </c>
      <c r="Q412" s="206" t="s">
        <v>264</v>
      </c>
      <c r="R412" s="206" t="s">
        <v>264</v>
      </c>
      <c r="S412" s="206" t="s">
        <v>264</v>
      </c>
    </row>
    <row r="413" spans="1:19" ht="20" customHeight="1" x14ac:dyDescent="0.15">
      <c r="A413" s="54">
        <v>408</v>
      </c>
      <c r="B413" s="55" t="s">
        <v>1386</v>
      </c>
      <c r="C413" s="56" t="s">
        <v>1387</v>
      </c>
      <c r="D413" s="57" t="s">
        <v>1322</v>
      </c>
      <c r="E413" s="189">
        <v>1035.5</v>
      </c>
      <c r="F413" s="195">
        <v>-0.50226159999999997</v>
      </c>
      <c r="G413" s="190">
        <v>24.014182399999999</v>
      </c>
      <c r="H413" s="184">
        <v>0.38700000000000001</v>
      </c>
      <c r="I413" s="191">
        <v>0.84165000000000001</v>
      </c>
      <c r="J413" s="192">
        <v>32.789740000000002</v>
      </c>
      <c r="K413" s="200">
        <v>730.54099199999996</v>
      </c>
      <c r="L413" s="190">
        <v>9.2251641179373021</v>
      </c>
      <c r="M413" s="195">
        <v>-0.61584517164584784</v>
      </c>
      <c r="N413" s="192">
        <v>32.871780537949597</v>
      </c>
      <c r="O413" s="207" t="s">
        <v>264</v>
      </c>
      <c r="P413" s="207" t="s">
        <v>264</v>
      </c>
      <c r="Q413" s="207" t="s">
        <v>264</v>
      </c>
      <c r="R413" s="207" t="s">
        <v>264</v>
      </c>
      <c r="S413" s="207" t="s">
        <v>264</v>
      </c>
    </row>
    <row r="414" spans="1:19" ht="20" customHeight="1" x14ac:dyDescent="0.15">
      <c r="A414" s="50">
        <v>409</v>
      </c>
      <c r="B414" s="51" t="s">
        <v>1388</v>
      </c>
      <c r="C414" s="52" t="s">
        <v>1389</v>
      </c>
      <c r="D414" s="53" t="s">
        <v>1322</v>
      </c>
      <c r="E414" s="183">
        <v>211.71</v>
      </c>
      <c r="F414" s="184">
        <v>0.66491029999999995</v>
      </c>
      <c r="G414" s="185">
        <v>22.748874751999999</v>
      </c>
      <c r="H414" s="184">
        <v>0.23599999999999999</v>
      </c>
      <c r="I414" s="186">
        <v>0.41743000000000002</v>
      </c>
      <c r="J414" s="187">
        <v>13.676356999999999</v>
      </c>
      <c r="K414" s="194">
        <v>1147.6647680000001</v>
      </c>
      <c r="L414" s="185">
        <v>18.313143731625189</v>
      </c>
      <c r="M414" s="195">
        <v>-0.1949868320403336</v>
      </c>
      <c r="N414" s="187">
        <v>19.82188170224461</v>
      </c>
      <c r="O414" s="206" t="s">
        <v>264</v>
      </c>
      <c r="P414" s="206" t="s">
        <v>264</v>
      </c>
      <c r="Q414" s="206" t="s">
        <v>264</v>
      </c>
      <c r="R414" s="206" t="s">
        <v>264</v>
      </c>
      <c r="S414" s="206" t="s">
        <v>264</v>
      </c>
    </row>
    <row r="415" spans="1:19" ht="20" customHeight="1" x14ac:dyDescent="0.15">
      <c r="A415" s="54">
        <v>410</v>
      </c>
      <c r="B415" s="55" t="s">
        <v>1390</v>
      </c>
      <c r="C415" s="56" t="s">
        <v>1391</v>
      </c>
      <c r="D415" s="57" t="s">
        <v>1322</v>
      </c>
      <c r="E415" s="189">
        <v>86.76</v>
      </c>
      <c r="F415" s="195">
        <v>-0.52379379999999998</v>
      </c>
      <c r="G415" s="190">
        <v>11.512782848000001</v>
      </c>
      <c r="H415" s="184">
        <v>6.0999999999999999E-2</v>
      </c>
      <c r="I415" s="191">
        <v>0.63770000000000004</v>
      </c>
      <c r="J415" s="192">
        <v>13.749604</v>
      </c>
      <c r="K415" s="200">
        <v>1297.5124479999999</v>
      </c>
      <c r="L415" s="190">
        <v>11.828104438510559</v>
      </c>
      <c r="M415" s="184">
        <v>2.7388824637245238E-2</v>
      </c>
      <c r="N415" s="192">
        <v>8.872964921782394</v>
      </c>
      <c r="O415" s="207" t="s">
        <v>264</v>
      </c>
      <c r="P415" s="207" t="s">
        <v>264</v>
      </c>
      <c r="Q415" s="207" t="s">
        <v>264</v>
      </c>
      <c r="R415" s="207" t="s">
        <v>264</v>
      </c>
      <c r="S415" s="207" t="s">
        <v>264</v>
      </c>
    </row>
    <row r="416" spans="1:19" ht="20" customHeight="1" x14ac:dyDescent="0.15">
      <c r="A416" s="50">
        <v>411</v>
      </c>
      <c r="B416" s="51" t="s">
        <v>1392</v>
      </c>
      <c r="C416" s="52" t="s">
        <v>1393</v>
      </c>
      <c r="D416" s="53" t="s">
        <v>1347</v>
      </c>
      <c r="E416" s="183">
        <v>61.03</v>
      </c>
      <c r="F416" s="195">
        <v>-0.12022489</v>
      </c>
      <c r="G416" s="185">
        <v>27.762044928000002</v>
      </c>
      <c r="H416" s="184">
        <v>7.3999999999999996E-2</v>
      </c>
      <c r="I416" s="186">
        <v>0.39144000000000001</v>
      </c>
      <c r="J416" s="187">
        <v>14.635491</v>
      </c>
      <c r="K416" s="194">
        <v>1717.3749760000001</v>
      </c>
      <c r="L416" s="185">
        <v>20.521443511733811</v>
      </c>
      <c r="M416" s="195">
        <v>-0.26080936887194239</v>
      </c>
      <c r="N416" s="187">
        <v>16.165395494606301</v>
      </c>
      <c r="O416" s="206" t="s">
        <v>264</v>
      </c>
      <c r="P416" s="206" t="s">
        <v>264</v>
      </c>
      <c r="Q416" s="206" t="s">
        <v>264</v>
      </c>
      <c r="R416" s="206" t="s">
        <v>264</v>
      </c>
      <c r="S416" s="206" t="s">
        <v>264</v>
      </c>
    </row>
    <row r="417" spans="1:19" ht="20" customHeight="1" x14ac:dyDescent="0.15">
      <c r="A417" s="54">
        <v>412</v>
      </c>
      <c r="B417" s="55" t="s">
        <v>1394</v>
      </c>
      <c r="C417" s="56" t="s">
        <v>1395</v>
      </c>
      <c r="D417" s="57" t="s">
        <v>1322</v>
      </c>
      <c r="E417" s="189">
        <v>19.37</v>
      </c>
      <c r="F417" s="195">
        <v>-0.24835080000000001</v>
      </c>
      <c r="G417" s="190">
        <v>11.731706880000001</v>
      </c>
      <c r="H417" s="184">
        <v>0.25800000000000001</v>
      </c>
      <c r="I417" s="191">
        <v>0.78844999999999998</v>
      </c>
      <c r="J417" s="192">
        <v>19.969072000000001</v>
      </c>
      <c r="K417" s="200">
        <v>1316.3750399999999</v>
      </c>
      <c r="L417" s="190">
        <v>16.777427688416079</v>
      </c>
      <c r="M417" s="184">
        <v>0.43009264210461368</v>
      </c>
      <c r="N417" s="192">
        <v>8.9121313804157207</v>
      </c>
      <c r="O417" s="207" t="s">
        <v>264</v>
      </c>
      <c r="P417" s="207" t="s">
        <v>264</v>
      </c>
      <c r="Q417" s="207" t="s">
        <v>264</v>
      </c>
      <c r="R417" s="207" t="s">
        <v>264</v>
      </c>
      <c r="S417" s="207" t="s">
        <v>264</v>
      </c>
    </row>
    <row r="418" spans="1:19" ht="20" customHeight="1" x14ac:dyDescent="0.15">
      <c r="A418" s="50">
        <v>413</v>
      </c>
      <c r="B418" s="51" t="s">
        <v>1396</v>
      </c>
      <c r="C418" s="52" t="s">
        <v>1397</v>
      </c>
      <c r="D418" s="53" t="s">
        <v>1327</v>
      </c>
      <c r="E418" s="183">
        <v>1062.95</v>
      </c>
      <c r="F418" s="184">
        <v>1.6500874000000001</v>
      </c>
      <c r="G418" s="185">
        <v>285.635903488</v>
      </c>
      <c r="H418" s="184">
        <v>0.16300000000000001</v>
      </c>
      <c r="I418" s="186">
        <v>0.20282</v>
      </c>
      <c r="J418" s="187">
        <v>31.053170000000001</v>
      </c>
      <c r="K418" s="194">
        <v>9315.6249599999992</v>
      </c>
      <c r="L418" s="185">
        <v>112.8249360647134</v>
      </c>
      <c r="M418" s="195">
        <v>-0.60500436154219905</v>
      </c>
      <c r="N418" s="187">
        <v>30.66202427767659</v>
      </c>
      <c r="O418" s="206" t="s">
        <v>264</v>
      </c>
      <c r="P418" s="206" t="s">
        <v>264</v>
      </c>
      <c r="Q418" s="206" t="s">
        <v>264</v>
      </c>
      <c r="R418" s="206" t="s">
        <v>264</v>
      </c>
      <c r="S418" s="206" t="s">
        <v>264</v>
      </c>
    </row>
    <row r="419" spans="1:19" ht="20" customHeight="1" x14ac:dyDescent="0.15">
      <c r="A419" s="54">
        <v>414</v>
      </c>
      <c r="B419" s="55" t="s">
        <v>1398</v>
      </c>
      <c r="C419" s="56" t="s">
        <v>1399</v>
      </c>
      <c r="D419" s="57" t="s">
        <v>1327</v>
      </c>
      <c r="E419" s="189">
        <v>259.33999999999997</v>
      </c>
      <c r="F419" s="184">
        <v>1.2241852</v>
      </c>
      <c r="G419" s="190">
        <v>15.252236288000001</v>
      </c>
      <c r="H419" s="184">
        <v>0.124</v>
      </c>
      <c r="I419" s="191">
        <v>0.38138</v>
      </c>
      <c r="J419" s="192">
        <v>81.297805999999994</v>
      </c>
      <c r="K419" s="200">
        <v>127.173624</v>
      </c>
      <c r="L419" s="190">
        <v>1.515557259961281</v>
      </c>
      <c r="M419" s="195">
        <v>-0.90063376731491662</v>
      </c>
      <c r="N419" s="192">
        <v>119.93239188449959</v>
      </c>
      <c r="O419" s="207" t="s">
        <v>264</v>
      </c>
      <c r="P419" s="207" t="s">
        <v>264</v>
      </c>
      <c r="Q419" s="207" t="s">
        <v>264</v>
      </c>
      <c r="R419" s="207" t="s">
        <v>264</v>
      </c>
      <c r="S419" s="207" t="s">
        <v>264</v>
      </c>
    </row>
    <row r="420" spans="1:19" ht="20" customHeight="1" x14ac:dyDescent="0.15">
      <c r="A420" s="50">
        <v>415</v>
      </c>
      <c r="B420" s="51" t="s">
        <v>1400</v>
      </c>
      <c r="C420" s="52" t="s">
        <v>1401</v>
      </c>
      <c r="D420" s="53" t="s">
        <v>1327</v>
      </c>
      <c r="E420" s="183">
        <v>268.33999999999997</v>
      </c>
      <c r="F420" s="184">
        <v>1.46330595E-2</v>
      </c>
      <c r="G420" s="185">
        <v>37.438365695999998</v>
      </c>
      <c r="H420" s="184">
        <v>0.14399999999999999</v>
      </c>
      <c r="I420" s="186">
        <v>0.3962</v>
      </c>
      <c r="J420" s="187">
        <v>53.242060000000002</v>
      </c>
      <c r="K420" s="194">
        <v>690.76249600000006</v>
      </c>
      <c r="L420" s="185">
        <v>11.294532617355699</v>
      </c>
      <c r="M420" s="195">
        <v>-0.69831662233689773</v>
      </c>
      <c r="N420" s="187">
        <v>21.423507820523021</v>
      </c>
      <c r="O420" s="208" t="s">
        <v>474</v>
      </c>
      <c r="P420" s="209" t="s">
        <v>264</v>
      </c>
      <c r="Q420" s="208" t="s">
        <v>475</v>
      </c>
      <c r="R420" s="209">
        <v>265</v>
      </c>
      <c r="S420" s="210" t="s">
        <v>1402</v>
      </c>
    </row>
    <row r="421" spans="1:19" ht="20" customHeight="1" x14ac:dyDescent="0.15">
      <c r="A421" s="54">
        <v>416</v>
      </c>
      <c r="B421" s="55" t="s">
        <v>1403</v>
      </c>
      <c r="C421" s="56" t="s">
        <v>1404</v>
      </c>
      <c r="D421" s="57" t="s">
        <v>1327</v>
      </c>
      <c r="E421" s="189">
        <v>508.43</v>
      </c>
      <c r="F421" s="184">
        <v>0.43823372999999999</v>
      </c>
      <c r="G421" s="190">
        <v>27.028951039999999</v>
      </c>
      <c r="H421" s="184">
        <v>0.111</v>
      </c>
      <c r="I421" s="191">
        <v>0.35682000000000003</v>
      </c>
      <c r="J421" s="192">
        <v>30.299759999999999</v>
      </c>
      <c r="K421" s="200">
        <v>582.4</v>
      </c>
      <c r="L421" s="190">
        <v>8.1776070595742958</v>
      </c>
      <c r="M421" s="195">
        <v>-0.69745007686490312</v>
      </c>
      <c r="N421" s="192">
        <v>46.290119346875002</v>
      </c>
      <c r="O421" s="207" t="s">
        <v>264</v>
      </c>
      <c r="P421" s="207" t="s">
        <v>264</v>
      </c>
      <c r="Q421" s="207" t="s">
        <v>264</v>
      </c>
      <c r="R421" s="207" t="s">
        <v>264</v>
      </c>
      <c r="S421" s="207" t="s">
        <v>264</v>
      </c>
    </row>
    <row r="422" spans="1:19" ht="20" customHeight="1" x14ac:dyDescent="0.15">
      <c r="A422" s="50">
        <v>417</v>
      </c>
      <c r="B422" s="51" t="s">
        <v>1405</v>
      </c>
      <c r="C422" s="52" t="s">
        <v>1406</v>
      </c>
      <c r="D422" s="53" t="s">
        <v>1350</v>
      </c>
      <c r="E422" s="183">
        <v>28.53</v>
      </c>
      <c r="F422" s="195">
        <v>-0.18462419999999999</v>
      </c>
      <c r="G422" s="185">
        <v>16.946294783999999</v>
      </c>
      <c r="H422" s="184">
        <v>9.1999999999999998E-2</v>
      </c>
      <c r="I422" s="186">
        <v>0.57181000000000004</v>
      </c>
      <c r="J422" s="187">
        <v>30.031580000000002</v>
      </c>
      <c r="K422" s="194">
        <v>1021.075392</v>
      </c>
      <c r="L422" s="185">
        <v>12.467251519904289</v>
      </c>
      <c r="M422" s="195">
        <v>-0.26430811697697132</v>
      </c>
      <c r="N422" s="187">
        <v>16.59651669602669</v>
      </c>
      <c r="O422" s="206" t="s">
        <v>264</v>
      </c>
      <c r="P422" s="206" t="s">
        <v>264</v>
      </c>
      <c r="Q422" s="206" t="s">
        <v>264</v>
      </c>
      <c r="R422" s="206" t="s">
        <v>264</v>
      </c>
      <c r="S422" s="206" t="s">
        <v>264</v>
      </c>
    </row>
    <row r="423" spans="1:19" ht="20" customHeight="1" x14ac:dyDescent="0.15">
      <c r="A423" s="54">
        <v>418</v>
      </c>
      <c r="B423" s="55" t="s">
        <v>1407</v>
      </c>
      <c r="C423" s="56" t="s">
        <v>1408</v>
      </c>
      <c r="D423" s="57" t="s">
        <v>1333</v>
      </c>
      <c r="E423" s="189">
        <v>17.43</v>
      </c>
      <c r="F423" s="195">
        <v>-0.26269037000000001</v>
      </c>
      <c r="G423" s="190">
        <v>33.464141824000002</v>
      </c>
      <c r="H423" s="184">
        <v>3.2000000000000001E-2</v>
      </c>
      <c r="I423" s="191">
        <v>0.58370995999999997</v>
      </c>
      <c r="J423" s="192">
        <v>22.934211999999999</v>
      </c>
      <c r="K423" s="200">
        <v>1807.8749439999999</v>
      </c>
      <c r="L423" s="190">
        <v>16.631653744973921</v>
      </c>
      <c r="M423" s="195">
        <v>-0.50300073934524325</v>
      </c>
      <c r="N423" s="192">
        <v>18.510207988705879</v>
      </c>
      <c r="O423" s="207" t="s">
        <v>264</v>
      </c>
      <c r="P423" s="207" t="s">
        <v>264</v>
      </c>
      <c r="Q423" s="207" t="s">
        <v>264</v>
      </c>
      <c r="R423" s="207" t="s">
        <v>264</v>
      </c>
      <c r="S423" s="207" t="s">
        <v>264</v>
      </c>
    </row>
    <row r="424" spans="1:19" ht="20" customHeight="1" x14ac:dyDescent="0.15">
      <c r="A424" s="50">
        <v>419</v>
      </c>
      <c r="B424" s="51" t="s">
        <v>1409</v>
      </c>
      <c r="C424" s="52" t="s">
        <v>1410</v>
      </c>
      <c r="D424" s="53" t="s">
        <v>1350</v>
      </c>
      <c r="E424" s="183">
        <v>140.35</v>
      </c>
      <c r="F424" s="184">
        <v>0.20783138000000001</v>
      </c>
      <c r="G424" s="185">
        <v>14.237321216</v>
      </c>
      <c r="H424" s="184">
        <v>2.3E-2</v>
      </c>
      <c r="I424" s="186">
        <v>0.67047000000000001</v>
      </c>
      <c r="J424" s="187">
        <v>24.324090999999999</v>
      </c>
      <c r="K424" s="194">
        <v>537.70022400000005</v>
      </c>
      <c r="L424" s="185">
        <v>4.541926182273472</v>
      </c>
      <c r="M424" s="195">
        <v>-0.68098449747911671</v>
      </c>
      <c r="N424" s="187">
        <v>22.71425750717188</v>
      </c>
      <c r="O424" s="208" t="s">
        <v>474</v>
      </c>
      <c r="P424" s="209" t="s">
        <v>264</v>
      </c>
      <c r="Q424" s="208" t="s">
        <v>475</v>
      </c>
      <c r="R424" s="209">
        <v>123</v>
      </c>
      <c r="S424" s="210" t="s">
        <v>1411</v>
      </c>
    </row>
    <row r="425" spans="1:19" ht="20" customHeight="1" x14ac:dyDescent="0.15">
      <c r="A425" s="54">
        <v>420</v>
      </c>
      <c r="B425" s="55" t="s">
        <v>1412</v>
      </c>
      <c r="C425" s="56" t="s">
        <v>1413</v>
      </c>
      <c r="D425" s="57" t="s">
        <v>1330</v>
      </c>
      <c r="E425" s="189">
        <v>71.260000000000005</v>
      </c>
      <c r="F425" s="195">
        <v>-0.18587910999999999</v>
      </c>
      <c r="G425" s="190">
        <v>4.9773998080000004</v>
      </c>
      <c r="H425" s="195">
        <v>-0.16600000000000001</v>
      </c>
      <c r="I425" s="191">
        <v>0.2175</v>
      </c>
      <c r="J425" s="192">
        <v>34.259616999999999</v>
      </c>
      <c r="K425" s="200">
        <v>26.75</v>
      </c>
      <c r="L425" s="190">
        <v>0.36495125798315819</v>
      </c>
      <c r="M425" s="195">
        <v>-0.9266783316468602</v>
      </c>
      <c r="N425" s="192">
        <v>186.071021846729</v>
      </c>
      <c r="O425" s="211" t="s">
        <v>455</v>
      </c>
      <c r="P425" s="212">
        <v>1.1000000000000001</v>
      </c>
      <c r="Q425" s="211" t="s">
        <v>461</v>
      </c>
      <c r="R425" s="212">
        <v>75</v>
      </c>
      <c r="S425" s="213" t="s">
        <v>1414</v>
      </c>
    </row>
    <row r="426" spans="1:19" ht="20" customHeight="1" x14ac:dyDescent="0.15">
      <c r="A426" s="50">
        <v>421</v>
      </c>
      <c r="B426" s="51" t="s">
        <v>1415</v>
      </c>
      <c r="C426" s="52" t="s">
        <v>1416</v>
      </c>
      <c r="D426" s="53" t="s">
        <v>1315</v>
      </c>
      <c r="E426" s="183">
        <v>133.58000000000001</v>
      </c>
      <c r="F426" s="195">
        <v>-0.52044517000000001</v>
      </c>
      <c r="G426" s="185">
        <v>15.670419455999999</v>
      </c>
      <c r="H426" s="184">
        <v>8.0000000000000002E-3</v>
      </c>
      <c r="I426" s="186">
        <v>0.56601000000000001</v>
      </c>
      <c r="J426" s="187">
        <v>10.073907</v>
      </c>
      <c r="K426" s="194">
        <v>824.07839999999999</v>
      </c>
      <c r="L426" s="185">
        <v>5.6362733683569228</v>
      </c>
      <c r="M426" s="195">
        <v>-0.64032402679566647</v>
      </c>
      <c r="N426" s="187">
        <v>17.908824199469372</v>
      </c>
      <c r="O426" s="206" t="s">
        <v>264</v>
      </c>
      <c r="P426" s="206" t="s">
        <v>264</v>
      </c>
      <c r="Q426" s="206" t="s">
        <v>264</v>
      </c>
      <c r="R426" s="206" t="s">
        <v>264</v>
      </c>
      <c r="S426" s="206" t="s">
        <v>264</v>
      </c>
    </row>
    <row r="427" spans="1:19" ht="20" customHeight="1" x14ac:dyDescent="0.15">
      <c r="A427" s="54">
        <v>422</v>
      </c>
      <c r="B427" s="55" t="s">
        <v>1417</v>
      </c>
      <c r="C427" s="56" t="s">
        <v>1418</v>
      </c>
      <c r="D427" s="57" t="s">
        <v>1419</v>
      </c>
      <c r="E427" s="189">
        <v>608.745</v>
      </c>
      <c r="F427" s="184">
        <v>1.5819191999999999E-2</v>
      </c>
      <c r="G427" s="190">
        <v>1545.252503552</v>
      </c>
      <c r="H427" s="184">
        <v>0.33100000000000002</v>
      </c>
      <c r="I427" s="191">
        <v>0.81940999999999997</v>
      </c>
      <c r="J427" s="192">
        <v>22.120094000000002</v>
      </c>
      <c r="K427" s="200">
        <v>25059.500032</v>
      </c>
      <c r="L427" s="190">
        <v>420.1721041259118</v>
      </c>
      <c r="M427" s="195">
        <v>-0.72808838480437221</v>
      </c>
      <c r="N427" s="192">
        <v>53.346306580736972</v>
      </c>
      <c r="O427" s="207" t="s">
        <v>264</v>
      </c>
      <c r="P427" s="207" t="s">
        <v>264</v>
      </c>
      <c r="Q427" s="207" t="s">
        <v>264</v>
      </c>
      <c r="R427" s="207" t="s">
        <v>264</v>
      </c>
      <c r="S427" s="207" t="s">
        <v>264</v>
      </c>
    </row>
    <row r="428" spans="1:19" ht="20" customHeight="1" x14ac:dyDescent="0.15">
      <c r="A428" s="50">
        <v>423</v>
      </c>
      <c r="B428" s="51" t="s">
        <v>1420</v>
      </c>
      <c r="C428" s="52" t="s">
        <v>1421</v>
      </c>
      <c r="D428" s="53" t="s">
        <v>1322</v>
      </c>
      <c r="E428" s="183">
        <v>72.739999999999995</v>
      </c>
      <c r="F428" s="195">
        <v>-0.73385537000000001</v>
      </c>
      <c r="G428" s="185">
        <v>3.7498534399999999</v>
      </c>
      <c r="H428" s="184">
        <v>0.246</v>
      </c>
      <c r="I428" s="186">
        <v>0.89195997000000005</v>
      </c>
      <c r="J428" s="187">
        <v>32.473213000000001</v>
      </c>
      <c r="K428" s="194">
        <v>255.46750399999999</v>
      </c>
      <c r="L428" s="185">
        <v>4.3381149394823986</v>
      </c>
      <c r="M428" s="184">
        <v>0.15687586432241971</v>
      </c>
      <c r="N428" s="187">
        <v>14.56716855964585</v>
      </c>
      <c r="O428" s="206" t="s">
        <v>264</v>
      </c>
      <c r="P428" s="206" t="s">
        <v>264</v>
      </c>
      <c r="Q428" s="206" t="s">
        <v>264</v>
      </c>
      <c r="R428" s="206" t="s">
        <v>264</v>
      </c>
      <c r="S428" s="206" t="s">
        <v>264</v>
      </c>
    </row>
    <row r="429" spans="1:19" ht="20" customHeight="1" x14ac:dyDescent="0.15">
      <c r="A429" s="54">
        <v>424</v>
      </c>
      <c r="B429" s="55" t="s">
        <v>1422</v>
      </c>
      <c r="C429" s="56" t="s">
        <v>1423</v>
      </c>
      <c r="D429" s="57" t="s">
        <v>1347</v>
      </c>
      <c r="E429" s="189">
        <v>192.7</v>
      </c>
      <c r="F429" s="195">
        <v>-0.39711540000000001</v>
      </c>
      <c r="G429" s="190">
        <v>10.039669760000001</v>
      </c>
      <c r="H429" s="195">
        <v>-4.2999999999999997E-2</v>
      </c>
      <c r="I429" s="191">
        <v>8.8570006000000007E-2</v>
      </c>
      <c r="J429" s="192">
        <v>51.524062999999998</v>
      </c>
      <c r="K429" s="200">
        <v>757.50003200000003</v>
      </c>
      <c r="L429" s="190">
        <v>10.865603141686631</v>
      </c>
      <c r="M429" s="184">
        <v>8.2266987005619019E-2</v>
      </c>
      <c r="N429" s="192">
        <v>13.253689209085071</v>
      </c>
      <c r="O429" s="207" t="s">
        <v>264</v>
      </c>
      <c r="P429" s="207" t="s">
        <v>264</v>
      </c>
      <c r="Q429" s="207" t="s">
        <v>264</v>
      </c>
      <c r="R429" s="207" t="s">
        <v>264</v>
      </c>
      <c r="S429" s="207" t="s">
        <v>264</v>
      </c>
    </row>
    <row r="430" spans="1:19" ht="20" customHeight="1" x14ac:dyDescent="0.15">
      <c r="A430" s="50">
        <v>425</v>
      </c>
      <c r="B430" s="51" t="s">
        <v>1424</v>
      </c>
      <c r="C430" s="52" t="s">
        <v>1425</v>
      </c>
      <c r="D430" s="53" t="s">
        <v>1322</v>
      </c>
      <c r="E430" s="183">
        <v>1583.48</v>
      </c>
      <c r="F430" s="184">
        <v>1.5238764</v>
      </c>
      <c r="G430" s="185">
        <v>77.777371135999999</v>
      </c>
      <c r="H430" s="184">
        <v>0.26100000000000001</v>
      </c>
      <c r="I430" s="186">
        <v>0.55174999999999996</v>
      </c>
      <c r="J430" s="187">
        <v>113.67408</v>
      </c>
      <c r="K430" s="201" t="s">
        <v>264</v>
      </c>
      <c r="L430" s="202" t="s">
        <v>264</v>
      </c>
      <c r="M430" s="203" t="s">
        <v>264</v>
      </c>
      <c r="N430" s="204" t="s">
        <v>264</v>
      </c>
      <c r="O430" s="206" t="s">
        <v>264</v>
      </c>
      <c r="P430" s="206" t="s">
        <v>264</v>
      </c>
      <c r="Q430" s="206" t="s">
        <v>264</v>
      </c>
      <c r="R430" s="206" t="s">
        <v>264</v>
      </c>
      <c r="S430" s="206" t="s">
        <v>264</v>
      </c>
    </row>
    <row r="431" spans="1:19" ht="20" customHeight="1" x14ac:dyDescent="0.15">
      <c r="A431" s="54">
        <v>426</v>
      </c>
      <c r="B431" s="55" t="s">
        <v>1426</v>
      </c>
      <c r="C431" s="56" t="s">
        <v>1427</v>
      </c>
      <c r="D431" s="57" t="s">
        <v>1347</v>
      </c>
      <c r="E431" s="189">
        <v>45.37</v>
      </c>
      <c r="F431" s="184">
        <v>0.62966955000000002</v>
      </c>
      <c r="G431" s="190">
        <v>17.993144319999999</v>
      </c>
      <c r="H431" s="184">
        <v>2.6019999999999999</v>
      </c>
      <c r="I431" s="191">
        <v>-1.18652</v>
      </c>
      <c r="J431" s="192">
        <v>-9.5928789999999999</v>
      </c>
      <c r="K431" s="200">
        <v>-497.75001600000002</v>
      </c>
      <c r="L431" s="193" t="s">
        <v>264</v>
      </c>
      <c r="M431" s="193" t="s">
        <v>264</v>
      </c>
      <c r="N431" s="192">
        <v>-36.148961025729029</v>
      </c>
      <c r="O431" s="207" t="s">
        <v>264</v>
      </c>
      <c r="P431" s="207" t="s">
        <v>264</v>
      </c>
      <c r="Q431" s="207" t="s">
        <v>264</v>
      </c>
      <c r="R431" s="207" t="s">
        <v>264</v>
      </c>
      <c r="S431" s="207" t="s">
        <v>264</v>
      </c>
    </row>
    <row r="432" spans="1:19" ht="20" customHeight="1" x14ac:dyDescent="0.15">
      <c r="A432" s="50">
        <v>427</v>
      </c>
      <c r="B432" s="51" t="s">
        <v>1428</v>
      </c>
      <c r="C432" s="52" t="s">
        <v>1429</v>
      </c>
      <c r="D432" s="53" t="s">
        <v>1322</v>
      </c>
      <c r="E432" s="183">
        <v>177.17</v>
      </c>
      <c r="F432" s="195">
        <v>-0.54163969999999995</v>
      </c>
      <c r="G432" s="185">
        <v>62.078038016000001</v>
      </c>
      <c r="H432" s="184">
        <v>1.9E-2</v>
      </c>
      <c r="I432" s="186">
        <v>0.68691002999999995</v>
      </c>
      <c r="J432" s="187">
        <v>4.8693814</v>
      </c>
      <c r="K432" s="194">
        <v>-3363.3195519999999</v>
      </c>
      <c r="L432" s="188" t="s">
        <v>264</v>
      </c>
      <c r="M432" s="188" t="s">
        <v>264</v>
      </c>
      <c r="N432" s="187">
        <v>-17.422779131942558</v>
      </c>
      <c r="O432" s="206" t="s">
        <v>264</v>
      </c>
      <c r="P432" s="206" t="s">
        <v>264</v>
      </c>
      <c r="Q432" s="206" t="s">
        <v>264</v>
      </c>
      <c r="R432" s="206" t="s">
        <v>264</v>
      </c>
      <c r="S432" s="206" t="s">
        <v>264</v>
      </c>
    </row>
    <row r="433" spans="1:19" ht="20" customHeight="1" x14ac:dyDescent="0.15">
      <c r="A433" s="54">
        <v>428</v>
      </c>
      <c r="B433" s="55" t="s">
        <v>1430</v>
      </c>
      <c r="C433" s="56" t="s">
        <v>1431</v>
      </c>
      <c r="D433" s="57" t="s">
        <v>1419</v>
      </c>
      <c r="E433" s="189">
        <v>38.67</v>
      </c>
      <c r="F433" s="184">
        <v>0.27623760000000003</v>
      </c>
      <c r="G433" s="190">
        <v>9.1288340479999999</v>
      </c>
      <c r="H433" s="184">
        <v>2.1000000000000001E-2</v>
      </c>
      <c r="I433" s="191">
        <v>0.7288</v>
      </c>
      <c r="J433" s="192">
        <v>16.247897999999999</v>
      </c>
      <c r="K433" s="200">
        <v>873.88991999999996</v>
      </c>
      <c r="L433" s="190">
        <v>7.9698440390400904</v>
      </c>
      <c r="M433" s="195">
        <v>-0.12695925929487439</v>
      </c>
      <c r="N433" s="192">
        <v>10.294616884458399</v>
      </c>
      <c r="O433" s="207" t="s">
        <v>264</v>
      </c>
      <c r="P433" s="207" t="s">
        <v>264</v>
      </c>
      <c r="Q433" s="207" t="s">
        <v>264</v>
      </c>
      <c r="R433" s="207" t="s">
        <v>264</v>
      </c>
      <c r="S433" s="207" t="s">
        <v>264</v>
      </c>
    </row>
    <row r="434" spans="1:19" ht="20" customHeight="1" x14ac:dyDescent="0.15">
      <c r="A434" s="50">
        <v>429</v>
      </c>
      <c r="B434" s="51" t="s">
        <v>1432</v>
      </c>
      <c r="C434" s="52" t="s">
        <v>1433</v>
      </c>
      <c r="D434" s="53" t="s">
        <v>1327</v>
      </c>
      <c r="E434" s="183">
        <v>283.2</v>
      </c>
      <c r="F434" s="184">
        <v>0.48349916999999998</v>
      </c>
      <c r="G434" s="185">
        <v>15.797916671999999</v>
      </c>
      <c r="H434" s="184">
        <v>8.7999999999999995E-2</v>
      </c>
      <c r="I434" s="186">
        <v>0.55280994999999999</v>
      </c>
      <c r="J434" s="187">
        <v>30.682559999999999</v>
      </c>
      <c r="K434" s="194">
        <v>514.46524799999997</v>
      </c>
      <c r="L434" s="185">
        <v>4.5663768229190929</v>
      </c>
      <c r="M434" s="195">
        <v>-0.71095069573240166</v>
      </c>
      <c r="N434" s="187">
        <v>30.707448199883071</v>
      </c>
      <c r="O434" s="206" t="s">
        <v>264</v>
      </c>
      <c r="P434" s="206" t="s">
        <v>264</v>
      </c>
      <c r="Q434" s="206" t="s">
        <v>264</v>
      </c>
      <c r="R434" s="206" t="s">
        <v>264</v>
      </c>
      <c r="S434" s="206" t="s">
        <v>264</v>
      </c>
    </row>
    <row r="435" spans="1:19" ht="20" customHeight="1" x14ac:dyDescent="0.15">
      <c r="A435" s="54">
        <v>430</v>
      </c>
      <c r="B435" s="55" t="s">
        <v>1434</v>
      </c>
      <c r="C435" s="56" t="s">
        <v>1435</v>
      </c>
      <c r="D435" s="57" t="s">
        <v>1322</v>
      </c>
      <c r="E435" s="189">
        <v>217.5</v>
      </c>
      <c r="F435" s="184">
        <v>0.74502562999999999</v>
      </c>
      <c r="G435" s="190">
        <v>76.858859519999996</v>
      </c>
      <c r="H435" s="184">
        <v>0.33600000000000002</v>
      </c>
      <c r="I435" s="191">
        <v>0.74514000000000002</v>
      </c>
      <c r="J435" s="192">
        <v>150.85937999999999</v>
      </c>
      <c r="K435" s="200">
        <v>388.02512000000002</v>
      </c>
      <c r="L435" s="190">
        <v>7.6892191309801809</v>
      </c>
      <c r="M435" s="195">
        <v>-0.89995663246890478</v>
      </c>
      <c r="N435" s="192">
        <v>178.9633678033525</v>
      </c>
      <c r="O435" s="207" t="s">
        <v>264</v>
      </c>
      <c r="P435" s="207" t="s">
        <v>264</v>
      </c>
      <c r="Q435" s="207" t="s">
        <v>264</v>
      </c>
      <c r="R435" s="207" t="s">
        <v>264</v>
      </c>
      <c r="S435" s="207" t="s">
        <v>264</v>
      </c>
    </row>
    <row r="436" spans="1:19" ht="20" customHeight="1" x14ac:dyDescent="0.15">
      <c r="A436" s="50">
        <v>431</v>
      </c>
      <c r="B436" s="51" t="s">
        <v>1436</v>
      </c>
      <c r="C436" s="52" t="s">
        <v>1437</v>
      </c>
      <c r="D436" s="53" t="s">
        <v>1322</v>
      </c>
      <c r="E436" s="183">
        <v>42.6</v>
      </c>
      <c r="F436" s="195">
        <v>-0.41184591999999998</v>
      </c>
      <c r="G436" s="185">
        <v>11.298034688</v>
      </c>
      <c r="H436" s="184">
        <v>0.104</v>
      </c>
      <c r="I436" s="186">
        <v>0.87133000000000005</v>
      </c>
      <c r="J436" s="187">
        <v>46.304344</v>
      </c>
      <c r="K436" s="194">
        <v>664.85273600000005</v>
      </c>
      <c r="L436" s="185">
        <v>8.3376096637065871</v>
      </c>
      <c r="M436" s="195">
        <v>-0.26203008806812872</v>
      </c>
      <c r="N436" s="187">
        <v>16.993289973014409</v>
      </c>
      <c r="O436" s="206" t="s">
        <v>264</v>
      </c>
      <c r="P436" s="206" t="s">
        <v>264</v>
      </c>
      <c r="Q436" s="206" t="s">
        <v>264</v>
      </c>
      <c r="R436" s="206" t="s">
        <v>264</v>
      </c>
      <c r="S436" s="206" t="s">
        <v>264</v>
      </c>
    </row>
    <row r="437" spans="1:19" ht="20" customHeight="1" x14ac:dyDescent="0.15">
      <c r="A437" s="54">
        <v>432</v>
      </c>
      <c r="B437" s="55" t="s">
        <v>1438</v>
      </c>
      <c r="C437" s="56" t="s">
        <v>1439</v>
      </c>
      <c r="D437" s="57" t="s">
        <v>1419</v>
      </c>
      <c r="E437" s="189">
        <v>30.41</v>
      </c>
      <c r="F437" s="195">
        <v>-5.2057384999999998E-2</v>
      </c>
      <c r="G437" s="190">
        <v>16.658020352000001</v>
      </c>
      <c r="H437" s="184">
        <v>5.5E-2</v>
      </c>
      <c r="I437" s="191">
        <v>0.56667000000000001</v>
      </c>
      <c r="J437" s="192">
        <v>39.493507000000001</v>
      </c>
      <c r="K437" s="200">
        <v>1718.3750399999999</v>
      </c>
      <c r="L437" s="190">
        <v>18.551724153325321</v>
      </c>
      <c r="M437" s="184">
        <v>0.1136812034869412</v>
      </c>
      <c r="N437" s="192">
        <v>3.2325149242158449</v>
      </c>
      <c r="O437" s="207" t="s">
        <v>264</v>
      </c>
      <c r="P437" s="207" t="s">
        <v>264</v>
      </c>
      <c r="Q437" s="207" t="s">
        <v>264</v>
      </c>
      <c r="R437" s="207" t="s">
        <v>264</v>
      </c>
      <c r="S437" s="207" t="s">
        <v>264</v>
      </c>
    </row>
    <row r="438" spans="1:19" ht="20" customHeight="1" x14ac:dyDescent="0.15">
      <c r="A438" s="50">
        <v>433</v>
      </c>
      <c r="B438" s="51" t="s">
        <v>1440</v>
      </c>
      <c r="C438" s="52" t="s">
        <v>1441</v>
      </c>
      <c r="D438" s="53" t="s">
        <v>1322</v>
      </c>
      <c r="E438" s="183">
        <v>295.24</v>
      </c>
      <c r="F438" s="184">
        <v>0.59632339999999995</v>
      </c>
      <c r="G438" s="185">
        <v>74.539556864000005</v>
      </c>
      <c r="H438" s="184">
        <v>0.122</v>
      </c>
      <c r="I438" s="186">
        <v>0.55632000000000004</v>
      </c>
      <c r="J438" s="187">
        <v>28.25263</v>
      </c>
      <c r="K438" s="194">
        <v>3119.0000639999998</v>
      </c>
      <c r="L438" s="185">
        <v>33.249479240058378</v>
      </c>
      <c r="M438" s="195">
        <v>-0.55393510990784123</v>
      </c>
      <c r="N438" s="187">
        <v>23.898544352181201</v>
      </c>
      <c r="O438" s="206" t="s">
        <v>264</v>
      </c>
      <c r="P438" s="206" t="s">
        <v>264</v>
      </c>
      <c r="Q438" s="206" t="s">
        <v>264</v>
      </c>
      <c r="R438" s="206" t="s">
        <v>264</v>
      </c>
      <c r="S438" s="206" t="s">
        <v>264</v>
      </c>
    </row>
    <row r="439" spans="1:19" ht="20" customHeight="1" x14ac:dyDescent="0.15">
      <c r="A439" s="54">
        <v>434</v>
      </c>
      <c r="B439" s="55" t="s">
        <v>1442</v>
      </c>
      <c r="C439" s="56" t="s">
        <v>1443</v>
      </c>
      <c r="D439" s="57" t="s">
        <v>1322</v>
      </c>
      <c r="E439" s="189">
        <v>103.03</v>
      </c>
      <c r="F439" s="184">
        <v>1.6823745000000001</v>
      </c>
      <c r="G439" s="190">
        <v>40.524513280000001</v>
      </c>
      <c r="H439" s="195">
        <v>-0.112</v>
      </c>
      <c r="I439" s="191">
        <v>0.38321</v>
      </c>
      <c r="J439" s="192">
        <v>355.27587999999997</v>
      </c>
      <c r="K439" s="200">
        <v>1560.1250560000001</v>
      </c>
      <c r="L439" s="190">
        <v>8.7759206541018013</v>
      </c>
      <c r="M439" s="195">
        <v>-0.78344167656091335</v>
      </c>
      <c r="N439" s="192">
        <v>25.9751700145376</v>
      </c>
      <c r="O439" s="207" t="s">
        <v>264</v>
      </c>
      <c r="P439" s="207" t="s">
        <v>264</v>
      </c>
      <c r="Q439" s="207" t="s">
        <v>264</v>
      </c>
      <c r="R439" s="207" t="s">
        <v>264</v>
      </c>
      <c r="S439" s="207" t="s">
        <v>264</v>
      </c>
    </row>
    <row r="440" spans="1:19" ht="20" customHeight="1" x14ac:dyDescent="0.15">
      <c r="A440" s="50">
        <v>435</v>
      </c>
      <c r="B440" s="51" t="s">
        <v>1444</v>
      </c>
      <c r="C440" s="52" t="s">
        <v>1445</v>
      </c>
      <c r="D440" s="53" t="s">
        <v>1322</v>
      </c>
      <c r="E440" s="183">
        <v>181.08</v>
      </c>
      <c r="F440" s="195">
        <v>-3.7474095999999998E-2</v>
      </c>
      <c r="G440" s="185">
        <v>146.85588684800001</v>
      </c>
      <c r="H440" s="184">
        <v>0.14899999999999999</v>
      </c>
      <c r="I440" s="186">
        <v>0.73502000000000001</v>
      </c>
      <c r="J440" s="187">
        <v>101.16202</v>
      </c>
      <c r="K440" s="194">
        <v>2859.2250880000001</v>
      </c>
      <c r="L440" s="185">
        <v>38.679932983147019</v>
      </c>
      <c r="M440" s="195">
        <v>-0.73661298969116684</v>
      </c>
      <c r="N440" s="187">
        <v>51.362126268528328</v>
      </c>
      <c r="O440" s="206" t="s">
        <v>264</v>
      </c>
      <c r="P440" s="206" t="s">
        <v>264</v>
      </c>
      <c r="Q440" s="206" t="s">
        <v>264</v>
      </c>
      <c r="R440" s="206" t="s">
        <v>264</v>
      </c>
      <c r="S440" s="206" t="s">
        <v>264</v>
      </c>
    </row>
    <row r="441" spans="1:19" ht="20" customHeight="1" x14ac:dyDescent="0.15">
      <c r="A441" s="50">
        <v>436</v>
      </c>
      <c r="B441" s="51" t="s">
        <v>1446</v>
      </c>
      <c r="C441" s="52" t="s">
        <v>1447</v>
      </c>
      <c r="D441" s="53" t="s">
        <v>1342</v>
      </c>
      <c r="E441" s="189">
        <v>16.45</v>
      </c>
      <c r="F441" s="195">
        <v>-2.7777791E-2</v>
      </c>
      <c r="G441" s="190">
        <v>36.226596864000001</v>
      </c>
      <c r="H441" s="184">
        <v>0.15</v>
      </c>
      <c r="I441" s="191">
        <v>0.39352999999999999</v>
      </c>
      <c r="J441" s="192">
        <v>12.751939</v>
      </c>
      <c r="K441" s="200">
        <v>-5572.1251840000004</v>
      </c>
      <c r="L441" s="193" t="s">
        <v>264</v>
      </c>
      <c r="M441" s="193" t="s">
        <v>264</v>
      </c>
      <c r="N441" s="192">
        <v>-6.5013967883604522</v>
      </c>
      <c r="O441" s="207" t="s">
        <v>264</v>
      </c>
      <c r="P441" s="207" t="s">
        <v>264</v>
      </c>
      <c r="Q441" s="207" t="s">
        <v>264</v>
      </c>
      <c r="R441" s="207" t="s">
        <v>264</v>
      </c>
      <c r="S441" s="207" t="s">
        <v>264</v>
      </c>
    </row>
    <row r="442" spans="1:19" ht="20" customHeight="1" x14ac:dyDescent="0.15">
      <c r="A442" s="54">
        <v>437</v>
      </c>
      <c r="B442" s="55" t="s">
        <v>1448</v>
      </c>
      <c r="C442" s="56" t="s">
        <v>1449</v>
      </c>
      <c r="D442" s="57" t="s">
        <v>1322</v>
      </c>
      <c r="E442" s="183">
        <v>144.07</v>
      </c>
      <c r="F442" s="184">
        <v>0.16401386000000001</v>
      </c>
      <c r="G442" s="185">
        <v>345.35843430400001</v>
      </c>
      <c r="H442" s="184">
        <v>0.7</v>
      </c>
      <c r="I442" s="186">
        <v>0.82366996999999997</v>
      </c>
      <c r="J442" s="187">
        <v>228.68256</v>
      </c>
      <c r="K442" s="194">
        <v>1260.9184</v>
      </c>
      <c r="L442" s="185">
        <v>20.681518997546551</v>
      </c>
      <c r="M442" s="195">
        <v>-0.94011578423087894</v>
      </c>
      <c r="N442" s="187">
        <v>262.32671710367617</v>
      </c>
      <c r="O442" s="206" t="s">
        <v>264</v>
      </c>
      <c r="P442" s="206" t="s">
        <v>264</v>
      </c>
      <c r="Q442" s="206" t="s">
        <v>264</v>
      </c>
      <c r="R442" s="206" t="s">
        <v>264</v>
      </c>
      <c r="S442" s="206" t="s">
        <v>264</v>
      </c>
    </row>
    <row r="443" spans="1:19" ht="20" customHeight="1" x14ac:dyDescent="0.15">
      <c r="A443" s="50">
        <v>438</v>
      </c>
      <c r="B443" s="51" t="s">
        <v>1450</v>
      </c>
      <c r="C443" s="52" t="s">
        <v>1451</v>
      </c>
      <c r="D443" s="53" t="s">
        <v>1347</v>
      </c>
      <c r="E443" s="189">
        <v>175.04</v>
      </c>
      <c r="F443" s="195">
        <v>-0.32362144999999998</v>
      </c>
      <c r="G443" s="190">
        <v>12.12391936</v>
      </c>
      <c r="H443" s="184">
        <v>0.312</v>
      </c>
      <c r="I443" s="191">
        <v>0.71633005000000005</v>
      </c>
      <c r="J443" s="192">
        <v>50.298847000000002</v>
      </c>
      <c r="K443" s="200">
        <v>154.9</v>
      </c>
      <c r="L443" s="190">
        <v>2.7515031399522152</v>
      </c>
      <c r="M443" s="195">
        <v>-0.77305167922593188</v>
      </c>
      <c r="N443" s="192">
        <v>78.269338273466744</v>
      </c>
      <c r="O443" s="207" t="s">
        <v>264</v>
      </c>
      <c r="P443" s="207" t="s">
        <v>264</v>
      </c>
      <c r="Q443" s="207" t="s">
        <v>264</v>
      </c>
      <c r="R443" s="207" t="s">
        <v>264</v>
      </c>
      <c r="S443" s="207" t="s">
        <v>264</v>
      </c>
    </row>
    <row r="444" spans="1:19" ht="20" customHeight="1" x14ac:dyDescent="0.15">
      <c r="A444" s="54">
        <v>439</v>
      </c>
      <c r="B444" s="55" t="s">
        <v>22</v>
      </c>
      <c r="C444" s="56" t="s">
        <v>1452</v>
      </c>
      <c r="D444" s="57" t="s">
        <v>1315</v>
      </c>
      <c r="E444" s="183">
        <v>208.09</v>
      </c>
      <c r="F444" s="195">
        <v>-0.32050024999999999</v>
      </c>
      <c r="G444" s="185">
        <v>7.5834245119999997</v>
      </c>
      <c r="H444" s="184">
        <v>6.2E-2</v>
      </c>
      <c r="I444" s="186">
        <v>0.29686000000000001</v>
      </c>
      <c r="J444" s="187">
        <v>19.125920000000001</v>
      </c>
      <c r="K444" s="194">
        <v>224.06662399999999</v>
      </c>
      <c r="L444" s="185">
        <v>1.7554395029930741</v>
      </c>
      <c r="M444" s="195">
        <v>-0.76851625539157542</v>
      </c>
      <c r="N444" s="187">
        <v>33.84450731167351</v>
      </c>
      <c r="O444" s="208" t="s">
        <v>474</v>
      </c>
      <c r="P444" s="209" t="s">
        <v>264</v>
      </c>
      <c r="Q444" s="208" t="s">
        <v>475</v>
      </c>
      <c r="R444" s="209">
        <v>333</v>
      </c>
      <c r="S444" s="210" t="s">
        <v>1453</v>
      </c>
    </row>
    <row r="445" spans="1:19" ht="20" customHeight="1" x14ac:dyDescent="0.15">
      <c r="A445" s="50">
        <v>440</v>
      </c>
      <c r="B445" s="51" t="s">
        <v>1454</v>
      </c>
      <c r="C445" s="52" t="s">
        <v>1455</v>
      </c>
      <c r="D445" s="53" t="s">
        <v>1322</v>
      </c>
      <c r="E445" s="189">
        <v>136.53</v>
      </c>
      <c r="F445" s="195">
        <v>-0.15372216999999999</v>
      </c>
      <c r="G445" s="190">
        <v>16.246539263999999</v>
      </c>
      <c r="H445" s="184">
        <v>0.214</v>
      </c>
      <c r="I445" s="191">
        <v>0.84233004</v>
      </c>
      <c r="J445" s="192">
        <v>20.107512</v>
      </c>
      <c r="K445" s="200">
        <v>786.87840000000006</v>
      </c>
      <c r="L445" s="190">
        <v>9.9179617947398544</v>
      </c>
      <c r="M445" s="195">
        <v>-0.38953387958033397</v>
      </c>
      <c r="N445" s="192">
        <v>20.646823851665012</v>
      </c>
      <c r="O445" s="207" t="s">
        <v>264</v>
      </c>
      <c r="P445" s="207" t="s">
        <v>264</v>
      </c>
      <c r="Q445" s="207" t="s">
        <v>264</v>
      </c>
      <c r="R445" s="207" t="s">
        <v>264</v>
      </c>
      <c r="S445" s="207" t="s">
        <v>264</v>
      </c>
    </row>
    <row r="446" spans="1:19" ht="20" customHeight="1" x14ac:dyDescent="0.15">
      <c r="A446" s="54">
        <v>441</v>
      </c>
      <c r="B446" s="55" t="s">
        <v>1456</v>
      </c>
      <c r="C446" s="56" t="s">
        <v>1457</v>
      </c>
      <c r="D446" s="57" t="s">
        <v>1347</v>
      </c>
      <c r="E446" s="183">
        <v>86.68</v>
      </c>
      <c r="F446" s="195">
        <v>-6.6250144999999996E-2</v>
      </c>
      <c r="G446" s="185">
        <v>9.6911124480000002</v>
      </c>
      <c r="H446" s="184">
        <v>5.8999999999999997E-2</v>
      </c>
      <c r="I446" s="186">
        <v>0.54774</v>
      </c>
      <c r="J446" s="187">
        <v>42.077669999999998</v>
      </c>
      <c r="K446" s="194">
        <v>523.27526399999999</v>
      </c>
      <c r="L446" s="185">
        <v>5.9738422060671201</v>
      </c>
      <c r="M446" s="195">
        <v>-0.38357518415752467</v>
      </c>
      <c r="N446" s="187">
        <v>18.520104142281799</v>
      </c>
      <c r="O446" s="206" t="s">
        <v>264</v>
      </c>
      <c r="P446" s="206" t="s">
        <v>264</v>
      </c>
      <c r="Q446" s="206" t="s">
        <v>264</v>
      </c>
      <c r="R446" s="206" t="s">
        <v>264</v>
      </c>
      <c r="S446" s="206" t="s">
        <v>264</v>
      </c>
    </row>
    <row r="447" spans="1:19" ht="20" customHeight="1" x14ac:dyDescent="0.15">
      <c r="A447" s="50">
        <v>442</v>
      </c>
      <c r="B447" s="51" t="s">
        <v>1458</v>
      </c>
      <c r="C447" s="52" t="s">
        <v>1459</v>
      </c>
      <c r="D447" s="53" t="s">
        <v>1322</v>
      </c>
      <c r="E447" s="189">
        <v>42.91</v>
      </c>
      <c r="F447" s="184">
        <v>2.3212074999999999</v>
      </c>
      <c r="G447" s="190">
        <v>2.6096972799999998</v>
      </c>
      <c r="H447" s="184">
        <v>0.70899999999999996</v>
      </c>
      <c r="I447" s="191">
        <v>0.15422</v>
      </c>
      <c r="J447" s="192">
        <v>26.109074</v>
      </c>
      <c r="K447" s="200">
        <v>235.12150399999999</v>
      </c>
      <c r="L447" s="190">
        <v>3.748955986243502</v>
      </c>
      <c r="M447" s="184">
        <v>0.43654822150234329</v>
      </c>
      <c r="N447" s="192">
        <v>11.099356243442539</v>
      </c>
      <c r="O447" s="207" t="s">
        <v>264</v>
      </c>
      <c r="P447" s="207" t="s">
        <v>264</v>
      </c>
      <c r="Q447" s="207" t="s">
        <v>264</v>
      </c>
      <c r="R447" s="207" t="s">
        <v>264</v>
      </c>
      <c r="S447" s="207" t="s">
        <v>264</v>
      </c>
    </row>
    <row r="448" spans="1:19" ht="20" customHeight="1" x14ac:dyDescent="0.15">
      <c r="A448" s="54">
        <v>443</v>
      </c>
      <c r="B448" s="55" t="s">
        <v>1460</v>
      </c>
      <c r="C448" s="56" t="s">
        <v>1461</v>
      </c>
      <c r="D448" s="57" t="s">
        <v>1419</v>
      </c>
      <c r="E448" s="183">
        <v>27.22</v>
      </c>
      <c r="F448" s="184">
        <v>0.27853453</v>
      </c>
      <c r="G448" s="185">
        <v>9.1608995839999992</v>
      </c>
      <c r="H448" s="184">
        <v>1.0999999999999999E-2</v>
      </c>
      <c r="I448" s="186">
        <v>0.47209000000000001</v>
      </c>
      <c r="J448" s="187">
        <v>11.533898000000001</v>
      </c>
      <c r="K448" s="194">
        <v>1041.750016</v>
      </c>
      <c r="L448" s="185">
        <v>8.2159322408068469</v>
      </c>
      <c r="M448" s="195">
        <v>-0.1031522433499422</v>
      </c>
      <c r="N448" s="187">
        <v>8.7937601122340663</v>
      </c>
      <c r="O448" s="208" t="s">
        <v>455</v>
      </c>
      <c r="P448" s="209">
        <v>0.85</v>
      </c>
      <c r="Q448" s="208" t="s">
        <v>461</v>
      </c>
      <c r="R448" s="209">
        <v>25.5</v>
      </c>
      <c r="S448" s="210" t="s">
        <v>1462</v>
      </c>
    </row>
    <row r="449" spans="1:19" ht="20" customHeight="1" x14ac:dyDescent="0.15">
      <c r="A449" s="50">
        <v>444</v>
      </c>
      <c r="B449" s="51" t="s">
        <v>1463</v>
      </c>
      <c r="C449" s="52" t="s">
        <v>1464</v>
      </c>
      <c r="D449" s="53" t="s">
        <v>1322</v>
      </c>
      <c r="E449" s="189">
        <v>27.09</v>
      </c>
      <c r="F449" s="195">
        <v>-0.15791111999999999</v>
      </c>
      <c r="G449" s="190">
        <v>16.267055104000001</v>
      </c>
      <c r="H449" s="184">
        <v>1.234</v>
      </c>
      <c r="I449" s="191">
        <v>8.0199999999999994E-2</v>
      </c>
      <c r="J449" s="192">
        <v>19.773724000000001</v>
      </c>
      <c r="K449" s="200">
        <v>103.48</v>
      </c>
      <c r="L449" s="190">
        <v>4.4502048636310549</v>
      </c>
      <c r="M449" s="195">
        <v>-0.72642836486508444</v>
      </c>
      <c r="N449" s="192">
        <v>157.2000007700039</v>
      </c>
      <c r="O449" s="207" t="s">
        <v>264</v>
      </c>
      <c r="P449" s="207" t="s">
        <v>264</v>
      </c>
      <c r="Q449" s="207" t="s">
        <v>264</v>
      </c>
      <c r="R449" s="207" t="s">
        <v>264</v>
      </c>
      <c r="S449" s="207" t="s">
        <v>264</v>
      </c>
    </row>
    <row r="450" spans="1:19" ht="20" customHeight="1" x14ac:dyDescent="0.15">
      <c r="A450" s="54">
        <v>445</v>
      </c>
      <c r="B450" s="55" t="s">
        <v>1465</v>
      </c>
      <c r="C450" s="56" t="s">
        <v>1466</v>
      </c>
      <c r="D450" s="57" t="s">
        <v>1322</v>
      </c>
      <c r="E450" s="183">
        <v>141</v>
      </c>
      <c r="F450" s="195">
        <v>-0.16006434</v>
      </c>
      <c r="G450" s="185">
        <v>48.743698432000002</v>
      </c>
      <c r="H450" s="184">
        <v>0.30099999999999999</v>
      </c>
      <c r="I450" s="186">
        <v>0.67169000000000001</v>
      </c>
      <c r="J450" s="187">
        <v>57.964579999999998</v>
      </c>
      <c r="K450" s="194">
        <v>1587.4855680000001</v>
      </c>
      <c r="L450" s="185">
        <v>22.533551843973079</v>
      </c>
      <c r="M450" s="195">
        <v>-0.537713539004256</v>
      </c>
      <c r="N450" s="187">
        <v>30.704972053012071</v>
      </c>
      <c r="O450" s="206" t="s">
        <v>264</v>
      </c>
      <c r="P450" s="206" t="s">
        <v>264</v>
      </c>
      <c r="Q450" s="206" t="s">
        <v>264</v>
      </c>
      <c r="R450" s="206" t="s">
        <v>264</v>
      </c>
      <c r="S450" s="206" t="s">
        <v>264</v>
      </c>
    </row>
    <row r="451" spans="1:19" ht="20" customHeight="1" x14ac:dyDescent="0.15">
      <c r="A451" s="50">
        <v>446</v>
      </c>
      <c r="B451" s="51" t="s">
        <v>1467</v>
      </c>
      <c r="C451" s="52" t="s">
        <v>1468</v>
      </c>
      <c r="D451" s="53" t="s">
        <v>1347</v>
      </c>
      <c r="E451" s="189">
        <v>66.63</v>
      </c>
      <c r="F451" s="195">
        <v>-3.8869976999999999E-3</v>
      </c>
      <c r="G451" s="190">
        <v>11.55983872</v>
      </c>
      <c r="H451" s="195">
        <v>-3.6999999999999998E-2</v>
      </c>
      <c r="I451" s="191">
        <v>0.53573999999999999</v>
      </c>
      <c r="J451" s="192">
        <v>7.5033779999999997</v>
      </c>
      <c r="K451" s="200">
        <v>633.24998400000004</v>
      </c>
      <c r="L451" s="190">
        <v>4.4570259583156799</v>
      </c>
      <c r="M451" s="195">
        <v>-0.61443874207306592</v>
      </c>
      <c r="N451" s="192">
        <v>18.245546570783649</v>
      </c>
      <c r="O451" s="207" t="s">
        <v>264</v>
      </c>
      <c r="P451" s="207" t="s">
        <v>264</v>
      </c>
      <c r="Q451" s="207" t="s">
        <v>264</v>
      </c>
      <c r="R451" s="207" t="s">
        <v>264</v>
      </c>
      <c r="S451" s="207" t="s">
        <v>264</v>
      </c>
    </row>
    <row r="452" spans="1:19" ht="20" customHeight="1" x14ac:dyDescent="0.15">
      <c r="A452" s="54">
        <v>447</v>
      </c>
      <c r="B452" s="55" t="s">
        <v>1469</v>
      </c>
      <c r="C452" s="56" t="s">
        <v>1470</v>
      </c>
      <c r="D452" s="57" t="s">
        <v>1419</v>
      </c>
      <c r="E452" s="183">
        <v>441.51</v>
      </c>
      <c r="F452" s="195">
        <v>-0.30759822999999997</v>
      </c>
      <c r="G452" s="185">
        <v>90.783318015999996</v>
      </c>
      <c r="H452" s="184">
        <v>8.2000000000000003E-2</v>
      </c>
      <c r="I452" s="186">
        <v>0.32318002000000001</v>
      </c>
      <c r="J452" s="187">
        <v>29.239073000000001</v>
      </c>
      <c r="K452" s="194">
        <v>707.75001599999996</v>
      </c>
      <c r="L452" s="185">
        <v>12.657895840564599</v>
      </c>
      <c r="M452" s="195">
        <v>-0.86057024443264196</v>
      </c>
      <c r="N452" s="187">
        <v>128.27030883756279</v>
      </c>
      <c r="O452" s="206" t="s">
        <v>264</v>
      </c>
      <c r="P452" s="206" t="s">
        <v>264</v>
      </c>
      <c r="Q452" s="206" t="s">
        <v>264</v>
      </c>
      <c r="R452" s="206" t="s">
        <v>264</v>
      </c>
      <c r="S452" s="206" t="s">
        <v>264</v>
      </c>
    </row>
    <row r="453" spans="1:19" ht="20" customHeight="1" x14ac:dyDescent="0.15">
      <c r="A453" s="54">
        <v>448</v>
      </c>
      <c r="B453" s="55" t="s">
        <v>1471</v>
      </c>
      <c r="C453" s="56" t="s">
        <v>1472</v>
      </c>
      <c r="D453" s="57" t="s">
        <v>1330</v>
      </c>
      <c r="E453" s="189">
        <v>229.27</v>
      </c>
      <c r="F453" s="184">
        <v>0.72228060000000005</v>
      </c>
      <c r="G453" s="190">
        <v>33.063665663999998</v>
      </c>
      <c r="H453" s="184">
        <v>0.191</v>
      </c>
      <c r="I453" s="191">
        <v>0.14038</v>
      </c>
      <c r="J453" s="192">
        <v>24.573419999999999</v>
      </c>
      <c r="K453" s="200">
        <v>-31.788875999999998</v>
      </c>
      <c r="L453" s="193" t="s">
        <v>264</v>
      </c>
      <c r="M453" s="193" t="s">
        <v>264</v>
      </c>
      <c r="N453" s="192">
        <v>-1040.1017104181351</v>
      </c>
      <c r="O453" s="207" t="s">
        <v>264</v>
      </c>
      <c r="P453" s="207" t="s">
        <v>264</v>
      </c>
      <c r="Q453" s="207" t="s">
        <v>264</v>
      </c>
      <c r="R453" s="207" t="s">
        <v>264</v>
      </c>
      <c r="S453" s="207" t="s">
        <v>264</v>
      </c>
    </row>
    <row r="454" spans="1:19" ht="20" customHeight="1" x14ac:dyDescent="0.15">
      <c r="A454" s="50">
        <v>449</v>
      </c>
      <c r="B454" s="51" t="s">
        <v>1473</v>
      </c>
      <c r="C454" s="52" t="s">
        <v>1474</v>
      </c>
      <c r="D454" s="53" t="s">
        <v>1322</v>
      </c>
      <c r="E454" s="183">
        <v>640.33000000000004</v>
      </c>
      <c r="F454" s="184">
        <v>0.33764361999999998</v>
      </c>
      <c r="G454" s="185">
        <v>29.665937408000001</v>
      </c>
      <c r="H454" s="184">
        <v>7.5999999999999998E-2</v>
      </c>
      <c r="I454" s="186">
        <v>0.42873</v>
      </c>
      <c r="J454" s="187">
        <v>32.471096000000003</v>
      </c>
      <c r="K454" s="194">
        <v>760.56249600000001</v>
      </c>
      <c r="L454" s="185">
        <v>8.8327823552873248</v>
      </c>
      <c r="M454" s="195">
        <v>-0.70225844429559836</v>
      </c>
      <c r="N454" s="187">
        <v>39.005258728324151</v>
      </c>
      <c r="O454" s="206" t="s">
        <v>264</v>
      </c>
      <c r="P454" s="206" t="s">
        <v>264</v>
      </c>
      <c r="Q454" s="206" t="s">
        <v>264</v>
      </c>
      <c r="R454" s="206" t="s">
        <v>264</v>
      </c>
      <c r="S454" s="206" t="s">
        <v>264</v>
      </c>
    </row>
    <row r="455" spans="1:19" ht="20" customHeight="1" x14ac:dyDescent="0.15">
      <c r="A455" s="54">
        <v>450</v>
      </c>
      <c r="B455" s="55" t="s">
        <v>1475</v>
      </c>
      <c r="C455" s="56" t="s">
        <v>1476</v>
      </c>
      <c r="D455" s="57" t="s">
        <v>1347</v>
      </c>
      <c r="E455" s="189">
        <v>55.02</v>
      </c>
      <c r="F455" s="184">
        <v>0.1048193</v>
      </c>
      <c r="G455" s="190">
        <v>8.6080604160000007</v>
      </c>
      <c r="H455" s="195">
        <v>-4.0000000000000001E-3</v>
      </c>
      <c r="I455" s="191">
        <v>0.66605000000000003</v>
      </c>
      <c r="J455" s="192">
        <v>103.811325</v>
      </c>
      <c r="K455" s="200">
        <v>260.63750399999998</v>
      </c>
      <c r="L455" s="190">
        <v>1.529541968272768</v>
      </c>
      <c r="M455" s="195">
        <v>-0.82231282143074036</v>
      </c>
      <c r="N455" s="192">
        <v>33.026943527820158</v>
      </c>
      <c r="O455" s="207" t="s">
        <v>264</v>
      </c>
      <c r="P455" s="207" t="s">
        <v>264</v>
      </c>
      <c r="Q455" s="207" t="s">
        <v>264</v>
      </c>
      <c r="R455" s="207" t="s">
        <v>264</v>
      </c>
      <c r="S455" s="207" t="s">
        <v>264</v>
      </c>
    </row>
    <row r="456" spans="1:19" ht="20" customHeight="1" x14ac:dyDescent="0.15">
      <c r="A456" s="50">
        <v>451</v>
      </c>
      <c r="B456" s="51" t="s">
        <v>1477</v>
      </c>
      <c r="C456" s="52" t="s">
        <v>1478</v>
      </c>
      <c r="D456" s="53" t="s">
        <v>1322</v>
      </c>
      <c r="E456" s="183">
        <v>345.42</v>
      </c>
      <c r="F456" s="184">
        <v>3.5787382000000001</v>
      </c>
      <c r="G456" s="185">
        <v>54.078758911999998</v>
      </c>
      <c r="H456" s="184">
        <v>0.87</v>
      </c>
      <c r="I456" s="186">
        <v>0.58699999999999997</v>
      </c>
      <c r="J456" s="187">
        <v>64.085350000000005</v>
      </c>
      <c r="K456" s="194">
        <v>292.32124800000003</v>
      </c>
      <c r="L456" s="185">
        <v>3.8018482203122441</v>
      </c>
      <c r="M456" s="195">
        <v>-0.92969793876928974</v>
      </c>
      <c r="N456" s="187">
        <v>184.99769684809229</v>
      </c>
      <c r="O456" s="206" t="s">
        <v>264</v>
      </c>
      <c r="P456" s="206" t="s">
        <v>264</v>
      </c>
      <c r="Q456" s="206" t="s">
        <v>264</v>
      </c>
      <c r="R456" s="206" t="s">
        <v>264</v>
      </c>
      <c r="S456" s="206" t="s">
        <v>264</v>
      </c>
    </row>
    <row r="457" spans="1:19" ht="20" customHeight="1" x14ac:dyDescent="0.15">
      <c r="A457" s="54">
        <v>452</v>
      </c>
      <c r="B457" s="55" t="s">
        <v>1479</v>
      </c>
      <c r="C457" s="56" t="s">
        <v>1480</v>
      </c>
      <c r="D457" s="57" t="s">
        <v>1355</v>
      </c>
      <c r="E457" s="189">
        <v>433.62</v>
      </c>
      <c r="F457" s="195">
        <v>-1.5700519999999999E-2</v>
      </c>
      <c r="G457" s="190">
        <v>29.894434816</v>
      </c>
      <c r="H457" s="184">
        <v>0.13900000000000001</v>
      </c>
      <c r="I457" s="191">
        <v>0.93293999999999999</v>
      </c>
      <c r="J457" s="192">
        <v>62.123207000000001</v>
      </c>
      <c r="K457" s="200">
        <v>-82.231999999999999</v>
      </c>
      <c r="L457" s="193" t="s">
        <v>264</v>
      </c>
      <c r="M457" s="193" t="s">
        <v>264</v>
      </c>
      <c r="N457" s="192">
        <v>-363.5377547120342</v>
      </c>
      <c r="O457" s="207" t="s">
        <v>264</v>
      </c>
      <c r="P457" s="207" t="s">
        <v>264</v>
      </c>
      <c r="Q457" s="207" t="s">
        <v>264</v>
      </c>
      <c r="R457" s="207" t="s">
        <v>264</v>
      </c>
      <c r="S457" s="207" t="s">
        <v>264</v>
      </c>
    </row>
    <row r="458" spans="1:19" ht="20" customHeight="1" x14ac:dyDescent="0.15">
      <c r="A458" s="50">
        <v>453</v>
      </c>
      <c r="B458" s="51" t="s">
        <v>1481</v>
      </c>
      <c r="C458" s="52" t="s">
        <v>1482</v>
      </c>
      <c r="D458" s="53" t="s">
        <v>1355</v>
      </c>
      <c r="E458" s="183">
        <v>254.28</v>
      </c>
      <c r="F458" s="184">
        <v>0.60682464000000003</v>
      </c>
      <c r="G458" s="185">
        <v>54.657941504</v>
      </c>
      <c r="H458" s="195">
        <v>-7.9000000000000001E-2</v>
      </c>
      <c r="I458" s="186">
        <v>0.38291999999999998</v>
      </c>
      <c r="J458" s="187">
        <v>29.950531000000002</v>
      </c>
      <c r="K458" s="194">
        <v>-264.39999999999998</v>
      </c>
      <c r="L458" s="188" t="s">
        <v>264</v>
      </c>
      <c r="M458" s="188" t="s">
        <v>264</v>
      </c>
      <c r="N458" s="187">
        <v>-206.5803505193646</v>
      </c>
      <c r="O458" s="206" t="s">
        <v>264</v>
      </c>
      <c r="P458" s="206" t="s">
        <v>264</v>
      </c>
      <c r="Q458" s="206" t="s">
        <v>264</v>
      </c>
      <c r="R458" s="206" t="s">
        <v>264</v>
      </c>
      <c r="S458" s="206" t="s">
        <v>264</v>
      </c>
    </row>
    <row r="459" spans="1:19" ht="20" customHeight="1" x14ac:dyDescent="0.15">
      <c r="A459" s="54">
        <v>454</v>
      </c>
      <c r="B459" s="55" t="s">
        <v>1483</v>
      </c>
      <c r="C459" s="56" t="s">
        <v>1484</v>
      </c>
      <c r="D459" s="57" t="s">
        <v>1322</v>
      </c>
      <c r="E459" s="189">
        <v>68.42</v>
      </c>
      <c r="F459" s="184">
        <v>6.7561270000000007E-2</v>
      </c>
      <c r="G459" s="190">
        <v>15.879511040000001</v>
      </c>
      <c r="H459" s="195">
        <v>-1.4E-2</v>
      </c>
      <c r="I459" s="191">
        <v>0.71081000000000005</v>
      </c>
      <c r="J459" s="192">
        <v>38.875</v>
      </c>
      <c r="K459" s="200">
        <v>522.81251199999997</v>
      </c>
      <c r="L459" s="190">
        <v>3.7597731373225911</v>
      </c>
      <c r="M459" s="195">
        <v>-0.76323117709028709</v>
      </c>
      <c r="N459" s="192">
        <v>30.373242052439629</v>
      </c>
      <c r="O459" s="207" t="s">
        <v>264</v>
      </c>
      <c r="P459" s="207" t="s">
        <v>264</v>
      </c>
      <c r="Q459" s="207" t="s">
        <v>264</v>
      </c>
      <c r="R459" s="207" t="s">
        <v>264</v>
      </c>
      <c r="S459" s="207" t="s">
        <v>264</v>
      </c>
    </row>
    <row r="460" spans="1:19" ht="20" customHeight="1" x14ac:dyDescent="0.15">
      <c r="A460" s="50">
        <v>455</v>
      </c>
      <c r="B460" s="51" t="s">
        <v>1485</v>
      </c>
      <c r="C460" s="52" t="s">
        <v>1486</v>
      </c>
      <c r="D460" s="53" t="s">
        <v>1315</v>
      </c>
      <c r="E460" s="183">
        <v>390.82</v>
      </c>
      <c r="F460" s="184">
        <v>0.39449084000000001</v>
      </c>
      <c r="G460" s="185">
        <v>1467.812020224</v>
      </c>
      <c r="H460" s="184">
        <v>0.158</v>
      </c>
      <c r="I460" s="186">
        <v>0.19064999999999999</v>
      </c>
      <c r="J460" s="187">
        <v>358.55045000000001</v>
      </c>
      <c r="K460" s="194">
        <v>5251.9997439999997</v>
      </c>
      <c r="L460" s="185">
        <v>108.025191522141</v>
      </c>
      <c r="M460" s="195">
        <v>-0.92640393317827197</v>
      </c>
      <c r="N460" s="187">
        <v>279.47678499814867</v>
      </c>
      <c r="O460" s="206" t="s">
        <v>264</v>
      </c>
      <c r="P460" s="206" t="s">
        <v>264</v>
      </c>
      <c r="Q460" s="206" t="s">
        <v>264</v>
      </c>
      <c r="R460" s="206" t="s">
        <v>264</v>
      </c>
      <c r="S460" s="206" t="s">
        <v>264</v>
      </c>
    </row>
    <row r="461" spans="1:19" ht="20" customHeight="1" x14ac:dyDescent="0.15">
      <c r="A461" s="54">
        <v>456</v>
      </c>
      <c r="B461" s="55" t="s">
        <v>1487</v>
      </c>
      <c r="C461" s="56" t="s">
        <v>1488</v>
      </c>
      <c r="D461" s="57" t="s">
        <v>1322</v>
      </c>
      <c r="E461" s="189">
        <v>335.5</v>
      </c>
      <c r="F461" s="195">
        <v>-0.38926715000000001</v>
      </c>
      <c r="G461" s="190">
        <v>14.147181568000001</v>
      </c>
      <c r="H461" s="184">
        <v>8.5999999999999993E-2</v>
      </c>
      <c r="I461" s="191">
        <v>0.46754003</v>
      </c>
      <c r="J461" s="192">
        <v>46.275863999999999</v>
      </c>
      <c r="K461" s="200">
        <v>541.55174399999999</v>
      </c>
      <c r="L461" s="190">
        <v>5.4510771161161831</v>
      </c>
      <c r="M461" s="195">
        <v>-0.61468812074581958</v>
      </c>
      <c r="N461" s="192">
        <v>26.123415369335419</v>
      </c>
      <c r="O461" s="207" t="s">
        <v>264</v>
      </c>
      <c r="P461" s="207" t="s">
        <v>264</v>
      </c>
      <c r="Q461" s="207" t="s">
        <v>264</v>
      </c>
      <c r="R461" s="207" t="s">
        <v>264</v>
      </c>
      <c r="S461" s="207" t="s">
        <v>264</v>
      </c>
    </row>
    <row r="462" spans="1:19" ht="20" customHeight="1" x14ac:dyDescent="0.15">
      <c r="A462" s="50">
        <v>457</v>
      </c>
      <c r="B462" s="51" t="s">
        <v>1489</v>
      </c>
      <c r="C462" s="52" t="s">
        <v>1490</v>
      </c>
      <c r="D462" s="53" t="s">
        <v>1327</v>
      </c>
      <c r="E462" s="183">
        <v>75.12</v>
      </c>
      <c r="F462" s="195">
        <v>-0.12068361</v>
      </c>
      <c r="G462" s="185">
        <v>154.605682688</v>
      </c>
      <c r="H462" s="184">
        <v>0.20100000000000001</v>
      </c>
      <c r="I462" s="186">
        <v>0.38496999999999998</v>
      </c>
      <c r="J462" s="187">
        <v>15.881607000000001</v>
      </c>
      <c r="K462" s="194">
        <v>6346.1247999999996</v>
      </c>
      <c r="L462" s="185">
        <v>84.146782619909231</v>
      </c>
      <c r="M462" s="195">
        <v>-0.45573292548553629</v>
      </c>
      <c r="N462" s="187">
        <v>24.110191361657431</v>
      </c>
      <c r="O462" s="206" t="s">
        <v>264</v>
      </c>
      <c r="P462" s="206" t="s">
        <v>264</v>
      </c>
      <c r="Q462" s="206" t="s">
        <v>264</v>
      </c>
      <c r="R462" s="206" t="s">
        <v>264</v>
      </c>
      <c r="S462" s="206" t="s">
        <v>264</v>
      </c>
    </row>
    <row r="463" spans="1:19" ht="20" customHeight="1" x14ac:dyDescent="0.15">
      <c r="A463" s="54">
        <v>458</v>
      </c>
      <c r="B463" s="55" t="s">
        <v>1491</v>
      </c>
      <c r="C463" s="56" t="s">
        <v>1492</v>
      </c>
      <c r="D463" s="57" t="s">
        <v>1350</v>
      </c>
      <c r="E463" s="189">
        <v>28.58</v>
      </c>
      <c r="F463" s="195">
        <v>-0.10379428</v>
      </c>
      <c r="G463" s="190">
        <v>30.774376448000002</v>
      </c>
      <c r="H463" s="184">
        <v>3.5000000000000003E-2</v>
      </c>
      <c r="I463" s="191">
        <v>0.99141000000000001</v>
      </c>
      <c r="J463" s="192">
        <v>9.7876709999999996</v>
      </c>
      <c r="K463" s="200">
        <v>1285.28</v>
      </c>
      <c r="L463" s="190">
        <v>11.815092152345329</v>
      </c>
      <c r="M463" s="195">
        <v>-0.61607371079282469</v>
      </c>
      <c r="N463" s="192">
        <v>23.94371478935329</v>
      </c>
      <c r="O463" s="207" t="s">
        <v>264</v>
      </c>
      <c r="P463" s="207" t="s">
        <v>264</v>
      </c>
      <c r="Q463" s="207" t="s">
        <v>264</v>
      </c>
      <c r="R463" s="207" t="s">
        <v>264</v>
      </c>
      <c r="S463" s="207" t="s">
        <v>264</v>
      </c>
    </row>
    <row r="464" spans="1:19" ht="20" customHeight="1" x14ac:dyDescent="0.15">
      <c r="A464" s="50">
        <v>459</v>
      </c>
      <c r="B464" s="51" t="s">
        <v>1493</v>
      </c>
      <c r="C464" s="52" t="s">
        <v>1494</v>
      </c>
      <c r="D464" s="53" t="s">
        <v>1327</v>
      </c>
      <c r="E464" s="183">
        <v>87.63</v>
      </c>
      <c r="F464" s="195">
        <v>-8.4230304000000006E-2</v>
      </c>
      <c r="G464" s="185">
        <v>21.521862656</v>
      </c>
      <c r="H464" s="184">
        <v>6.8000000000000005E-2</v>
      </c>
      <c r="I464" s="186">
        <v>0.59860999999999998</v>
      </c>
      <c r="J464" s="187">
        <v>22.585049999999999</v>
      </c>
      <c r="K464" s="194">
        <v>768.24998400000004</v>
      </c>
      <c r="L464" s="185">
        <v>9.2145939010595335</v>
      </c>
      <c r="M464" s="195">
        <v>-0.57184960947185348</v>
      </c>
      <c r="N464" s="187">
        <v>28.014141396428592</v>
      </c>
      <c r="O464" s="206" t="s">
        <v>264</v>
      </c>
      <c r="P464" s="206" t="s">
        <v>264</v>
      </c>
      <c r="Q464" s="206" t="s">
        <v>264</v>
      </c>
      <c r="R464" s="206" t="s">
        <v>264</v>
      </c>
      <c r="S464" s="206" t="s">
        <v>264</v>
      </c>
    </row>
    <row r="465" spans="1:19" ht="20" customHeight="1" x14ac:dyDescent="0.15">
      <c r="A465" s="54">
        <v>460</v>
      </c>
      <c r="B465" s="55" t="s">
        <v>1495</v>
      </c>
      <c r="C465" s="56" t="s">
        <v>1496</v>
      </c>
      <c r="D465" s="57" t="s">
        <v>1342</v>
      </c>
      <c r="E465" s="189">
        <v>155.28</v>
      </c>
      <c r="F465" s="184">
        <v>0.1091429</v>
      </c>
      <c r="G465" s="190">
        <v>52.569931775999997</v>
      </c>
      <c r="H465" s="184">
        <v>0.13600000000000001</v>
      </c>
      <c r="I465" s="191">
        <v>0.33238997999999997</v>
      </c>
      <c r="J465" s="192">
        <v>71.557599999999994</v>
      </c>
      <c r="K465" s="200">
        <v>-459.24998399999998</v>
      </c>
      <c r="L465" s="193" t="s">
        <v>264</v>
      </c>
      <c r="M465" s="193" t="s">
        <v>264</v>
      </c>
      <c r="N465" s="192">
        <v>-114.4691037414603</v>
      </c>
      <c r="O465" s="207" t="s">
        <v>264</v>
      </c>
      <c r="P465" s="207" t="s">
        <v>264</v>
      </c>
      <c r="Q465" s="207" t="s">
        <v>264</v>
      </c>
      <c r="R465" s="207" t="s">
        <v>264</v>
      </c>
      <c r="S465" s="207" t="s">
        <v>264</v>
      </c>
    </row>
    <row r="466" spans="1:19" ht="20" customHeight="1" x14ac:dyDescent="0.15">
      <c r="A466" s="50">
        <v>461</v>
      </c>
      <c r="B466" s="51" t="s">
        <v>1497</v>
      </c>
      <c r="C466" s="52" t="s">
        <v>1498</v>
      </c>
      <c r="D466" s="53" t="s">
        <v>1347</v>
      </c>
      <c r="E466" s="183">
        <v>15.04</v>
      </c>
      <c r="F466" s="184">
        <v>0.75087309999999996</v>
      </c>
      <c r="G466" s="185">
        <v>17.512890368000001</v>
      </c>
      <c r="H466" s="184">
        <v>0.05</v>
      </c>
      <c r="I466" s="186">
        <v>0.39547001999999998</v>
      </c>
      <c r="J466" s="187">
        <v>5.6499300000000003</v>
      </c>
      <c r="K466" s="194">
        <v>2431.4623999999999</v>
      </c>
      <c r="L466" s="185">
        <v>24.603835826347581</v>
      </c>
      <c r="M466" s="184">
        <v>0.40489863805145149</v>
      </c>
      <c r="N466" s="187">
        <v>7.2026161997652114</v>
      </c>
      <c r="O466" s="206" t="s">
        <v>264</v>
      </c>
      <c r="P466" s="206" t="s">
        <v>264</v>
      </c>
      <c r="Q466" s="206" t="s">
        <v>264</v>
      </c>
      <c r="R466" s="206" t="s">
        <v>264</v>
      </c>
      <c r="S466" s="206" t="s">
        <v>264</v>
      </c>
    </row>
    <row r="467" spans="1:19" ht="20" customHeight="1" x14ac:dyDescent="0.15">
      <c r="A467" s="54">
        <v>462</v>
      </c>
      <c r="B467" s="55" t="s">
        <v>1499</v>
      </c>
      <c r="C467" s="56" t="s">
        <v>1500</v>
      </c>
      <c r="D467" s="57" t="s">
        <v>1419</v>
      </c>
      <c r="E467" s="189">
        <v>26.97</v>
      </c>
      <c r="F467" s="184">
        <v>2.2222222999999999</v>
      </c>
      <c r="G467" s="190">
        <v>67.607539712000005</v>
      </c>
      <c r="H467" s="195">
        <v>-5.7000000000000002E-2</v>
      </c>
      <c r="I467" s="191">
        <v>0.44546002000000001</v>
      </c>
      <c r="J467" s="192">
        <v>93</v>
      </c>
      <c r="K467" s="200">
        <v>16017.750016</v>
      </c>
      <c r="L467" s="190">
        <v>95.939993879168256</v>
      </c>
      <c r="M467" s="184">
        <v>0.41907240357896619</v>
      </c>
      <c r="N467" s="192">
        <v>4.2207890236642083</v>
      </c>
      <c r="O467" s="207" t="s">
        <v>264</v>
      </c>
      <c r="P467" s="207" t="s">
        <v>264</v>
      </c>
      <c r="Q467" s="207" t="s">
        <v>264</v>
      </c>
      <c r="R467" s="207" t="s">
        <v>264</v>
      </c>
      <c r="S467" s="207" t="s">
        <v>264</v>
      </c>
    </row>
    <row r="468" spans="1:19" ht="20" customHeight="1" x14ac:dyDescent="0.15">
      <c r="A468" s="50">
        <v>463</v>
      </c>
      <c r="B468" s="51" t="s">
        <v>1501</v>
      </c>
      <c r="C468" s="52" t="s">
        <v>1502</v>
      </c>
      <c r="D468" s="53" t="s">
        <v>1322</v>
      </c>
      <c r="E468" s="183">
        <v>126.96</v>
      </c>
      <c r="F468" s="195">
        <v>-0.48876542000000001</v>
      </c>
      <c r="G468" s="185">
        <v>32.634939392</v>
      </c>
      <c r="H468" s="184">
        <v>0.14499999999999999</v>
      </c>
      <c r="I468" s="186">
        <v>0.75700999999999996</v>
      </c>
      <c r="J468" s="187">
        <v>49.019306</v>
      </c>
      <c r="K468" s="194">
        <v>3012.7500799999998</v>
      </c>
      <c r="L468" s="185">
        <v>41.221245838083448</v>
      </c>
      <c r="M468" s="184">
        <v>0.26310165136045149</v>
      </c>
      <c r="N468" s="187">
        <v>8.8495890107154196</v>
      </c>
      <c r="O468" s="206" t="s">
        <v>264</v>
      </c>
      <c r="P468" s="206" t="s">
        <v>264</v>
      </c>
      <c r="Q468" s="206" t="s">
        <v>264</v>
      </c>
      <c r="R468" s="206" t="s">
        <v>264</v>
      </c>
      <c r="S468" s="206" t="s">
        <v>264</v>
      </c>
    </row>
    <row r="469" spans="1:19" ht="20" customHeight="1" x14ac:dyDescent="0.15">
      <c r="A469" s="54">
        <v>464</v>
      </c>
      <c r="B469" s="55" t="s">
        <v>1503</v>
      </c>
      <c r="C469" s="56" t="s">
        <v>1504</v>
      </c>
      <c r="D469" s="57" t="s">
        <v>1315</v>
      </c>
      <c r="E469" s="189">
        <v>179.99</v>
      </c>
      <c r="F469" s="184">
        <v>0.13637220999999999</v>
      </c>
      <c r="G469" s="190">
        <v>21.421699071999999</v>
      </c>
      <c r="H469" s="195">
        <v>-4.2999999999999997E-2</v>
      </c>
      <c r="I469" s="191">
        <v>0.46153</v>
      </c>
      <c r="J469" s="192">
        <v>20.360859999999999</v>
      </c>
      <c r="K469" s="200">
        <v>867.58528000000001</v>
      </c>
      <c r="L469" s="190">
        <v>4.610383185396735</v>
      </c>
      <c r="M469" s="195">
        <v>-0.78477976140450489</v>
      </c>
      <c r="N469" s="192">
        <v>24.691173482692101</v>
      </c>
      <c r="O469" s="207" t="s">
        <v>264</v>
      </c>
      <c r="P469" s="207" t="s">
        <v>264</v>
      </c>
      <c r="Q469" s="207" t="s">
        <v>264</v>
      </c>
      <c r="R469" s="207" t="s">
        <v>264</v>
      </c>
      <c r="S469" s="207" t="s">
        <v>264</v>
      </c>
    </row>
    <row r="470" spans="1:19" ht="20" customHeight="1" x14ac:dyDescent="0.15">
      <c r="A470" s="50">
        <v>465</v>
      </c>
      <c r="B470" s="51" t="s">
        <v>1505</v>
      </c>
      <c r="C470" s="52" t="s">
        <v>1506</v>
      </c>
      <c r="D470" s="53" t="s">
        <v>1327</v>
      </c>
      <c r="E470" s="183">
        <v>428.57</v>
      </c>
      <c r="F470" s="195">
        <v>-0.10509503000000001</v>
      </c>
      <c r="G470" s="185">
        <v>17.423558656000001</v>
      </c>
      <c r="H470" s="184">
        <v>1E-3</v>
      </c>
      <c r="I470" s="186">
        <v>0.28011999999999998</v>
      </c>
      <c r="J470" s="187">
        <v>35.448303000000003</v>
      </c>
      <c r="K470" s="194">
        <v>523.65750400000002</v>
      </c>
      <c r="L470" s="185">
        <v>3.305381719235291</v>
      </c>
      <c r="M470" s="195">
        <v>-0.8102923871928398</v>
      </c>
      <c r="N470" s="187">
        <v>28.64494805245835</v>
      </c>
      <c r="O470" s="206" t="s">
        <v>264</v>
      </c>
      <c r="P470" s="206" t="s">
        <v>264</v>
      </c>
      <c r="Q470" s="206" t="s">
        <v>264</v>
      </c>
      <c r="R470" s="206" t="s">
        <v>264</v>
      </c>
      <c r="S470" s="206" t="s">
        <v>264</v>
      </c>
    </row>
    <row r="471" spans="1:19" ht="20" customHeight="1" x14ac:dyDescent="0.15">
      <c r="A471" s="54">
        <v>466</v>
      </c>
      <c r="B471" s="55" t="s">
        <v>1507</v>
      </c>
      <c r="C471" s="56" t="s">
        <v>1508</v>
      </c>
      <c r="D471" s="57" t="s">
        <v>1347</v>
      </c>
      <c r="E471" s="189">
        <v>300.68</v>
      </c>
      <c r="F471" s="184">
        <v>0.42515873999999998</v>
      </c>
      <c r="G471" s="190">
        <v>21.242316800000001</v>
      </c>
      <c r="H471" s="184">
        <v>0.21</v>
      </c>
      <c r="I471" s="191">
        <v>0.36277999999999999</v>
      </c>
      <c r="J471" s="192">
        <v>40.144190000000002</v>
      </c>
      <c r="K471" s="200">
        <v>275.66249599999998</v>
      </c>
      <c r="L471" s="190">
        <v>4.3544709569057236</v>
      </c>
      <c r="M471" s="195">
        <v>-0.79500960286470612</v>
      </c>
      <c r="N471" s="192">
        <v>77.059154483604473</v>
      </c>
      <c r="O471" s="207" t="s">
        <v>264</v>
      </c>
      <c r="P471" s="207" t="s">
        <v>264</v>
      </c>
      <c r="Q471" s="207" t="s">
        <v>264</v>
      </c>
      <c r="R471" s="207" t="s">
        <v>264</v>
      </c>
      <c r="S471" s="207" t="s">
        <v>264</v>
      </c>
    </row>
    <row r="472" spans="1:19" ht="20" customHeight="1" x14ac:dyDescent="0.15">
      <c r="A472" s="50">
        <v>467</v>
      </c>
      <c r="B472" s="51" t="s">
        <v>1509</v>
      </c>
      <c r="C472" s="52" t="s">
        <v>1510</v>
      </c>
      <c r="D472" s="53" t="s">
        <v>1322</v>
      </c>
      <c r="E472" s="183">
        <v>139.81</v>
      </c>
      <c r="F472" s="195">
        <v>-0.39990555999999999</v>
      </c>
      <c r="G472" s="185">
        <v>22.48014848</v>
      </c>
      <c r="H472" s="184">
        <v>0.25900000000000001</v>
      </c>
      <c r="I472" s="186">
        <v>0.76632005000000003</v>
      </c>
      <c r="J472" s="187">
        <v>30.474965999999998</v>
      </c>
      <c r="K472" s="194">
        <v>1020.9666559999999</v>
      </c>
      <c r="L472" s="185">
        <v>15.13688829422305</v>
      </c>
      <c r="M472" s="195">
        <v>-0.32665532402110498</v>
      </c>
      <c r="N472" s="187">
        <v>22.01849399715362</v>
      </c>
      <c r="O472" s="206" t="s">
        <v>264</v>
      </c>
      <c r="P472" s="206" t="s">
        <v>264</v>
      </c>
      <c r="Q472" s="206" t="s">
        <v>264</v>
      </c>
      <c r="R472" s="206" t="s">
        <v>264</v>
      </c>
      <c r="S472" s="206" t="s">
        <v>264</v>
      </c>
    </row>
    <row r="473" spans="1:19" ht="20" customHeight="1" x14ac:dyDescent="0.15">
      <c r="A473" s="54">
        <v>468</v>
      </c>
      <c r="B473" s="55" t="s">
        <v>1511</v>
      </c>
      <c r="C473" s="56" t="s">
        <v>1512</v>
      </c>
      <c r="D473" s="57" t="s">
        <v>1322</v>
      </c>
      <c r="E473" s="189">
        <v>244.35</v>
      </c>
      <c r="F473" s="195">
        <v>-0.12753951999999999</v>
      </c>
      <c r="G473" s="190">
        <v>51.557851135999996</v>
      </c>
      <c r="H473" s="184">
        <v>0.19400000000000001</v>
      </c>
      <c r="I473" s="191">
        <v>0.92325999999999997</v>
      </c>
      <c r="J473" s="192">
        <v>46.720840000000003</v>
      </c>
      <c r="K473" s="200">
        <v>2787.0000639999998</v>
      </c>
      <c r="L473" s="190">
        <v>36.425770986979963</v>
      </c>
      <c r="M473" s="195">
        <v>-0.29349710695087811</v>
      </c>
      <c r="N473" s="192">
        <v>18.4994075407384</v>
      </c>
      <c r="O473" s="207" t="s">
        <v>264</v>
      </c>
      <c r="P473" s="207" t="s">
        <v>264</v>
      </c>
      <c r="Q473" s="207" t="s">
        <v>264</v>
      </c>
      <c r="R473" s="207" t="s">
        <v>264</v>
      </c>
      <c r="S473" s="207" t="s">
        <v>264</v>
      </c>
    </row>
    <row r="474" spans="1:19" ht="20" customHeight="1" x14ac:dyDescent="0.15">
      <c r="A474" s="50">
        <v>469</v>
      </c>
      <c r="B474" s="51" t="s">
        <v>1513</v>
      </c>
      <c r="C474" s="52" t="s">
        <v>1514</v>
      </c>
      <c r="D474" s="53" t="s">
        <v>1342</v>
      </c>
      <c r="E474" s="183">
        <v>14.28</v>
      </c>
      <c r="F474" s="184">
        <v>0.39181292000000001</v>
      </c>
      <c r="G474" s="185">
        <v>10.182662144</v>
      </c>
      <c r="H474" s="184">
        <v>4.7E-2</v>
      </c>
      <c r="I474" s="186">
        <v>0.18400997999999999</v>
      </c>
      <c r="J474" s="187">
        <v>10.9007635</v>
      </c>
      <c r="K474" s="194">
        <v>-3086.1250559999999</v>
      </c>
      <c r="L474" s="188" t="s">
        <v>264</v>
      </c>
      <c r="M474" s="188" t="s">
        <v>264</v>
      </c>
      <c r="N474" s="187">
        <v>-3.2994977817386282</v>
      </c>
      <c r="O474" s="206" t="s">
        <v>264</v>
      </c>
      <c r="P474" s="206" t="s">
        <v>264</v>
      </c>
      <c r="Q474" s="206" t="s">
        <v>264</v>
      </c>
      <c r="R474" s="206" t="s">
        <v>264</v>
      </c>
      <c r="S474" s="206" t="s">
        <v>264</v>
      </c>
    </row>
    <row r="475" spans="1:19" ht="20" customHeight="1" x14ac:dyDescent="0.15">
      <c r="A475" s="54">
        <v>470</v>
      </c>
      <c r="B475" s="55" t="s">
        <v>1515</v>
      </c>
      <c r="C475" s="56" t="s">
        <v>1516</v>
      </c>
      <c r="D475" s="57" t="s">
        <v>1318</v>
      </c>
      <c r="E475" s="189">
        <v>467.19</v>
      </c>
      <c r="F475" s="195">
        <v>-2.8327227E-2</v>
      </c>
      <c r="G475" s="190">
        <v>42.093817856000001</v>
      </c>
      <c r="H475" s="184">
        <v>0.09</v>
      </c>
      <c r="I475" s="191">
        <v>0.56601000000000001</v>
      </c>
      <c r="J475" s="192">
        <v>11.641913000000001</v>
      </c>
      <c r="K475" s="196" t="s">
        <v>264</v>
      </c>
      <c r="L475" s="197" t="s">
        <v>264</v>
      </c>
      <c r="M475" s="198" t="s">
        <v>264</v>
      </c>
      <c r="N475" s="199" t="s">
        <v>264</v>
      </c>
      <c r="O475" s="207" t="s">
        <v>264</v>
      </c>
      <c r="P475" s="207" t="s">
        <v>264</v>
      </c>
      <c r="Q475" s="207" t="s">
        <v>264</v>
      </c>
      <c r="R475" s="207" t="s">
        <v>264</v>
      </c>
      <c r="S475" s="207" t="s">
        <v>264</v>
      </c>
    </row>
    <row r="476" spans="1:19" ht="20" customHeight="1" x14ac:dyDescent="0.15">
      <c r="A476" s="50">
        <v>471</v>
      </c>
      <c r="B476" s="51" t="s">
        <v>1517</v>
      </c>
      <c r="C476" s="52" t="s">
        <v>1518</v>
      </c>
      <c r="D476" s="53" t="s">
        <v>1322</v>
      </c>
      <c r="E476" s="183">
        <v>172.7</v>
      </c>
      <c r="F476" s="184">
        <v>0.91082096000000001</v>
      </c>
      <c r="G476" s="185">
        <v>217.45855692800001</v>
      </c>
      <c r="H476" s="184">
        <v>0.28899999999999998</v>
      </c>
      <c r="I476" s="186">
        <v>0.64056000000000002</v>
      </c>
      <c r="J476" s="187">
        <v>62.8</v>
      </c>
      <c r="K476" s="194">
        <v>3387.9626239999998</v>
      </c>
      <c r="L476" s="185">
        <v>56.638662117106463</v>
      </c>
      <c r="M476" s="195">
        <v>-0.73954272980915903</v>
      </c>
      <c r="N476" s="187">
        <v>64.185643726452156</v>
      </c>
      <c r="O476" s="206" t="s">
        <v>264</v>
      </c>
      <c r="P476" s="206" t="s">
        <v>264</v>
      </c>
      <c r="Q476" s="206" t="s">
        <v>264</v>
      </c>
      <c r="R476" s="206" t="s">
        <v>264</v>
      </c>
      <c r="S476" s="206" t="s">
        <v>264</v>
      </c>
    </row>
    <row r="477" spans="1:19" ht="20" customHeight="1" x14ac:dyDescent="0.15">
      <c r="A477" s="54">
        <v>472</v>
      </c>
      <c r="B477" s="55" t="s">
        <v>1519</v>
      </c>
      <c r="C477" s="56" t="s">
        <v>1520</v>
      </c>
      <c r="D477" s="57" t="s">
        <v>1347</v>
      </c>
      <c r="E477" s="189">
        <v>17.21</v>
      </c>
      <c r="F477" s="195">
        <v>-0.43443971999999997</v>
      </c>
      <c r="G477" s="190">
        <v>8.8847052800000004</v>
      </c>
      <c r="H477" s="184">
        <v>2.9000000000000001E-2</v>
      </c>
      <c r="I477" s="191">
        <v>0.34647</v>
      </c>
      <c r="J477" s="192">
        <v>8.4988910000000004</v>
      </c>
      <c r="K477" s="196" t="s">
        <v>264</v>
      </c>
      <c r="L477" s="197" t="s">
        <v>264</v>
      </c>
      <c r="M477" s="198" t="s">
        <v>264</v>
      </c>
      <c r="N477" s="199" t="s">
        <v>264</v>
      </c>
      <c r="O477" s="207" t="s">
        <v>264</v>
      </c>
      <c r="P477" s="207" t="s">
        <v>264</v>
      </c>
      <c r="Q477" s="207" t="s">
        <v>264</v>
      </c>
      <c r="R477" s="207" t="s">
        <v>264</v>
      </c>
      <c r="S477" s="207" t="s">
        <v>264</v>
      </c>
    </row>
    <row r="478" spans="1:19" ht="20" customHeight="1" x14ac:dyDescent="0.15">
      <c r="A478" s="50">
        <v>473</v>
      </c>
      <c r="B478" s="51" t="s">
        <v>1521</v>
      </c>
      <c r="C478" s="52" t="s">
        <v>1522</v>
      </c>
      <c r="D478" s="53" t="s">
        <v>1327</v>
      </c>
      <c r="E478" s="183">
        <v>657.44</v>
      </c>
      <c r="F478" s="184">
        <v>1.1747932000000001</v>
      </c>
      <c r="G478" s="185">
        <v>90.895958015999994</v>
      </c>
      <c r="H478" s="184">
        <v>1.0999999999999999E-2</v>
      </c>
      <c r="I478" s="186">
        <v>0.25758999999999999</v>
      </c>
      <c r="J478" s="187">
        <v>32.054606999999997</v>
      </c>
      <c r="K478" s="194">
        <v>1372.9999359999999</v>
      </c>
      <c r="L478" s="185">
        <v>10.470814163549409</v>
      </c>
      <c r="M478" s="195">
        <v>-0.88480440283487327</v>
      </c>
      <c r="N478" s="187">
        <v>66.202448974331205</v>
      </c>
      <c r="O478" s="206" t="s">
        <v>264</v>
      </c>
      <c r="P478" s="206" t="s">
        <v>264</v>
      </c>
      <c r="Q478" s="206" t="s">
        <v>264</v>
      </c>
      <c r="R478" s="206" t="s">
        <v>264</v>
      </c>
      <c r="S478" s="206" t="s">
        <v>264</v>
      </c>
    </row>
    <row r="479" spans="1:19" ht="20" customHeight="1" x14ac:dyDescent="0.15">
      <c r="A479" s="54">
        <v>474</v>
      </c>
      <c r="B479" s="55" t="s">
        <v>1523</v>
      </c>
      <c r="C479" s="56" t="s">
        <v>1524</v>
      </c>
      <c r="D479" s="57" t="s">
        <v>1347</v>
      </c>
      <c r="E479" s="189">
        <v>82.09</v>
      </c>
      <c r="F479" s="184">
        <v>0.22339797</v>
      </c>
      <c r="G479" s="190">
        <v>105.206898688</v>
      </c>
      <c r="H479" s="184">
        <v>8.4000000000000005E-2</v>
      </c>
      <c r="I479" s="191">
        <v>0.13288</v>
      </c>
      <c r="J479" s="192">
        <v>59.057552000000001</v>
      </c>
      <c r="K479" s="200">
        <v>5929.5001599999996</v>
      </c>
      <c r="L479" s="190">
        <v>72.408884471237712</v>
      </c>
      <c r="M479" s="195">
        <v>-0.31174775253120601</v>
      </c>
      <c r="N479" s="192">
        <v>17.742963589408181</v>
      </c>
      <c r="O479" s="207" t="s">
        <v>264</v>
      </c>
      <c r="P479" s="207" t="s">
        <v>264</v>
      </c>
      <c r="Q479" s="207" t="s">
        <v>264</v>
      </c>
      <c r="R479" s="207" t="s">
        <v>264</v>
      </c>
      <c r="S479" s="207" t="s">
        <v>264</v>
      </c>
    </row>
    <row r="480" spans="1:19" ht="20" customHeight="1" x14ac:dyDescent="0.15">
      <c r="A480" s="50">
        <v>475</v>
      </c>
      <c r="B480" s="51" t="s">
        <v>1525</v>
      </c>
      <c r="C480" s="52" t="s">
        <v>1526</v>
      </c>
      <c r="D480" s="53" t="s">
        <v>1315</v>
      </c>
      <c r="E480" s="183">
        <v>194.76</v>
      </c>
      <c r="F480" s="195">
        <v>-3.9076387999999997E-2</v>
      </c>
      <c r="G480" s="185">
        <v>22.306836480000001</v>
      </c>
      <c r="H480" s="184">
        <v>5.8999999999999997E-2</v>
      </c>
      <c r="I480" s="186">
        <v>0.21507000000000001</v>
      </c>
      <c r="J480" s="187">
        <v>20.544304</v>
      </c>
      <c r="K480" s="194">
        <v>678.15001600000005</v>
      </c>
      <c r="L480" s="185">
        <v>5.401669679933196</v>
      </c>
      <c r="M480" s="195">
        <v>-0.75784689663295568</v>
      </c>
      <c r="N480" s="187">
        <v>32.893661664796007</v>
      </c>
      <c r="O480" s="206" t="s">
        <v>264</v>
      </c>
      <c r="P480" s="206" t="s">
        <v>264</v>
      </c>
      <c r="Q480" s="206" t="s">
        <v>264</v>
      </c>
      <c r="R480" s="206" t="s">
        <v>264</v>
      </c>
      <c r="S480" s="206" t="s">
        <v>264</v>
      </c>
    </row>
    <row r="481" spans="1:19" ht="20" customHeight="1" x14ac:dyDescent="0.15">
      <c r="A481" s="54">
        <v>476</v>
      </c>
      <c r="B481" s="55" t="s">
        <v>1527</v>
      </c>
      <c r="C481" s="56" t="s">
        <v>1528</v>
      </c>
      <c r="D481" s="57" t="s">
        <v>1333</v>
      </c>
      <c r="E481" s="189">
        <v>79.3</v>
      </c>
      <c r="F481" s="184">
        <v>0.37435006999999998</v>
      </c>
      <c r="G481" s="190">
        <v>28.684955647999999</v>
      </c>
      <c r="H481" s="184">
        <v>4.5999999999999999E-2</v>
      </c>
      <c r="I481" s="191">
        <v>0.74617</v>
      </c>
      <c r="J481" s="192">
        <v>25.860271000000001</v>
      </c>
      <c r="K481" s="196" t="s">
        <v>264</v>
      </c>
      <c r="L481" s="197" t="s">
        <v>264</v>
      </c>
      <c r="M481" s="198" t="s">
        <v>264</v>
      </c>
      <c r="N481" s="199" t="s">
        <v>264</v>
      </c>
      <c r="O481" s="207" t="s">
        <v>264</v>
      </c>
      <c r="P481" s="207" t="s">
        <v>264</v>
      </c>
      <c r="Q481" s="207" t="s">
        <v>264</v>
      </c>
      <c r="R481" s="207" t="s">
        <v>264</v>
      </c>
      <c r="S481" s="207" t="s">
        <v>264</v>
      </c>
    </row>
    <row r="482" spans="1:19" ht="20" customHeight="1" x14ac:dyDescent="0.15">
      <c r="A482" s="50">
        <v>477</v>
      </c>
      <c r="B482" s="51" t="s">
        <v>1529</v>
      </c>
      <c r="C482" s="52" t="s">
        <v>1530</v>
      </c>
      <c r="D482" s="53" t="s">
        <v>1318</v>
      </c>
      <c r="E482" s="183">
        <v>62.14</v>
      </c>
      <c r="F482" s="195">
        <v>-0.66296034254107794</v>
      </c>
      <c r="G482" s="185">
        <v>33.231073279999997</v>
      </c>
      <c r="H482" s="188" t="s">
        <v>264</v>
      </c>
      <c r="I482" s="188" t="s">
        <v>264</v>
      </c>
      <c r="J482" s="187">
        <v>9.8012619999999995</v>
      </c>
      <c r="K482" s="188" t="s">
        <v>264</v>
      </c>
      <c r="L482" s="188" t="s">
        <v>264</v>
      </c>
      <c r="M482" s="188" t="s">
        <v>264</v>
      </c>
      <c r="N482" s="188" t="s">
        <v>264</v>
      </c>
      <c r="O482" s="206" t="s">
        <v>264</v>
      </c>
      <c r="P482" s="206" t="s">
        <v>264</v>
      </c>
      <c r="Q482" s="206" t="s">
        <v>264</v>
      </c>
      <c r="R482" s="206" t="s">
        <v>264</v>
      </c>
      <c r="S482" s="206" t="s">
        <v>264</v>
      </c>
    </row>
    <row r="483" spans="1:19" ht="20" customHeight="1" x14ac:dyDescent="0.15">
      <c r="A483" s="54">
        <v>478</v>
      </c>
      <c r="B483" s="55" t="s">
        <v>1531</v>
      </c>
      <c r="C483" s="56" t="s">
        <v>1532</v>
      </c>
      <c r="D483" s="57" t="s">
        <v>1327</v>
      </c>
      <c r="E483" s="189">
        <v>59.03</v>
      </c>
      <c r="F483" s="184">
        <v>0.15894079</v>
      </c>
      <c r="G483" s="190">
        <v>18.017339392</v>
      </c>
      <c r="H483" s="184">
        <v>7.6999999999999999E-2</v>
      </c>
      <c r="I483" s="191">
        <v>0.63254999999999995</v>
      </c>
      <c r="J483" s="192">
        <v>34.520465999999999</v>
      </c>
      <c r="K483" s="200">
        <v>953.61248000000001</v>
      </c>
      <c r="L483" s="190">
        <v>10.917399088895911</v>
      </c>
      <c r="M483" s="195">
        <v>-0.39406152865481242</v>
      </c>
      <c r="N483" s="192">
        <v>18.893776701632511</v>
      </c>
      <c r="O483" s="207" t="s">
        <v>264</v>
      </c>
      <c r="P483" s="207" t="s">
        <v>264</v>
      </c>
      <c r="Q483" s="207" t="s">
        <v>264</v>
      </c>
      <c r="R483" s="207" t="s">
        <v>264</v>
      </c>
      <c r="S483" s="207" t="s">
        <v>264</v>
      </c>
    </row>
    <row r="484" spans="1:19" ht="20" customHeight="1" x14ac:dyDescent="0.15">
      <c r="A484" s="50">
        <v>479</v>
      </c>
      <c r="B484" s="51" t="s">
        <v>1533</v>
      </c>
      <c r="C484" s="52" t="s">
        <v>1534</v>
      </c>
      <c r="D484" s="53" t="s">
        <v>1318</v>
      </c>
      <c r="E484" s="183">
        <v>72.36</v>
      </c>
      <c r="F484" s="195">
        <v>-8.6940050000000005E-2</v>
      </c>
      <c r="G484" s="185">
        <v>19.916584960000002</v>
      </c>
      <c r="H484" s="186">
        <v>0</v>
      </c>
      <c r="I484" s="186">
        <v>0.72643000000000002</v>
      </c>
      <c r="J484" s="187">
        <v>16.334087</v>
      </c>
      <c r="K484" s="194">
        <v>1748.5442559999999</v>
      </c>
      <c r="L484" s="185">
        <v>21.183687746258801</v>
      </c>
      <c r="M484" s="184">
        <v>6.3620484576227071E-2</v>
      </c>
      <c r="N484" s="187">
        <v>11.39038051358307</v>
      </c>
      <c r="O484" s="206" t="s">
        <v>264</v>
      </c>
      <c r="P484" s="206" t="s">
        <v>264</v>
      </c>
      <c r="Q484" s="206" t="s">
        <v>264</v>
      </c>
      <c r="R484" s="206" t="s">
        <v>264</v>
      </c>
      <c r="S484" s="206" t="s">
        <v>264</v>
      </c>
    </row>
    <row r="485" spans="1:19" ht="20" customHeight="1" x14ac:dyDescent="0.15">
      <c r="A485" s="50">
        <v>480</v>
      </c>
      <c r="B485" s="51" t="s">
        <v>1535</v>
      </c>
      <c r="C485" s="52" t="s">
        <v>1536</v>
      </c>
      <c r="D485" s="53" t="s">
        <v>1318</v>
      </c>
      <c r="E485" s="189">
        <v>135.81</v>
      </c>
      <c r="F485" s="184">
        <v>8.0343603999999999E-2</v>
      </c>
      <c r="G485" s="190">
        <v>37.229707263999998</v>
      </c>
      <c r="H485" s="184">
        <v>6.0999999999999999E-2</v>
      </c>
      <c r="I485" s="191">
        <v>0.38172</v>
      </c>
      <c r="J485" s="192">
        <v>9.5573540000000001</v>
      </c>
      <c r="K485" s="200">
        <v>5603.2501759999996</v>
      </c>
      <c r="L485" s="190">
        <v>58.81059802678535</v>
      </c>
      <c r="M485" s="184">
        <v>0.57966855902875769</v>
      </c>
      <c r="N485" s="192">
        <v>6.6443056252714428</v>
      </c>
      <c r="O485" s="207" t="s">
        <v>264</v>
      </c>
      <c r="P485" s="207" t="s">
        <v>264</v>
      </c>
      <c r="Q485" s="207" t="s">
        <v>264</v>
      </c>
      <c r="R485" s="207" t="s">
        <v>264</v>
      </c>
      <c r="S485" s="207" t="s">
        <v>264</v>
      </c>
    </row>
    <row r="486" spans="1:19" ht="20" customHeight="1" x14ac:dyDescent="0.15">
      <c r="A486" s="54">
        <v>481</v>
      </c>
      <c r="B486" s="55" t="s">
        <v>1537</v>
      </c>
      <c r="C486" s="56" t="s">
        <v>1538</v>
      </c>
      <c r="D486" s="57" t="s">
        <v>1347</v>
      </c>
      <c r="E486" s="183">
        <v>135.78</v>
      </c>
      <c r="F486" s="184">
        <v>0.73698353999999999</v>
      </c>
      <c r="G486" s="185">
        <v>20.625920000000001</v>
      </c>
      <c r="H486" s="184">
        <v>4.8000000000000001E-2</v>
      </c>
      <c r="I486" s="186">
        <v>0.68335999999999997</v>
      </c>
      <c r="J486" s="187">
        <v>24.687273000000001</v>
      </c>
      <c r="K486" s="194">
        <v>962.12499200000002</v>
      </c>
      <c r="L486" s="185">
        <v>10.036582388124289</v>
      </c>
      <c r="M486" s="195">
        <v>-0.51339952893619822</v>
      </c>
      <c r="N486" s="187">
        <v>21.437880826507001</v>
      </c>
      <c r="O486" s="206" t="s">
        <v>264</v>
      </c>
      <c r="P486" s="206" t="s">
        <v>264</v>
      </c>
      <c r="Q486" s="206" t="s">
        <v>264</v>
      </c>
      <c r="R486" s="206" t="s">
        <v>264</v>
      </c>
      <c r="S486" s="206" t="s">
        <v>264</v>
      </c>
    </row>
    <row r="487" spans="1:19" ht="20" customHeight="1" x14ac:dyDescent="0.15">
      <c r="A487" s="50">
        <v>482</v>
      </c>
      <c r="B487" s="51" t="s">
        <v>1539</v>
      </c>
      <c r="C487" s="52" t="s">
        <v>1540</v>
      </c>
      <c r="D487" s="53" t="s">
        <v>1322</v>
      </c>
      <c r="E487" s="189">
        <v>99.62</v>
      </c>
      <c r="F487" s="184">
        <v>3.9146523000000002</v>
      </c>
      <c r="G487" s="190">
        <v>500.69012479999998</v>
      </c>
      <c r="H487" s="184">
        <v>7.1999999999999995E-2</v>
      </c>
      <c r="I487" s="191">
        <v>0.372</v>
      </c>
      <c r="J487" s="192">
        <v>67.288079999999994</v>
      </c>
      <c r="K487" s="200">
        <v>-8301.2500479999999</v>
      </c>
      <c r="L487" s="193" t="s">
        <v>264</v>
      </c>
      <c r="M487" s="193" t="s">
        <v>264</v>
      </c>
      <c r="N487" s="192">
        <v>-60.315026906174218</v>
      </c>
      <c r="O487" s="207" t="s">
        <v>264</v>
      </c>
      <c r="P487" s="207" t="s">
        <v>264</v>
      </c>
      <c r="Q487" s="207" t="s">
        <v>264</v>
      </c>
      <c r="R487" s="207" t="s">
        <v>264</v>
      </c>
      <c r="S487" s="207" t="s">
        <v>264</v>
      </c>
    </row>
    <row r="488" spans="1:19" ht="20" customHeight="1" x14ac:dyDescent="0.15">
      <c r="A488" s="54">
        <v>483</v>
      </c>
      <c r="B488" s="55" t="s">
        <v>1541</v>
      </c>
      <c r="C488" s="56" t="s">
        <v>1542</v>
      </c>
      <c r="D488" s="57" t="s">
        <v>1327</v>
      </c>
      <c r="E488" s="183">
        <v>145.08000000000001</v>
      </c>
      <c r="F488" s="184">
        <v>0.62409042999999997</v>
      </c>
      <c r="G488" s="185">
        <v>88.798560256000002</v>
      </c>
      <c r="H488" s="184">
        <v>6.8000000000000005E-2</v>
      </c>
      <c r="I488" s="186">
        <v>0.36466998</v>
      </c>
      <c r="J488" s="187">
        <v>48.848483999999999</v>
      </c>
      <c r="K488" s="194">
        <v>2764.9999360000002</v>
      </c>
      <c r="L488" s="185">
        <v>29.853368612456549</v>
      </c>
      <c r="M488" s="195">
        <v>-0.66380796573287459</v>
      </c>
      <c r="N488" s="187">
        <v>32.115214185118887</v>
      </c>
      <c r="O488" s="206" t="s">
        <v>264</v>
      </c>
      <c r="P488" s="206" t="s">
        <v>264</v>
      </c>
      <c r="Q488" s="206" t="s">
        <v>264</v>
      </c>
      <c r="R488" s="206" t="s">
        <v>264</v>
      </c>
      <c r="S488" s="206" t="s">
        <v>264</v>
      </c>
    </row>
    <row r="489" spans="1:19" ht="20" customHeight="1" x14ac:dyDescent="0.15">
      <c r="A489" s="50">
        <v>484</v>
      </c>
      <c r="B489" s="51" t="s">
        <v>1543</v>
      </c>
      <c r="C489" s="52" t="s">
        <v>1544</v>
      </c>
      <c r="D489" s="53" t="s">
        <v>1342</v>
      </c>
      <c r="E489" s="189">
        <v>80.150000000000006</v>
      </c>
      <c r="F489" s="184">
        <v>2.2973776000000001E-2</v>
      </c>
      <c r="G489" s="190">
        <v>40.007192576000001</v>
      </c>
      <c r="H489" s="184">
        <v>0.183</v>
      </c>
      <c r="I489" s="191">
        <v>0.34820997999999997</v>
      </c>
      <c r="J489" s="192">
        <v>18.992892999999999</v>
      </c>
      <c r="K489" s="200">
        <v>-105</v>
      </c>
      <c r="L489" s="193" t="s">
        <v>264</v>
      </c>
      <c r="M489" s="193" t="s">
        <v>264</v>
      </c>
      <c r="N489" s="192">
        <v>-380.70479796666672</v>
      </c>
      <c r="O489" s="207" t="s">
        <v>264</v>
      </c>
      <c r="P489" s="207" t="s">
        <v>264</v>
      </c>
      <c r="Q489" s="207" t="s">
        <v>264</v>
      </c>
      <c r="R489" s="207" t="s">
        <v>264</v>
      </c>
      <c r="S489" s="207" t="s">
        <v>264</v>
      </c>
    </row>
    <row r="490" spans="1:19" ht="20" customHeight="1" x14ac:dyDescent="0.15">
      <c r="A490" s="54">
        <v>485</v>
      </c>
      <c r="B490" s="55" t="s">
        <v>1545</v>
      </c>
      <c r="C490" s="56" t="s">
        <v>1546</v>
      </c>
      <c r="D490" s="57" t="s">
        <v>1318</v>
      </c>
      <c r="E490" s="183">
        <v>101.09</v>
      </c>
      <c r="F490" s="184">
        <v>0.32040225999999999</v>
      </c>
      <c r="G490" s="185">
        <v>21.836691456</v>
      </c>
      <c r="H490" s="195">
        <v>-4.4999999999999998E-2</v>
      </c>
      <c r="I490" s="186">
        <v>0.47612998000000001</v>
      </c>
      <c r="J490" s="187">
        <v>14.503587</v>
      </c>
      <c r="K490" s="194">
        <v>1457.6249600000001</v>
      </c>
      <c r="L490" s="185">
        <v>12.27439729089086</v>
      </c>
      <c r="M490" s="195">
        <v>-0.43790031948643648</v>
      </c>
      <c r="N490" s="187">
        <v>14.98100848832885</v>
      </c>
      <c r="O490" s="206" t="s">
        <v>264</v>
      </c>
      <c r="P490" s="206" t="s">
        <v>264</v>
      </c>
      <c r="Q490" s="206" t="s">
        <v>264</v>
      </c>
      <c r="R490" s="206" t="s">
        <v>264</v>
      </c>
      <c r="S490" s="206" t="s">
        <v>264</v>
      </c>
    </row>
    <row r="491" spans="1:19" ht="20" customHeight="1" x14ac:dyDescent="0.15">
      <c r="A491" s="50">
        <v>486</v>
      </c>
      <c r="B491" s="51" t="s">
        <v>1547</v>
      </c>
      <c r="C491" s="52" t="s">
        <v>1548</v>
      </c>
      <c r="D491" s="53" t="s">
        <v>1327</v>
      </c>
      <c r="E491" s="189">
        <v>882.23</v>
      </c>
      <c r="F491" s="184">
        <v>0.43086754999999999</v>
      </c>
      <c r="G491" s="190">
        <v>111.352004608</v>
      </c>
      <c r="H491" s="184">
        <v>0.106</v>
      </c>
      <c r="I491" s="191">
        <v>0.37375997999999999</v>
      </c>
      <c r="J491" s="192">
        <v>32.578654999999998</v>
      </c>
      <c r="K491" s="200">
        <v>2761.9819520000001</v>
      </c>
      <c r="L491" s="190">
        <v>26.745112060638789</v>
      </c>
      <c r="M491" s="195">
        <v>-0.75981472309554354</v>
      </c>
      <c r="N491" s="192">
        <v>40.315979725732113</v>
      </c>
      <c r="O491" s="207" t="s">
        <v>264</v>
      </c>
      <c r="P491" s="207" t="s">
        <v>264</v>
      </c>
      <c r="Q491" s="207" t="s">
        <v>264</v>
      </c>
      <c r="R491" s="207" t="s">
        <v>264</v>
      </c>
      <c r="S491" s="207" t="s">
        <v>264</v>
      </c>
    </row>
    <row r="492" spans="1:19" ht="20" customHeight="1" x14ac:dyDescent="0.15">
      <c r="A492" s="50">
        <v>487</v>
      </c>
      <c r="B492" s="51" t="s">
        <v>1549</v>
      </c>
      <c r="C492" s="52" t="s">
        <v>1550</v>
      </c>
      <c r="D492" s="53" t="s">
        <v>1327</v>
      </c>
      <c r="E492" s="183">
        <v>54.78</v>
      </c>
      <c r="F492" s="195">
        <v>-3.8610039999999998E-2</v>
      </c>
      <c r="G492" s="185">
        <v>26.374578176</v>
      </c>
      <c r="H492" s="184">
        <v>0.10199999999999999</v>
      </c>
      <c r="I492" s="186">
        <v>0.52603</v>
      </c>
      <c r="J492" s="187">
        <v>50.256878</v>
      </c>
      <c r="K492" s="194">
        <v>521.44611199999997</v>
      </c>
      <c r="L492" s="185">
        <v>6.7459018233138472</v>
      </c>
      <c r="M492" s="195">
        <v>-0.7442271198311563</v>
      </c>
      <c r="N492" s="187">
        <v>50.579683791256272</v>
      </c>
      <c r="O492" s="206" t="s">
        <v>264</v>
      </c>
      <c r="P492" s="206" t="s">
        <v>264</v>
      </c>
      <c r="Q492" s="206" t="s">
        <v>264</v>
      </c>
      <c r="R492" s="206" t="s">
        <v>264</v>
      </c>
      <c r="S492" s="206" t="s">
        <v>264</v>
      </c>
    </row>
    <row r="493" spans="1:19" ht="20" customHeight="1" x14ac:dyDescent="0.15">
      <c r="A493" s="54">
        <v>488</v>
      </c>
      <c r="B493" s="55" t="s">
        <v>1551</v>
      </c>
      <c r="C493" s="56" t="s">
        <v>1552</v>
      </c>
      <c r="D493" s="57" t="s">
        <v>1322</v>
      </c>
      <c r="E493" s="189">
        <v>726.93</v>
      </c>
      <c r="F493" s="184">
        <v>6.7680059999999997</v>
      </c>
      <c r="G493" s="190">
        <v>162.998779904</v>
      </c>
      <c r="H493" s="184">
        <v>0.441</v>
      </c>
      <c r="I493" s="191">
        <v>0.41571000000000002</v>
      </c>
      <c r="J493" s="192">
        <v>68.968689999999995</v>
      </c>
      <c r="K493" s="200">
        <v>1610</v>
      </c>
      <c r="L493" s="190">
        <v>24.064738931035929</v>
      </c>
      <c r="M493" s="195">
        <v>-0.85236245973614555</v>
      </c>
      <c r="N493" s="192">
        <v>101.2414789779876</v>
      </c>
      <c r="O493" s="207" t="s">
        <v>264</v>
      </c>
      <c r="P493" s="207" t="s">
        <v>264</v>
      </c>
      <c r="Q493" s="207" t="s">
        <v>264</v>
      </c>
      <c r="R493" s="207" t="s">
        <v>264</v>
      </c>
      <c r="S493" s="207" t="s">
        <v>264</v>
      </c>
    </row>
    <row r="494" spans="1:19" ht="20" customHeight="1" x14ac:dyDescent="0.15">
      <c r="A494" s="50">
        <v>489</v>
      </c>
      <c r="B494" s="51" t="s">
        <v>1553</v>
      </c>
      <c r="C494" s="52" t="s">
        <v>1554</v>
      </c>
      <c r="D494" s="53" t="s">
        <v>1322</v>
      </c>
      <c r="E494" s="183">
        <v>207.43</v>
      </c>
      <c r="F494" s="184">
        <v>0.38425088000000002</v>
      </c>
      <c r="G494" s="185">
        <v>60.547944448000003</v>
      </c>
      <c r="H494" s="184">
        <v>0.14499999999999999</v>
      </c>
      <c r="I494" s="186">
        <v>0.36071998</v>
      </c>
      <c r="J494" s="187">
        <v>21.187946</v>
      </c>
      <c r="K494" s="194">
        <v>2322.249984</v>
      </c>
      <c r="L494" s="185">
        <v>34.319824031530622</v>
      </c>
      <c r="M494" s="195">
        <v>-0.43317936976365418</v>
      </c>
      <c r="N494" s="187">
        <v>26.072966305840229</v>
      </c>
      <c r="O494" s="206" t="s">
        <v>264</v>
      </c>
      <c r="P494" s="206" t="s">
        <v>264</v>
      </c>
      <c r="Q494" s="206" t="s">
        <v>264</v>
      </c>
      <c r="R494" s="206" t="s">
        <v>264</v>
      </c>
      <c r="S494" s="206" t="s">
        <v>264</v>
      </c>
    </row>
    <row r="495" spans="1:19" ht="20" customHeight="1" x14ac:dyDescent="0.15">
      <c r="A495" s="54">
        <v>490</v>
      </c>
      <c r="B495" s="55" t="s">
        <v>1555</v>
      </c>
      <c r="C495" s="56" t="s">
        <v>1556</v>
      </c>
      <c r="D495" s="57" t="s">
        <v>1315</v>
      </c>
      <c r="E495" s="189">
        <v>33.83</v>
      </c>
      <c r="F495" s="195">
        <v>-0.33977360000000001</v>
      </c>
      <c r="G495" s="190">
        <v>17.806465024000001</v>
      </c>
      <c r="H495" s="184">
        <v>3.5999999999999997E-2</v>
      </c>
      <c r="I495" s="191">
        <v>0.36425000000000002</v>
      </c>
      <c r="J495" s="192">
        <v>16.665026000000001</v>
      </c>
      <c r="K495" s="200">
        <v>350.72601600000002</v>
      </c>
      <c r="L495" s="190">
        <v>2.3188655796124782</v>
      </c>
      <c r="M495" s="195">
        <v>-0.86977395139983971</v>
      </c>
      <c r="N495" s="192">
        <v>50.737022036654388</v>
      </c>
      <c r="O495" s="207" t="s">
        <v>264</v>
      </c>
      <c r="P495" s="207" t="s">
        <v>264</v>
      </c>
      <c r="Q495" s="207" t="s">
        <v>264</v>
      </c>
      <c r="R495" s="207" t="s">
        <v>264</v>
      </c>
      <c r="S495" s="207" t="s">
        <v>264</v>
      </c>
    </row>
    <row r="496" spans="1:19" ht="20" customHeight="1" x14ac:dyDescent="0.15">
      <c r="A496" s="50">
        <v>491</v>
      </c>
      <c r="B496" s="51" t="s">
        <v>1557</v>
      </c>
      <c r="C496" s="52" t="s">
        <v>1558</v>
      </c>
      <c r="D496" s="53" t="s">
        <v>1347</v>
      </c>
      <c r="E496" s="183">
        <v>167</v>
      </c>
      <c r="F496" s="195">
        <v>-6.2798140000000002E-2</v>
      </c>
      <c r="G496" s="185">
        <v>10.191964159999999</v>
      </c>
      <c r="H496" s="184">
        <v>9.6000000000000002E-2</v>
      </c>
      <c r="I496" s="186">
        <v>0.44233</v>
      </c>
      <c r="J496" s="187">
        <v>6.9728599999999998</v>
      </c>
      <c r="K496" s="194">
        <v>650.62150399999996</v>
      </c>
      <c r="L496" s="185">
        <v>8.1365593287482003</v>
      </c>
      <c r="M496" s="195">
        <v>-0.20166915807245139</v>
      </c>
      <c r="N496" s="187">
        <v>13.80437643973108</v>
      </c>
      <c r="O496" s="206" t="s">
        <v>264</v>
      </c>
      <c r="P496" s="206" t="s">
        <v>264</v>
      </c>
      <c r="Q496" s="206" t="s">
        <v>264</v>
      </c>
      <c r="R496" s="206" t="s">
        <v>264</v>
      </c>
      <c r="S496" s="206" t="s">
        <v>264</v>
      </c>
    </row>
    <row r="497" spans="1:19" ht="20" customHeight="1" x14ac:dyDescent="0.15">
      <c r="A497" s="54">
        <v>492</v>
      </c>
      <c r="B497" s="55" t="s">
        <v>1559</v>
      </c>
      <c r="C497" s="56" t="s">
        <v>1560</v>
      </c>
      <c r="D497" s="57" t="s">
        <v>1322</v>
      </c>
      <c r="E497" s="189">
        <v>431.52</v>
      </c>
      <c r="F497" s="184">
        <v>8.5829450000000005</v>
      </c>
      <c r="G497" s="190">
        <v>147.536379904</v>
      </c>
      <c r="H497" s="184">
        <v>0.45500000000000002</v>
      </c>
      <c r="I497" s="191">
        <v>0.45266000000000001</v>
      </c>
      <c r="J497" s="192">
        <v>25.83952</v>
      </c>
      <c r="K497" s="200">
        <v>2002.7499519999999</v>
      </c>
      <c r="L497" s="190">
        <v>31.23942610213771</v>
      </c>
      <c r="M497" s="195">
        <v>-0.78825950506265097</v>
      </c>
      <c r="N497" s="192">
        <v>73.050379532072512</v>
      </c>
      <c r="O497" s="207" t="s">
        <v>264</v>
      </c>
      <c r="P497" s="207" t="s">
        <v>264</v>
      </c>
      <c r="Q497" s="207" t="s">
        <v>264</v>
      </c>
      <c r="R497" s="207" t="s">
        <v>264</v>
      </c>
      <c r="S497" s="207" t="s">
        <v>264</v>
      </c>
    </row>
    <row r="498" spans="1:19" ht="20" customHeight="1" x14ac:dyDescent="0.15">
      <c r="A498" s="50">
        <v>493</v>
      </c>
      <c r="B498" s="51" t="s">
        <v>1561</v>
      </c>
      <c r="C498" s="52" t="s">
        <v>1562</v>
      </c>
      <c r="D498" s="53" t="s">
        <v>1350</v>
      </c>
      <c r="E498" s="183">
        <v>23.99</v>
      </c>
      <c r="F498" s="195">
        <v>-7.1235000000000007E-2</v>
      </c>
      <c r="G498" s="185">
        <v>17.297811456000002</v>
      </c>
      <c r="H498" s="195">
        <v>-0.02</v>
      </c>
      <c r="I498" s="186">
        <v>0.14674999999999999</v>
      </c>
      <c r="J498" s="187">
        <v>42.839286999999999</v>
      </c>
      <c r="K498" s="194">
        <v>-9.125</v>
      </c>
      <c r="L498" s="188" t="s">
        <v>264</v>
      </c>
      <c r="M498" s="188" t="s">
        <v>264</v>
      </c>
      <c r="N498" s="187">
        <v>-1895.6506509490409</v>
      </c>
      <c r="O498" s="206" t="s">
        <v>264</v>
      </c>
      <c r="P498" s="206" t="s">
        <v>264</v>
      </c>
      <c r="Q498" s="206" t="s">
        <v>264</v>
      </c>
      <c r="R498" s="206" t="s">
        <v>264</v>
      </c>
      <c r="S498" s="206" t="s">
        <v>264</v>
      </c>
    </row>
    <row r="499" spans="1:19" ht="20" customHeight="1" x14ac:dyDescent="0.15">
      <c r="A499" s="54">
        <v>494</v>
      </c>
      <c r="B499" s="55" t="s">
        <v>1563</v>
      </c>
      <c r="C499" s="56" t="s">
        <v>1564</v>
      </c>
      <c r="D499" s="57" t="s">
        <v>1347</v>
      </c>
      <c r="E499" s="189">
        <v>82.9</v>
      </c>
      <c r="F499" s="195">
        <v>-8.37754E-2</v>
      </c>
      <c r="G499" s="190">
        <v>16.046877695999999</v>
      </c>
      <c r="H499" s="184">
        <v>9.2999999999999999E-2</v>
      </c>
      <c r="I499" s="191">
        <v>0.70118000000000003</v>
      </c>
      <c r="J499" s="192">
        <v>21.476685</v>
      </c>
      <c r="K499" s="200">
        <v>985.63750400000004</v>
      </c>
      <c r="L499" s="190">
        <v>12.30823396516799</v>
      </c>
      <c r="M499" s="195">
        <v>-0.23298262762755001</v>
      </c>
      <c r="N499" s="192">
        <v>16.280708508632401</v>
      </c>
      <c r="O499" s="207" t="s">
        <v>264</v>
      </c>
      <c r="P499" s="207" t="s">
        <v>264</v>
      </c>
      <c r="Q499" s="207" t="s">
        <v>264</v>
      </c>
      <c r="R499" s="207" t="s">
        <v>264</v>
      </c>
      <c r="S499" s="207" t="s">
        <v>264</v>
      </c>
    </row>
    <row r="500" spans="1:19" ht="20" customHeight="1" x14ac:dyDescent="0.15"/>
    <row r="501" spans="1:19" ht="20" customHeight="1" x14ac:dyDescent="0.15"/>
    <row r="502" spans="1:19" ht="20" customHeight="1" x14ac:dyDescent="0.15"/>
    <row r="503" spans="1:19" ht="20" customHeight="1" x14ac:dyDescent="0.15"/>
    <row r="504" spans="1:19" ht="20" customHeight="1" x14ac:dyDescent="0.15"/>
    <row r="505" spans="1:19" ht="20" customHeight="1" x14ac:dyDescent="0.15"/>
    <row r="506" spans="1:19" ht="20" customHeight="1" x14ac:dyDescent="0.15"/>
    <row r="507" spans="1:19" ht="20" customHeight="1" x14ac:dyDescent="0.15"/>
    <row r="508" spans="1:19" ht="20" customHeight="1" x14ac:dyDescent="0.15"/>
    <row r="509" spans="1:19" ht="20" customHeight="1" x14ac:dyDescent="0.15"/>
    <row r="510" spans="1:19" ht="20" customHeight="1" x14ac:dyDescent="0.15"/>
    <row r="511" spans="1:19" ht="20" customHeight="1" x14ac:dyDescent="0.15"/>
    <row r="512" spans="1:19" ht="20" customHeight="1" x14ac:dyDescent="0.15"/>
    <row r="513" ht="20" customHeight="1" x14ac:dyDescent="0.15"/>
    <row r="514" ht="20" customHeight="1" x14ac:dyDescent="0.15"/>
    <row r="515" ht="20" customHeight="1" x14ac:dyDescent="0.15"/>
    <row r="516" ht="20" customHeight="1" x14ac:dyDescent="0.15"/>
    <row r="517" ht="20" customHeight="1" x14ac:dyDescent="0.15"/>
  </sheetData>
  <autoFilter ref="A5:S499" xr:uid="{00000000-0009-0000-0000-000007000000}"/>
  <mergeCells count="6">
    <mergeCell ref="A1:S1"/>
    <mergeCell ref="A3:S3"/>
    <mergeCell ref="J4:L4"/>
    <mergeCell ref="M4:N4"/>
    <mergeCell ref="A2:S2"/>
    <mergeCell ref="O4:S4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outlinePr summaryBelow="0" summaryRight="0"/>
  </sheetPr>
  <dimension ref="A1:S919"/>
  <sheetViews>
    <sheetView showGridLines="0" workbookViewId="0">
      <pane xSplit="14" ySplit="2" topLeftCell="O3" activePane="bottomRight" state="frozen"/>
      <selection pane="topRight" activeCell="O1" sqref="O1"/>
      <selection pane="bottomLeft" activeCell="A3" sqref="A3"/>
      <selection pane="bottomRight" activeCell="O3" sqref="O3"/>
    </sheetView>
  </sheetViews>
  <sheetFormatPr baseColWidth="10" defaultColWidth="12.6640625" defaultRowHeight="15.75" customHeight="1" x14ac:dyDescent="0.15"/>
  <cols>
    <col min="1" max="1" width="4.6640625" customWidth="1"/>
    <col min="2" max="2" width="13.6640625" customWidth="1"/>
    <col min="3" max="3" width="28.33203125" customWidth="1"/>
    <col min="4" max="4" width="8.6640625" customWidth="1"/>
    <col min="5" max="5" width="10.1640625" customWidth="1"/>
    <col min="6" max="6" width="15.6640625" customWidth="1"/>
    <col min="7" max="7" width="12" customWidth="1"/>
    <col min="8" max="9" width="8.83203125" customWidth="1"/>
    <col min="10" max="10" width="12.5" customWidth="1"/>
    <col min="11" max="11" width="12.6640625" customWidth="1"/>
    <col min="12" max="12" width="8.83203125" customWidth="1"/>
    <col min="13" max="14" width="7" customWidth="1"/>
  </cols>
  <sheetData>
    <row r="1" spans="1:19" ht="15" customHeight="1" x14ac:dyDescent="0.2">
      <c r="A1" s="1" t="s">
        <v>1565</v>
      </c>
      <c r="B1" s="1" t="s">
        <v>340</v>
      </c>
      <c r="C1" s="1"/>
      <c r="D1" s="1" t="s">
        <v>3</v>
      </c>
      <c r="E1" s="1" t="s">
        <v>1566</v>
      </c>
      <c r="F1" s="1" t="s">
        <v>1567</v>
      </c>
      <c r="G1" s="2" t="s">
        <v>1568</v>
      </c>
      <c r="H1" s="2" t="s">
        <v>1569</v>
      </c>
      <c r="I1" s="2" t="s">
        <v>1570</v>
      </c>
      <c r="J1" s="2" t="s">
        <v>1571</v>
      </c>
      <c r="K1" s="2" t="s">
        <v>1572</v>
      </c>
      <c r="L1" s="1" t="s">
        <v>432</v>
      </c>
      <c r="M1" s="1" t="s">
        <v>1573</v>
      </c>
      <c r="N1" s="3" t="s">
        <v>1574</v>
      </c>
      <c r="O1" s="4" t="s">
        <v>1575</v>
      </c>
      <c r="P1" s="4" t="s">
        <v>1576</v>
      </c>
      <c r="Q1" s="4"/>
      <c r="R1" s="4"/>
      <c r="S1" s="4"/>
    </row>
    <row r="2" spans="1:19" ht="20.25" customHeight="1" x14ac:dyDescent="0.2">
      <c r="A2" s="5"/>
      <c r="B2" s="5"/>
      <c r="C2" s="5"/>
      <c r="D2" s="5"/>
      <c r="E2" s="5" t="s">
        <v>1577</v>
      </c>
      <c r="F2" s="5" t="s">
        <v>1578</v>
      </c>
      <c r="G2" s="2" t="s">
        <v>1579</v>
      </c>
      <c r="H2" s="2" t="s">
        <v>1580</v>
      </c>
      <c r="I2" s="2"/>
      <c r="J2" s="2" t="s">
        <v>1578</v>
      </c>
      <c r="K2" s="2" t="s">
        <v>1578</v>
      </c>
      <c r="L2" s="5"/>
      <c r="M2" s="5"/>
      <c r="N2" s="3"/>
      <c r="O2" s="4">
        <v>77</v>
      </c>
      <c r="P2" s="4">
        <v>0.13</v>
      </c>
      <c r="Q2" s="4"/>
      <c r="R2" s="4"/>
      <c r="S2" s="4"/>
    </row>
    <row r="3" spans="1:19" ht="20.25" customHeight="1" x14ac:dyDescent="0.2">
      <c r="A3" s="6">
        <f>A2+1</f>
        <v>1</v>
      </c>
      <c r="B3" s="7" t="str">
        <f t="shared" ref="B3:B9" si="0">HYPERLINK("https://finance.yahoo.com/quote/"&amp;D3, C3)</f>
        <v>Severstal' PAO</v>
      </c>
      <c r="C3" s="6" t="s">
        <v>1581</v>
      </c>
      <c r="D3" s="6" t="s">
        <v>1582</v>
      </c>
      <c r="E3" s="8" t="str">
        <f ca="1">IFERROR(__xludf.DUMMYFUNCTION("iferror(googlefinance(D3,""price""),"""")"),"")</f>
        <v/>
      </c>
      <c r="F3" s="9" t="str">
        <f ca="1">IFERROR(__xludf.DUMMYFUNCTION("IFERROR(GOOGLEFINANCE(D3,""price"") / index(GOOGLEFINANCE(D3,""price"", datevalue(today()-365) ) , 2,2) - 1,"""")"),"")</f>
        <v/>
      </c>
      <c r="G3" s="10">
        <f ca="1">IFERROR(__xludf.DUMMYFUNCTION("iferror(googlefinance(D3,""marketcap""),"""")/10^6"),0)</f>
        <v>0</v>
      </c>
      <c r="H3" s="11">
        <f ca="1">IFERROR(__xludf.DUMMYFUNCTION("IMPORTRANGE(""https://docs.google.com/spreadsheets/d/1dlfFsw9YFF_dEa-0WVRTnvUf7PBFwRrC6Y6BImZdJ_g/edit#gid=412432278"",""Summary!C30"")"),985803.888993602)</f>
        <v>985803.88899360201</v>
      </c>
      <c r="I3" s="9" t="e">
        <f ca="1">(H3-G3)/G3</f>
        <v>#DIV/0!</v>
      </c>
      <c r="J3" s="9">
        <f ca="1">IFERROR(__xludf.DUMMYFUNCTION("IMPORTRANGE(""https://docs.google.com/spreadsheets/d/1dlfFsw9YFF_dEa-0WVRTnvUf7PBFwRrC6Y6BImZdJ_g/edit#gid=412432278"",""Summary!H2"")"),-0.157778595071717)</f>
        <v>-0.15777859507171699</v>
      </c>
      <c r="K3" s="9">
        <f ca="1">IFERROR(__xludf.DUMMYFUNCTION("IMPORTRANGE(""https://docs.google.com/spreadsheets/d/1dlfFsw9YFF_dEa-0WVRTnvUf7PBFwRrC6Y6BImZdJ_g/edit#gid=412432278"",""Summary!B16"")"),0.280931586608442)</f>
        <v>0.28093158660844197</v>
      </c>
      <c r="L3" s="12" t="str">
        <f ca="1">IFERROR(__xludf.DUMMYFUNCTION("IFERROR(googlefinance(D3,""pe""),"""")"),"")</f>
        <v/>
      </c>
      <c r="M3" s="12" t="str">
        <f ca="1">IFERROR(__xludf.DUMMYFUNCTION("IFERROR(googlefinance(D3,""beta""),"""")"),"")</f>
        <v/>
      </c>
      <c r="N3" s="13"/>
      <c r="O3" s="4"/>
      <c r="P3" s="4"/>
      <c r="Q3" s="4"/>
      <c r="R3" s="4"/>
      <c r="S3" s="4"/>
    </row>
    <row r="4" spans="1:19" ht="20.25" customHeight="1" x14ac:dyDescent="0.2">
      <c r="A4" s="6">
        <f>A3+1</f>
        <v>2</v>
      </c>
      <c r="B4" s="7" t="str">
        <f t="shared" si="0"/>
        <v>Sberbank Rossii PAO</v>
      </c>
      <c r="C4" s="6" t="s">
        <v>1583</v>
      </c>
      <c r="D4" s="6" t="s">
        <v>1584</v>
      </c>
      <c r="E4" s="8" t="str">
        <f ca="1">IFERROR(__xludf.DUMMYFUNCTION("iferror(googlefinance(D4,""price""),"""")"),"")</f>
        <v/>
      </c>
      <c r="F4" s="9" t="str">
        <f ca="1">IFERROR(__xludf.DUMMYFUNCTION("IFERROR(GOOGLEFINANCE(D4,""price"") / index(GOOGLEFINANCE(D4,""price"", datevalue(today()-365) ) , 2,2) - 1,"""")"),"")</f>
        <v/>
      </c>
      <c r="G4" s="10">
        <f ca="1">IFERROR(__xludf.DUMMYFUNCTION("iferror(googlefinance(D4,""marketcap""),"""")/10^6"),0)</f>
        <v>0</v>
      </c>
      <c r="H4" s="11">
        <f ca="1">IFERROR(__xludf.DUMMYFUNCTION("IMPORTRANGE(""https://docs.google.com/spreadsheets/d/1qkyVDQA4KrhGN7P_pvU-cCYRhkeObohXrHMSpHSzFaY/edit#gid=1866964818"",""Summary!C34"")"),9333100.82858735)</f>
        <v>9333100.8285873495</v>
      </c>
      <c r="I4" s="9" t="e">
        <f ca="1">(H4-G4)/G4</f>
        <v>#DIV/0!</v>
      </c>
      <c r="J4" s="9">
        <f ca="1">IFERROR(__xludf.DUMMYFUNCTION("IMPORTRANGE(""https://docs.google.com/spreadsheets/d/1qkyVDQA4KrhGN7P_pvU-cCYRhkeObohXrHMSpHSzFaY/edit#gid=1866964818"",""Summary!I2"")"),0.0894187779433681)</f>
        <v>8.9418777943368097E-2</v>
      </c>
      <c r="K4" s="9">
        <f ca="1">IFERROR(__xludf.DUMMYFUNCTION("IMPORTRANGE(""https://docs.google.com/spreadsheets/d/1qkyVDQA4KrhGN7P_pvU-cCYRhkeObohXrHMSpHSzFaY/edit#gid=1866964818"",""Summary!H20"")"),0.347013223894208)</f>
        <v>0.34701322389420802</v>
      </c>
      <c r="L4" s="12" t="str">
        <f ca="1">IFERROR(__xludf.DUMMYFUNCTION("IFERROR(googlefinance(D4,""pe""),"""")"),"")</f>
        <v/>
      </c>
      <c r="M4" s="12" t="str">
        <f ca="1">IFERROR(__xludf.DUMMYFUNCTION("IFERROR(googlefinance(D4,""beta""),"""")"),"")</f>
        <v/>
      </c>
      <c r="N4" s="13"/>
      <c r="O4" s="4"/>
      <c r="P4" s="4"/>
      <c r="Q4" s="4"/>
      <c r="R4" s="4"/>
      <c r="S4" s="4"/>
    </row>
    <row r="5" spans="1:19" ht="20.25" customHeight="1" x14ac:dyDescent="0.2">
      <c r="A5" s="14">
        <f>A4+1</f>
        <v>3</v>
      </c>
      <c r="B5" s="7" t="str">
        <f t="shared" si="0"/>
        <v>DouYu International Holdings Ltd</v>
      </c>
      <c r="C5" s="6" t="s">
        <v>1585</v>
      </c>
      <c r="D5" s="6" t="s">
        <v>1586</v>
      </c>
      <c r="E5" s="8">
        <f ca="1">IFERROR(__xludf.DUMMYFUNCTION("iferror(googlefinance(D5,""price""),"""")"),5.28)</f>
        <v>5.28</v>
      </c>
      <c r="F5" s="9">
        <f ca="1">IFERROR(__xludf.DUMMYFUNCTION("IFERROR(GOOGLEFINANCE(D5,""price"") / index(GOOGLEFINANCE(D5,""price"", datevalue(today()-365) ) , 2,2) - 1,"""")"),-0.218934911242603)</f>
        <v>-0.218934911242603</v>
      </c>
      <c r="G5" s="10">
        <f ca="1">IFERROR(__xludf.DUMMYFUNCTION("iferror(googlefinance(D5,""marketcap""),"""")/10^6"),163.952824)</f>
        <v>163.95282399999999</v>
      </c>
      <c r="H5" s="11">
        <f ca="1">IFERROR(__xludf.DUMMYFUNCTION("IMPORTRANGE(""https://docs.google.com/spreadsheets/d/1LupNll8EBZR0CxUoQzkZLRitp2lxm5UXiwXAxqniEg4/edit#gid=1537202402"",""DOYU!E29"")"),58.701638056861)</f>
        <v>58.701638056861</v>
      </c>
      <c r="I5" s="9">
        <f ca="1">(H5-G5)/G5</f>
        <v>-0.64196018937215138</v>
      </c>
      <c r="J5" s="9">
        <f ca="1">IFERROR(__xludf.DUMMYFUNCTION("IMPORTRANGE(""https://docs.google.com/spreadsheets/d/1LupNll8EBZR0CxUoQzkZLRitp2lxm5UXiwXAxqniEg4/edit#gid=1537202402"",""DOYU!I6"")"),5530)</f>
        <v>5530</v>
      </c>
      <c r="K5" s="9">
        <f ca="1">IFERROR(__xludf.DUMMYFUNCTION("IMPORTRANGE(""https://docs.google.com/spreadsheets/d/1LupNll8EBZR0CxUoQzkZLRitp2lxm5UXiwXAxqniEg4/edit#gid=1537202402"",""DOYU!F23"")"),0.16248307467972)</f>
        <v>0.16248307467972001</v>
      </c>
      <c r="L5" s="12" t="str">
        <f ca="1">IFERROR(__xludf.DUMMYFUNCTION("IFERROR(googlefinance(D5,""pe""),"""")"),"")</f>
        <v/>
      </c>
      <c r="M5" s="12" t="str">
        <f ca="1">IFERROR(__xludf.DUMMYFUNCTION("IFERROR(googlefinance(D5,""beta""),"""")"),"")</f>
        <v/>
      </c>
      <c r="N5" s="13"/>
      <c r="O5" s="4"/>
      <c r="P5" s="4"/>
      <c r="Q5" s="4"/>
      <c r="R5" s="4"/>
      <c r="S5" s="4"/>
    </row>
    <row r="6" spans="1:19" ht="20.25" customHeight="1" x14ac:dyDescent="0.2">
      <c r="A6" s="6">
        <f>A5+1</f>
        <v>4</v>
      </c>
      <c r="B6" s="7" t="str">
        <f t="shared" si="0"/>
        <v>TCS Group Holding PLC</v>
      </c>
      <c r="C6" s="15" t="s">
        <v>1587</v>
      </c>
      <c r="D6" s="6" t="s">
        <v>1588</v>
      </c>
      <c r="E6" s="8" t="str">
        <f ca="1">IFERROR(__xludf.DUMMYFUNCTION("iferror(googlefinance(D6,""price""),"""")"),"")</f>
        <v/>
      </c>
      <c r="F6" s="9" t="str">
        <f ca="1">IFERROR(__xludf.DUMMYFUNCTION("IFERROR(GOOGLEFINANCE(D6,""price"") / index(GOOGLEFINANCE(D6,""price"", datevalue(today()-365) ) , 2,2) - 1,"""")"),"")</f>
        <v/>
      </c>
      <c r="G6" s="10">
        <f ca="1">IFERROR(__xludf.DUMMYFUNCTION("iferror(googlefinance(D6,""marketcap""),"""")/10^6"),0)</f>
        <v>0</v>
      </c>
      <c r="H6" s="11" t="str">
        <f ca="1">IFERROR(__xludf.DUMMYFUNCTION("importrange(""https://docs.google.com/spreadsheets/d/1dcdnXtSf0zvBGYPG5ZVxziOJBBQiAwWkEZT-UAXL40I/edit#gid=1344089490"",""Summary!C36"")/#REF!*1000"),"#REF!")</f>
        <v>#REF!</v>
      </c>
      <c r="I6" s="9">
        <v>0</v>
      </c>
      <c r="J6" s="9">
        <f ca="1">IFERROR(__xludf.DUMMYFUNCTION("importrange(""https://docs.google.com/spreadsheets/d/1dcdnXtSf0zvBGYPG5ZVxziOJBBQiAwWkEZT-UAXL40I/edit#gid=1344089490"",""Summary!J2"")"),0.78)</f>
        <v>0.78</v>
      </c>
      <c r="K6" s="9">
        <f ca="1">IFERROR(__xludf.DUMMYFUNCTION("importrange(""https://docs.google.com/spreadsheets/d/1dcdnXtSf0zvBGYPG5ZVxziOJBBQiAwWkEZT-UAXL40I/edit#gid=1344089490"",""Summary!I22"")"),0.351235955056179)</f>
        <v>0.35123595505617899</v>
      </c>
      <c r="L6" s="12" t="str">
        <f ca="1">IFERROR(__xludf.DUMMYFUNCTION("IFERROR(googlefinance(D6,""pe""),"""")"),"")</f>
        <v/>
      </c>
      <c r="M6" s="12" t="str">
        <f ca="1">IFERROR(__xludf.DUMMYFUNCTION("IFERROR(googlefinance(D6,""beta""),"""")"),"")</f>
        <v/>
      </c>
      <c r="N6" s="13"/>
      <c r="O6" s="4"/>
      <c r="P6" s="4"/>
      <c r="Q6" s="4"/>
      <c r="R6" s="4"/>
      <c r="S6" s="4"/>
    </row>
    <row r="7" spans="1:19" ht="20.25" customHeight="1" x14ac:dyDescent="0.2">
      <c r="A7" s="6">
        <f>A6+1</f>
        <v>5</v>
      </c>
      <c r="B7" s="7" t="str">
        <f t="shared" si="0"/>
        <v>Boeing Co</v>
      </c>
      <c r="C7" s="15" t="s">
        <v>1589</v>
      </c>
      <c r="D7" s="6" t="s">
        <v>1265</v>
      </c>
      <c r="E7" s="8">
        <f ca="1">IFERROR(__xludf.DUMMYFUNCTION("iferror(googlefinance(D7,""price""),"""")"),227.53)</f>
        <v>227.53</v>
      </c>
      <c r="F7" s="9">
        <f ca="1">IFERROR(__xludf.DUMMYFUNCTION("IFERROR(GOOGLEFINANCE(D7,""price"") / index(GOOGLEFINANCE(D7,""price"", datevalue(today()-365) ) , 2,2) - 1,"""")"),0.337939550746795)</f>
        <v>0.33793955074679499</v>
      </c>
      <c r="G7" s="10">
        <f ca="1">IFERROR(__xludf.DUMMYFUNCTION("iferror(googlefinance(D7,""marketcap""),"""")/10^6"),178690.024704)</f>
        <v>178690.02470400001</v>
      </c>
      <c r="H7" s="11">
        <f ca="1">IFERROR(__xludf.DUMMYFUNCTION("importrange(""https://docs.google.com/spreadsheets/d/1NdaSGlewe3S15DWFefRKHC-Z0tqbjFNPLDNlxW-5Kck/edit#gid=314785295"",""Financials!B41"")*1000"),63766.7712618821)</f>
        <v>63766.771261882102</v>
      </c>
      <c r="I7" s="9">
        <f t="shared" ref="I7:I18" ca="1" si="1">(H7-G7)/G7</f>
        <v>-0.64314308329459502</v>
      </c>
      <c r="J7" s="9">
        <f ca="1">IFERROR(__xludf.DUMMYFUNCTION("importrange(""https://docs.google.com/spreadsheets/d/1NdaSGlewe3S15DWFefRKHC-Z0tqbjFNPLDNlxW-5Kck/edit#gid=314785295"",""Financials!F2"")"),-0.368018065699869)</f>
        <v>-0.368018065699869</v>
      </c>
      <c r="K7" s="9">
        <f ca="1">IFERROR(__xludf.DUMMYFUNCTION("importrange(""https://docs.google.com/spreadsheets/d/1NdaSGlewe3S15DWFefRKHC-Z0tqbjFNPLDNlxW-5Kck/edit#gid=314785295"",""Financials!D19"")"),-0.0563899279772207)</f>
        <v>-5.63899279772207E-2</v>
      </c>
      <c r="L7" s="12" t="str">
        <f ca="1">IFERROR(__xludf.DUMMYFUNCTION("IFERROR(googlefinance(D7,""pe""),"""")"),"")</f>
        <v/>
      </c>
      <c r="M7" s="12" t="str">
        <f ca="1">IFERROR(__xludf.DUMMYFUNCTION("IFERROR(googlefinance(D7,""beta""),"""")"),"")</f>
        <v/>
      </c>
      <c r="N7" s="13"/>
      <c r="O7" s="4"/>
      <c r="P7" s="4"/>
      <c r="Q7" s="4"/>
      <c r="R7" s="4"/>
      <c r="S7" s="4"/>
    </row>
    <row r="8" spans="1:19" ht="20.25" customHeight="1" x14ac:dyDescent="0.2">
      <c r="A8" s="6">
        <v>1</v>
      </c>
      <c r="B8" s="7" t="str">
        <f t="shared" si="0"/>
        <v>GameStop Corp.</v>
      </c>
      <c r="C8" s="6" t="s">
        <v>1590</v>
      </c>
      <c r="D8" s="16" t="s">
        <v>1591</v>
      </c>
      <c r="E8" s="8">
        <f ca="1">IFERROR(__xludf.DUMMYFUNCTION("iferror(googlefinance(D8,""price""),"""")"),24.03)</f>
        <v>24.03</v>
      </c>
      <c r="F8" s="9">
        <f ca="1">IFERROR(__xludf.DUMMYFUNCTION("IFERROR(GOOGLEFINANCE(D8,""price"") / index(GOOGLEFINANCE(D8,""price"", datevalue(today()-365) ) , 2,2) - 1,"""")"),-0.0151639344262294)</f>
        <v>-1.5163934426229399E-2</v>
      </c>
      <c r="G8" s="10">
        <f ca="1">IFERROR(__xludf.DUMMYFUNCTION("iferror(googlefinance(D8,""marketcap""),"""")/10^6"),10765.668592)</f>
        <v>10765.668592</v>
      </c>
      <c r="H8" s="11">
        <f ca="1">IFERROR(__xludf.DUMMYFUNCTION("IMPORTRANGE(""https://docs.google.com/spreadsheets/d/1L4yfv89QVUE9L_HHdbGE4xVtgtA9FIdzCOWtDZY6v_8/edit#gid=469363836"",""Summary!B34"")"),4338.4200830816)</f>
        <v>4338.4200830815998</v>
      </c>
      <c r="I8" s="9">
        <f t="shared" ca="1" si="1"/>
        <v>-0.59701340924561874</v>
      </c>
      <c r="J8" s="9">
        <f ca="1">IFERROR(__xludf.DUMMYFUNCTION("IMPORTRANGE(""https://docs.google.com/spreadsheets/d/1L4yfv89QVUE9L_HHdbGE4xVtgtA9FIdzCOWtDZY6v_8/edit#gid=469363836"",""Summary!I3"")"),-0.247560964024813)</f>
        <v>-0.24756096402481301</v>
      </c>
      <c r="K8" s="9">
        <f ca="1">IFERROR(__xludf.DUMMYFUNCTION("IMPORTRANGE(""https://docs.google.com/spreadsheets/d/1L4yfv89QVUE9L_HHdbGE4xVtgtA9FIdzCOWtDZY6v_8/edit#gid=469363836"",""Summary!H11"")"),0.377315136288459)</f>
        <v>0.37731513628845897</v>
      </c>
      <c r="L8" s="12" t="str">
        <f ca="1">IFERROR(__xludf.DUMMYFUNCTION("IFERROR(googlefinance(D8,""pe""),"""")"),"")</f>
        <v/>
      </c>
      <c r="M8" s="12" t="str">
        <f ca="1">IFERROR(__xludf.DUMMYFUNCTION("IFERROR(googlefinance(D8,""beta""),"""")"),"")</f>
        <v/>
      </c>
      <c r="N8" s="13"/>
      <c r="O8" s="4"/>
      <c r="P8" s="4"/>
      <c r="Q8" s="4"/>
      <c r="R8" s="4"/>
      <c r="S8" s="4"/>
    </row>
    <row r="9" spans="1:19" ht="20.25" customHeight="1" x14ac:dyDescent="0.2">
      <c r="A9" s="14">
        <f t="shared" ref="A9:A40" si="2">A8+1</f>
        <v>2</v>
      </c>
      <c r="B9" s="7" t="str">
        <f t="shared" si="0"/>
        <v>Baidu Inc</v>
      </c>
      <c r="C9" s="15" t="s">
        <v>1592</v>
      </c>
      <c r="D9" s="6" t="s">
        <v>1593</v>
      </c>
      <c r="E9" s="8">
        <f ca="1">IFERROR(__xludf.DUMMYFUNCTION("iferror(googlefinance(D9,""price""),"""")"),124.44)</f>
        <v>124.44</v>
      </c>
      <c r="F9" s="9">
        <f ca="1">IFERROR(__xludf.DUMMYFUNCTION("IFERROR(GOOGLEFINANCE(D9,""price"") / index(GOOGLEFINANCE(D9,""price"", datevalue(today()-365) ) , 2,2) - 1,"""")"),0.475806451612903)</f>
        <v>0.47580645161290303</v>
      </c>
      <c r="G9" s="10">
        <f ca="1">IFERROR(__xludf.DUMMYFUNCTION("iferror(googlefinance(D9,""marketcap""),"""")/10^6"),42778.851635)</f>
        <v>42778.851634999999</v>
      </c>
      <c r="H9" s="11">
        <f ca="1">IFERROR(__xludf.DUMMYFUNCTION("IMPORTRANGE(""https://docs.google.com/spreadsheets/d/1IVS0z4Rl2pa89mr25nlgvj339ilU2tVdVu3j7nFXQIc/edit#gid=300601680"",""Summary!B87"")*1000"),68732.0998158358)</f>
        <v>68732.099815835798</v>
      </c>
      <c r="I9" s="9">
        <f t="shared" ca="1" si="1"/>
        <v>0.60668407843846506</v>
      </c>
      <c r="J9" s="9">
        <f ca="1">IFERROR(__xludf.DUMMYFUNCTION("IMPORTRANGE(""https://docs.google.com/spreadsheets/d/1IVS0z4Rl2pa89mr25nlgvj339ilU2tVdVu3j7nFXQIc/edit#gid=300601680"",""Summary!N2"")"),-0.028912676056338)</f>
        <v>-2.8912676056337999E-2</v>
      </c>
      <c r="K9" s="9">
        <f ca="1">IFERROR(__xludf.DUMMYFUNCTION("IMPORTRANGE(""https://docs.google.com/spreadsheets/d/1IVS0z4Rl2pa89mr25nlgvj339ilU2tVdVu3j7nFXQIc/edit#gid=300601680"",""Summary!G38"")"),0.239090343630986)</f>
        <v>0.239090343630986</v>
      </c>
      <c r="L9" s="12" t="str">
        <f ca="1">IFERROR(__xludf.DUMMYFUNCTION("IFERROR(googlefinance(D9,""pe""),"""")"),"")</f>
        <v/>
      </c>
      <c r="M9" s="12" t="str">
        <f ca="1">IFERROR(__xludf.DUMMYFUNCTION("IFERROR(googlefinance(D9,""beta""),"""")"),"")</f>
        <v/>
      </c>
      <c r="N9" s="13"/>
      <c r="O9" s="4"/>
      <c r="P9" s="4"/>
      <c r="Q9" s="4"/>
      <c r="R9" s="4"/>
      <c r="S9" s="4"/>
    </row>
    <row r="10" spans="1:19" ht="20.25" customHeight="1" x14ac:dyDescent="0.2">
      <c r="A10" s="6">
        <f t="shared" si="2"/>
        <v>3</v>
      </c>
      <c r="B10" s="7" t="e">
        <f>HYPERLINK("https://finance.yahoo.com/quote/"&amp;#REF!, C10)</f>
        <v>#REF!</v>
      </c>
      <c r="C10" s="15" t="s">
        <v>1594</v>
      </c>
      <c r="D10" s="9"/>
      <c r="E10" s="8" t="str">
        <f ca="1">IFERROR(__xludf.DUMMYFUNCTION("iferror(googlefinance(#REF!,""price""),"""")"),"")</f>
        <v/>
      </c>
      <c r="F10" s="9" t="str">
        <f ca="1">IFERROR(__xludf.DUMMYFUNCTION("IFERROR(GOOGLEFINANCE(#REF!,""price"") / index(GOOGLEFINANCE(#REF!,""price"", datevalue(today()-365) ) , 2,2) - 1,"""")"),"")</f>
        <v/>
      </c>
      <c r="G10" s="10">
        <f ca="1">IFERROR(__xludf.DUMMYFUNCTION("iferror(googlefinance(#REF!,""marketcap""),"""")/10^6"),0)</f>
        <v>0</v>
      </c>
      <c r="H10" s="11">
        <f ca="1">IFERROR(__xludf.DUMMYFUNCTION("importrange(""https://docs.google.com/spreadsheets/d/134U-14NIeFgI3O-C1JHtY0ItSiJlwkxRAneHpKC9G-c/edit#gid=893603675"",""Financials!B49"")*1000"),31298.0232402297)</f>
        <v>31298.023240229701</v>
      </c>
      <c r="I10" s="9" t="e">
        <f t="shared" ca="1" si="1"/>
        <v>#DIV/0!</v>
      </c>
      <c r="K10" s="9">
        <f ca="1">IFERROR(__xludf.DUMMYFUNCTION("importrange(""https://docs.google.com/spreadsheets/d/134U-14NIeFgI3O-C1JHtY0ItSiJlwkxRAneHpKC9G-c/edit#gid=893603675"",""Financials!H16"")"),0.0984871957621025)</f>
        <v>9.8487195762102506E-2</v>
      </c>
      <c r="L10" s="12" t="str">
        <f ca="1">IFERROR(__xludf.DUMMYFUNCTION("IFERROR(googlefinance(#REF!,""pe""),"""")"),"")</f>
        <v/>
      </c>
      <c r="M10" s="12" t="str">
        <f ca="1">IFERROR(__xludf.DUMMYFUNCTION("IFERROR(googlefinance(#REF!,""beta""),"""")"),"")</f>
        <v/>
      </c>
      <c r="N10" s="13"/>
      <c r="O10" s="4"/>
      <c r="P10" s="4"/>
      <c r="Q10" s="4"/>
      <c r="R10" s="4"/>
      <c r="S10" s="4"/>
    </row>
    <row r="11" spans="1:19" ht="20.25" customHeight="1" x14ac:dyDescent="0.2">
      <c r="A11" s="14">
        <f t="shared" si="2"/>
        <v>4</v>
      </c>
      <c r="B11" s="7" t="str">
        <f t="shared" ref="B11:B42" si="3">HYPERLINK("https://finance.yahoo.com/quote/"&amp;D11, C11)</f>
        <v>American Airlines Group Inc</v>
      </c>
      <c r="C11" s="6" t="s">
        <v>1595</v>
      </c>
      <c r="D11" s="16" t="s">
        <v>1217</v>
      </c>
      <c r="E11" s="8">
        <f ca="1">IFERROR(__xludf.DUMMYFUNCTION("iferror(googlefinance(D11,""price""),"""")"),13.07)</f>
        <v>13.07</v>
      </c>
      <c r="F11" s="9">
        <f ca="1">IFERROR(__xludf.DUMMYFUNCTION("IFERROR(GOOGLEFINANCE(D11,""price"") / index(GOOGLEFINANCE(D11,""price"", datevalue(today()-365) ) , 2,2) - 1,"""")"),-0.0576784426820474)</f>
        <v>-5.7678442682047401E-2</v>
      </c>
      <c r="G11" s="10">
        <f ca="1">IFERROR(__xludf.DUMMYFUNCTION("iferror(googlefinance(D11,""marketcap""),"""")/10^6"),8630.179613)</f>
        <v>8630.1796130000002</v>
      </c>
      <c r="H11" s="11">
        <f ca="1">IFERROR(__xludf.DUMMYFUNCTION("importrange(""https://docs.google.com/spreadsheets/d/1Y-0VcPnHxxHb4ZZr1UWvNQuaZIkoxtvWgysgmaSL9Gs/edit#gid=1635501517"",""Financials!B48"")*1000"),14832.1796340825)</f>
        <v>14832.1796340825</v>
      </c>
      <c r="I11" s="9">
        <f t="shared" ca="1" si="1"/>
        <v>0.7186408973157602</v>
      </c>
      <c r="J11" s="9">
        <f ca="1">IFERROR(__xludf.DUMMYFUNCTION("importrange(""https://docs.google.com/spreadsheets/d/1Y-0VcPnHxxHb4ZZr1UWvNQuaZIkoxtvWgysgmaSL9Gs/edit#gid=1635501517"",""Financials!Q3"")"),0.0116950434413679)</f>
        <v>1.1695043441367899E-2</v>
      </c>
      <c r="K11" s="9">
        <f ca="1">IFERROR(__xludf.DUMMYFUNCTION("importrange(""https://docs.google.com/spreadsheets/d/1Y-0VcPnHxxHb4ZZr1UWvNQuaZIkoxtvWgysgmaSL9Gs/edit#gid=1635501517"",""Financials!M16"")"),0)</f>
        <v>0</v>
      </c>
      <c r="L11" s="12" t="str">
        <f ca="1">IFERROR(__xludf.DUMMYFUNCTION("IFERROR(googlefinance(D11,""pe""),"""")"),"")</f>
        <v/>
      </c>
      <c r="M11" s="12" t="str">
        <f ca="1">IFERROR(__xludf.DUMMYFUNCTION("IFERROR(googlefinance(D11,""beta""),"""")"),"")</f>
        <v/>
      </c>
      <c r="N11" s="13">
        <f ca="1">IFERROR(__xludf.DUMMYFUNCTION("IMPORTRANGE(""https://docs.google.com/spreadsheets/d/1zPx-sYL2WZELC72hI-Xc5oMEa-YaHSyQySKfbmi4y7s/edit#gid=303626986"",""Summary!I13"")"),32.23)</f>
        <v>32.229999999999997</v>
      </c>
      <c r="O11" s="4"/>
      <c r="P11" s="4"/>
      <c r="Q11" s="4"/>
      <c r="R11" s="4"/>
      <c r="S11" s="4"/>
    </row>
    <row r="12" spans="1:19" ht="20.25" customHeight="1" x14ac:dyDescent="0.2">
      <c r="A12" s="14">
        <f t="shared" si="2"/>
        <v>5</v>
      </c>
      <c r="B12" s="7" t="str">
        <f t="shared" si="3"/>
        <v>Synchrony</v>
      </c>
      <c r="C12" s="17" t="s">
        <v>1596</v>
      </c>
      <c r="D12" s="16" t="s">
        <v>481</v>
      </c>
      <c r="E12" s="8">
        <f ca="1">IFERROR(__xludf.DUMMYFUNCTION("iferror(googlefinance(D12,""price""),"""")"),69.11)</f>
        <v>69.11</v>
      </c>
      <c r="F12" s="9">
        <f ca="1">IFERROR(__xludf.DUMMYFUNCTION("IFERROR(GOOGLEFINANCE(D12,""price"") / index(GOOGLEFINANCE(D12,""price"", datevalue(today()-365) ) , 2,2) - 1,"""")"),0.191140985866942)</f>
        <v>0.191140985866942</v>
      </c>
      <c r="G12" s="10">
        <f ca="1">IFERROR(__xludf.DUMMYFUNCTION("iferror(googlefinance(D12,""marketcap""),"""")/10^6"),24022.373594)</f>
        <v>24022.373594000001</v>
      </c>
      <c r="H12" s="11">
        <f ca="1">IFERROR(__xludf.DUMMYFUNCTION("IMPORTRANGE(""https://docs.google.com/spreadsheets/d/1iemsJA0zDOHQP6QC15q0vMx_VbJPUq1by9erqpBNeOY/edit#gid=1736956277"",""SYF!C28"")"),47018.17007173)</f>
        <v>47018.170071729997</v>
      </c>
      <c r="I12" s="9">
        <f t="shared" ca="1" si="1"/>
        <v>0.95726579173148785</v>
      </c>
      <c r="J12" s="9">
        <f ca="1">IFERROR(__xludf.DUMMYFUNCTION("IMPORTRANGE(""https://docs.google.com/spreadsheets/d/1iemsJA0zDOHQP6QC15q0vMx_VbJPUq1by9erqpBNeOY/edit#gid=1736956277"",""SYF!M2"")"),20759)</f>
        <v>20759</v>
      </c>
      <c r="K12" s="9">
        <f ca="1">IFERROR(__xludf.DUMMYFUNCTION("IMPORTRANGE(""https://docs.google.com/spreadsheets/d/1iemsJA0zDOHQP6QC15q0vMx_VbJPUq1by9erqpBNeOY/edit#gid=1736956277"",""SYF!I17"")"),0.111844152610941)</f>
        <v>0.11184415261094099</v>
      </c>
      <c r="L12" s="12" t="str">
        <f ca="1">IFERROR(__xludf.DUMMYFUNCTION("IFERROR(googlefinance(D12,""pe""),"""")"),"")</f>
        <v/>
      </c>
      <c r="M12" s="12" t="str">
        <f ca="1">IFERROR(__xludf.DUMMYFUNCTION("IFERROR(googlefinance(D12,""beta""),"""")"),"")</f>
        <v/>
      </c>
      <c r="N12" s="13"/>
      <c r="O12" s="4"/>
      <c r="P12" s="4"/>
      <c r="Q12" s="4"/>
      <c r="R12" s="4"/>
      <c r="S12" s="4"/>
    </row>
    <row r="13" spans="1:19" ht="20.25" customHeight="1" x14ac:dyDescent="0.2">
      <c r="A13" s="6">
        <f t="shared" si="2"/>
        <v>6</v>
      </c>
      <c r="B13" s="7" t="str">
        <f t="shared" si="3"/>
        <v>JPMorgan Chase &amp; Co.</v>
      </c>
      <c r="C13" s="6" t="s">
        <v>1597</v>
      </c>
      <c r="D13" s="16" t="s">
        <v>1024</v>
      </c>
      <c r="E13" s="8">
        <f ca="1">IFERROR(__xludf.DUMMYFUNCTION("iferror(googlefinance(D13,""price""),"""")"),300.3)</f>
        <v>300.3</v>
      </c>
      <c r="F13" s="9">
        <f ca="1">IFERROR(__xludf.DUMMYFUNCTION("IFERROR(GOOGLEFINANCE(D13,""price"") / index(GOOGLEFINANCE(D13,""price"", datevalue(today()-365) ) , 2,2) - 1,"""")"),0.15225232138746)</f>
        <v>0.15225232138746</v>
      </c>
      <c r="G13" s="10">
        <f ca="1">IFERROR(__xludf.DUMMYFUNCTION("iferror(googlefinance(D13,""marketcap""),"""")/10^6"),809918.676677)</f>
        <v>809918.67667700001</v>
      </c>
      <c r="H13" s="11">
        <f ca="1">IFERROR(__xludf.DUMMYFUNCTION("IMPORTRANGE(""https://docs.google.com/spreadsheets/d/18ffdmQve-35mEbb2ekY2flpF2A2bw2ki4JoC3jzdg1I/edit#gid=650781654"",""JPM!B1"")*1000"),426806.632058656)</f>
        <v>426806.63205865602</v>
      </c>
      <c r="I13" s="9">
        <f t="shared" ca="1" si="1"/>
        <v>-0.47302532420934795</v>
      </c>
      <c r="J13" s="9">
        <f ca="1">IFERROR(__xludf.DUMMYFUNCTION("IMPORTRANGE(""https://docs.google.com/spreadsheets/d/18ffdmQve-35mEbb2ekY2flpF2A2bw2ki4JoC3jzdg1I/edit#gid=650781654"",""JPM!I53"")"),0.0265768375898362)</f>
        <v>2.65768375898362E-2</v>
      </c>
      <c r="K13" s="9">
        <f ca="1">IFERROR(__xludf.DUMMYFUNCTION("IMPORTRANGE(""https://docs.google.com/spreadsheets/d/18ffdmQve-35mEbb2ekY2flpF2A2bw2ki4JoC3jzdg1I/edit#gid=650781654"",""JPM!H65"")"),0.262535804549283)</f>
        <v>0.26253580454928299</v>
      </c>
      <c r="L13" s="12">
        <f ca="1">IFERROR(__xludf.DUMMYFUNCTION("G13/IMPORTRANGE(""https://docs.google.com/spreadsheets/d/18ffdmQve-35mEbb2ekY2flpF2A2bw2ki4JoC3jzdg1I/edit#gid=650781654"",""JPM!H55"")"),33.3423357077518)</f>
        <v>33.342335707751801</v>
      </c>
      <c r="M13" s="12" t="str">
        <f ca="1">IFERROR(__xludf.DUMMYFUNCTION("IFERROR(googlefinance(D13,""beta""),"""")"),"")</f>
        <v/>
      </c>
      <c r="N13" s="13"/>
      <c r="O13" s="4"/>
      <c r="P13" s="4"/>
      <c r="Q13" s="4"/>
      <c r="R13" s="4"/>
      <c r="S13" s="4"/>
    </row>
    <row r="14" spans="1:19" ht="20.25" customHeight="1" x14ac:dyDescent="0.2">
      <c r="A14" s="6">
        <f t="shared" si="2"/>
        <v>7</v>
      </c>
      <c r="B14" s="7" t="str">
        <f t="shared" si="3"/>
        <v>United Airlines Holdings Inc</v>
      </c>
      <c r="C14" s="15" t="s">
        <v>1598</v>
      </c>
      <c r="D14" s="6" t="s">
        <v>1104</v>
      </c>
      <c r="E14" s="8">
        <f ca="1">IFERROR(__xludf.DUMMYFUNCTION("iferror(googlefinance(D14,""price""),"""")"),106.3)</f>
        <v>106.3</v>
      </c>
      <c r="F14" s="9">
        <f ca="1">IFERROR(__xludf.DUMMYFUNCTION("IFERROR(GOOGLEFINANCE(D14,""price"") / index(GOOGLEFINANCE(D14,""price"", datevalue(today()-365) ) , 2,2) - 1,"""")"),0.159594196574669)</f>
        <v>0.159594196574669</v>
      </c>
      <c r="G14" s="10">
        <f ca="1">IFERROR(__xludf.DUMMYFUNCTION("iferror(googlefinance(D14,""marketcap""),"""")/10^6"),34380.641877)</f>
        <v>34380.641877000002</v>
      </c>
      <c r="H14" s="11">
        <f ca="1">IFERROR(__xludf.DUMMYFUNCTION("importrange(""https://docs.google.com/spreadsheets/d/1E88W75oZAuEU3j_FKIjWcy8x6xr33WZ1jtcDeEarqCM/edit#gid=1816187640"",""Summary!B27"")"),21653.5369773099)</f>
        <v>21653.536977309901</v>
      </c>
      <c r="I14" s="9">
        <f t="shared" ca="1" si="1"/>
        <v>-0.37018229459538665</v>
      </c>
      <c r="J14" s="9">
        <f ca="1">IFERROR(__xludf.DUMMYFUNCTION("importrange(""https://docs.google.com/spreadsheets/d/1E88W75oZAuEU3j_FKIjWcy8x6xr33WZ1jtcDeEarqCM/edit#gid=1816187640"",""Summary!F2"")"),-0.352566585956416)</f>
        <v>-0.35256658595641599</v>
      </c>
      <c r="K14" s="9">
        <f ca="1">IFERROR(__xludf.DUMMYFUNCTION("importrange(""https://docs.google.com/spreadsheets/d/1E88W75oZAuEU3j_FKIjWcy8x6xr33WZ1jtcDeEarqCM/edit#gid=1816187640"",""Summary!D14"")"),0.0994243972352574)</f>
        <v>9.9424397235257395E-2</v>
      </c>
      <c r="L14" s="12" t="str">
        <f ca="1">IFERROR(__xludf.DUMMYFUNCTION("IFERROR(googlefinance(D14,""pe""),"""")"),"")</f>
        <v/>
      </c>
      <c r="M14" s="12" t="str">
        <f ca="1">IFERROR(__xludf.DUMMYFUNCTION("IFERROR(googlefinance(D14,""beta""),"""")"),"")</f>
        <v/>
      </c>
      <c r="N14" s="13"/>
      <c r="O14" s="4"/>
      <c r="P14" s="4"/>
      <c r="Q14" s="4"/>
      <c r="R14" s="4"/>
      <c r="S14" s="4"/>
    </row>
    <row r="15" spans="1:19" ht="20.25" customHeight="1" x14ac:dyDescent="0.2">
      <c r="A15" s="14">
        <f t="shared" si="2"/>
        <v>8</v>
      </c>
      <c r="B15" s="7" t="str">
        <f t="shared" si="3"/>
        <v>U.S. Bancorp</v>
      </c>
      <c r="C15" s="18" t="s">
        <v>678</v>
      </c>
      <c r="D15" s="16" t="s">
        <v>677</v>
      </c>
      <c r="E15" s="8">
        <f ca="1">IFERROR(__xludf.DUMMYFUNCTION("iferror(googlefinance(D15,""price""),"""")"),54.66)</f>
        <v>54.66</v>
      </c>
      <c r="F15" s="9">
        <f ca="1">IFERROR(__xludf.DUMMYFUNCTION("IFERROR(GOOGLEFINANCE(D15,""price"") / index(GOOGLEFINANCE(D15,""price"", datevalue(today()-365) ) , 2,2) - 1,"""")"),0.182093425605536)</f>
        <v>0.18209342560553601</v>
      </c>
      <c r="G15" s="10">
        <f ca="1">IFERROR(__xludf.DUMMYFUNCTION("iferror(googlefinance(D15,""marketcap""),"""")/10^6"),84924.968462)</f>
        <v>84924.968462000004</v>
      </c>
      <c r="H15" s="11">
        <f ca="1">IFERROR(__xludf.DUMMYFUNCTION("IMPORTRANGE(""https://docs.google.com/spreadsheets/d/1BkE_9jEXhHz4aashYd9x7c-jGM6MGTH38F1LR9rqUwQ/edit#gid=467477759"",""Summary!C29"")"),120236.19642455)</f>
        <v>120236.19642455</v>
      </c>
      <c r="I15" s="9">
        <f t="shared" ca="1" si="1"/>
        <v>0.41579324198807488</v>
      </c>
      <c r="J15" s="9">
        <f ca="1">IFERROR(__xludf.DUMMYFUNCTION("IMPORTRANGE(""https://docs.google.com/spreadsheets/d/1BkE_9jEXhHz4aashYd9x7c-jGM6MGTH38F1LR9rqUwQ/edit#gid=467477759"",""Summary!M2"")"),0.225660439470002)</f>
        <v>0.225660439470002</v>
      </c>
      <c r="K15" s="9">
        <f ca="1">IFERROR(__xludf.DUMMYFUNCTION("IMPORTRANGE(""https://docs.google.com/spreadsheets/d/1BkE_9jEXhHz4aashYd9x7c-jGM6MGTH38F1LR9rqUwQ/edit#gid=467477759"",""Summary!I19"")"),0.212604501607717)</f>
        <v>0.21260450160771699</v>
      </c>
      <c r="L15" s="12" t="str">
        <f ca="1">IFERROR(__xludf.DUMMYFUNCTION("IFERROR(googlefinance(D15,""pe""),"""")"),"")</f>
        <v/>
      </c>
      <c r="M15" s="12" t="str">
        <f ca="1">IFERROR(__xludf.DUMMYFUNCTION("IFERROR(googlefinance(D15,""beta""),"""")"),"")</f>
        <v/>
      </c>
      <c r="N15" s="13">
        <f ca="1">IFERROR(__xludf.DUMMYFUNCTION("IMPORTRANGE(""https://docs.google.com/spreadsheets/d/18ffdmQve-35mEbb2ekY2flpF2A2bw2ki4JoC3jzdg1I/edit#gid=650781654"",""JPM!H72"")"),61.76)</f>
        <v>61.76</v>
      </c>
      <c r="O15" s="4"/>
      <c r="P15" s="4"/>
      <c r="Q15" s="4"/>
      <c r="R15" s="4"/>
      <c r="S15" s="4"/>
    </row>
    <row r="16" spans="1:19" ht="20.25" customHeight="1" x14ac:dyDescent="0.2">
      <c r="A16" s="19">
        <f t="shared" si="2"/>
        <v>9</v>
      </c>
      <c r="B16" s="7" t="str">
        <f t="shared" si="3"/>
        <v>Bank of America Corp</v>
      </c>
      <c r="C16" s="6" t="s">
        <v>1599</v>
      </c>
      <c r="D16" s="16" t="s">
        <v>452</v>
      </c>
      <c r="E16" s="8">
        <f ca="1">IFERROR(__xludf.DUMMYFUNCTION("iferror(googlefinance(D16,""price""),"""")"),49.83)</f>
        <v>49.83</v>
      </c>
      <c r="F16" s="9">
        <f ca="1">IFERROR(__xludf.DUMMYFUNCTION("IFERROR(GOOGLEFINANCE(D16,""price"") / index(GOOGLEFINANCE(D16,""price"", datevalue(today()-365) ) , 2,2) - 1,"""")"),0.0937225636523264)</f>
        <v>9.3722563652326396E-2</v>
      </c>
      <c r="G16" s="10">
        <f ca="1">IFERROR(__xludf.DUMMYFUNCTION("iferror(googlefinance(D16,""marketcap""),"""")/10^6"),357614.0772)</f>
        <v>357614.0772</v>
      </c>
      <c r="H16" s="11">
        <f ca="1">IFERROR(__xludf.DUMMYFUNCTION("IMPORTRANGE(""https://docs.google.com/spreadsheets/d/1ajry6MlMHVl1AsbljgX5BXpRLc8MVU1N9Z23HIyADoU/edit#gid=1672282254"",""Summary!B73"")"),258602.069066145)</f>
        <v>258602.06906614499</v>
      </c>
      <c r="I16" s="9">
        <f t="shared" ca="1" si="1"/>
        <v>-0.27686831824151414</v>
      </c>
      <c r="J16" s="9">
        <f ca="1">IFERROR(__xludf.DUMMYFUNCTION("IMPORTRANGE(""https://docs.google.com/spreadsheets/d/1ajry6MlMHVl1AsbljgX5BXpRLc8MVU1N9Z23HIyADoU/edit#gid=1672282254"",""Summary!K48"")"),-0.01889645632832)</f>
        <v>-1.8896456328319999E-2</v>
      </c>
      <c r="K16" s="9">
        <f ca="1">IFERROR(__xludf.DUMMYFUNCTION("IMPORTRANGE(""https://docs.google.com/spreadsheets/d/1ajry6MlMHVl1AsbljgX5BXpRLc8MVU1N9Z23HIyADoU/edit#gid=1672282254"",""Summary!I64"")"),0.21958338706085)</f>
        <v>0.21958338706085001</v>
      </c>
      <c r="L16" s="12" t="str">
        <f ca="1">IFERROR(__xludf.DUMMYFUNCTION("IFERROR(googlefinance(D16,""pe""),"""")"),"")</f>
        <v/>
      </c>
      <c r="M16" s="12" t="str">
        <f ca="1">IFERROR(__xludf.DUMMYFUNCTION("IFERROR(googlefinance(D16,""beta""),"""")"),"")</f>
        <v/>
      </c>
      <c r="N16" s="13">
        <f ca="1">IFERROR(__xludf.DUMMYFUNCTION("IMPORTRANGE(""https://docs.google.com/spreadsheets/d/1BkE_9jEXhHz4aashYd9x7c-jGM6MGTH38F1LR9rqUwQ/edit#gid=467477759"",""Summary!I21"")"),30.24)</f>
        <v>30.24</v>
      </c>
      <c r="O16" s="4"/>
      <c r="P16" s="4"/>
      <c r="Q16" s="4"/>
      <c r="R16" s="4"/>
      <c r="S16" s="4"/>
    </row>
    <row r="17" spans="1:19" ht="20.25" customHeight="1" x14ac:dyDescent="0.2">
      <c r="A17" s="6">
        <f t="shared" si="2"/>
        <v>10</v>
      </c>
      <c r="B17" s="7" t="str">
        <f t="shared" si="3"/>
        <v>Delta Air Lines, Inc.</v>
      </c>
      <c r="C17" s="20" t="s">
        <v>1600</v>
      </c>
      <c r="D17" s="21" t="s">
        <v>1056</v>
      </c>
      <c r="E17" s="8">
        <f ca="1">IFERROR(__xludf.DUMMYFUNCTION("iferror(googlefinance(D17,""price""),"""")"),65.7)</f>
        <v>65.7</v>
      </c>
      <c r="F17" s="9">
        <f ca="1">IFERROR(__xludf.DUMMYFUNCTION("IFERROR(GOOGLEFINANCE(D17,""price"") / index(GOOGLEFINANCE(D17,""price"", datevalue(today()-365) ) , 2,2) - 1,"""")"),0.124037639007698)</f>
        <v>0.124037639007698</v>
      </c>
      <c r="G17" s="10">
        <f ca="1">IFERROR(__xludf.DUMMYFUNCTION("iferror(googlefinance(D17,""marketcap""),"""")/10^6"),42910.684996)</f>
        <v>42910.684996000004</v>
      </c>
      <c r="H17" s="11">
        <f ca="1">IFERROR(__xludf.DUMMYFUNCTION("IMPORTRANGE(""https://docs.google.com/spreadsheets/d/1Z6RobysQCGMiI-pRQ6lMweET1m6J6B9TgwscNtCNb1g/edit#gid=428240719"",""Financials!B46"")*1000"),3385.90206884782)</f>
        <v>3385.9020688478199</v>
      </c>
      <c r="I17" s="9">
        <f t="shared" ca="1" si="1"/>
        <v>-0.92109419672131909</v>
      </c>
      <c r="J17" s="9">
        <f ca="1">IFERROR(__xludf.DUMMYFUNCTION("IMPORTRANGE(""https://docs.google.com/spreadsheets/d/1Z6RobysQCGMiI-pRQ6lMweET1m6J6B9TgwscNtCNb1g/edit#gid=428240719"",""Financials!I3"")"),-0.636330759248622)</f>
        <v>-0.63633075924862204</v>
      </c>
      <c r="K17" s="9">
        <f ca="1">IFERROR(__xludf.DUMMYFUNCTION("IMPORTRANGE(""https://docs.google.com/spreadsheets/d/1Z6RobysQCGMiI-pRQ6lMweET1m6J6B9TgwscNtCNb1g/edit#gid=428240719"",""Financials!H16"")"),-0.72939455981281)</f>
        <v>-0.72939455981280998</v>
      </c>
      <c r="L17" s="12" t="str">
        <f ca="1">IFERROR(__xludf.DUMMYFUNCTION("IFERROR(googlefinance(D17,""pe""),"""")"),"")</f>
        <v/>
      </c>
      <c r="M17" s="12" t="str">
        <f ca="1">IFERROR(__xludf.DUMMYFUNCTION("IFERROR(googlefinance(D17,""beta""),"""")"),"")</f>
        <v/>
      </c>
      <c r="N17" s="13">
        <f ca="1">IFERROR(__xludf.DUMMYFUNCTION("IMPORTRANGE(""https://docs.google.com/spreadsheets/d/1ajry6MlMHVl1AsbljgX5BXpRLc8MVU1N9Z23HIyADoU/edit#gid=1672282254"",""Summary!I59"")"),19.9)</f>
        <v>19.899999999999999</v>
      </c>
      <c r="O17" s="4"/>
      <c r="P17" s="4"/>
      <c r="Q17" s="4"/>
      <c r="R17" s="4"/>
      <c r="S17" s="4"/>
    </row>
    <row r="18" spans="1:19" ht="20.25" customHeight="1" x14ac:dyDescent="0.2">
      <c r="A18" s="22">
        <f t="shared" si="2"/>
        <v>11</v>
      </c>
      <c r="B18" s="7" t="str">
        <f t="shared" si="3"/>
        <v>Kraft Heinz Co</v>
      </c>
      <c r="C18" s="6" t="s">
        <v>1601</v>
      </c>
      <c r="D18" s="6" t="s">
        <v>928</v>
      </c>
      <c r="E18" s="8">
        <f ca="1">IFERROR(__xludf.DUMMYFUNCTION("iferror(googlefinance(D18,""price""),"""")"),24.61)</f>
        <v>24.61</v>
      </c>
      <c r="F18" s="9">
        <f ca="1">IFERROR(__xludf.DUMMYFUNCTION("IFERROR(GOOGLEFINANCE(D18,""price"") / index(GOOGLEFINANCE(D18,""price"", datevalue(today()-365) ) , 2,2) - 1,"""")"),-0.214240102171136)</f>
        <v>-0.21424010217113601</v>
      </c>
      <c r="G18" s="10">
        <f ca="1">IFERROR(__xludf.DUMMYFUNCTION("iferror(googlefinance(D18,""marketcap""),"""")/10^6"),29131.940562)</f>
        <v>29131.940562</v>
      </c>
      <c r="H18" s="11">
        <f ca="1">IFERROR(__xludf.DUMMYFUNCTION("IMPORTRANGE(""https://docs.google.com/spreadsheets/d/1QoccdSVrkp1XvlXW4dlFxIR8583ws9aFmqE3W8dNEWw/edit#gid=254823806"",""Summary!B25"")"),38077.3874469667)</f>
        <v>38077.387446966699</v>
      </c>
      <c r="I18" s="9">
        <f t="shared" ca="1" si="1"/>
        <v>0.30706663244518739</v>
      </c>
      <c r="J18" s="9">
        <f ca="1">IFERROR(__xludf.DUMMYFUNCTION("IMPORTRANGE(""https://docs.google.com/spreadsheets/d/1QoccdSVrkp1XvlXW4dlFxIR8583ws9aFmqE3W8dNEWw/edit#gid=254823806"",""Summary!H2"")"),0.0362039335497422)</f>
        <v>3.6203933549742197E-2</v>
      </c>
      <c r="K18" s="9">
        <f ca="1">IFERROR(__xludf.DUMMYFUNCTION("IMPORTRANGE(""https://docs.google.com/spreadsheets/d/1QoccdSVrkp1XvlXW4dlFxIR8583ws9aFmqE3W8dNEWw/edit#gid=254823806"",""Summary!F18"")"),0.0812679014703074)</f>
        <v>8.1267901470307394E-2</v>
      </c>
      <c r="L18" s="12" t="str">
        <f ca="1">IFERROR(__xludf.DUMMYFUNCTION("IFERROR(googlefinance(D18,""pe""),"""")"),"")</f>
        <v/>
      </c>
      <c r="M18" s="12" t="str">
        <f ca="1">IFERROR(__xludf.DUMMYFUNCTION("IFERROR(googlefinance(D18,""beta""),"""")"),"")</f>
        <v/>
      </c>
      <c r="N18" s="13"/>
      <c r="O18" s="4"/>
      <c r="P18" s="4"/>
      <c r="Q18" s="4"/>
      <c r="R18" s="4"/>
      <c r="S18" s="4"/>
    </row>
    <row r="19" spans="1:19" ht="20.25" customHeight="1" x14ac:dyDescent="0.2">
      <c r="A19" s="6">
        <f t="shared" si="2"/>
        <v>12</v>
      </c>
      <c r="B19" s="7" t="str">
        <f t="shared" si="3"/>
        <v>VANGUARD IX FUN/S&amp;P 500 ETF SHS NEW</v>
      </c>
      <c r="C19" s="15" t="s">
        <v>1602</v>
      </c>
      <c r="D19" s="6" t="s">
        <v>1603</v>
      </c>
      <c r="E19" s="8">
        <f ca="1">IFERROR(__xludf.DUMMYFUNCTION("iferror(googlefinance(D19,""price""),"""")"),631.04)</f>
        <v>631.04</v>
      </c>
      <c r="F19" s="9">
        <f ca="1">IFERROR(__xludf.DUMMYFUNCTION("IFERROR(GOOGLEFINANCE(D19,""price"") / index(GOOGLEFINANCE(D19,""price"", datevalue(today()-365) ) , 2,2) - 1,"""")"),0.175296133502197)</f>
        <v>0.175296133502197</v>
      </c>
      <c r="G19" s="10">
        <f ca="1">IFERROR(__xludf.DUMMYFUNCTION("iferror(googlefinance(D19,""marketcap""),"""")/10^6"),0)</f>
        <v>0</v>
      </c>
      <c r="H19" s="11"/>
      <c r="I19" s="9">
        <v>0</v>
      </c>
      <c r="J19" s="9"/>
      <c r="K19" s="9"/>
      <c r="L19" s="12" t="str">
        <f ca="1">IFERROR(__xludf.DUMMYFUNCTION("IFERROR(googlefinance(D19,""pe""),"""")"),"")</f>
        <v/>
      </c>
      <c r="M19" s="12" t="str">
        <f ca="1">IFERROR(__xludf.DUMMYFUNCTION("IFERROR(googlefinance(D19,""beta""),"""")"),"")</f>
        <v/>
      </c>
      <c r="N19" s="13"/>
      <c r="O19" s="4"/>
      <c r="P19" s="4"/>
      <c r="Q19" s="4"/>
      <c r="R19" s="4"/>
      <c r="S19" s="4"/>
    </row>
    <row r="20" spans="1:19" ht="20.25" customHeight="1" x14ac:dyDescent="0.2">
      <c r="A20" s="19">
        <f t="shared" si="2"/>
        <v>13</v>
      </c>
      <c r="B20" s="7" t="str">
        <f t="shared" si="3"/>
        <v>Wells Fargo &amp; Co</v>
      </c>
      <c r="C20" s="6" t="s">
        <v>1604</v>
      </c>
      <c r="D20" s="6" t="s">
        <v>1043</v>
      </c>
      <c r="E20" s="8">
        <f ca="1">IFERROR(__xludf.DUMMYFUNCTION("iferror(googlefinance(D20,""price""),"""")"),81.45)</f>
        <v>81.45</v>
      </c>
      <c r="F20" s="9">
        <f ca="1">IFERROR(__xludf.DUMMYFUNCTION("IFERROR(GOOGLEFINANCE(D20,""price"") / index(GOOGLEFINANCE(D20,""price"", datevalue(today()-365) ) , 2,2) - 1,"""")"),0.0573802414643644)</f>
        <v>5.73802414643644E-2</v>
      </c>
      <c r="G20" s="10">
        <f ca="1">IFERROR(__xludf.DUMMYFUNCTION("iferror(googlefinance(D20,""marketcap""),"""")/10^6"),251324.879883)</f>
        <v>251324.87988299999</v>
      </c>
      <c r="H20" s="11">
        <f ca="1">IFERROR(__xludf.DUMMYFUNCTION("IMPORTRANGE(""https://docs.google.com/spreadsheets/d/1zPx-sYL2WZELC72hI-Xc5oMEa-YaHSyQySKfbmi4y7s/edit#gid=303626986"",""Summary!C31"")"),263669.218435059)</f>
        <v>263669.21843505901</v>
      </c>
      <c r="I20" s="9">
        <f t="shared" ref="I20:I33" ca="1" si="4">(H20-G20)/G20</f>
        <v>4.9117057403173611E-2</v>
      </c>
      <c r="J20" s="9">
        <f ca="1">IFERROR(__xludf.DUMMYFUNCTION("IMPORTRANGE(""https://docs.google.com/spreadsheets/d/1zPx-sYL2WZELC72hI-Xc5oMEa-YaHSyQySKfbmi4y7s/edit#gid=303626986"",""Summary!K2"")"),0.0510920652474426)</f>
        <v>5.10920652474426E-2</v>
      </c>
      <c r="K20" s="9">
        <f ca="1">IFERROR(__xludf.DUMMYFUNCTION("IMPORTRANGE(""https://docs.google.com/spreadsheets/d/1zPx-sYL2WZELC72hI-Xc5oMEa-YaHSyQySKfbmi4y7s/edit#gid=303626986"",""Summary!I18"")"),0.00803151783245783)</f>
        <v>8.0315178324578303E-3</v>
      </c>
      <c r="L20" s="12" t="str">
        <f ca="1">IFERROR(__xludf.DUMMYFUNCTION("IFERROR(googlefinance(D20,""pe""),"""")"),"")</f>
        <v/>
      </c>
      <c r="M20" s="12" t="str">
        <f ca="1">IFERROR(__xludf.DUMMYFUNCTION("IFERROR(googlefinance(D20,""beta""),"""")"),"")</f>
        <v/>
      </c>
      <c r="N20" s="13"/>
      <c r="O20" s="4"/>
      <c r="P20" s="4"/>
      <c r="Q20" s="4"/>
      <c r="R20" s="4"/>
      <c r="S20" s="4"/>
    </row>
    <row r="21" spans="1:19" ht="20.25" customHeight="1" x14ac:dyDescent="0.2">
      <c r="A21" s="19">
        <f t="shared" si="2"/>
        <v>14</v>
      </c>
      <c r="B21" s="7" t="str">
        <f t="shared" si="3"/>
        <v>Berkshire Hathaway Inc. Class B</v>
      </c>
      <c r="C21" s="6" t="s">
        <v>1605</v>
      </c>
      <c r="D21" s="6" t="s">
        <v>1606</v>
      </c>
      <c r="E21" s="8">
        <f ca="1">IFERROR(__xludf.DUMMYFUNCTION("iferror(googlefinance(D21,""price""),"""")"),504.95)</f>
        <v>504.95</v>
      </c>
      <c r="F21" s="9">
        <f ca="1">IFERROR(__xludf.DUMMYFUNCTION("IFERROR(GOOGLEFINANCE(D21,""price"") / index(GOOGLEFINANCE(D21,""price"", datevalue(today()-365) ) , 2,2) - 1,"""")"),-0.0100572459222082)</f>
        <v>-1.00572459222082E-2</v>
      </c>
      <c r="G21" s="10">
        <f ca="1">IFERROR(__xludf.DUMMYFUNCTION("iferror(googlefinance(D21,""marketcap""),"""")/10^6"),1089429.737)</f>
        <v>1089429.737</v>
      </c>
      <c r="H21" s="11">
        <f ca="1">IFERROR(__xludf.DUMMYFUNCTION("IMPORTRANGE(""https://docs.google.com/spreadsheets/d/1tZBWcuxGf2na1a_8BX668tEyP4ZXHcAPPbDukT46GvY/edit#gid=105525789"",""Summary!B41"")"),808581.73454059)</f>
        <v>808581.73454058997</v>
      </c>
      <c r="I21" s="9">
        <f t="shared" ca="1" si="4"/>
        <v>-0.25779358954602322</v>
      </c>
      <c r="J21" s="9">
        <f ca="1">IFERROR(__xludf.DUMMYFUNCTION("IMPORTRANGE(""https://docs.google.com/spreadsheets/d/1tZBWcuxGf2na1a_8BX668tEyP4ZXHcAPPbDukT46GvY/edit#gid=105525789"",""Summary!L2"")"),365632)</f>
        <v>365632</v>
      </c>
      <c r="K21" s="9">
        <f ca="1">IFERROR(__xludf.DUMMYFUNCTION("IMPORTRANGE(""https://docs.google.com/spreadsheets/d/1tZBWcuxGf2na1a_8BX668tEyP4ZXHcAPPbDukT46GvY/edit#gid=105525789"",""Summary!H29"")"),0.0892020691621522)</f>
        <v>8.9202069162152203E-2</v>
      </c>
      <c r="L21" s="12" t="str">
        <f ca="1">IFERROR(__xludf.DUMMYFUNCTION("IFERROR(googlefinance(D21,""pe""),"""")"),"")</f>
        <v/>
      </c>
      <c r="M21" s="12" t="str">
        <f ca="1">IFERROR(__xludf.DUMMYFUNCTION("IFERROR(googlefinance(D21,""beta""),"""")"),"")</f>
        <v/>
      </c>
      <c r="N21" s="13"/>
      <c r="O21" s="4"/>
      <c r="P21" s="4"/>
      <c r="Q21" s="4"/>
      <c r="R21" s="4"/>
      <c r="S21" s="4"/>
    </row>
    <row r="22" spans="1:19" ht="20.25" customHeight="1" x14ac:dyDescent="0.2">
      <c r="A22" s="6">
        <f t="shared" si="2"/>
        <v>15</v>
      </c>
      <c r="B22" s="7" t="str">
        <f t="shared" si="3"/>
        <v>Apple Inc.</v>
      </c>
      <c r="C22" s="6" t="s">
        <v>1607</v>
      </c>
      <c r="D22" s="6" t="s">
        <v>643</v>
      </c>
      <c r="E22" s="8">
        <f ca="1">IFERROR(__xludf.DUMMYFUNCTION("iferror(googlefinance(D22,""price""),"""")"),264.18)</f>
        <v>264.18</v>
      </c>
      <c r="F22" s="9">
        <f ca="1">IFERROR(__xludf.DUMMYFUNCTION("IFERROR(GOOGLEFINANCE(D22,""price"") / index(GOOGLEFINANCE(D22,""price"", datevalue(today()-365) ) , 2,2) - 1,"""")"),0.109860101667857)</f>
        <v>0.10986010166785699</v>
      </c>
      <c r="G22" s="10">
        <f ca="1">IFERROR(__xludf.DUMMYFUNCTION("iferror(googlefinance(D22,""marketcap""),"""")/10^6"),3884159.178314)</f>
        <v>3884159.1783139999</v>
      </c>
      <c r="H22" s="11">
        <f ca="1">IFERROR(__xludf.DUMMYFUNCTION("IMPORTRANGE(""https://docs.google.com/spreadsheets/d/1NuuuuRncvZrOMOsu3B716qUsqv19xrPgc9ljJgJ3oUU/edit#gid=1975317421"",""Summary!B34"")"),1020704.71323773)</f>
        <v>1020704.71323773</v>
      </c>
      <c r="I22" s="9">
        <f t="shared" ca="1" si="4"/>
        <v>-0.73721346979379254</v>
      </c>
      <c r="J22" s="9">
        <f ca="1">IFERROR(__xludf.DUMMYFUNCTION("IMPORTRANGE(""https://docs.google.com/spreadsheets/d/1NuuuuRncvZrOMOsu3B716qUsqv19xrPgc9ljJgJ3oUU/edit#gid=1975317421"",""Summary!F2"")"),0.0525917270749575)</f>
        <v>5.2591727074957503E-2</v>
      </c>
      <c r="K22" s="9">
        <f ca="1">IFERROR(__xludf.DUMMYFUNCTION("IMPORTRANGE(""https://docs.google.com/spreadsheets/d/1NuuuuRncvZrOMOsu3B716qUsqv19xrPgc9ljJgJ3oUU/edit#gid=1975317421"",""Summary!E20"")"),0.249462310621966)</f>
        <v>0.249462310621966</v>
      </c>
      <c r="L22" s="12" t="str">
        <f ca="1">IFERROR(__xludf.DUMMYFUNCTION("IFERROR(googlefinance(D22,""pe""),"""")"),"")</f>
        <v/>
      </c>
      <c r="M22" s="12" t="str">
        <f ca="1">IFERROR(__xludf.DUMMYFUNCTION("IFERROR(googlefinance(D22,""beta""),"""")"),"")</f>
        <v/>
      </c>
      <c r="N22" s="13"/>
      <c r="O22" s="4"/>
      <c r="P22" s="4"/>
      <c r="Q22" s="4"/>
      <c r="R22" s="4"/>
      <c r="S22" s="4"/>
    </row>
    <row r="23" spans="1:19" ht="20.25" customHeight="1" x14ac:dyDescent="0.2">
      <c r="A23" s="14">
        <f t="shared" si="2"/>
        <v>16</v>
      </c>
      <c r="B23" s="7" t="str">
        <f t="shared" si="3"/>
        <v>TotalEnergies SE</v>
      </c>
      <c r="C23" s="23" t="s">
        <v>1608</v>
      </c>
      <c r="D23" s="24" t="s">
        <v>20</v>
      </c>
      <c r="E23" s="8">
        <f ca="1">IFERROR(__xludf.DUMMYFUNCTION("iferror(googlefinance(D23,""price""),"""")"),80.34)</f>
        <v>80.34</v>
      </c>
      <c r="F23" s="9">
        <f ca="1">IFERROR(__xludf.DUMMYFUNCTION("IFERROR(GOOGLEFINANCE(D23,""price"") / index(GOOGLEFINANCE(D23,""price"", datevalue(today()-365) ) , 2,2) - 1,"""")"),0.337439653737306)</f>
        <v>0.337439653737306</v>
      </c>
      <c r="G23" s="10">
        <f ca="1">IFERROR(__xludf.DUMMYFUNCTION("iferror(googlefinance(D23,""marketcap""),"""")/10^6"),177141.336565)</f>
        <v>177141.33656500001</v>
      </c>
      <c r="H23" s="11">
        <f ca="1">IFERROR(__xludf.DUMMYFUNCTION("IMPORTRANGE(""https://docs.google.com/spreadsheets/d/1mU5D8jxgWAnX--xBp56WIFjKkjv6_AK_aK6kbd_IxYE/edit#gid=1186441318"",""Summary!C58"")"),103710.452849875)</f>
        <v>103710.452849875</v>
      </c>
      <c r="I23" s="9">
        <f t="shared" ca="1" si="4"/>
        <v>-0.41453274057340295</v>
      </c>
      <c r="J23" s="9">
        <f ca="1">IFERROR(__xludf.DUMMYFUNCTION("IMPORTRANGE(""https://docs.google.com/spreadsheets/d/1mU5D8jxgWAnX--xBp56WIFjKkjv6_AK_aK6kbd_IxYE/edit#gid=1186441318"",""Summary!I26"")"),184630)</f>
        <v>184630</v>
      </c>
      <c r="K23" s="9">
        <f ca="1">IFERROR(__xludf.DUMMYFUNCTION("IMPORTRANGE(""https://docs.google.com/spreadsheets/d/1mU5D8jxgWAnX--xBp56WIFjKkjv6_AK_aK6kbd_IxYE/edit#gid=1186441318"",""Summary!G48"")"),-0.05147670327327)</f>
        <v>-5.1476703273270003E-2</v>
      </c>
      <c r="L23" s="12" t="str">
        <f ca="1">IFERROR(__xludf.DUMMYFUNCTION("IFERROR(googlefinance(D23,""pe""),"""")"),"")</f>
        <v/>
      </c>
      <c r="M23" s="12" t="str">
        <f ca="1">IFERROR(__xludf.DUMMYFUNCTION("IFERROR(googlefinance(D23,""beta""),"""")"),"")</f>
        <v/>
      </c>
      <c r="N23" s="13"/>
      <c r="O23" s="4"/>
      <c r="P23" s="4"/>
      <c r="Q23" s="4"/>
      <c r="R23" s="4"/>
      <c r="S23" s="4"/>
    </row>
    <row r="24" spans="1:19" ht="20.25" customHeight="1" x14ac:dyDescent="0.2">
      <c r="A24" s="19">
        <f t="shared" si="2"/>
        <v>17</v>
      </c>
      <c r="B24" s="7" t="str">
        <f t="shared" si="3"/>
        <v>Capital Product Partners L.P.</v>
      </c>
      <c r="C24" s="6" t="s">
        <v>1609</v>
      </c>
      <c r="D24" s="16" t="s">
        <v>1610</v>
      </c>
      <c r="E24" s="8" t="str">
        <f ca="1">IFERROR(__xludf.DUMMYFUNCTION("iferror(googlefinance(D24,""price""),"""")"),"")</f>
        <v/>
      </c>
      <c r="F24" s="9" t="str">
        <f ca="1">IFERROR(__xludf.DUMMYFUNCTION("IFERROR(GOOGLEFINANCE(D24,""price"") / index(GOOGLEFINANCE(D24,""price"", datevalue(today()-365) ) , 2,2) - 1,"""")"),"")</f>
        <v/>
      </c>
      <c r="G24" s="10">
        <f ca="1">IFERROR(__xludf.DUMMYFUNCTION("iferror(googlefinance(D24,""marketcap""),"""")/10^6"),0)</f>
        <v>0</v>
      </c>
      <c r="H24" s="11">
        <f ca="1">IFERROR(__xludf.DUMMYFUNCTION("IMPORTRANGE(""https://docs.google.com/spreadsheets/d/1kl2650HmVB8eKAI4aW3PYUJGx0ZK4DWMgpwRB8Fac_c/edit#gid=87393437"",""Summary!B28"")"),842.853988286684)</f>
        <v>842.85398828668394</v>
      </c>
      <c r="I24" s="9" t="e">
        <f t="shared" ca="1" si="4"/>
        <v>#DIV/0!</v>
      </c>
      <c r="J24" s="9">
        <f ca="1">IFERROR(__xludf.DUMMYFUNCTION("IMPORTRANGE(""https://docs.google.com/spreadsheets/d/1kl2650HmVB8eKAI4aW3PYUJGx0ZK4DWMgpwRB8Fac_c/edit#gid=87393437"",""Summary!J2"")"),342.692)</f>
        <v>342.69200000000001</v>
      </c>
      <c r="K24" s="9">
        <f ca="1">IFERROR(__xludf.DUMMYFUNCTION("IMPORTRANGE(""https://docs.google.com/spreadsheets/d/1kl2650HmVB8eKAI4aW3PYUJGx0ZK4DWMgpwRB8Fac_c/edit#gid=87393437"",""Summary!E16"")"),0.211613956625137)</f>
        <v>0.21161395662513699</v>
      </c>
      <c r="L24" s="12" t="str">
        <f ca="1">IFERROR(__xludf.DUMMYFUNCTION("IFERROR(googlefinance(D24,""pe""),"""")"),"")</f>
        <v/>
      </c>
      <c r="M24" s="12" t="str">
        <f ca="1">IFERROR(__xludf.DUMMYFUNCTION("IFERROR(googlefinance(D24,""beta""),"""")"),"")</f>
        <v/>
      </c>
      <c r="N24" s="13"/>
      <c r="O24" s="4"/>
      <c r="P24" s="4"/>
      <c r="Q24" s="4"/>
      <c r="R24" s="4"/>
      <c r="S24" s="4"/>
    </row>
    <row r="25" spans="1:19" ht="20.25" customHeight="1" x14ac:dyDescent="0.2">
      <c r="A25" s="14">
        <f t="shared" si="2"/>
        <v>18</v>
      </c>
      <c r="B25" s="7" t="str">
        <f t="shared" si="3"/>
        <v>Occidental Petroleum Corporation</v>
      </c>
      <c r="C25" s="6" t="s">
        <v>1611</v>
      </c>
      <c r="D25" s="16" t="s">
        <v>1143</v>
      </c>
      <c r="E25" s="8">
        <f ca="1">IFERROR(__xludf.DUMMYFUNCTION("iferror(googlefinance(D25,""price""),"""")"),53.08)</f>
        <v>53.08</v>
      </c>
      <c r="F25" s="9">
        <f ca="1">IFERROR(__xludf.DUMMYFUNCTION("IFERROR(GOOGLEFINANCE(D25,""price"") / index(GOOGLEFINANCE(D25,""price"", datevalue(today()-365) ) , 2,2) - 1,"""")"),0.142734122712594)</f>
        <v>0.142734122712594</v>
      </c>
      <c r="G25" s="10">
        <f ca="1">IFERROR(__xludf.DUMMYFUNCTION("iferror(googlefinance(D25,""marketcap""),"""")/10^6"),52351.038241)</f>
        <v>52351.038241000002</v>
      </c>
      <c r="H25" s="11">
        <f ca="1">IFERROR(__xludf.DUMMYFUNCTION("importrange(""https://docs.google.com/spreadsheets/d/11j3ALnRBR3BKHGi2K9B3sAM9ODJYyy8euIH2EYSIsnI/edit#gid=1513331917"",""OXY!B50"")*1000"),56267.2195148696)</f>
        <v>56267.219514869597</v>
      </c>
      <c r="I25" s="9">
        <f t="shared" ca="1" si="4"/>
        <v>7.4806181605058253E-2</v>
      </c>
      <c r="J25" s="9">
        <f ca="1">IFERROR(__xludf.DUMMYFUNCTION("importrange(""https://docs.google.com/spreadsheets/d/11j3ALnRBR3BKHGi2K9B3sAM9ODJYyy8euIH2EYSIsnI/edit#gid=1513331917"",""OXY!M2"")"),21593)</f>
        <v>21593</v>
      </c>
      <c r="K25" s="9">
        <f ca="1">IFERROR(__xludf.DUMMYFUNCTION("importrange(""https://docs.google.com/spreadsheets/d/11j3ALnRBR3BKHGi2K9B3sAM9ODJYyy8euIH2EYSIsnI/edit#gid=1513331917"",""OXY!H26"")"),-0.000881857487787074)</f>
        <v>-8.8185748778707397E-4</v>
      </c>
      <c r="L25" s="12" t="str">
        <f ca="1">IFERROR(__xludf.DUMMYFUNCTION("IFERROR(googlefinance(D25,""pe""),"""")"),"")</f>
        <v/>
      </c>
      <c r="M25" s="12" t="str">
        <f ca="1">IFERROR(__xludf.DUMMYFUNCTION("IFERROR(googlefinance(D25,""beta""),"""")"),"")</f>
        <v/>
      </c>
      <c r="N25" s="13"/>
      <c r="O25" s="4"/>
      <c r="P25" s="4"/>
      <c r="Q25" s="4"/>
      <c r="R25" s="4"/>
      <c r="S25" s="4"/>
    </row>
    <row r="26" spans="1:19" ht="20.25" customHeight="1" x14ac:dyDescent="0.2">
      <c r="A26" s="6">
        <f t="shared" si="2"/>
        <v>19</v>
      </c>
      <c r="B26" s="7" t="str">
        <f t="shared" si="3"/>
        <v>Suncor Energy Inc.</v>
      </c>
      <c r="C26" s="15" t="s">
        <v>1612</v>
      </c>
      <c r="D26" s="6" t="s">
        <v>1613</v>
      </c>
      <c r="E26" s="8">
        <f ca="1">IFERROR(__xludf.DUMMYFUNCTION("iferror(googlefinance(D26,""price""),"""")"),56.52)</f>
        <v>56.52</v>
      </c>
      <c r="F26" s="9">
        <f ca="1">IFERROR(__xludf.DUMMYFUNCTION("IFERROR(GOOGLEFINANCE(D26,""price"") / index(GOOGLEFINANCE(D26,""price"", datevalue(today()-365) ) , 2,2) - 1,"""")"),0.561757391544625)</f>
        <v>0.56175739154462501</v>
      </c>
      <c r="G26" s="10">
        <f ca="1">IFERROR(__xludf.DUMMYFUNCTION("iferror(googlefinance(D26,""marketcap""),"""")/10^6"),67272.591424)</f>
        <v>67272.591423999998</v>
      </c>
      <c r="H26" s="11">
        <f ca="1">IFERROR(__xludf.DUMMYFUNCTION("importrange(""https://docs.google.com/spreadsheets/d/10OMzBR1Fr-0UWX4RkucmriJ6cc8Zs05zUfFXAYGqaYg/edit#gid=1507715394"",""Financials!B42"")*1000"),19070.5553148654)</f>
        <v>19070.5553148654</v>
      </c>
      <c r="I26" s="9">
        <f t="shared" ca="1" si="4"/>
        <v>-0.71651819989110999</v>
      </c>
      <c r="J26" s="9">
        <f ca="1">IFERROR(__xludf.DUMMYFUNCTION("importrange(""https://docs.google.com/spreadsheets/d/10OMzBR1Fr-0UWX4RkucmriJ6cc8Zs05zUfFXAYGqaYg/edit#gid=1507715394"",""Financials!I5"")"),-0.666666666666666)</f>
        <v>-0.66666666666666596</v>
      </c>
      <c r="K26" s="9">
        <f ca="1">IFERROR(__xludf.DUMMYFUNCTION("importrange(""https://docs.google.com/spreadsheets/d/10OMzBR1Fr-0UWX4RkucmriJ6cc8Zs05zUfFXAYGqaYg/edit#gid=1507715394"",""Financials!G22"")"),0.158738642437199)</f>
        <v>0.15873864243719901</v>
      </c>
      <c r="L26" s="12" t="str">
        <f ca="1">IFERROR(__xludf.DUMMYFUNCTION("IFERROR(googlefinance(D26,""pe""),"""")"),"")</f>
        <v/>
      </c>
      <c r="M26" s="12" t="str">
        <f ca="1">IFERROR(__xludf.DUMMYFUNCTION("IFERROR(googlefinance(D26,""beta""),"""")"),"")</f>
        <v/>
      </c>
      <c r="N26" s="13"/>
      <c r="O26" s="4"/>
      <c r="P26" s="4"/>
      <c r="Q26" s="4"/>
      <c r="R26" s="4"/>
      <c r="S26" s="4"/>
    </row>
    <row r="27" spans="1:19" ht="15" customHeight="1" x14ac:dyDescent="0.2">
      <c r="A27" s="6">
        <f t="shared" si="2"/>
        <v>20</v>
      </c>
      <c r="B27" s="7" t="str">
        <f t="shared" si="3"/>
        <v>Western Midstream Partners LP</v>
      </c>
      <c r="C27" s="15" t="s">
        <v>1614</v>
      </c>
      <c r="D27" s="6" t="s">
        <v>1615</v>
      </c>
      <c r="E27" s="8">
        <f ca="1">IFERROR(__xludf.DUMMYFUNCTION("iferror(googlefinance(D27,""price""),"""")"),41.59)</f>
        <v>41.59</v>
      </c>
      <c r="F27" s="9">
        <f ca="1">IFERROR(__xludf.DUMMYFUNCTION("IFERROR(GOOGLEFINANCE(D27,""price"") / index(GOOGLEFINANCE(D27,""price"", datevalue(today()-365) ) , 2,2) - 1,"""")"),0.0537116797567773)</f>
        <v>5.3711679756777299E-2</v>
      </c>
      <c r="G27" s="10">
        <f ca="1">IFERROR(__xludf.DUMMYFUNCTION("iferror(googlefinance(D27,""marketcap""),"""")/10^6"),16372.627226)</f>
        <v>16372.627226000001</v>
      </c>
      <c r="H27" s="11">
        <f ca="1">IFERROR(__xludf.DUMMYFUNCTION("importrange(""https://docs.google.com/spreadsheets/d/1TVqA7MehmxEyS2xPogFAxn7w_OiM0llWV7V7QxYNm1Y/edit#gid=692269516"",""WES!B37"")*1000"),1173.9724833648)</f>
        <v>1173.9724833647999</v>
      </c>
      <c r="I27" s="9">
        <f t="shared" ca="1" si="4"/>
        <v>-0.9282966339390839</v>
      </c>
      <c r="J27" s="9">
        <f ca="1">IFERROR(__xludf.DUMMYFUNCTION("importrange(""https://docs.google.com/spreadsheets/d/1TVqA7MehmxEyS2xPogFAxn7w_OiM0llWV7V7QxYNm1Y/edit#gid=692269516"",""WES!H2"")"),0.296682972612843)</f>
        <v>0.29668297261284299</v>
      </c>
      <c r="K27" s="9">
        <f ca="1">IFERROR(__xludf.DUMMYFUNCTION("importrange(""https://docs.google.com/spreadsheets/d/1TVqA7MehmxEyS2xPogFAxn7w_OiM0llWV7V7QxYNm1Y/edit#gid=692269516"",""WES!B17"")"),0.245419464133973)</f>
        <v>0.245419464133973</v>
      </c>
      <c r="L27" s="12" t="str">
        <f ca="1">IFERROR(__xludf.DUMMYFUNCTION("IFERROR(googlefinance(D27,""pe""),"""")"),"")</f>
        <v/>
      </c>
      <c r="M27" s="12" t="str">
        <f ca="1">IFERROR(__xludf.DUMMYFUNCTION("IFERROR(googlefinance(D27,""beta""),"""")"),"")</f>
        <v/>
      </c>
      <c r="N27" s="13"/>
      <c r="O27" s="4"/>
      <c r="P27" s="4"/>
      <c r="Q27" s="4"/>
      <c r="R27" s="4"/>
      <c r="S27" s="4"/>
    </row>
    <row r="28" spans="1:19" ht="16" customHeight="1" x14ac:dyDescent="0.2">
      <c r="A28" s="6">
        <f t="shared" si="2"/>
        <v>21</v>
      </c>
      <c r="B28" s="7" t="str">
        <f t="shared" si="3"/>
        <v>PNC Financial Services Group Inc</v>
      </c>
      <c r="C28" s="15" t="s">
        <v>1616</v>
      </c>
      <c r="D28" s="6" t="s">
        <v>523</v>
      </c>
      <c r="E28" s="8">
        <f ca="1">IFERROR(__xludf.DUMMYFUNCTION("iferror(googlefinance(D28,""price""),"""")"),212.35)</f>
        <v>212.35</v>
      </c>
      <c r="F28" s="9">
        <f ca="1">IFERROR(__xludf.DUMMYFUNCTION("IFERROR(GOOGLEFINANCE(D28,""price"") / index(GOOGLEFINANCE(D28,""price"", datevalue(today()-365) ) , 2,2) - 1,"""")"),0.120639611589002)</f>
        <v>0.12063961158900199</v>
      </c>
      <c r="G28" s="10">
        <f ca="1">IFERROR(__xludf.DUMMYFUNCTION("iferror(googlefinance(D28,""marketcap""),"""")/10^6"),85655.813076)</f>
        <v>85655.813076000006</v>
      </c>
      <c r="H28" s="11">
        <f ca="1">IFERROR(__xludf.DUMMYFUNCTION("importrange(""https://docs.google.com/spreadsheets/d/1reQ8upYIYmCrro_8afTKwl6jD0hb8jsQOtumLTkmqvM/edit#gid=544878967"",""Financials!B24"")*1000"),85346.4025626145)</f>
        <v>85346.402562614501</v>
      </c>
      <c r="I28" s="9">
        <f t="shared" ca="1" si="4"/>
        <v>-3.6122535327634251E-3</v>
      </c>
      <c r="J28" s="9">
        <f ca="1">IFERROR(__xludf.DUMMYFUNCTION("importrange(""https://docs.google.com/spreadsheets/d/1reQ8upYIYmCrro_8afTKwl6jD0hb8jsQOtumLTkmqvM/edit#gid=544878967"",""Financials!H28"")"),0.0203062769955685)</f>
        <v>2.0306276995568501E-2</v>
      </c>
      <c r="K28" s="9">
        <f ca="1">IFERROR(__xludf.DUMMYFUNCTION("importrange(""https://docs.google.com/spreadsheets/d/1reQ8upYIYmCrro_8afTKwl6jD0hb8jsQOtumLTkmqvM/edit#gid=544878967"",""Financials!G44"")"),0.0343614272362416)</f>
        <v>3.4361427236241603E-2</v>
      </c>
      <c r="L28" s="12" t="str">
        <f ca="1">IFERROR(__xludf.DUMMYFUNCTION("IFERROR(googlefinance(D28,""pe""),"""")"),"")</f>
        <v/>
      </c>
      <c r="M28" s="12" t="str">
        <f ca="1">IFERROR(__xludf.DUMMYFUNCTION("IFERROR(googlefinance(D28,""beta""),"""")"),"")</f>
        <v/>
      </c>
      <c r="N28" s="25">
        <f ca="1">IFERROR(__xludf.DUMMYFUNCTION("importrange(""https://docs.google.com/spreadsheets/d/1reQ8upYIYmCrro_8afTKwl6jD0hb8jsQOtumLTkmqvM/edit#gid=544878967"",""Financials!G42"")"),93.54)</f>
        <v>93.54</v>
      </c>
      <c r="O28" s="4"/>
      <c r="P28" s="4"/>
      <c r="Q28" s="4"/>
      <c r="R28" s="4"/>
      <c r="S28" s="4"/>
    </row>
    <row r="29" spans="1:19" ht="15" customHeight="1" x14ac:dyDescent="0.2">
      <c r="A29" s="6">
        <f t="shared" si="2"/>
        <v>22</v>
      </c>
      <c r="B29" s="7" t="str">
        <f t="shared" si="3"/>
        <v>Silvergate Capital Corporation</v>
      </c>
      <c r="C29" s="15" t="s">
        <v>1617</v>
      </c>
      <c r="D29" s="6" t="s">
        <v>1618</v>
      </c>
      <c r="E29" s="8">
        <f ca="1">IFERROR(__xludf.DUMMYFUNCTION("iferror(googlefinance(D29,""price""),"""")"),13.56)</f>
        <v>13.56</v>
      </c>
      <c r="F29" s="9" t="str">
        <f ca="1">IFERROR(__xludf.DUMMYFUNCTION("IFERROR(GOOGLEFINANCE(D29,""price"") / index(GOOGLEFINANCE(D29,""price"", datevalue(today()-365) ) , 2,2) - 1,"""")"),"")</f>
        <v/>
      </c>
      <c r="G29" s="10">
        <f ca="1">IFERROR(__xludf.DUMMYFUNCTION("iferror(googlefinance(D29,""marketcap""),"""")/10^6"),279.358789)</f>
        <v>279.358789</v>
      </c>
      <c r="H29" s="11">
        <f ca="1">IFERROR(__xludf.DUMMYFUNCTION("importrange(""https://docs.google.com/spreadsheets/d/1YFzudXBMN9O6LHJPHlI2Fee6KTcJLlI_a4y-R0kc6D8/edit#gid=429640807"",""Si!B36"")"),309.646082557911)</f>
        <v>309.64608255791097</v>
      </c>
      <c r="I29" s="9">
        <f t="shared" ca="1" si="4"/>
        <v>0.10841718517727027</v>
      </c>
      <c r="J29" s="9">
        <f ca="1">IFERROR(__xludf.DUMMYFUNCTION("importrange(""https://docs.google.com/spreadsheets/d/1YFzudXBMN9O6LHJPHlI2Fee6KTcJLlI_a4y-R0kc6D8/edit#gid=429640807"",""Si!I2"")"),-0.318425925925925)</f>
        <v>-0.318425925925925</v>
      </c>
      <c r="K29" s="9">
        <f ca="1">IFERROR(__xludf.DUMMYFUNCTION("importrange(""https://docs.google.com/spreadsheets/d/1YFzudXBMN9O6LHJPHlI2Fee6KTcJLlI_a4y-R0kc6D8/edit#gid=429640807"",""Si!B18"")"),0.0686048091291944)</f>
        <v>6.8604809129194394E-2</v>
      </c>
      <c r="L29" s="12" t="str">
        <f ca="1">IFERROR(__xludf.DUMMYFUNCTION("IFERROR(googlefinance(D29,""pe""),"""")"),"")</f>
        <v/>
      </c>
      <c r="M29" s="12" t="str">
        <f ca="1">IFERROR(__xludf.DUMMYFUNCTION("IFERROR(googlefinance(D29,""beta""),"""")"),"")</f>
        <v/>
      </c>
      <c r="N29" s="25"/>
      <c r="O29" s="4"/>
      <c r="P29" s="4"/>
      <c r="Q29" s="4"/>
      <c r="R29" s="4"/>
      <c r="S29" s="4"/>
    </row>
    <row r="30" spans="1:19" ht="15" customHeight="1" x14ac:dyDescent="0.2">
      <c r="A30" s="14">
        <f t="shared" si="2"/>
        <v>23</v>
      </c>
      <c r="B30" s="7" t="str">
        <f t="shared" si="3"/>
        <v>Alphabet Inc Class A</v>
      </c>
      <c r="C30" s="15" t="s">
        <v>1619</v>
      </c>
      <c r="D30" s="6" t="s">
        <v>747</v>
      </c>
      <c r="E30" s="8">
        <f ca="1">IFERROR(__xludf.DUMMYFUNCTION("iferror(googlefinance(D30,""price""),"""")"),311.76)</f>
        <v>311.76</v>
      </c>
      <c r="F30" s="9">
        <f ca="1">IFERROR(__xludf.DUMMYFUNCTION("IFERROR(GOOGLEFINANCE(D30,""price"") / index(GOOGLEFINANCE(D30,""price"", datevalue(today()-365) ) , 2,2) - 1,"""")"),0.86671456798994)</f>
        <v>0.86671456798993995</v>
      </c>
      <c r="G30" s="10">
        <f ca="1">IFERROR(__xludf.DUMMYFUNCTION("iferror(googlefinance(D30,""marketcap""),"""")/10^6"),3772448.880568)</f>
        <v>3772448.880568</v>
      </c>
      <c r="H30" s="11">
        <f ca="1">IFERROR(__xludf.DUMMYFUNCTION("importrange(""https://docs.google.com/spreadsheets/d/1iAF7jMo93TaexbWSxBYGJ0tOkaL3h1mOkFPQL7_eiwc/edit?usp=sharing"",""Summary!B38"")"),2954821.64786503)</f>
        <v>2954821.64786503</v>
      </c>
      <c r="I30" s="9">
        <f t="shared" ca="1" si="4"/>
        <v>-0.2167364644527307</v>
      </c>
      <c r="J30" s="9">
        <f ca="1">IFERROR(__xludf.DUMMYFUNCTION("importrange(""https://docs.google.com/spreadsheets/d/1iAF7jMo93TaexbWSxBYGJ0tOkaL3h1mOkFPQL7_eiwc/edit?usp=sharing"",""Summary!Q2"")"),0.143049786011005)</f>
        <v>0.14304978601100499</v>
      </c>
      <c r="K30" s="9"/>
      <c r="L30" s="12" t="str">
        <f ca="1">IFERROR(__xludf.DUMMYFUNCTION("IFERROR(googlefinance(D30,""pe""),"""")"),"")</f>
        <v/>
      </c>
      <c r="M30" s="12" t="str">
        <f ca="1">IFERROR(__xludf.DUMMYFUNCTION("IFERROR(googlefinance(D30,""beta""),"""")"),"")</f>
        <v/>
      </c>
      <c r="N30" s="25"/>
      <c r="O30" s="4"/>
      <c r="P30" s="4"/>
      <c r="Q30" s="4"/>
      <c r="R30" s="4"/>
      <c r="S30" s="4"/>
    </row>
    <row r="31" spans="1:19" ht="15" customHeight="1" x14ac:dyDescent="0.2">
      <c r="A31" s="6">
        <f t="shared" si="2"/>
        <v>24</v>
      </c>
      <c r="B31" s="7" t="str">
        <f t="shared" si="3"/>
        <v>Amazon.com, Inc.</v>
      </c>
      <c r="C31" s="15" t="s">
        <v>1620</v>
      </c>
      <c r="D31" s="6" t="s">
        <v>1045</v>
      </c>
      <c r="E31" s="8">
        <f ca="1">IFERROR(__xludf.DUMMYFUNCTION("iferror(googlefinance(D31,""price""),"""")"),210)</f>
        <v>210</v>
      </c>
      <c r="F31" s="9">
        <f ca="1">IFERROR(__xludf.DUMMYFUNCTION("IFERROR(GOOGLEFINANCE(D31,""price"") / index(GOOGLEFINANCE(D31,""price"", datevalue(today()-365) ) , 2,2) - 1,"""")"),0.0242903131401814)</f>
        <v>2.4290313140181399E-2</v>
      </c>
      <c r="G31" s="10">
        <f ca="1">IFERROR(__xludf.DUMMYFUNCTION("iferror(googlefinance(D31,""marketcap""),"""")/10^6"),2254333.2)</f>
        <v>2254333.2000000002</v>
      </c>
      <c r="H31" s="11">
        <f ca="1">IFERROR(__xludf.DUMMYFUNCTION("importrange(""https://docs.google.com/spreadsheets/d/17ZFyNeH7OiIizNcbhItyGFR-iS15ex-5EH0Bkr_P-5Y/edit#gid=2037953563"",""Summary!C20"")"),308018.29857362)</f>
        <v>308018.29857361998</v>
      </c>
      <c r="I31" s="9">
        <f t="shared" ca="1" si="4"/>
        <v>-0.86336611705243049</v>
      </c>
      <c r="J31" s="9">
        <f ca="1">IFERROR(__xludf.DUMMYFUNCTION("importrange(""https://docs.google.com/spreadsheets/d/17ZFyNeH7OiIizNcbhItyGFR-iS15ex-5EH0Bkr_P-5Y/edit#gid=2037953563"",""Summary!S21"")"),0.0939951726398508)</f>
        <v>9.3995172639850799E-2</v>
      </c>
      <c r="K31" s="9">
        <f ca="1">IFERROR(__xludf.DUMMYFUNCTION("importrange(""https://docs.google.com/spreadsheets/d/17ZFyNeH7OiIizNcbhItyGFR-iS15ex-5EH0Bkr_P-5Y/edit#gid=2037953563"",""Summary!P41"")"),0.0552524969953168)</f>
        <v>5.5252496995316799E-2</v>
      </c>
      <c r="L31" s="12" t="str">
        <f ca="1">IFERROR(__xludf.DUMMYFUNCTION("IFERROR(googlefinance(D31,""pe""),"""")"),"")</f>
        <v/>
      </c>
      <c r="M31" s="12" t="str">
        <f ca="1">IFERROR(__xludf.DUMMYFUNCTION("IFERROR(googlefinance(D31,""beta""),"""")"),"")</f>
        <v/>
      </c>
      <c r="N31" s="25"/>
      <c r="O31" s="4"/>
      <c r="P31" s="4"/>
      <c r="Q31" s="4"/>
      <c r="R31" s="4"/>
      <c r="S31" s="4"/>
    </row>
    <row r="32" spans="1:19" ht="15" customHeight="1" x14ac:dyDescent="0.2">
      <c r="A32" s="6">
        <f t="shared" si="2"/>
        <v>25</v>
      </c>
      <c r="B32" s="7" t="str">
        <f t="shared" si="3"/>
        <v>Microsoft Corporation</v>
      </c>
      <c r="C32" s="15" t="s">
        <v>1621</v>
      </c>
      <c r="D32" s="6" t="s">
        <v>580</v>
      </c>
      <c r="E32" s="8">
        <f ca="1">IFERROR(__xludf.DUMMYFUNCTION("iferror(googlefinance(D32,""price""),"""")"),392.74)</f>
        <v>392.74</v>
      </c>
      <c r="F32" s="9">
        <f ca="1">IFERROR(__xludf.DUMMYFUNCTION("IFERROR(GOOGLEFINANCE(D32,""price"") / index(GOOGLEFINANCE(D32,""price"", datevalue(today()-365) ) , 2,2) - 1,"""")"),0.0109397925300522)</f>
        <v>1.09397925300522E-2</v>
      </c>
      <c r="G32" s="10">
        <f ca="1">IFERROR(__xludf.DUMMYFUNCTION("iferror(googlefinance(D32,""marketcap""),"""")/10^6"),2916341.460944)</f>
        <v>2916341.4609440002</v>
      </c>
      <c r="H32" s="11">
        <f ca="1">IFERROR(__xludf.DUMMYFUNCTION("importrange(""https://docs.google.com/spreadsheets/d/1-0wE4FJcTwa8HIXiUmKh_2bax-86FCPaaGwzK8mYxjE/edit#gid=644621603"",""MSFT!B37"")*1000"),1430442.87045515)</f>
        <v>1430442.87045515</v>
      </c>
      <c r="I32" s="9">
        <f t="shared" ca="1" si="4"/>
        <v>-0.50950775496908884</v>
      </c>
      <c r="J32" s="9">
        <f ca="1">IFERROR(__xludf.DUMMYFUNCTION("importrange(""https://docs.google.com/spreadsheets/d/1-0wE4FJcTwa8HIXiUmKh_2bax-86FCPaaGwzK8mYxjE/edit#gid=644621603"",""MSFT!J2"")"),0.114645316924798)</f>
        <v>0.114645316924798</v>
      </c>
      <c r="K32" s="9">
        <f ca="1">IFERROR(__xludf.DUMMYFUNCTION("importrange(""https://docs.google.com/spreadsheets/d/1-0wE4FJcTwa8HIXiUmKh_2bax-86FCPaaGwzK8mYxjE/edit#gid=644621603"",""MSFT!H16"")"),0.370303814285214)</f>
        <v>0.37030381428521397</v>
      </c>
      <c r="L32" s="12" t="str">
        <f ca="1">IFERROR(__xludf.DUMMYFUNCTION("IFERROR(googlefinance(D32,""pe""),"""")"),"")</f>
        <v/>
      </c>
      <c r="M32" s="12" t="str">
        <f ca="1">IFERROR(__xludf.DUMMYFUNCTION("IFERROR(googlefinance(D32,""beta""),"""")"),"")</f>
        <v/>
      </c>
      <c r="N32" s="25"/>
      <c r="O32" s="4"/>
      <c r="P32" s="4"/>
      <c r="Q32" s="4"/>
      <c r="R32" s="4"/>
      <c r="S32" s="4"/>
    </row>
    <row r="33" spans="1:19" ht="15" customHeight="1" x14ac:dyDescent="0.2">
      <c r="A33" s="22">
        <f t="shared" si="2"/>
        <v>26</v>
      </c>
      <c r="B33" s="7" t="str">
        <f t="shared" si="3"/>
        <v>Meta Platforms, Inc.</v>
      </c>
      <c r="C33" s="15" t="s">
        <v>1622</v>
      </c>
      <c r="D33" s="6" t="s">
        <v>1417</v>
      </c>
      <c r="E33" s="8">
        <f ca="1">IFERROR(__xludf.DUMMYFUNCTION("iferror(googlefinance(D33,""price""),"""")"),648.18)</f>
        <v>648.17999999999995</v>
      </c>
      <c r="F33" s="9">
        <f ca="1">IFERROR(__xludf.DUMMYFUNCTION("IFERROR(GOOGLEFINANCE(D33,""price"") / index(GOOGLEFINANCE(D33,""price"", datevalue(today()-365) ) , 2,2) - 1,"""")"),-0.0104877490267918)</f>
        <v>-1.0487749026791801E-2</v>
      </c>
      <c r="G33" s="10">
        <f ca="1">IFERROR(__xludf.DUMMYFUNCTION("iferror(googlefinance(D33,""marketcap""),"""")/10^6"),1639606.941372)</f>
        <v>1639606.9413719999</v>
      </c>
      <c r="H33" s="11">
        <f ca="1">IFERROR(__xludf.DUMMYFUNCTION("importrange(""https://docs.google.com/spreadsheets/d/17uqhWqgxDFZCVvpEWDzsuYjUy_GuQnhH4-9GU95cukk/edit#gid=150498026"",""Summary!B29"")"),240226.174847726)</f>
        <v>240226.17484772601</v>
      </c>
      <c r="I33" s="9">
        <f t="shared" ca="1" si="4"/>
        <v>-0.85348550998039319</v>
      </c>
      <c r="J33" s="9">
        <f ca="1">IFERROR(__xludf.DUMMYFUNCTION("importrange(""https://docs.google.com/spreadsheets/d/17uqhWqgxDFZCVvpEWDzsuYjUy_GuQnhH4-9GU95cukk/edit#gid=150498026"",""Summary!J2"")"),-0.0111931755547829)</f>
        <v>-1.11931755547829E-2</v>
      </c>
      <c r="K33" s="9">
        <f ca="1">IFERROR(__xludf.DUMMYFUNCTION("importrange(""https://docs.google.com/spreadsheets/d/17uqhWqgxDFZCVvpEWDzsuYjUy_GuQnhH4-9GU95cukk/edit#gid=150498026"",""Summary!G16"")"),0.380050020357122)</f>
        <v>0.38005002035712199</v>
      </c>
      <c r="L33" s="12" t="str">
        <f ca="1">IFERROR(__xludf.DUMMYFUNCTION("IFERROR(googlefinance(D33,""pe""),"""")"),"")</f>
        <v/>
      </c>
      <c r="M33" s="12" t="str">
        <f ca="1">IFERROR(__xludf.DUMMYFUNCTION("IFERROR(googlefinance(D33,""beta""),"""")"),"")</f>
        <v/>
      </c>
      <c r="N33" s="25"/>
      <c r="O33" s="4"/>
      <c r="P33" s="4"/>
      <c r="Q33" s="4"/>
      <c r="R33" s="4"/>
      <c r="S33" s="4"/>
    </row>
    <row r="34" spans="1:19" ht="15" customHeight="1" x14ac:dyDescent="0.2">
      <c r="A34" s="6">
        <f t="shared" si="2"/>
        <v>27</v>
      </c>
      <c r="B34" s="7" t="str">
        <f t="shared" si="3"/>
        <v>Park Hotels &amp; Resorts Inc.</v>
      </c>
      <c r="C34" s="15" t="s">
        <v>1623</v>
      </c>
      <c r="D34" s="6" t="s">
        <v>1624</v>
      </c>
      <c r="E34" s="8">
        <f ca="1">IFERROR(__xludf.DUMMYFUNCTION("iferror(googlefinance(D34,""price""),"""")"),11.31)</f>
        <v>11.31</v>
      </c>
      <c r="F34" s="9">
        <f ca="1">IFERROR(__xludf.DUMMYFUNCTION("IFERROR(GOOGLEFINANCE(D34,""price"") / index(GOOGLEFINANCE(D34,""price"", datevalue(today()-365) ) , 2,2) - 1,"""")"),-0.0582847626977518)</f>
        <v>-5.8284762697751798E-2</v>
      </c>
      <c r="G34" s="10">
        <f ca="1">IFERROR(__xludf.DUMMYFUNCTION("iferror(googlefinance(D34,""marketcap""),"""")/10^6"),2277.815988)</f>
        <v>2277.8159879999998</v>
      </c>
      <c r="H34" s="11"/>
      <c r="I34" s="9">
        <v>0</v>
      </c>
      <c r="J34" s="9"/>
      <c r="K34" s="9"/>
      <c r="L34" s="12" t="str">
        <f ca="1">IFERROR(__xludf.DUMMYFUNCTION("IFERROR(googlefinance(D34,""pe""),"""")"),"")</f>
        <v/>
      </c>
      <c r="M34" s="12" t="str">
        <f ca="1">IFERROR(__xludf.DUMMYFUNCTION("IFERROR(googlefinance(D34,""beta""),"""")"),"")</f>
        <v/>
      </c>
      <c r="N34" s="25"/>
      <c r="O34" s="4"/>
      <c r="P34" s="4"/>
      <c r="Q34" s="4"/>
      <c r="R34" s="4"/>
      <c r="S34" s="4"/>
    </row>
    <row r="35" spans="1:19" ht="15" customHeight="1" x14ac:dyDescent="0.2">
      <c r="A35" s="6">
        <f t="shared" si="2"/>
        <v>28</v>
      </c>
      <c r="B35" s="7" t="str">
        <f t="shared" si="3"/>
        <v>The Howard Hughes Corporation</v>
      </c>
      <c r="C35" s="15" t="s">
        <v>1625</v>
      </c>
      <c r="D35" s="6" t="s">
        <v>1626</v>
      </c>
      <c r="E35" s="8">
        <f ca="1">IFERROR(__xludf.DUMMYFUNCTION("iferror(googlefinance(D35,""price""),"""")"),0)</f>
        <v>0</v>
      </c>
      <c r="F35" s="9" t="str">
        <f ca="1">IFERROR(__xludf.DUMMYFUNCTION("IFERROR(GOOGLEFINANCE(D35,""price"") / index(GOOGLEFINANCE(D35,""price"", datevalue(today()-365) ) , 2,2) - 1,"""")"),"")</f>
        <v/>
      </c>
      <c r="G35" s="10">
        <f ca="1">IFERROR(__xludf.DUMMYFUNCTION("iferror(googlefinance(D35,""marketcap""),"""")/10^6"),4315.882813)</f>
        <v>4315.8828130000002</v>
      </c>
      <c r="H35" s="11"/>
      <c r="I35" s="9">
        <v>0</v>
      </c>
      <c r="J35" s="9"/>
      <c r="K35" s="9"/>
      <c r="L35" s="12" t="str">
        <f ca="1">IFERROR(__xludf.DUMMYFUNCTION("IFERROR(googlefinance(D35,""pe""),"""")"),"")</f>
        <v/>
      </c>
      <c r="M35" s="12" t="str">
        <f ca="1">IFERROR(__xludf.DUMMYFUNCTION("IFERROR(googlefinance(D35,""beta""),"""")"),"")</f>
        <v/>
      </c>
      <c r="N35" s="25"/>
      <c r="O35" s="4"/>
      <c r="P35" s="4"/>
      <c r="Q35" s="4"/>
      <c r="R35" s="4"/>
      <c r="S35" s="4"/>
    </row>
    <row r="36" spans="1:19" ht="15" customHeight="1" x14ac:dyDescent="0.2">
      <c r="A36" s="19">
        <f t="shared" si="2"/>
        <v>29</v>
      </c>
      <c r="B36" s="7" t="str">
        <f t="shared" si="3"/>
        <v xml:space="preserve">Charles Schwab Corp. </v>
      </c>
      <c r="C36" s="15" t="s">
        <v>1627</v>
      </c>
      <c r="D36" s="6" t="s">
        <v>444</v>
      </c>
      <c r="E36" s="8">
        <f ca="1">IFERROR(__xludf.DUMMYFUNCTION("iferror(googlefinance(D36,""price""),"""")"),95.2)</f>
        <v>95.2</v>
      </c>
      <c r="F36" s="9">
        <f ca="1">IFERROR(__xludf.DUMMYFUNCTION("IFERROR(GOOGLEFINANCE(D36,""price"") / index(GOOGLEFINANCE(D36,""price"", datevalue(today()-365) ) , 2,2) - 1,"""")"),0.218637992831541)</f>
        <v>0.21863799283154101</v>
      </c>
      <c r="G36" s="10">
        <f ca="1">IFERROR(__xludf.DUMMYFUNCTION("iferror(googlefinance(D36,""marketcap""),"""")/10^6"),166810.386652)</f>
        <v>166810.38665199999</v>
      </c>
      <c r="H36" s="11">
        <f ca="1">IFERROR(__xludf.DUMMYFUNCTION("importrange(""https://docs.google.com/spreadsheets/d/1F8tm1olP0GJTuf6jBnMAafmh7af_8JW2W4-P4xhp35s/edit#gid=644621603"",""SCHW!B31"")*1000"),103739.317847309)</f>
        <v>103739.31784730899</v>
      </c>
      <c r="I36" s="9">
        <f ca="1">(H36-G36)/G36</f>
        <v>-0.37810036935092012</v>
      </c>
      <c r="J36" s="9">
        <f ca="1">IFERROR(__xludf.DUMMYFUNCTION("importrange(""https://docs.google.com/spreadsheets/d/1F8tm1olP0GJTuf6jBnMAafmh7af_8JW2W4-P4xhp35s/edit#gid=644621603"",""SCHW!I2"")"),0.184415362244461)</f>
        <v>0.18441536224446101</v>
      </c>
      <c r="K36" s="9">
        <f ca="1">IFERROR(__xludf.DUMMYFUNCTION("importrange(""https://docs.google.com/spreadsheets/d/1F8tm1olP0GJTuf6jBnMAafmh7af_8JW2W4-P4xhp35s/edit#gid=644621603"",""SCHW!H16"")"),0.394479464350194)</f>
        <v>0.39447946435019399</v>
      </c>
      <c r="L36" s="12" t="str">
        <f ca="1">IFERROR(__xludf.DUMMYFUNCTION("IFERROR(googlefinance(D36,""pe""),"""")"),"")</f>
        <v/>
      </c>
      <c r="M36" s="12" t="str">
        <f ca="1">IFERROR(__xludf.DUMMYFUNCTION("IFERROR(googlefinance(D36,""beta""),"""")"),"")</f>
        <v/>
      </c>
      <c r="N36" s="25"/>
      <c r="O36" s="4"/>
      <c r="P36" s="4"/>
      <c r="Q36" s="4"/>
      <c r="R36" s="4"/>
      <c r="S36" s="4"/>
    </row>
    <row r="37" spans="1:19" ht="15" customHeight="1" x14ac:dyDescent="0.2">
      <c r="A37" s="6">
        <f t="shared" si="2"/>
        <v>30</v>
      </c>
      <c r="B37" s="7" t="str">
        <f t="shared" si="3"/>
        <v>Restaurant Brands International Inc.</v>
      </c>
      <c r="C37" s="15" t="s">
        <v>1628</v>
      </c>
      <c r="D37" s="6" t="s">
        <v>362</v>
      </c>
      <c r="E37" s="8">
        <f ca="1">IFERROR(__xludf.DUMMYFUNCTION("iferror(googlefinance(D37,""price""),"""")"),71.71)</f>
        <v>71.709999999999994</v>
      </c>
      <c r="F37" s="9">
        <f ca="1">IFERROR(__xludf.DUMMYFUNCTION("IFERROR(GOOGLEFINANCE(D37,""price"") / index(GOOGLEFINANCE(D37,""price"", datevalue(today()-365) ) , 2,2) - 1,"""")"),0.106123708159802)</f>
        <v>0.106123708159802</v>
      </c>
      <c r="G37" s="10">
        <f ca="1">IFERROR(__xludf.DUMMYFUNCTION("iferror(googlefinance(D37,""marketcap""),"""")/10^6"),24847.815864)</f>
        <v>24847.815864</v>
      </c>
      <c r="H37" s="11"/>
      <c r="I37" s="9">
        <v>0</v>
      </c>
      <c r="J37" s="9"/>
      <c r="K37" s="9"/>
      <c r="L37" s="12" t="str">
        <f ca="1">IFERROR(__xludf.DUMMYFUNCTION("IFERROR(googlefinance(D37,""pe""),"""")"),"")</f>
        <v/>
      </c>
      <c r="M37" s="12" t="str">
        <f ca="1">IFERROR(__xludf.DUMMYFUNCTION("IFERROR(googlefinance(D37,""beta""),"""")"),"")</f>
        <v/>
      </c>
      <c r="N37" s="25"/>
      <c r="O37" s="4"/>
      <c r="P37" s="4"/>
      <c r="Q37" s="4"/>
      <c r="R37" s="4"/>
      <c r="S37" s="4"/>
    </row>
    <row r="38" spans="1:19" ht="15" customHeight="1" x14ac:dyDescent="0.2">
      <c r="A38" s="6">
        <f t="shared" si="2"/>
        <v>31</v>
      </c>
      <c r="B38" s="7" t="str">
        <f t="shared" si="3"/>
        <v>Xilinx Inc.</v>
      </c>
      <c r="C38" s="15" t="s">
        <v>1629</v>
      </c>
      <c r="D38" s="6" t="s">
        <v>1630</v>
      </c>
      <c r="E38" s="8" t="str">
        <f ca="1">IFERROR(__xludf.DUMMYFUNCTION("iferror(googlefinance(D38,""price""),"""")"),"")</f>
        <v/>
      </c>
      <c r="F38" s="9">
        <v>0</v>
      </c>
      <c r="G38" s="10">
        <f ca="1">IFERROR(__xludf.DUMMYFUNCTION("iferror(googlefinance(D38,""marketcap""),"""")/10^6"),0)</f>
        <v>0</v>
      </c>
      <c r="H38" s="11"/>
      <c r="I38" s="9">
        <v>0</v>
      </c>
      <c r="J38" s="9"/>
      <c r="K38" s="9"/>
      <c r="L38" s="12" t="str">
        <f ca="1">IFERROR(__xludf.DUMMYFUNCTION("IFERROR(googlefinance(D38,""pe""),"""")"),"")</f>
        <v/>
      </c>
      <c r="M38" s="12" t="str">
        <f ca="1">IFERROR(__xludf.DUMMYFUNCTION("IFERROR(googlefinance(D38,""beta""),"""")"),"")</f>
        <v/>
      </c>
      <c r="N38" s="25"/>
      <c r="O38" s="4"/>
      <c r="P38" s="4"/>
      <c r="Q38" s="4"/>
      <c r="R38" s="4"/>
      <c r="S38" s="4"/>
    </row>
    <row r="39" spans="1:19" ht="30" customHeight="1" x14ac:dyDescent="0.2">
      <c r="A39" s="6">
        <f t="shared" si="2"/>
        <v>32</v>
      </c>
      <c r="B39" s="7" t="str">
        <f t="shared" si="3"/>
        <v>Walt Disney Co.</v>
      </c>
      <c r="C39" s="15" t="s">
        <v>1631</v>
      </c>
      <c r="D39" s="6" t="s">
        <v>1213</v>
      </c>
      <c r="E39" s="8">
        <f ca="1">IFERROR(__xludf.DUMMYFUNCTION("iferror(googlefinance(D39,""price""),"""")"),106.04)</f>
        <v>106.04</v>
      </c>
      <c r="F39" s="9">
        <f ca="1">IFERROR(__xludf.DUMMYFUNCTION("IFERROR(GOOGLEFINANCE(D39,""price"") / index(GOOGLEFINANCE(D39,""price"", datevalue(today()-365) ) , 2,2) - 1,"""")"),-0.0598457310045217)</f>
        <v>-5.9845731004521702E-2</v>
      </c>
      <c r="G39" s="10">
        <f ca="1">IFERROR(__xludf.DUMMYFUNCTION("iferror(googlefinance(D39,""marketcap""),"""")/10^6"),187851.876381)</f>
        <v>187851.87638100001</v>
      </c>
      <c r="H39" s="11">
        <f ca="1">IFERROR(__xludf.DUMMYFUNCTION("importrange(""https://docs.google.com/spreadsheets/d/1L4FKQtUpj3I5jkPXYxo00-bMwvduNEaET-STfup6mZo/edit#gid=644621603"",""DIS!B32"")*1000"),117528.235825075)</f>
        <v>117528.235825075</v>
      </c>
      <c r="I39" s="9">
        <f t="shared" ref="I39:I45" ca="1" si="5">(H39-G39)/G39</f>
        <v>-0.37435687048073474</v>
      </c>
      <c r="J39" s="9">
        <f ca="1">IFERROR(__xludf.DUMMYFUNCTION("importrange(""https://docs.google.com/spreadsheets/d/1L4FKQtUpj3I5jkPXYxo00-bMwvduNEaET-STfup6mZo/edit#gid=644621603"",""DIS!I2"")*1000"),39.380081300813)</f>
        <v>39.380081300813004</v>
      </c>
      <c r="K39" s="9">
        <f ca="1">IFERROR(__xludf.DUMMYFUNCTION("importrange(""https://docs.google.com/spreadsheets/d/1L4FKQtUpj3I5jkPXYxo00-bMwvduNEaET-STfup6mZo/edit#gid=644621603"",""DIS!H15"")*1000"),230.69986714016)</f>
        <v>230.69986714015999</v>
      </c>
      <c r="L39" s="12" t="str">
        <f ca="1">IFERROR(__xludf.DUMMYFUNCTION("IFERROR(googlefinance(D39,""pe""),"""")"),"")</f>
        <v/>
      </c>
      <c r="M39" s="12" t="str">
        <f ca="1">IFERROR(__xludf.DUMMYFUNCTION("IFERROR(googlefinance(D39,""beta""),"""")"),"")</f>
        <v/>
      </c>
      <c r="N39" s="25"/>
      <c r="O39" s="4"/>
      <c r="P39" s="4"/>
      <c r="Q39" s="4"/>
      <c r="R39" s="4"/>
      <c r="S39" s="4"/>
    </row>
    <row r="40" spans="1:19" ht="15" customHeight="1" x14ac:dyDescent="0.2">
      <c r="A40" s="6">
        <f t="shared" si="2"/>
        <v>33</v>
      </c>
      <c r="B40" s="7" t="str">
        <f t="shared" si="3"/>
        <v>TD Ameritrade</v>
      </c>
      <c r="C40" s="15" t="s">
        <v>1632</v>
      </c>
      <c r="D40" s="6" t="s">
        <v>1633</v>
      </c>
      <c r="E40" s="8" t="str">
        <f ca="1">IFERROR(__xludf.DUMMYFUNCTION("iferror(googlefinance(D40,""price""),"""")"),"")</f>
        <v/>
      </c>
      <c r="F40" s="9" t="str">
        <f ca="1">IFERROR(__xludf.DUMMYFUNCTION("IFERROR(GOOGLEFINANCE(D40,""price"") / index(GOOGLEFINANCE(D40,""price"", datevalue(today()-365) ) , 2,2) - 1,"""")"),"")</f>
        <v/>
      </c>
      <c r="G40" s="10">
        <f ca="1">IFERROR(__xludf.DUMMYFUNCTION("iferror(googlefinance(D40,""marketcap""),"""")/10^6"),0)</f>
        <v>0</v>
      </c>
      <c r="H40" s="11">
        <f ca="1">IFERROR(__xludf.DUMMYFUNCTION("importrange(""https://docs.google.com/spreadsheets/d/1vtcCV4JW-Qg5Z2YuuMjmX7GPYTyQzX2iEzo7hKgj-j8/edit#gid=644621603"",""AMTD!B31"")*1000"),19943.9520305236)</f>
        <v>19943.9520305236</v>
      </c>
      <c r="I40" s="9" t="e">
        <f t="shared" ca="1" si="5"/>
        <v>#DIV/0!</v>
      </c>
      <c r="J40" s="9">
        <f ca="1">IFERROR(__xludf.DUMMYFUNCTION("importrange(""https://docs.google.com/spreadsheets/d/1vtcCV4JW-Qg5Z2YuuMjmX7GPYTyQzX2iEzo7hKgj-j8/edit#gid=644621603"",""AMTD!I2"")"),0.0372956403269754)</f>
        <v>3.7295640326975403E-2</v>
      </c>
      <c r="K40" s="9">
        <f ca="1">IFERROR(__xludf.DUMMYFUNCTION("importrange(""https://docs.google.com/spreadsheets/d/1vtcCV4JW-Qg5Z2YuuMjmX7GPYTyQzX2iEzo7hKgj-j8/edit#gid=644621603"",""AMTD!H16"")"),0.447731957811457)</f>
        <v>0.44773195781145703</v>
      </c>
      <c r="L40" s="12" t="str">
        <f ca="1">IFERROR(__xludf.DUMMYFUNCTION("IFERROR(googlefinance(D40,""pe""),"""")"),"")</f>
        <v/>
      </c>
      <c r="M40" s="12" t="str">
        <f ca="1">IFERROR(__xludf.DUMMYFUNCTION("IFERROR(googlefinance(D40,""beta""),"""")"),"")</f>
        <v/>
      </c>
      <c r="N40" s="25"/>
      <c r="O40" s="4"/>
      <c r="P40" s="4"/>
      <c r="Q40" s="4"/>
      <c r="R40" s="4"/>
      <c r="S40" s="4"/>
    </row>
    <row r="41" spans="1:19" ht="30" customHeight="1" x14ac:dyDescent="0.2">
      <c r="A41" s="6">
        <f t="shared" ref="A41:A72" si="6">A40+1</f>
        <v>34</v>
      </c>
      <c r="B41" s="7" t="str">
        <f t="shared" si="3"/>
        <v>Mail.ru Group Ltd GDR</v>
      </c>
      <c r="C41" s="15" t="s">
        <v>1634</v>
      </c>
      <c r="D41" s="6" t="s">
        <v>1635</v>
      </c>
      <c r="E41" s="8">
        <f ca="1">IFERROR(__xludf.DUMMYFUNCTION("iferror(googlefinance(D41,""price""),"""")"),0)</f>
        <v>0</v>
      </c>
      <c r="F41" s="9">
        <v>0</v>
      </c>
      <c r="G41" s="10">
        <f ca="1">IFERROR(__xludf.DUMMYFUNCTION("iferror(googlefinance(D41,""marketcap""),"""")/10^6"),125.739851)</f>
        <v>125.739851</v>
      </c>
      <c r="H41" s="11">
        <f ca="1">IFERROR(__xludf.DUMMYFUNCTION("importrange(""https://docs.google.com/spreadsheets/d/1POuxvulNjw70dgr4wRAoUiHRR0maG6qOrFcFl7BShmU/edit#gid=1344089490"",""Summary!C33"")*1000"),1622.66051906179)</f>
        <v>1622.66051906179</v>
      </c>
      <c r="I41" s="9">
        <f t="shared" ca="1" si="5"/>
        <v>11.904902512265503</v>
      </c>
      <c r="J41" s="9">
        <f ca="1">IFERROR(__xludf.DUMMYFUNCTION("importrange(""https://docs.google.com/spreadsheets/d/1POuxvulNjw70dgr4wRAoUiHRR0maG6qOrFcFl7BShmU/edit#gid=1344089490"",""Summary!H2"")"),0.115925155925155)</f>
        <v>0.115925155925155</v>
      </c>
      <c r="K41" s="9">
        <f ca="1">IFERROR(__xludf.DUMMYFUNCTION("importrange(""https://docs.google.com/spreadsheets/d/1POuxvulNjw70dgr4wRAoUiHRR0maG6qOrFcFl7BShmU/edit#gid=1344089490"",""Summary!G19"")"),0.307399955287279)</f>
        <v>0.30739995528727898</v>
      </c>
      <c r="L41" s="12" t="str">
        <f ca="1">IFERROR(__xludf.DUMMYFUNCTION("IFERROR(googlefinance(D41,""pe""),"""")"),"")</f>
        <v/>
      </c>
      <c r="M41" s="12" t="str">
        <f ca="1">IFERROR(__xludf.DUMMYFUNCTION("IFERROR(googlefinance(D41,""beta""),"""")"),"")</f>
        <v/>
      </c>
      <c r="N41" s="25"/>
      <c r="O41" s="4"/>
      <c r="P41" s="4"/>
      <c r="Q41" s="4"/>
      <c r="R41" s="4"/>
      <c r="S41" s="4"/>
    </row>
    <row r="42" spans="1:19" ht="30" customHeight="1" x14ac:dyDescent="0.2">
      <c r="A42" s="6">
        <f t="shared" si="6"/>
        <v>35</v>
      </c>
      <c r="B42" s="7" t="str">
        <f t="shared" si="3"/>
        <v>American Express Co</v>
      </c>
      <c r="C42" s="15" t="s">
        <v>1636</v>
      </c>
      <c r="D42" s="6" t="s">
        <v>541</v>
      </c>
      <c r="E42" s="8">
        <f ca="1">IFERROR(__xludf.DUMMYFUNCTION("iferror(googlefinance(D42,""price""),"""")"),308.9)</f>
        <v>308.89999999999998</v>
      </c>
      <c r="F42" s="9">
        <f ca="1">IFERROR(__xludf.DUMMYFUNCTION("IFERROR(GOOGLEFINANCE(D42,""price"") / index(GOOGLEFINANCE(D42,""price"", datevalue(today()-365) ) , 2,2) - 1,"""")"),0.0453822464381197)</f>
        <v>4.5382246438119701E-2</v>
      </c>
      <c r="G42" s="10">
        <f ca="1">IFERROR(__xludf.DUMMYFUNCTION("iferror(googlefinance(D42,""marketcap""),"""")/10^6"),212095.029519)</f>
        <v>212095.029519</v>
      </c>
      <c r="H42" s="11">
        <f ca="1">IFERROR(__xludf.DUMMYFUNCTION("importrange(""https://docs.google.com/spreadsheets/d/1pPtPZdU5W0LctnDqTA4epwxgxp6IRPtePwNDmucu_Fs/edit#gid=1023062230"",""Summary!C27"")"),96956.5069582258)</f>
        <v>96956.5069582258</v>
      </c>
      <c r="I42" s="9">
        <f t="shared" ca="1" si="5"/>
        <v>-0.5428628988708093</v>
      </c>
      <c r="J42" s="9">
        <f ca="1">IFERROR(__xludf.DUMMYFUNCTION("importrange(""https://docs.google.com/spreadsheets/d/1pPtPZdU5W0LctnDqTA4epwxgxp6IRPtePwNDmucu_Fs/edit#gid=1023062230"",""Summary!J2"")"),-0.00247956653503535)</f>
        <v>-2.4795665350353501E-3</v>
      </c>
      <c r="K42" s="9">
        <f ca="1">IFERROR(__xludf.DUMMYFUNCTION("importrange(""https://docs.google.com/spreadsheets/d/1pPtPZdU5W0LctnDqTA4epwxgxp6IRPtePwNDmucu_Fs/edit#gid=1023062230"",""Summary!I14"")"),0.101109372122997)</f>
        <v>0.101109372122997</v>
      </c>
      <c r="L42" s="12" t="str">
        <f ca="1">IFERROR(__xludf.DUMMYFUNCTION("IFERROR(googlefinance(D42,""pe""),"""")"),"")</f>
        <v/>
      </c>
      <c r="M42" s="12" t="str">
        <f ca="1">IFERROR(__xludf.DUMMYFUNCTION("IFERROR(googlefinance(D42,""beta""),"""")"),"")</f>
        <v/>
      </c>
      <c r="N42" s="25"/>
      <c r="O42" s="4"/>
      <c r="P42" s="4"/>
      <c r="Q42" s="4"/>
      <c r="R42" s="4"/>
      <c r="S42" s="4"/>
    </row>
    <row r="43" spans="1:19" ht="45" customHeight="1" x14ac:dyDescent="0.2">
      <c r="A43" s="19">
        <f t="shared" si="6"/>
        <v>36</v>
      </c>
      <c r="B43" s="7" t="str">
        <f t="shared" ref="B43:B74" si="7">HYPERLINK("https://finance.yahoo.com/quote/"&amp;D43, C43)</f>
        <v>Bank of New York Mellon Corp</v>
      </c>
      <c r="C43" s="15" t="s">
        <v>1637</v>
      </c>
      <c r="D43" s="6" t="s">
        <v>1269</v>
      </c>
      <c r="E43" s="8">
        <f ca="1">IFERROR(__xludf.DUMMYFUNCTION("iferror(googlefinance(D43,""price""),"""")"),119.1)</f>
        <v>119.1</v>
      </c>
      <c r="F43" s="9">
        <f ca="1">IFERROR(__xludf.DUMMYFUNCTION("IFERROR(GOOGLEFINANCE(D43,""price"") / index(GOOGLEFINANCE(D43,""price"", datevalue(today()-365) ) , 2,2) - 1,"""")"),0.348047538200339)</f>
        <v>0.34804753820033901</v>
      </c>
      <c r="G43" s="10">
        <f ca="1">IFERROR(__xludf.DUMMYFUNCTION("iferror(googlefinance(D43,""marketcap""),"""")/10^6"),81810.670291)</f>
        <v>81810.670291000002</v>
      </c>
      <c r="H43" s="11">
        <f ca="1">IFERROR(__xludf.DUMMYFUNCTION("importrange(""https://docs.google.com/spreadsheets/d/1RDmGZo9Acgc7RPfWGhcWjGvuUfMMhJaYtkT38IdjaG8/edit#gid=892062421"",""BK!B32"")"),44754.6996211422)</f>
        <v>44754.699621142201</v>
      </c>
      <c r="I43" s="9">
        <f t="shared" ca="1" si="5"/>
        <v>-0.45294789222542686</v>
      </c>
      <c r="J43" s="9">
        <f ca="1">IFERROR(__xludf.DUMMYFUNCTION("importrange(""https://docs.google.com/spreadsheets/d/1RDmGZo9Acgc7RPfWGhcWjGvuUfMMhJaYtkT38IdjaG8/edit#gid=892062421"",""BK!J3"")"),-0.0295152004584886)</f>
        <v>-2.95152004584886E-2</v>
      </c>
      <c r="K43" s="9">
        <f ca="1">IFERROR(__xludf.DUMMYFUNCTION("importrange(""https://docs.google.com/spreadsheets/d/1RDmGZo9Acgc7RPfWGhcWjGvuUfMMhJaYtkT38IdjaG8/edit#gid=892062421"",""BK!H24"")"),0.282641700404858)</f>
        <v>0.28264170040485798</v>
      </c>
      <c r="L43" s="12" t="str">
        <f ca="1">IFERROR(__xludf.DUMMYFUNCTION("IFERROR(googlefinance(D43,""pe""),"""")"),"")</f>
        <v/>
      </c>
      <c r="M43" s="12" t="str">
        <f ca="1">IFERROR(__xludf.DUMMYFUNCTION("IFERROR(googlefinance(D43,""beta""),"""")"),"")</f>
        <v/>
      </c>
      <c r="N43" s="25"/>
      <c r="O43" s="4"/>
      <c r="P43" s="4"/>
      <c r="Q43" s="4"/>
      <c r="R43" s="4"/>
      <c r="S43" s="4"/>
    </row>
    <row r="44" spans="1:19" ht="15" customHeight="1" x14ac:dyDescent="0.2">
      <c r="A44" s="14">
        <f t="shared" si="6"/>
        <v>37</v>
      </c>
      <c r="B44" s="7" t="str">
        <f t="shared" si="7"/>
        <v>Tesla Inc</v>
      </c>
      <c r="C44" s="15" t="s">
        <v>1486</v>
      </c>
      <c r="D44" s="6" t="s">
        <v>1485</v>
      </c>
      <c r="E44" s="8">
        <f ca="1">IFERROR(__xludf.DUMMYFUNCTION("iferror(googlefinance(D44,""price""),"""")"),402.51)</f>
        <v>402.51</v>
      </c>
      <c r="F44" s="9">
        <f ca="1">IFERROR(__xludf.DUMMYFUNCTION("IFERROR(GOOGLEFINANCE(D44,""price"") / index(GOOGLEFINANCE(D44,""price"", datevalue(today()-365) ) , 2,2) - 1,"""")"),0.414052344985069)</f>
        <v>0.41405234498506899</v>
      </c>
      <c r="G44" s="10">
        <f ca="1">IFERROR(__xludf.DUMMYFUNCTION("iferror(googlefinance(D44,""marketcap""),"""")/10^6"),1261253.0403)</f>
        <v>1261253.0403</v>
      </c>
      <c r="H44" s="11">
        <f ca="1">IFERROR(__xludf.DUMMYFUNCTION("importrange(""https://docs.google.com/spreadsheets/d/1s0WAt5f5uINzrh-BFNyDhLtn62N1pGkxpCpJuOZLxdU/edit#gid=1887439665"",""Summary!B4"")*1000"),24725.0400745573)</f>
        <v>24725.040074557299</v>
      </c>
      <c r="I44" s="9">
        <f t="shared" ca="1" si="5"/>
        <v>-0.98039644759256539</v>
      </c>
      <c r="J44" s="9">
        <f ca="1">IFERROR(__xludf.DUMMYFUNCTION("importrange(""https://docs.google.com/spreadsheets/d/1s0WAt5f5uINzrh-BFNyDhLtn62N1pGkxpCpJuOZLxdU/edit#gid=1887439665"",""Summary!B1"")"),0.145386766076421)</f>
        <v>0.14538676607642101</v>
      </c>
      <c r="K44" s="9">
        <f ca="1">IFERROR(__xludf.DUMMYFUNCTION("importrange(""https://docs.google.com/spreadsheets/d/1s0WAt5f5uINzrh-BFNyDhLtn62N1pGkxpCpJuOZLxdU/edit#gid=1887439665"",""Summary!B10"")"),0.03228285933897)</f>
        <v>3.2282859338970002E-2</v>
      </c>
      <c r="L44" s="12" t="str">
        <f ca="1">IFERROR(__xludf.DUMMYFUNCTION("IFERROR(googlefinance(D44,""pe""),"""")"),"")</f>
        <v/>
      </c>
      <c r="M44" s="12" t="str">
        <f ca="1">IFERROR(__xludf.DUMMYFUNCTION("IFERROR(googlefinance(D44,""beta""),"""")"),"")</f>
        <v/>
      </c>
      <c r="N44" s="25"/>
      <c r="O44" s="4"/>
      <c r="P44" s="4"/>
      <c r="Q44" s="4"/>
      <c r="R44" s="4"/>
      <c r="S44" s="4"/>
    </row>
    <row r="45" spans="1:19" ht="45" customHeight="1" x14ac:dyDescent="0.2">
      <c r="A45" s="22">
        <f t="shared" si="6"/>
        <v>38</v>
      </c>
      <c r="B45" s="7" t="str">
        <f t="shared" si="7"/>
        <v>Bristol-Myers Squibb Company</v>
      </c>
      <c r="C45" s="15" t="s">
        <v>1638</v>
      </c>
      <c r="D45" s="6" t="s">
        <v>612</v>
      </c>
      <c r="E45" s="8">
        <f ca="1">IFERROR(__xludf.DUMMYFUNCTION("iferror(googlefinance(D45,""price""),"""")"),62.37)</f>
        <v>62.37</v>
      </c>
      <c r="F45" s="9">
        <f ca="1">IFERROR(__xludf.DUMMYFUNCTION("IFERROR(GOOGLEFINANCE(D45,""price"") / index(GOOGLEFINANCE(D45,""price"", datevalue(today()-365) ) , 2,2) - 1,"""")"),0.0417571404710206)</f>
        <v>4.1757140471020603E-2</v>
      </c>
      <c r="G45" s="10">
        <f ca="1">IFERROR(__xludf.DUMMYFUNCTION("iferror(googlefinance(D45,""marketcap""),"""")/10^6"),127014.756464)</f>
        <v>127014.75646400001</v>
      </c>
      <c r="H45" s="11">
        <f ca="1">IFERROR(__xludf.DUMMYFUNCTION("importrange(""https://docs.google.com/spreadsheets/d/1PKkvs4NFYwl4R4yvsfSA-VcPcz_8gWCI9jloSK2IhP0/edit#gid=254823806"",""Summary!B25"")*1000"),60721.1126872985)</f>
        <v>60721.112687298497</v>
      </c>
      <c r="I45" s="9">
        <f t="shared" ca="1" si="5"/>
        <v>-0.52193654991175154</v>
      </c>
      <c r="J45" s="9">
        <f ca="1">IFERROR(__xludf.DUMMYFUNCTION("importrange(""https://docs.google.com/spreadsheets/d/1PKkvs4NFYwl4R4yvsfSA-VcPcz_8gWCI9jloSK2IhP0/edit#gid=254823806"",""Summary!H2"")"),0.62623828647925)</f>
        <v>0.62623828647924995</v>
      </c>
      <c r="K45" s="9">
        <f ca="1">IFERROR(__xludf.DUMMYFUNCTION("importrange(""https://docs.google.com/spreadsheets/d/1PKkvs4NFYwl4R4yvsfSA-VcPcz_8gWCI9jloSK2IhP0/edit#gid=254823806"",""Summary!G18"")"),-0.161602144973893)</f>
        <v>-0.161602144973893</v>
      </c>
      <c r="L45" s="12" t="str">
        <f ca="1">IFERROR(__xludf.DUMMYFUNCTION("IFERROR(googlefinance(D45,""pe""),"""")"),"")</f>
        <v/>
      </c>
      <c r="M45" s="12" t="str">
        <f ca="1">IFERROR(__xludf.DUMMYFUNCTION("IFERROR(googlefinance(D45,""beta""),"""")"),"")</f>
        <v/>
      </c>
      <c r="N45" s="25"/>
      <c r="O45" s="4"/>
      <c r="P45" s="4"/>
      <c r="Q45" s="4"/>
      <c r="R45" s="4"/>
      <c r="S45" s="4"/>
    </row>
    <row r="46" spans="1:19" ht="30" customHeight="1" x14ac:dyDescent="0.2">
      <c r="A46" s="6">
        <f t="shared" si="6"/>
        <v>39</v>
      </c>
      <c r="B46" s="7" t="str">
        <f t="shared" si="7"/>
        <v>T-Mobile US, Inc.</v>
      </c>
      <c r="C46" s="15" t="s">
        <v>1639</v>
      </c>
      <c r="D46" s="6" t="s">
        <v>1221</v>
      </c>
      <c r="E46" s="8">
        <f ca="1">IFERROR(__xludf.DUMMYFUNCTION("iferror(googlefinance(D46,""price""),"""")"),217.09)</f>
        <v>217.09</v>
      </c>
      <c r="F46" s="9">
        <f ca="1">IFERROR(__xludf.DUMMYFUNCTION("IFERROR(GOOGLEFINANCE(D46,""price"") / index(GOOGLEFINANCE(D46,""price"", datevalue(today()-365) ) , 2,2) - 1,"""")"),-0.204303045852728)</f>
        <v>-0.20430304585272799</v>
      </c>
      <c r="G46" s="10">
        <f ca="1">IFERROR(__xludf.DUMMYFUNCTION("iferror(googlefinance(D46,""marketcap""),"""")/10^6"),239203.217544)</f>
        <v>239203.21754400001</v>
      </c>
      <c r="H46" s="11"/>
      <c r="I46" s="9"/>
      <c r="J46" s="9"/>
      <c r="K46" s="9"/>
      <c r="L46" s="12" t="str">
        <f ca="1">IFERROR(__xludf.DUMMYFUNCTION("IFERROR(googlefinance(D46,""pe""),"""")"),"")</f>
        <v/>
      </c>
      <c r="M46" s="12" t="str">
        <f ca="1">IFERROR(__xludf.DUMMYFUNCTION("IFERROR(googlefinance(D46,""beta""),"""")"),"")</f>
        <v/>
      </c>
      <c r="N46" s="25"/>
      <c r="O46" s="4"/>
      <c r="P46" s="4"/>
      <c r="Q46" s="4"/>
      <c r="R46" s="4"/>
      <c r="S46" s="4"/>
    </row>
    <row r="47" spans="1:19" ht="15" customHeight="1" x14ac:dyDescent="0.2">
      <c r="A47" s="22">
        <f t="shared" si="6"/>
        <v>40</v>
      </c>
      <c r="B47" s="7" t="str">
        <f t="shared" si="7"/>
        <v>Pfizer Inc.</v>
      </c>
      <c r="C47" s="15" t="s">
        <v>1640</v>
      </c>
      <c r="D47" s="6" t="s">
        <v>700</v>
      </c>
      <c r="E47" s="8">
        <f ca="1">IFERROR(__xludf.DUMMYFUNCTION("iferror(googlefinance(D47,""price""),"""")"),27.65)</f>
        <v>27.65</v>
      </c>
      <c r="F47" s="9">
        <f ca="1">IFERROR(__xludf.DUMMYFUNCTION("IFERROR(GOOGLEFINANCE(D47,""price"") / index(GOOGLEFINANCE(D47,""price"", datevalue(today()-365) ) , 2,2) - 1,"""")"),0.0533333333333332)</f>
        <v>5.3333333333333198E-2</v>
      </c>
      <c r="G47" s="10">
        <f ca="1">IFERROR(__xludf.DUMMYFUNCTION("iferror(googlefinance(D47,""marketcap""),"""")/10^6"),157209.824031)</f>
        <v>157209.824031</v>
      </c>
      <c r="H47" s="11">
        <f ca="1">IFERROR(__xludf.DUMMYFUNCTION("importrange(""https://docs.google.com/spreadsheets/d/11SV-exCGxMmladm_kNssrzP_5btf3-nnwAh3xCyaL_g/edit#gid=254823806"",""Summary!B27"")*1000"),134501.097187239)</f>
        <v>134501.09718723901</v>
      </c>
      <c r="I47" s="9">
        <f ca="1">(H47-G47)/G47</f>
        <v>-0.1444485227544246</v>
      </c>
      <c r="J47" s="9">
        <f ca="1">IFERROR(__xludf.DUMMYFUNCTION("importrange(""https://docs.google.com/spreadsheets/d/1oN8uGVHIkDbEs0vjYAQFVmfq4DbVF1dUmjRufJfa5kE/edit#gid=254823806"",""Summary!H2"")"),-0.0493333333333332)</f>
        <v>-4.9333333333333201E-2</v>
      </c>
      <c r="K47" s="9">
        <f ca="1">IFERROR(__xludf.DUMMYFUNCTION("importrange(""https://docs.google.com/spreadsheets/d/1oN8uGVHIkDbEs0vjYAQFVmfq4DbVF1dUmjRufJfa5kE/edit#gid=254823806"",""Summary!G18"")"),0.346708132609711)</f>
        <v>0.34670813260971101</v>
      </c>
      <c r="L47" s="12" t="str">
        <f ca="1">IFERROR(__xludf.DUMMYFUNCTION("IFERROR(googlefinance(D47,""pe""),"""")"),"")</f>
        <v/>
      </c>
      <c r="M47" s="12" t="str">
        <f ca="1">IFERROR(__xludf.DUMMYFUNCTION("IFERROR(googlefinance(D47,""beta""),"""")"),"")</f>
        <v/>
      </c>
      <c r="N47" s="25"/>
      <c r="O47" s="4"/>
      <c r="P47" s="4"/>
      <c r="Q47" s="4"/>
      <c r="R47" s="4"/>
      <c r="S47" s="4"/>
    </row>
    <row r="48" spans="1:19" ht="15" customHeight="1" x14ac:dyDescent="0.2">
      <c r="A48" s="6">
        <f t="shared" si="6"/>
        <v>41</v>
      </c>
      <c r="B48" s="7" t="str">
        <f t="shared" si="7"/>
        <v>AbbVie Inc.</v>
      </c>
      <c r="C48" s="15" t="s">
        <v>1641</v>
      </c>
      <c r="D48" s="6" t="s">
        <v>536</v>
      </c>
      <c r="E48" s="8">
        <f ca="1">IFERROR(__xludf.DUMMYFUNCTION("iferror(googlefinance(D48,""price""),"""")"),232.08)</f>
        <v>232.08</v>
      </c>
      <c r="F48" s="9">
        <f ca="1">IFERROR(__xludf.DUMMYFUNCTION("IFERROR(GOOGLEFINANCE(D48,""price"") / index(GOOGLEFINANCE(D48,""price"", datevalue(today()-365) ) , 2,2) - 1,"""")"),0.0974087384149802)</f>
        <v>9.7408738414980198E-2</v>
      </c>
      <c r="G48" s="10">
        <f ca="1">IFERROR(__xludf.DUMMYFUNCTION("iferror(googlefinance(D48,""marketcap""),"""")/10^6"),410356.664757)</f>
        <v>410356.66475699999</v>
      </c>
      <c r="H48" s="11">
        <f ca="1">IFERROR(__xludf.DUMMYFUNCTION("importrange(""https://docs.google.com/spreadsheets/d/1Lmha0aFigcxfAAQHBnl381BiKV2pruikPErrfchf7bM/edit#gid=254823806"",""Summary!B25"")*1000"),78350.5041602617)</f>
        <v>78350.504160261698</v>
      </c>
      <c r="I48" s="9">
        <f ca="1">(H48-G48)/G48</f>
        <v>-0.80906730439809393</v>
      </c>
      <c r="J48" s="9">
        <f ca="1">IFERROR(__xludf.DUMMYFUNCTION("importrange(""https://docs.google.com/spreadsheets/d/1Lmha0aFigcxfAAQHBnl381BiKV2pruikPErrfchf7bM/edit#gid=254823806"",""Summary!H2"")"),0.221968376119761)</f>
        <v>0.221968376119761</v>
      </c>
      <c r="K48" s="9">
        <f ca="1">IFERROR(__xludf.DUMMYFUNCTION("importrange(""https://docs.google.com/spreadsheets/d/1Lmha0aFigcxfAAQHBnl381BiKV2pruikPErrfchf7bM/edit#gid=254823806"",""Summary!G18"")"),0.196285362853628)</f>
        <v>0.19628536285362799</v>
      </c>
      <c r="L48" s="12" t="str">
        <f ca="1">IFERROR(__xludf.DUMMYFUNCTION("IFERROR(googlefinance(D48,""pe""),"""")"),"")</f>
        <v/>
      </c>
      <c r="M48" s="12" t="str">
        <f ca="1">IFERROR(__xludf.DUMMYFUNCTION("IFERROR(googlefinance(D48,""beta""),"""")"),"")</f>
        <v/>
      </c>
      <c r="N48" s="25"/>
      <c r="O48" s="4"/>
      <c r="P48" s="4"/>
      <c r="Q48" s="4"/>
      <c r="R48" s="4"/>
      <c r="S48" s="4"/>
    </row>
    <row r="49" spans="1:19" ht="30" customHeight="1" x14ac:dyDescent="0.2">
      <c r="A49" s="19">
        <f t="shared" si="6"/>
        <v>42</v>
      </c>
      <c r="B49" s="7" t="str">
        <f t="shared" si="7"/>
        <v>Merck &amp; Co., Inc.</v>
      </c>
      <c r="C49" s="15" t="s">
        <v>1642</v>
      </c>
      <c r="D49" s="6" t="s">
        <v>673</v>
      </c>
      <c r="E49" s="8">
        <f ca="1">IFERROR(__xludf.DUMMYFUNCTION("iferror(googlefinance(D49,""price""),"""")"),123.82)</f>
        <v>123.82</v>
      </c>
      <c r="F49" s="9">
        <f ca="1">IFERROR(__xludf.DUMMYFUNCTION("IFERROR(GOOGLEFINANCE(D49,""price"") / index(GOOGLEFINANCE(D49,""price"", datevalue(today()-365) ) , 2,2) - 1,"""")"),0.329253891572732)</f>
        <v>0.32925389157273199</v>
      </c>
      <c r="G49" s="10">
        <f ca="1">IFERROR(__xludf.DUMMYFUNCTION("iferror(googlefinance(D49,""marketcap""),"""")/10^6"),306131.576685)</f>
        <v>306131.57668499998</v>
      </c>
      <c r="H49" s="11">
        <f ca="1">IFERROR(__xludf.DUMMYFUNCTION("importrange(""https://docs.google.com/spreadsheets/d/14Gn_cN5n5NHpurg7-PTOOMSPh6udDbRDZOjcOd1G0L0/edit#gid=254823806"",""Summary!B27"")*1000"),129175.142804748)</f>
        <v>129175.142804748</v>
      </c>
      <c r="I49" s="9">
        <f ca="1">(H49-G49)/G49</f>
        <v>-0.57804044847792602</v>
      </c>
      <c r="J49" s="9">
        <f ca="1">IFERROR(__xludf.DUMMYFUNCTION("importrange(""https://docs.google.com/spreadsheets/d/14Gn_cN5n5NHpurg7-PTOOMSPh6udDbRDZOjcOd1G0L0/edit#gid=254823806"",""Summary!I2"")"),0.00194310093564531)</f>
        <v>1.94310093564531E-3</v>
      </c>
      <c r="K49" s="9">
        <f ca="1">IFERROR(__xludf.DUMMYFUNCTION("importrange(""https://docs.google.com/spreadsheets/d/14Gn_cN5n5NHpurg7-PTOOMSPh6udDbRDZOjcOd1G0L0/edit#gid=254823806"",""Summary!G18"")"),0.286712991319407)</f>
        <v>0.28671299131940697</v>
      </c>
      <c r="L49" s="12" t="str">
        <f ca="1">IFERROR(__xludf.DUMMYFUNCTION("IFERROR(googlefinance(D49,""pe""),"""")"),"")</f>
        <v/>
      </c>
      <c r="M49" s="12" t="str">
        <f ca="1">IFERROR(__xludf.DUMMYFUNCTION("IFERROR(googlefinance(D49,""beta""),"""")"),"")</f>
        <v/>
      </c>
      <c r="N49" s="25"/>
      <c r="O49" s="4"/>
      <c r="P49" s="4"/>
      <c r="Q49" s="4"/>
      <c r="R49" s="4"/>
      <c r="S49" s="4"/>
    </row>
    <row r="50" spans="1:19" ht="15" customHeight="1" x14ac:dyDescent="0.2">
      <c r="A50" s="14">
        <f t="shared" si="6"/>
        <v>43</v>
      </c>
      <c r="B50" s="7" t="str">
        <f t="shared" si="7"/>
        <v>The Kroger Co.</v>
      </c>
      <c r="C50" s="15" t="s">
        <v>1643</v>
      </c>
      <c r="D50" s="6" t="s">
        <v>1197</v>
      </c>
      <c r="E50" s="8">
        <f ca="1">IFERROR(__xludf.DUMMYFUNCTION("iferror(googlefinance(D50,""price""),"""")"),68.24)</f>
        <v>68.239999999999995</v>
      </c>
      <c r="F50" s="9">
        <f ca="1">IFERROR(__xludf.DUMMYFUNCTION("IFERROR(GOOGLEFINANCE(D50,""price"") / index(GOOGLEFINANCE(D50,""price"", datevalue(today()-365) ) , 2,2) - 1,"""")"),0.085069168389251)</f>
        <v>8.5069168389250993E-2</v>
      </c>
      <c r="G50" s="10">
        <f ca="1">IFERROR(__xludf.DUMMYFUNCTION("iferror(googlefinance(D50,""marketcap""),"""")/10^6"),43185.614408)</f>
        <v>43185.614408000001</v>
      </c>
      <c r="H50" s="11">
        <f ca="1">IFERROR(__xludf.DUMMYFUNCTION("importrange(""https://docs.google.com/spreadsheets/d/1j2x-RO8OrHlQoHZHO1fDKUUR3lcU5qiurqfM2Tagy3g/edit#gid=254823806"",""Summary!B25"")*1000"),30024.0645122656)</f>
        <v>30024.064512265599</v>
      </c>
      <c r="I50" s="9">
        <f ca="1">(H50-G50)/G50</f>
        <v>-0.30476699419833347</v>
      </c>
      <c r="J50" s="9">
        <f ca="1">IFERROR(__xludf.DUMMYFUNCTION("importrange(""https://docs.google.com/spreadsheets/d/1j2x-RO8OrHlQoHZHO1fDKUUR3lcU5qiurqfM2Tagy3g/edit#gid=254823806"",""Summary!H2"")"),0.127586150499648)</f>
        <v>0.127586150499648</v>
      </c>
      <c r="K50" s="9">
        <f ca="1">IFERROR(__xludf.DUMMYFUNCTION("importrange(""https://docs.google.com/spreadsheets/d/1j2x-RO8OrHlQoHZHO1fDKUUR3lcU5qiurqfM2Tagy3g/edit#gid=254823806"",""Summary!G18"")"),0.0252161174286377)</f>
        <v>2.5216117428637701E-2</v>
      </c>
      <c r="L50" s="12" t="str">
        <f ca="1">IFERROR(__xludf.DUMMYFUNCTION("IFERROR(googlefinance(D50,""pe""),"""")"),"")</f>
        <v/>
      </c>
      <c r="M50" s="12" t="str">
        <f ca="1">IFERROR(__xludf.DUMMYFUNCTION("IFERROR(googlefinance(D50,""beta""),"""")"),"")</f>
        <v/>
      </c>
      <c r="N50" s="25"/>
      <c r="O50" s="4"/>
      <c r="P50" s="4"/>
      <c r="Q50" s="4"/>
      <c r="R50" s="4"/>
      <c r="S50" s="4"/>
    </row>
    <row r="51" spans="1:19" ht="45" customHeight="1" x14ac:dyDescent="0.2">
      <c r="A51" s="6">
        <f t="shared" si="6"/>
        <v>44</v>
      </c>
      <c r="B51" s="7" t="str">
        <f t="shared" si="7"/>
        <v>General Motors Company</v>
      </c>
      <c r="C51" s="15" t="s">
        <v>1644</v>
      </c>
      <c r="D51" s="6" t="s">
        <v>1591</v>
      </c>
      <c r="E51" s="8">
        <f ca="1">IFERROR(__xludf.DUMMYFUNCTION("iferror(googlefinance(D51,""price""),"""")"),24.03)</f>
        <v>24.03</v>
      </c>
      <c r="F51" s="9">
        <f ca="1">IFERROR(__xludf.DUMMYFUNCTION("IFERROR(GOOGLEFINANCE(D51,""price"") / index(GOOGLEFINANCE(D51,""price"", datevalue(today()-365) ) , 2,2) - 1,"""")"),-0.0151639344262294)</f>
        <v>-1.5163934426229399E-2</v>
      </c>
      <c r="G51" s="10">
        <f ca="1">IFERROR(__xludf.DUMMYFUNCTION("iferror(googlefinance(D51,""marketcap""),"""")/10^6"),10765.668592)</f>
        <v>10765.668592</v>
      </c>
      <c r="H51" s="11"/>
      <c r="I51" s="9">
        <v>0</v>
      </c>
      <c r="J51" s="9"/>
      <c r="K51" s="9"/>
      <c r="L51" s="12" t="str">
        <f ca="1">IFERROR(__xludf.DUMMYFUNCTION("IFERROR(googlefinance(D51,""pe""),"""")"),"")</f>
        <v/>
      </c>
      <c r="M51" s="12" t="str">
        <f ca="1">IFERROR(__xludf.DUMMYFUNCTION("IFERROR(googlefinance(D51,""beta""),"""")"),"")</f>
        <v/>
      </c>
      <c r="N51" s="25"/>
      <c r="O51" s="4"/>
      <c r="P51" s="4"/>
      <c r="Q51" s="4"/>
      <c r="R51" s="4"/>
      <c r="S51" s="4"/>
    </row>
    <row r="52" spans="1:19" ht="15" customHeight="1" x14ac:dyDescent="0.2">
      <c r="A52" s="6">
        <f t="shared" si="6"/>
        <v>45</v>
      </c>
      <c r="B52" s="7" t="str">
        <f t="shared" si="7"/>
        <v>Globe Life Inc</v>
      </c>
      <c r="C52" s="15" t="s">
        <v>1645</v>
      </c>
      <c r="D52" s="6" t="s">
        <v>593</v>
      </c>
      <c r="E52" s="8">
        <f ca="1">IFERROR(__xludf.DUMMYFUNCTION("iferror(googlefinance(D52,""price""),"""")"),145.26)</f>
        <v>145.26</v>
      </c>
      <c r="F52" s="9">
        <f ca="1">IFERROR(__xludf.DUMMYFUNCTION("IFERROR(GOOGLEFINANCE(D52,""price"") / index(GOOGLEFINANCE(D52,""price"", datevalue(today()-365) ) , 2,2) - 1,"""")"),0.129636830235632)</f>
        <v>0.12963683023563199</v>
      </c>
      <c r="G52" s="10">
        <f ca="1">IFERROR(__xludf.DUMMYFUNCTION("iferror(googlefinance(D52,""marketcap""),"""")/10^6"),11422.826166)</f>
        <v>11422.826166000001</v>
      </c>
      <c r="H52" s="11"/>
      <c r="I52" s="9">
        <v>0</v>
      </c>
      <c r="J52" s="9"/>
      <c r="K52" s="9"/>
      <c r="L52" s="12" t="str">
        <f ca="1">IFERROR(__xludf.DUMMYFUNCTION("IFERROR(googlefinance(D52,""pe""),"""")"),"")</f>
        <v/>
      </c>
      <c r="M52" s="12" t="str">
        <f ca="1">IFERROR(__xludf.DUMMYFUNCTION("IFERROR(googlefinance(D52,""beta""),"""")"),"")</f>
        <v/>
      </c>
      <c r="N52" s="25"/>
      <c r="O52" s="4"/>
      <c r="P52" s="4"/>
      <c r="Q52" s="4"/>
      <c r="R52" s="4"/>
      <c r="S52" s="4"/>
    </row>
    <row r="53" spans="1:19" ht="15" customHeight="1" x14ac:dyDescent="0.2">
      <c r="A53" s="6">
        <f t="shared" si="6"/>
        <v>46</v>
      </c>
      <c r="B53" s="7" t="str">
        <f t="shared" si="7"/>
        <v>Snowflake Inc</v>
      </c>
      <c r="C53" s="15" t="s">
        <v>1466</v>
      </c>
      <c r="D53" s="6" t="s">
        <v>1465</v>
      </c>
      <c r="E53" s="8">
        <f ca="1">IFERROR(__xludf.DUMMYFUNCTION("iferror(googlefinance(D53,""price""),"""")"),168.41)</f>
        <v>168.41</v>
      </c>
      <c r="F53" s="9">
        <f ca="1">IFERROR(__xludf.DUMMYFUNCTION("IFERROR(GOOGLEFINANCE(D53,""price"") / index(GOOGLEFINANCE(D53,""price"", datevalue(today()-365) ) , 2,2) - 1,"""")"),-0.030175640656493)</f>
        <v>-3.0175640656492999E-2</v>
      </c>
      <c r="G53" s="10">
        <f ca="1">IFERROR(__xludf.DUMMYFUNCTION("iferror(googlefinance(D53,""marketcap""),"""")/10^6"),57629.886412)</f>
        <v>57629.886412</v>
      </c>
      <c r="H53" s="11"/>
      <c r="I53" s="9">
        <v>0</v>
      </c>
      <c r="J53" s="9"/>
      <c r="K53" s="9"/>
      <c r="L53" s="12" t="str">
        <f ca="1">IFERROR(__xludf.DUMMYFUNCTION("IFERROR(googlefinance(D53,""pe""),"""")"),"")</f>
        <v/>
      </c>
      <c r="M53" s="12" t="str">
        <f ca="1">IFERROR(__xludf.DUMMYFUNCTION("IFERROR(googlefinance(D53,""beta""),"""")"),"")</f>
        <v/>
      </c>
      <c r="N53" s="25"/>
      <c r="O53" s="4"/>
      <c r="P53" s="4"/>
      <c r="Q53" s="4"/>
      <c r="R53" s="4"/>
      <c r="S53" s="4"/>
    </row>
    <row r="54" spans="1:19" ht="15" customHeight="1" x14ac:dyDescent="0.2">
      <c r="A54" s="6">
        <f t="shared" si="6"/>
        <v>47</v>
      </c>
      <c r="B54" s="7" t="str">
        <f t="shared" si="7"/>
        <v>AirBNB</v>
      </c>
      <c r="C54" s="15" t="s">
        <v>1646</v>
      </c>
      <c r="D54" s="6" t="s">
        <v>1313</v>
      </c>
      <c r="E54" s="8">
        <f ca="1">IFERROR(__xludf.DUMMYFUNCTION("iferror(googlefinance(D54,""price""),"""")"),135.11)</f>
        <v>135.11000000000001</v>
      </c>
      <c r="F54" s="9">
        <f ca="1">IFERROR(__xludf.DUMMYFUNCTION("IFERROR(GOOGLEFINANCE(D54,""price"") / index(GOOGLEFINANCE(D54,""price"", datevalue(today()-365) ) , 2,2) - 1,"""")"),-0.0416371116470419)</f>
        <v>-4.1637111647041897E-2</v>
      </c>
      <c r="G54" s="10">
        <f ca="1">IFERROR(__xludf.DUMMYFUNCTION("iferror(googlefinance(D54,""marketcap""),"""")/10^6"),82243.3354)</f>
        <v>82243.335399999996</v>
      </c>
      <c r="H54" s="11">
        <f ca="1">IFERROR(__xludf.DUMMYFUNCTION("importrange(""https://docs.google.com/spreadsheets/d/1LupNll8EBZR0CxUoQzkZLRitp2lxm5UXiwXAxqniEg4/edit#gid=1608086994"",""ABNB!B34"")*1000"),-2820.06535744982)</f>
        <v>-2820.0653574498201</v>
      </c>
      <c r="I54" s="9">
        <f ca="1">(H54-G54)/G54</f>
        <v>-1.0342892873171314</v>
      </c>
      <c r="J54" s="9">
        <f ca="1">IFERROR(__xludf.DUMMYFUNCTION("importrange(""https://docs.google.com/spreadsheets/d/1LupNll8EBZR0CxUoQzkZLRitp2lxm5UXiwXAxqniEg4/edit#gid=1608086994"",""ABNB!F2"")"),-0.486235694401484)</f>
        <v>-0.48623569440148401</v>
      </c>
      <c r="K54" s="9">
        <f ca="1">IFERROR(__xludf.DUMMYFUNCTION("importrange(""https://docs.google.com/spreadsheets/d/1LupNll8EBZR0CxUoQzkZLRitp2lxm5UXiwXAxqniEg4/edit#gid=1608086994"",""ABNB!D18"")"),-0.0526534859521332)</f>
        <v>-5.2653485952133199E-2</v>
      </c>
      <c r="L54" s="12" t="str">
        <f ca="1">IFERROR(__xludf.DUMMYFUNCTION("IFERROR(googlefinance(D54,""pe""),"""")"),"")</f>
        <v/>
      </c>
      <c r="M54" s="12" t="str">
        <f ca="1">IFERROR(__xludf.DUMMYFUNCTION("IFERROR(googlefinance(D54,""beta""),"""")"),"")</f>
        <v/>
      </c>
      <c r="N54" s="25"/>
      <c r="O54" s="4"/>
      <c r="P54" s="4"/>
      <c r="Q54" s="4"/>
      <c r="R54" s="4"/>
      <c r="S54" s="4"/>
    </row>
    <row r="55" spans="1:19" ht="30" customHeight="1" x14ac:dyDescent="0.2">
      <c r="A55" s="6">
        <f t="shared" si="6"/>
        <v>48</v>
      </c>
      <c r="B55" s="7" t="str">
        <f t="shared" si="7"/>
        <v>Nano-X Imaging Ltd</v>
      </c>
      <c r="C55" s="7" t="s">
        <v>1647</v>
      </c>
      <c r="D55" s="6" t="s">
        <v>1648</v>
      </c>
      <c r="E55" s="8">
        <f ca="1">IFERROR(__xludf.DUMMYFUNCTION("iferror(googlefinance(D55,""price""),"""")"),2.37)</f>
        <v>2.37</v>
      </c>
      <c r="F55" s="9">
        <f ca="1">IFERROR(__xludf.DUMMYFUNCTION("IFERROR(GOOGLEFINANCE(D55,""price"") / index(GOOGLEFINANCE(D55,""price"", datevalue(today()-365) ) , 2,2) - 1,"""")"),-0.584938704028021)</f>
        <v>-0.58493870402802095</v>
      </c>
      <c r="G55" s="10">
        <f ca="1">IFERROR(__xludf.DUMMYFUNCTION("iferror(googlefinance(D55,""marketcap""),"""")/10^6"),164.0263)</f>
        <v>164.02629999999999</v>
      </c>
      <c r="H55" s="11"/>
      <c r="I55" s="9">
        <v>0</v>
      </c>
      <c r="J55" s="9"/>
      <c r="K55" s="9"/>
      <c r="L55" s="12" t="str">
        <f ca="1">IFERROR(__xludf.DUMMYFUNCTION("IFERROR(googlefinance(D55,""pe""),"""")"),"")</f>
        <v/>
      </c>
      <c r="M55" s="12" t="str">
        <f ca="1">IFERROR(__xludf.DUMMYFUNCTION("IFERROR(googlefinance(D55,""beta""),"""")"),"")</f>
        <v/>
      </c>
      <c r="N55" s="25"/>
      <c r="O55" s="4"/>
      <c r="P55" s="4"/>
      <c r="Q55" s="4"/>
      <c r="R55" s="4"/>
      <c r="S55" s="4"/>
    </row>
    <row r="56" spans="1:19" ht="15" customHeight="1" x14ac:dyDescent="0.2">
      <c r="A56" s="6">
        <f t="shared" si="6"/>
        <v>49</v>
      </c>
      <c r="B56" s="7" t="str">
        <f t="shared" si="7"/>
        <v>Ozon Holdings</v>
      </c>
      <c r="C56" s="7" t="s">
        <v>1649</v>
      </c>
      <c r="D56" s="7" t="s">
        <v>1650</v>
      </c>
      <c r="E56" s="8" t="str">
        <f ca="1">IFERROR(__xludf.DUMMYFUNCTION("iferror(googlefinance(D56,""price""),"""")"),"")</f>
        <v/>
      </c>
      <c r="F56" s="9" t="str">
        <f ca="1">IFERROR(__xludf.DUMMYFUNCTION("IFERROR(GOOGLEFINANCE(D56,""price"") / index(GOOGLEFINANCE(D56,""price"", datevalue(today()-365) ) , 2,2) - 1,"""")"),"")</f>
        <v/>
      </c>
      <c r="G56" s="10">
        <f ca="1">IFERROR(__xludf.DUMMYFUNCTION("iferror(googlefinance(D56,""marketcap""),"""")/10^6"),0)</f>
        <v>0</v>
      </c>
      <c r="H56" s="11">
        <f ca="1">IFERROR(__xludf.DUMMYFUNCTION("importrange(""https://docs.google.com/spreadsheets/d/1LupNll8EBZR0CxUoQzkZLRitp2lxm5UXiwXAxqniEg4/edit#gid=865153574"",""OZON!B34"")*1000"),3382.20113289964)</f>
        <v>3382.20113289964</v>
      </c>
      <c r="I56" s="9" t="e">
        <f ca="1">(H56-G56)/G56</f>
        <v>#DIV/0!</v>
      </c>
      <c r="J56" s="9">
        <f ca="1">IFERROR(__xludf.DUMMYFUNCTION("importrange(""https://docs.google.com/spreadsheets/d/1LupNll8EBZR0CxUoQzkZLRitp2lxm5UXiwXAxqniEg4/edit#gid=865153574"",""OZON!F2"")"),0.378247984009924)</f>
        <v>0.37824798400992399</v>
      </c>
      <c r="K56" s="9">
        <f ca="1">IFERROR(__xludf.DUMMYFUNCTION("importrange(""https://docs.google.com/spreadsheets/d/1LupNll8EBZR0CxUoQzkZLRitp2lxm5UXiwXAxqniEg4/edit#gid=865153574"",""OZON!E18"")"),-0.183858294851471)</f>
        <v>-0.18385829485147101</v>
      </c>
      <c r="L56" s="12" t="str">
        <f ca="1">IFERROR(__xludf.DUMMYFUNCTION("IFERROR(googlefinance(D56,""pe""),"""")"),"")</f>
        <v/>
      </c>
      <c r="M56" s="12" t="str">
        <f ca="1">IFERROR(__xludf.DUMMYFUNCTION("IFERROR(googlefinance(D56,""beta""),"""")"),"")</f>
        <v/>
      </c>
      <c r="N56" s="25"/>
      <c r="O56" s="4"/>
      <c r="P56" s="4"/>
      <c r="Q56" s="4"/>
      <c r="R56" s="4"/>
      <c r="S56" s="4"/>
    </row>
    <row r="57" spans="1:19" ht="15" customHeight="1" x14ac:dyDescent="0.2">
      <c r="A57" s="6">
        <f t="shared" si="6"/>
        <v>50</v>
      </c>
      <c r="B57" s="7" t="str">
        <f t="shared" si="7"/>
        <v>DoorDash, Inc.</v>
      </c>
      <c r="C57" s="7" t="s">
        <v>1651</v>
      </c>
      <c r="D57" s="7" t="s">
        <v>1254</v>
      </c>
      <c r="E57" s="8">
        <f ca="1">IFERROR(__xludf.DUMMYFUNCTION("iferror(googlefinance(D57,""price""),"""")"),50.04)</f>
        <v>50.04</v>
      </c>
      <c r="F57" s="9">
        <f ca="1">IFERROR(__xludf.DUMMYFUNCTION("IFERROR(GOOGLEFINANCE(D57,""price"") / index(GOOGLEFINANCE(D57,""price"", datevalue(today()-365) ) , 2,2) - 1,"""")"),0.517743403093721)</f>
        <v>0.51774340309372102</v>
      </c>
      <c r="G57" s="10">
        <f ca="1">IFERROR(__xludf.DUMMYFUNCTION("iferror(googlefinance(D57,""marketcap""),"""")/10^6"),20462.55233)</f>
        <v>20462.552329999999</v>
      </c>
      <c r="H57" s="11">
        <f ca="1">IFERROR(__xludf.DUMMYFUNCTION("importrange(""https://docs.google.com/spreadsheets/d/1LupNll8EBZR0CxUoQzkZLRitp2lxm5UXiwXAxqniEg4/edit#gid=1126927364"",""DD!B30"")*1000"),-11995.5634010475)</f>
        <v>-11995.563401047501</v>
      </c>
      <c r="I57" s="9">
        <f ca="1">(H57-G57)/G57</f>
        <v>-1.58622029195551</v>
      </c>
      <c r="J57" s="9">
        <f ca="1">IFERROR(__xludf.DUMMYFUNCTION("importrange(""https://docs.google.com/spreadsheets/d/1LupNll8EBZR0CxUoQzkZLRitp2lxm5UXiwXAxqniEg4/edit#gid=1126927364"",""DD!F2"")"),0.861448711716091)</f>
        <v>0.86144871171609105</v>
      </c>
      <c r="K57" s="9">
        <f ca="1">IFERROR(__xludf.DUMMYFUNCTION("importrange(""https://docs.google.com/spreadsheets/d/1LupNll8EBZR0CxUoQzkZLRitp2lxm5UXiwXAxqniEg4/edit#gid=1126927364"",""DD!E18"")"),0.0717873926430076)</f>
        <v>7.1787392643007597E-2</v>
      </c>
      <c r="L57" s="12" t="str">
        <f ca="1">IFERROR(__xludf.DUMMYFUNCTION("IFERROR(googlefinance(D57,""pe""),"""")"),"")</f>
        <v/>
      </c>
      <c r="M57" s="12" t="str">
        <f ca="1">IFERROR(__xludf.DUMMYFUNCTION("IFERROR(googlefinance(D57,""beta""),"""")"),"")</f>
        <v/>
      </c>
      <c r="N57" s="25"/>
      <c r="O57" s="4"/>
      <c r="P57" s="4"/>
      <c r="Q57" s="4"/>
      <c r="R57" s="4"/>
      <c r="S57" s="4"/>
    </row>
    <row r="58" spans="1:19" ht="45" customHeight="1" x14ac:dyDescent="0.2">
      <c r="A58" s="14">
        <f t="shared" si="6"/>
        <v>51</v>
      </c>
      <c r="B58" s="7" t="str">
        <f t="shared" si="7"/>
        <v>Alibaba Group Holding Ltd ADR</v>
      </c>
      <c r="C58" s="7" t="s">
        <v>1652</v>
      </c>
      <c r="D58" s="7" t="s">
        <v>1653</v>
      </c>
      <c r="E58" s="8">
        <f ca="1">IFERROR(__xludf.DUMMYFUNCTION("iferror(googlefinance(D58,""price""),"""")"),144.11)</f>
        <v>144.11000000000001</v>
      </c>
      <c r="F58" s="9">
        <f ca="1">IFERROR(__xludf.DUMMYFUNCTION("IFERROR(GOOGLEFINANCE(D58,""price"") / index(GOOGLEFINANCE(D58,""price"", datevalue(today()-365) ) , 2,2) - 1,"""")"),0.101674183930892)</f>
        <v>0.101674183930892</v>
      </c>
      <c r="G58" s="10">
        <f ca="1">IFERROR(__xludf.DUMMYFUNCTION("E58*importrange(""https://docs.google.com/spreadsheets/d/18wXnZnXLelWNP84oOajcjx739bSr2i1dqUwcRDFtaMk/edit#gid=1602544562"",""Summary!J9"")"),389909.7804)</f>
        <v>389909.78039999999</v>
      </c>
      <c r="H58" s="11">
        <f ca="1">IFERROR(__xludf.DUMMYFUNCTION("importrange(""https://docs.google.com/spreadsheets/d/18wXnZnXLelWNP84oOajcjx739bSr2i1dqUwcRDFtaMk/edit#gid=1602544562"",""Summary!B32"")"),353530.194421304)</f>
        <v>353530.19442130398</v>
      </c>
      <c r="I58" s="9">
        <f ca="1">(H58-G58)/G58</f>
        <v>-9.3302573588626009E-2</v>
      </c>
      <c r="J58" s="9">
        <f ca="1">IFERROR(__xludf.DUMMYFUNCTION("importrange(""https://docs.google.com/spreadsheets/d/18wXnZnXLelWNP84oOajcjx739bSr2i1dqUwcRDFtaMk/edit#gid=1602544562"",""Summary!M2"")"),941.168)</f>
        <v>941.16800000000001</v>
      </c>
      <c r="K58" s="9">
        <f ca="1">IFERROR(__xludf.DUMMYFUNCTION("importrange(""https://docs.google.com/spreadsheets/d/18wXnZnXLelWNP84oOajcjx739bSr2i1dqUwcRDFtaMk/edit#gid=1602544562"",""Summary!K14"")"),0.0816329879891496)</f>
        <v>8.16329879891496E-2</v>
      </c>
      <c r="L58" s="12" t="str">
        <f ca="1">IFERROR(__xludf.DUMMYFUNCTION("IFERROR(googlefinance(D58,""pe""),"""")"),"")</f>
        <v/>
      </c>
      <c r="M58" s="12" t="str">
        <f ca="1">IFERROR(__xludf.DUMMYFUNCTION("IFERROR(googlefinance(D58,""beta""),"""")"),"")</f>
        <v/>
      </c>
      <c r="N58" s="25"/>
      <c r="O58" s="4"/>
      <c r="P58" s="4"/>
      <c r="Q58" s="4"/>
      <c r="R58" s="4"/>
      <c r="S58" s="4"/>
    </row>
    <row r="59" spans="1:19" ht="45" customHeight="1" x14ac:dyDescent="0.2">
      <c r="A59" s="14">
        <f t="shared" si="6"/>
        <v>52</v>
      </c>
      <c r="B59" s="7" t="str">
        <f t="shared" si="7"/>
        <v>Verizon Communications Inc</v>
      </c>
      <c r="C59" s="7" t="s">
        <v>1654</v>
      </c>
      <c r="D59" s="7" t="s">
        <v>854</v>
      </c>
      <c r="E59" s="8">
        <f ca="1">IFERROR(__xludf.DUMMYFUNCTION("iferror(googlefinance(D59,""price""),"""")"),50.14)</f>
        <v>50.14</v>
      </c>
      <c r="F59" s="9">
        <f ca="1">IFERROR(__xludf.DUMMYFUNCTION("IFERROR(GOOGLEFINANCE(D59,""price"") / index(GOOGLEFINANCE(D59,""price"", datevalue(today()-365) ) , 2,2) - 1,"""")"),0.142922270344198)</f>
        <v>0.14292227034419799</v>
      </c>
      <c r="G59" s="10">
        <f ca="1">IFERROR(__xludf.DUMMYFUNCTION("iferror(googlefinance(D59,""marketcap""),"""")/10^6"),211474.673185)</f>
        <v>211474.67318499999</v>
      </c>
      <c r="H59" s="11">
        <f ca="1">IFERROR(__xludf.DUMMYFUNCTION("importrange(""https://docs.google.com/spreadsheets/d/1s2M_ltAGS6izvtgc6SVn4ngI84PWAhIzn_dv0RMInIU/edit#gid=1579911573"",""Summary!C18"")"),197185.256804111)</f>
        <v>197185.25680411101</v>
      </c>
      <c r="I59" s="9">
        <f ca="1">(H59-G59)/G59</f>
        <v>-6.7570343841545852E-2</v>
      </c>
      <c r="J59" s="9">
        <f ca="1">IFERROR(__xludf.DUMMYFUNCTION("importrange(""https://docs.google.com/spreadsheets/d/1s2M_ltAGS6izvtgc6SVn4ngI84PWAhIzn_dv0RMInIU/edit#gid=1579911573"",""Summary!H44"")"),0.00971053647240455)</f>
        <v>9.71053647240455E-3</v>
      </c>
      <c r="K59" s="9">
        <f ca="1">IFERROR(__xludf.DUMMYFUNCTION("importrange(""https://docs.google.com/spreadsheets/d/1s2M_ltAGS6izvtgc6SVn4ngI84PWAhIzn_dv0RMInIU/edit#gid=1579911573"",""Summary!G54"")"),0.231493631802392)</f>
        <v>0.23149363180239199</v>
      </c>
      <c r="L59" s="12" t="str">
        <f ca="1">IFERROR(__xludf.DUMMYFUNCTION("IFERROR(googlefinance(D59,""pe""),"""")"),"")</f>
        <v/>
      </c>
      <c r="M59" s="12"/>
      <c r="N59" s="25"/>
      <c r="O59" s="4"/>
      <c r="P59" s="4"/>
      <c r="Q59" s="4"/>
      <c r="R59" s="4"/>
      <c r="S59" s="4"/>
    </row>
    <row r="60" spans="1:19" ht="15" customHeight="1" x14ac:dyDescent="0.2">
      <c r="A60" s="19">
        <f t="shared" si="6"/>
        <v>53</v>
      </c>
      <c r="B60" s="7" t="str">
        <f t="shared" si="7"/>
        <v>POSCO</v>
      </c>
      <c r="C60" s="7" t="s">
        <v>1655</v>
      </c>
      <c r="D60" s="7" t="s">
        <v>1656</v>
      </c>
      <c r="E60" s="8">
        <f ca="1">IFERROR(__xludf.DUMMYFUNCTION("iferror(googlefinance(D60,""price""),"""")"),69.59)</f>
        <v>69.59</v>
      </c>
      <c r="F60" s="9">
        <f ca="1">IFERROR(__xludf.DUMMYFUNCTION("IFERROR(GOOGLEFINANCE(D60,""price"") / index(GOOGLEFINANCE(D60,""price"", datevalue(today()-365) ) , 2,2) - 1,"""")"),0.521425448185395)</f>
        <v>0.52142544818539505</v>
      </c>
      <c r="G60" s="10">
        <f ca="1">IFERROR(__xludf.DUMMYFUNCTION("iferror(googlefinance(D60,""marketcap""),"""")/10^6"),23114.212898)</f>
        <v>23114.212898000002</v>
      </c>
      <c r="H60" s="11"/>
      <c r="I60" s="9">
        <v>0</v>
      </c>
      <c r="J60" s="9"/>
      <c r="K60" s="9"/>
      <c r="L60" s="12"/>
      <c r="M60" s="12"/>
      <c r="N60" s="25"/>
      <c r="O60" s="4"/>
      <c r="P60" s="4"/>
      <c r="Q60" s="4"/>
      <c r="R60" s="4"/>
      <c r="S60" s="4"/>
    </row>
    <row r="61" spans="1:19" ht="15" customHeight="1" x14ac:dyDescent="0.2">
      <c r="A61" s="19">
        <f t="shared" si="6"/>
        <v>54</v>
      </c>
      <c r="B61" s="7" t="str">
        <f t="shared" si="7"/>
        <v>Chevron Corp</v>
      </c>
      <c r="C61" s="7" t="s">
        <v>1657</v>
      </c>
      <c r="D61" s="7" t="s">
        <v>1001</v>
      </c>
      <c r="E61" s="8">
        <f ca="1">IFERROR(__xludf.DUMMYFUNCTION("iferror(googlefinance(D61,""price""),"""")"),186.76)</f>
        <v>186.76</v>
      </c>
      <c r="F61" s="9">
        <f ca="1">IFERROR(__xludf.DUMMYFUNCTION("IFERROR(GOOGLEFINANCE(D61,""price"") / index(GOOGLEFINANCE(D61,""price"", datevalue(today()-365) ) , 2,2) - 1,"""")"),0.219935985368084)</f>
        <v>0.21993598536808401</v>
      </c>
      <c r="G61" s="10">
        <f ca="1">IFERROR(__xludf.DUMMYFUNCTION("iferror(googlefinance(D61,""marketcap""),"""")/10^6"),372658.091639)</f>
        <v>372658.09163899999</v>
      </c>
      <c r="H61" s="11">
        <f ca="1">IFERROR(__xludf.DUMMYFUNCTION("importrange(""https://docs.google.com/spreadsheets/d/1D0UrAGo7_Xn5F11kLcw58eM9AUUwte6YDSCpw6-idzw/edit?gid=1513331917"",""Summary!B43"")*1000"),151973.109689238)</f>
        <v>151973.10968923799</v>
      </c>
      <c r="I61" s="9">
        <f ca="1">(H61-G61)/G61</f>
        <v>-0.59219157426358304</v>
      </c>
      <c r="J61" s="9">
        <f ca="1">IFERROR(__xludf.DUMMYFUNCTION("importrange(""https://docs.google.com/spreadsheets/d/1D0UrAGo7_Xn5F11kLcw58eM9AUUwte6YDSCpw6-idzw/edit?gid=1513331917"",""Summary!H19"")"),0.112538019601216)</f>
        <v>0.112538019601216</v>
      </c>
      <c r="K61" s="9"/>
      <c r="L61" s="12" t="str">
        <f ca="1">IFERROR(__xludf.DUMMYFUNCTION("IFERROR(googlefinance(D61,""pe""),"""")"),"")</f>
        <v/>
      </c>
      <c r="M61" s="12" t="str">
        <f ca="1">IFERROR(__xludf.DUMMYFUNCTION("IFERROR(googlefinance(D61,""beta""),"""")"),"")</f>
        <v/>
      </c>
      <c r="N61" s="25"/>
      <c r="O61" s="4"/>
      <c r="P61" s="4"/>
      <c r="Q61" s="4"/>
      <c r="R61" s="4"/>
      <c r="S61" s="4"/>
    </row>
    <row r="62" spans="1:19" ht="45" customHeight="1" x14ac:dyDescent="0.2">
      <c r="A62" s="6">
        <f t="shared" si="6"/>
        <v>55</v>
      </c>
      <c r="B62" s="7" t="str">
        <f t="shared" si="7"/>
        <v>The E W Scripps Co Class A</v>
      </c>
      <c r="C62" s="7" t="s">
        <v>1658</v>
      </c>
      <c r="D62" s="7" t="s">
        <v>1659</v>
      </c>
      <c r="E62" s="8">
        <f ca="1">IFERROR(__xludf.DUMMYFUNCTION("iferror(googlefinance(D62,""price""),"""")"),4.15)</f>
        <v>4.1500000000000004</v>
      </c>
      <c r="F62" s="9">
        <f ca="1">IFERROR(__xludf.DUMMYFUNCTION("IFERROR(GOOGLEFINANCE(D62,""price"") / index(GOOGLEFINANCE(D62,""price"", datevalue(today()-365) ) , 2,2) - 1,"""")"),1.84246575342465)</f>
        <v>1.84246575342465</v>
      </c>
      <c r="G62" s="10">
        <f ca="1">IFERROR(__xludf.DUMMYFUNCTION("iferror(googlefinance(D62,""marketcap""),"""")/10^6"),368.528889)</f>
        <v>368.52888899999999</v>
      </c>
      <c r="H62" s="11"/>
      <c r="I62" s="9">
        <v>0</v>
      </c>
      <c r="J62" s="9"/>
      <c r="K62" s="9"/>
      <c r="L62" s="12"/>
      <c r="M62" s="12" t="str">
        <f ca="1">IFERROR(__xludf.DUMMYFUNCTION("IFERROR(googlefinance(D62,""beta""),"""")"),"")</f>
        <v/>
      </c>
      <c r="N62" s="25"/>
      <c r="O62" s="4"/>
      <c r="P62" s="4"/>
      <c r="Q62" s="4"/>
      <c r="R62" s="4"/>
      <c r="S62" s="4"/>
    </row>
    <row r="63" spans="1:19" ht="45" customHeight="1" x14ac:dyDescent="0.2">
      <c r="A63" s="6">
        <f t="shared" si="6"/>
        <v>56</v>
      </c>
      <c r="B63" s="7" t="str">
        <f t="shared" si="7"/>
        <v>Marsh &amp; McLennan Companies Inc</v>
      </c>
      <c r="C63" s="7" t="s">
        <v>1660</v>
      </c>
      <c r="D63" s="7" t="s">
        <v>1661</v>
      </c>
      <c r="E63" s="8" t="str">
        <f ca="1">IFERROR(__xludf.DUMMYFUNCTION("iferror(googlefinance(D63,""price""),"""")"),"")</f>
        <v/>
      </c>
      <c r="F63" s="9" t="str">
        <f ca="1">IFERROR(__xludf.DUMMYFUNCTION("IFERROR(GOOGLEFINANCE(D63,""price"") / index(GOOGLEFINANCE(D63,""price"", datevalue(today()-365) ) , 2,2) - 1,"""")"),"")</f>
        <v/>
      </c>
      <c r="G63" s="10">
        <f ca="1">IFERROR(__xludf.DUMMYFUNCTION("iferror(googlefinance(D63,""marketcap""),"""")/10^6"),0)</f>
        <v>0</v>
      </c>
      <c r="H63" s="11"/>
      <c r="I63" s="9">
        <v>0</v>
      </c>
      <c r="J63" s="9"/>
      <c r="K63" s="9"/>
      <c r="L63" s="12"/>
      <c r="M63" s="12" t="str">
        <f ca="1">IFERROR(__xludf.DUMMYFUNCTION("IFERROR(googlefinance(D63,""beta""),"""")"),"")</f>
        <v/>
      </c>
      <c r="N63" s="25"/>
      <c r="O63" s="4"/>
      <c r="P63" s="4"/>
      <c r="Q63" s="4"/>
      <c r="R63" s="4"/>
      <c r="S63" s="4"/>
    </row>
    <row r="64" spans="1:19" ht="15" customHeight="1" x14ac:dyDescent="0.2">
      <c r="A64" s="6">
        <f t="shared" si="6"/>
        <v>57</v>
      </c>
      <c r="B64" s="7" t="str">
        <f t="shared" si="7"/>
        <v>Segezha Group</v>
      </c>
      <c r="C64" s="7" t="s">
        <v>1662</v>
      </c>
      <c r="D64" s="7"/>
      <c r="E64" s="8" t="str">
        <f ca="1">IFERROR(__xludf.DUMMYFUNCTION("iferror(googlefinance(D64,""price""),"""")"),"")</f>
        <v/>
      </c>
      <c r="F64" s="9" t="str">
        <f ca="1">IFERROR(__xludf.DUMMYFUNCTION("IFERROR(GOOGLEFINANCE(D64,""price"") / index(GOOGLEFINANCE(D64,""price"", datevalue(today()-365) ) , 2,2) - 1,"""")"),"")</f>
        <v/>
      </c>
      <c r="G64" s="10">
        <f ca="1">IFERROR(__xludf.DUMMYFUNCTION("importrange(""https://docs.google.com/spreadsheets/d/1jU-MirNEtnSxLLg8W-onD3ZzFvcJwcUyUn9TIvxZtjU/edit#gid=134408949"",""Summary!C34"")"),122.384999999999)</f>
        <v>122.384999999999</v>
      </c>
      <c r="H64" s="11">
        <f ca="1">IFERROR(__xludf.DUMMYFUNCTION("importrange(""https://docs.google.com/spreadsheets/d/1jU-MirNEtnSxLLg8W-onD3ZzFvcJwcUyUn9TIvxZtjU/edit#gid=134408949"",""Summary!C32"")"),167.071626396776)</f>
        <v>167.071626396776</v>
      </c>
      <c r="I64" s="9">
        <f ca="1">(H64-G64)/G64</f>
        <v>0.365131563482268</v>
      </c>
      <c r="J64" s="9">
        <f ca="1">IFERROR(__xludf.DUMMYFUNCTION("importrange(""https://docs.google.com/spreadsheets/d/1jU-MirNEtnSxLLg8W-onD3ZzFvcJwcUyUn9TIvxZtjU/edit#gid=134408949"",""Summary!J2"")"),0.179487179487179)</f>
        <v>0.17948717948717899</v>
      </c>
      <c r="K64" s="9">
        <f ca="1">IFERROR(__xludf.DUMMYFUNCTION("importrange(""https://docs.google.com/spreadsheets/d/1jU-MirNEtnSxLLg8W-onD3ZzFvcJwcUyUn9TIvxZtjU/edit#gid=134408949"",""Summary!I16"")"),0.161826086956521)</f>
        <v>0.16182608695652101</v>
      </c>
      <c r="L64" s="12"/>
      <c r="M64" s="12" t="str">
        <f ca="1">IFERROR(__xludf.DUMMYFUNCTION("IFERROR(googlefinance(D64,""beta""),"""")"),"")</f>
        <v/>
      </c>
      <c r="N64" s="25"/>
      <c r="O64" s="4"/>
      <c r="P64" s="4"/>
      <c r="Q64" s="4"/>
      <c r="R64" s="4"/>
      <c r="S64" s="4"/>
    </row>
    <row r="65" spans="1:19" ht="30" customHeight="1" x14ac:dyDescent="0.2">
      <c r="A65" s="6">
        <f t="shared" si="6"/>
        <v>58</v>
      </c>
      <c r="B65" s="7" t="str">
        <f t="shared" si="7"/>
        <v>Elaton Group Plc</v>
      </c>
      <c r="C65" s="7" t="s">
        <v>1663</v>
      </c>
      <c r="D65" s="7" t="s">
        <v>1664</v>
      </c>
      <c r="E65" s="8">
        <f ca="1">IFERROR(__xludf.DUMMYFUNCTION("iferror(googlefinance(D65,""price""),"""")"),0)</f>
        <v>0</v>
      </c>
      <c r="F65" s="9" t="str">
        <f ca="1">IFERROR(__xludf.DUMMYFUNCTION("IFERROR(GOOGLEFINANCE(D65,""price"") / index(GOOGLEFINANCE(D65,""price"", datevalue(today()-365) ) , 2,2) - 1,"""")"),"")</f>
        <v/>
      </c>
      <c r="G65" s="10"/>
      <c r="H65" s="11"/>
      <c r="I65" s="9">
        <v>0</v>
      </c>
      <c r="J65" s="9"/>
      <c r="K65" s="9"/>
      <c r="L65" s="12"/>
      <c r="M65" s="12" t="str">
        <f ca="1">IFERROR(__xludf.DUMMYFUNCTION("IFERROR(googlefinance(D65,""beta""),"""")"),"")</f>
        <v/>
      </c>
      <c r="N65" s="25"/>
      <c r="O65" s="4"/>
      <c r="P65" s="4"/>
      <c r="Q65" s="4"/>
      <c r="R65" s="4"/>
      <c r="S65" s="4"/>
    </row>
    <row r="66" spans="1:19" ht="15" customHeight="1" x14ac:dyDescent="0.2">
      <c r="A66" s="14">
        <f t="shared" si="6"/>
        <v>59</v>
      </c>
      <c r="B66" s="7" t="str">
        <f t="shared" si="7"/>
        <v>Wise plc</v>
      </c>
      <c r="C66" s="7" t="s">
        <v>1665</v>
      </c>
      <c r="D66" s="7" t="s">
        <v>1666</v>
      </c>
      <c r="E66" s="8" t="str">
        <f ca="1">IFERROR(__xludf.DUMMYFUNCTION("iferror(googlefinance(D66,""price""),"""")"),"")</f>
        <v/>
      </c>
      <c r="F66" s="9" t="str">
        <f ca="1">IFERROR(__xludf.DUMMYFUNCTION("IFERROR(GOOGLEFINANCE(D66,""price"") / index(GOOGLEFINANCE(D66,""price"", datevalue(today()-365) ) , 2,2) - 1,"""")"),"")</f>
        <v/>
      </c>
      <c r="G66" s="10">
        <f ca="1">IFERROR(__xludf.DUMMYFUNCTION("importrange(""https://docs.google.com/spreadsheets/d/11C3zL8Lqn71AMKui3dRgPghYoFUIcpycZSsaYmD_Gsg/edit#gid=254823806"",""Summary!B26"")"),7.7044)</f>
        <v>7.7043999999999997</v>
      </c>
      <c r="H66" s="11">
        <f ca="1">IFERROR(__xludf.DUMMYFUNCTION("importrange(""https://docs.google.com/spreadsheets/d/11C3zL8Lqn71AMKui3dRgPghYoFUIcpycZSsaYmD_Gsg/edit#gid=254823806"",""Summary!B25"")"),11.4522079949057)</f>
        <v>11.452207994905701</v>
      </c>
      <c r="I66" s="9">
        <f t="shared" ref="I66:I77" ca="1" si="8">(H66-G66)/G66</f>
        <v>0.48645033940419774</v>
      </c>
      <c r="J66" s="9">
        <f ca="1">IFERROR(__xludf.DUMMYFUNCTION("importrange(""https://docs.google.com/spreadsheets/d/11C3zL8Lqn71AMKui3dRgPghYoFUIcpycZSsaYmD_Gsg/edit#gid=254823806"",""Summary!H2"")"),0.253128689492325)</f>
        <v>0.25312868949232498</v>
      </c>
      <c r="K66" s="9">
        <f ca="1">IFERROR(__xludf.DUMMYFUNCTION("importrange(""https://docs.google.com/spreadsheets/d/11C3zL8Lqn71AMKui3dRgPghYoFUIcpycZSsaYmD_Gsg/edit#gid=254823806"",""Summary!D18"")"),0.0976247030878859)</f>
        <v>9.76247030878859E-2</v>
      </c>
      <c r="L66" s="12"/>
      <c r="M66" s="12" t="str">
        <f ca="1">IFERROR(__xludf.DUMMYFUNCTION("IFERROR(googlefinance(D66,""beta""),"""")"),"")</f>
        <v/>
      </c>
      <c r="N66" s="25"/>
      <c r="O66" s="4"/>
      <c r="P66" s="4"/>
      <c r="Q66" s="4"/>
      <c r="R66" s="4"/>
      <c r="S66" s="4"/>
    </row>
    <row r="67" spans="1:19" ht="90" customHeight="1" x14ac:dyDescent="0.2">
      <c r="A67" s="19">
        <f t="shared" si="6"/>
        <v>60</v>
      </c>
      <c r="B67" s="7" t="str">
        <f t="shared" si="7"/>
        <v>Coinbase Global Inc Ordinary Shares - Class A - Stock Quote</v>
      </c>
      <c r="C67" s="7" t="s">
        <v>1667</v>
      </c>
      <c r="D67" s="7" t="s">
        <v>1343</v>
      </c>
      <c r="E67" s="8">
        <f ca="1">IFERROR(__xludf.DUMMYFUNCTION("iferror(googlefinance(D67,""price""),"""")"),175.85)</f>
        <v>175.85</v>
      </c>
      <c r="F67" s="9">
        <f ca="1">IFERROR(__xludf.DUMMYFUNCTION("IFERROR(GOOGLEFINANCE(D67,""price"") / index(GOOGLEFINANCE(D67,""price"", datevalue(today()-365) ) , 2,2) - 1,"""")"),-0.145321992709599)</f>
        <v>-0.145321992709599</v>
      </c>
      <c r="G67" s="10">
        <f ca="1">IFERROR(__xludf.DUMMYFUNCTION("iferror(googlefinance(D67,""marketcap""),"""")/10^6"),46437.607946)</f>
        <v>46437.607945999996</v>
      </c>
      <c r="H67" s="11">
        <f ca="1">IFERROR(__xludf.DUMMYFUNCTION("importrange(""https://docs.google.com/spreadsheets/d/1Su6GwjWTshoYV5M4DYz6MZVzzpMhsogTV4mioI8emKc/edit#gid=254823806"",""Summary!B25"")*1000"),0)</f>
        <v>0</v>
      </c>
      <c r="I67" s="9">
        <f t="shared" ca="1" si="8"/>
        <v>-1</v>
      </c>
      <c r="J67" s="9">
        <f ca="1">IFERROR(__xludf.DUMMYFUNCTION("importrange(""https://docs.google.com/spreadsheets/d/1Su6GwjWTshoYV5M4DYz6MZVzzpMhsogTV4mioI8emKc/edit#gid=254823806"",""Summary!F2"")"),3.108)</f>
        <v>3.1080000000000001</v>
      </c>
      <c r="K67" s="9">
        <f ca="1">IFERROR(__xludf.DUMMYFUNCTION("importrange(""https://docs.google.com/spreadsheets/d/1Su6GwjWTshoYV5M4DYz6MZVzzpMhsogTV4mioI8emKc/edit#gid=254823806"",""Summary!E18"")"),-0.556525046963055)</f>
        <v>-0.55652504696305505</v>
      </c>
      <c r="L67" s="12" t="str">
        <f ca="1">IFERROR(__xludf.DUMMYFUNCTION("IFERROR(googlefinance(D67,""pe""),"""")"),"")</f>
        <v/>
      </c>
      <c r="M67" s="12" t="str">
        <f ca="1">IFERROR(__xludf.DUMMYFUNCTION("IFERROR(googlefinance(D67,""beta""),"""")"),"")</f>
        <v/>
      </c>
      <c r="N67" s="25"/>
      <c r="O67" s="4"/>
      <c r="P67" s="4"/>
      <c r="Q67" s="4"/>
      <c r="R67" s="4"/>
      <c r="S67" s="4"/>
    </row>
    <row r="68" spans="1:19" ht="18" customHeight="1" x14ac:dyDescent="0.2">
      <c r="A68" s="19">
        <f t="shared" si="6"/>
        <v>61</v>
      </c>
      <c r="B68" s="7" t="str">
        <f t="shared" si="7"/>
        <v>Ally Financial Inc.</v>
      </c>
      <c r="C68" s="7" t="s">
        <v>1668</v>
      </c>
      <c r="D68" s="7" t="s">
        <v>1316</v>
      </c>
      <c r="E68" s="8">
        <f ca="1">IFERROR(__xludf.DUMMYFUNCTION("iferror(googlefinance(D68,""price""),"""")"),39.44)</f>
        <v>39.44</v>
      </c>
      <c r="F68" s="9">
        <f ca="1">IFERROR(__xludf.DUMMYFUNCTION("IFERROR(GOOGLEFINANCE(D68,""price"") / index(GOOGLEFINANCE(D68,""price"", datevalue(today()-365) ) , 2,2) - 1,"""")"),0.120136324907696)</f>
        <v>0.120136324907696</v>
      </c>
      <c r="G68" s="10">
        <f ca="1">IFERROR(__xludf.DUMMYFUNCTION("iferror(googlefinance(D68,""marketcap""),"""")/10^6"),12190.576223)</f>
        <v>12190.576223</v>
      </c>
      <c r="H68" s="11">
        <f ca="1">IFERROR(__xludf.DUMMYFUNCTION("importrange(""https://docs.google.com/spreadsheets/d/1f_Jzu9pXiiSiiKEQUwtTFdX08DOB9GKdGgfSvPnCqxM/edit#gid=254823806"",""Summary!B25"")*1000"),27766.701002473)</f>
        <v>27766.701002473001</v>
      </c>
      <c r="I68" s="9">
        <f t="shared" ca="1" si="8"/>
        <v>1.277718501122652</v>
      </c>
      <c r="J68" s="9">
        <f ca="1">IFERROR(__xludf.DUMMYFUNCTION("importrange(""https://docs.google.com/spreadsheets/d/1f_Jzu9pXiiSiiKEQUwtTFdX08DOB9GKdGgfSvPnCqxM/edit#gid=254823806"",""Summary!H2"")"),0.0282307130688731)</f>
        <v>2.8230713068873099E-2</v>
      </c>
      <c r="K68" s="9">
        <f ca="1">IFERROR(__xludf.DUMMYFUNCTION("importrange(""https://docs.google.com/spreadsheets/d/1f_Jzu9pXiiSiiKEQUwtTFdX08DOB9GKdGgfSvPnCqxM/edit#gid=254823806"",""Summary!G18"")"),0.437159763313609)</f>
        <v>0.43715976331360901</v>
      </c>
      <c r="L68" s="12" t="str">
        <f ca="1">IFERROR(__xludf.DUMMYFUNCTION("IFERROR(googlefinance(D68,""pe""),"""")"),"")</f>
        <v/>
      </c>
      <c r="M68" s="12" t="str">
        <f ca="1">IFERROR(__xludf.DUMMYFUNCTION("IFERROR(googlefinance(D68,""beta""),"""")"),"")</f>
        <v/>
      </c>
      <c r="N68" s="25"/>
      <c r="O68" s="4"/>
      <c r="P68" s="4"/>
      <c r="Q68" s="4"/>
      <c r="R68" s="4"/>
      <c r="S68" s="4"/>
    </row>
    <row r="69" spans="1:19" ht="18" customHeight="1" x14ac:dyDescent="0.2">
      <c r="A69" s="19">
        <f t="shared" si="6"/>
        <v>62</v>
      </c>
      <c r="B69" s="7" t="str">
        <f t="shared" si="7"/>
        <v>Celanese Corporation</v>
      </c>
      <c r="C69" s="7" t="s">
        <v>1669</v>
      </c>
      <c r="D69" s="7" t="s">
        <v>753</v>
      </c>
      <c r="E69" s="8">
        <f ca="1">IFERROR(__xludf.DUMMYFUNCTION("iferror(googlefinance(D69,""price""),"""")"),49.94)</f>
        <v>49.94</v>
      </c>
      <c r="F69" s="9">
        <f ca="1">IFERROR(__xludf.DUMMYFUNCTION("IFERROR(GOOGLEFINANCE(D69,""price"") / index(GOOGLEFINANCE(D69,""price"", datevalue(today()-365) ) , 2,2) - 1,"""")"),0.0621012335176518)</f>
        <v>6.2101233517651802E-2</v>
      </c>
      <c r="G69" s="10">
        <f ca="1">IFERROR(__xludf.DUMMYFUNCTION("iferror(googlefinance(D69,""marketcap""),"""")/10^6"),5472.020535)</f>
        <v>5472.0205349999997</v>
      </c>
      <c r="H69" s="11">
        <f ca="1">IFERROR(__xludf.DUMMYFUNCTION("importrange(""https://docs.google.com/spreadsheets/d/1Fanf8gqdVakniENbQR3f6zZtBUSq0HtMFYxPGHvZhhI/edit#gid=254823806"",""Summary!B25"")*1000"),10978.4910926615)</f>
        <v>10978.491092661499</v>
      </c>
      <c r="I69" s="9">
        <f t="shared" ca="1" si="8"/>
        <v>1.0062956676498473</v>
      </c>
      <c r="J69" s="9">
        <f ca="1">IFERROR(__xludf.DUMMYFUNCTION("importrange(""https://docs.google.com/spreadsheets/d/1Fanf8gqdVakniENbQR3f6zZtBUSq0HtMFYxPGHvZhhI/edit#gid=254823806"",""Summary!H2"")"),0.0866815040412321)</f>
        <v>8.6681504041232094E-2</v>
      </c>
      <c r="K69" s="9">
        <f ca="1">IFERROR(__xludf.DUMMYFUNCTION("importrange(""https://docs.google.com/spreadsheets/d/1Fanf8gqdVakniENbQR3f6zZtBUSq0HtMFYxPGHvZhhI/edit#gid=254823806"",""Summary!G18"")"),0.264632963242427)</f>
        <v>0.26463296324242702</v>
      </c>
      <c r="L69" s="12" t="str">
        <f ca="1">IFERROR(__xludf.DUMMYFUNCTION("IFERROR(googlefinance(D69,""pe""),"""")"),"")</f>
        <v/>
      </c>
      <c r="M69" s="12" t="str">
        <f ca="1">IFERROR(__xludf.DUMMYFUNCTION("IFERROR(googlefinance(D69,""beta""),"""")"),"")</f>
        <v/>
      </c>
      <c r="N69" s="25"/>
      <c r="O69" s="4"/>
      <c r="P69" s="4"/>
      <c r="Q69" s="4"/>
      <c r="R69" s="4"/>
      <c r="S69" s="4"/>
    </row>
    <row r="70" spans="1:19" ht="18" customHeight="1" x14ac:dyDescent="0.2">
      <c r="A70" s="19">
        <f t="shared" si="6"/>
        <v>63</v>
      </c>
      <c r="B70" s="7" t="str">
        <f t="shared" si="7"/>
        <v>Paramount Global</v>
      </c>
      <c r="C70" s="7" t="s">
        <v>1670</v>
      </c>
      <c r="D70" s="7" t="s">
        <v>1671</v>
      </c>
      <c r="E70" s="8" t="str">
        <f ca="1">IFERROR(__xludf.DUMMYFUNCTION("iferror(googlefinance(D70,""price""),"""")"),"")</f>
        <v/>
      </c>
      <c r="F70" s="9" t="str">
        <f ca="1">IFERROR(__xludf.DUMMYFUNCTION("IFERROR(GOOGLEFINANCE(D70,""price"") / index(GOOGLEFINANCE(D70,""price"", datevalue(today()-365) ) , 2,2) - 1,"""")"),"")</f>
        <v/>
      </c>
      <c r="G70" s="10">
        <f ca="1">IFERROR(__xludf.DUMMYFUNCTION("iferror(googlefinance(D70,""marketcap""),"""")/10^6"),0)</f>
        <v>0</v>
      </c>
      <c r="H70" s="11">
        <f ca="1">IFERROR(__xludf.DUMMYFUNCTION("importrange(""https://docs.google.com/spreadsheets/d/1wvZQWyHqlMg08UNd26ujkZyRTp2yIJKEq1fCghrvFHM/edit#gid=254823806"",""Summary!B25"")*1000"),25485.3454126241)</f>
        <v>25485.345412624101</v>
      </c>
      <c r="I70" s="9" t="e">
        <f t="shared" ca="1" si="8"/>
        <v>#DIV/0!</v>
      </c>
      <c r="J70" s="9">
        <f ca="1">IFERROR(__xludf.DUMMYFUNCTION("importrange(""https://docs.google.com/spreadsheets/d/1wvZQWyHqlMg08UNd26ujkZyRTp2yIJKEq1fCghrvFHM/edit#gid=254823806"",""Summary!H2"")"),-0.0476849289798931)</f>
        <v>-4.7684928979893099E-2</v>
      </c>
      <c r="K70" s="9">
        <f ca="1">IFERROR(__xludf.DUMMYFUNCTION("importrange(""https://docs.google.com/spreadsheets/d/1wvZQWyHqlMg08UNd26ujkZyRTp2yIJKEq1fCghrvFHM/edit#gid=254823806"",""Summary!G18"")"),0.437869249394673)</f>
        <v>0.43786924939467298</v>
      </c>
      <c r="L70" s="12" t="str">
        <f ca="1">IFERROR(__xludf.DUMMYFUNCTION("IFERROR(googlefinance(D70,""pe""),"""")"),"")</f>
        <v/>
      </c>
      <c r="M70" s="12" t="str">
        <f ca="1">IFERROR(__xludf.DUMMYFUNCTION("IFERROR(googlefinance(D70,""beta""),"""")"),"")</f>
        <v/>
      </c>
      <c r="N70" s="25"/>
      <c r="O70" s="4"/>
      <c r="P70" s="4"/>
      <c r="Q70" s="4"/>
      <c r="R70" s="4"/>
      <c r="S70" s="4"/>
    </row>
    <row r="71" spans="1:19" ht="30" customHeight="1" x14ac:dyDescent="0.2">
      <c r="A71" s="19">
        <f t="shared" si="6"/>
        <v>64</v>
      </c>
      <c r="B71" s="7" t="str">
        <f t="shared" si="7"/>
        <v>Markel Corporation</v>
      </c>
      <c r="C71" s="7" t="s">
        <v>1672</v>
      </c>
      <c r="D71" s="7" t="s">
        <v>1673</v>
      </c>
      <c r="E71" s="8">
        <f ca="1">IFERROR(__xludf.DUMMYFUNCTION("iferror(googlefinance(D71,""price""),"""")"),2072.47)</f>
        <v>2072.4699999999998</v>
      </c>
      <c r="F71" s="9">
        <f ca="1">IFERROR(__xludf.DUMMYFUNCTION("IFERROR(GOOGLEFINANCE(D71,""price"") / index(GOOGLEFINANCE(D71,""price"", datevalue(today()-365) ) , 2,2) - 1,"""")"),0.080221624551747)</f>
        <v>8.0221624551747001E-2</v>
      </c>
      <c r="G71" s="10">
        <f ca="1">IFERROR(__xludf.DUMMYFUNCTION("iferror(googlefinance(D71,""marketcap""),"""")/10^6"),26092.376206)</f>
        <v>26092.376206000001</v>
      </c>
      <c r="H71" s="11">
        <f ca="1">IFERROR(__xludf.DUMMYFUNCTION("importrange(""https://docs.google.com/spreadsheets/d/1PbR9WKj3KQAFiIxPRhAZBzf_n1_MWKzDvgKboQnr7bU/edit#gid=254823806"",""Summary!B25"")*1000"),8029.07295558409)</f>
        <v>8029.0729555840899</v>
      </c>
      <c r="I71" s="9">
        <f t="shared" ca="1" si="8"/>
        <v>-0.69228279968852413</v>
      </c>
      <c r="J71" s="9">
        <f ca="1">IFERROR(__xludf.DUMMYFUNCTION("importrange(""https://docs.google.com/spreadsheets/d/1PbR9WKj3KQAFiIxPRhAZBzf_n1_MWKzDvgKboQnr7bU/edit#gid=254823806"",""Summary!H2"")"),-0.0205562345398528)</f>
        <v>-2.0556234539852801E-2</v>
      </c>
      <c r="K71" s="9">
        <f ca="1">IFERROR(__xludf.DUMMYFUNCTION("importrange(""https://docs.google.com/spreadsheets/d/1PbR9WKj3KQAFiIxPRhAZBzf_n1_MWKzDvgKboQnr7bU/edit#gid=254823806"",""Summary!G18"")"),0.184729417200254)</f>
        <v>0.18472941720025399</v>
      </c>
      <c r="L71" s="12" t="str">
        <f ca="1">IFERROR(__xludf.DUMMYFUNCTION("IFERROR(googlefinance(D71,""pe""),"""")"),"")</f>
        <v/>
      </c>
      <c r="M71" s="12" t="str">
        <f ca="1">IFERROR(__xludf.DUMMYFUNCTION("IFERROR(googlefinance(D71,""beta""),"""")"),"")</f>
        <v/>
      </c>
      <c r="N71" s="25"/>
      <c r="O71" s="4"/>
      <c r="P71" s="4"/>
      <c r="Q71" s="4"/>
      <c r="R71" s="4"/>
      <c r="S71" s="4"/>
    </row>
    <row r="72" spans="1:19" ht="30" customHeight="1" x14ac:dyDescent="0.2">
      <c r="A72" s="19">
        <f t="shared" si="6"/>
        <v>65</v>
      </c>
      <c r="B72" s="7" t="str">
        <f t="shared" si="7"/>
        <v>McKesson Corporation</v>
      </c>
      <c r="C72" s="7" t="s">
        <v>1674</v>
      </c>
      <c r="D72" s="7" t="s">
        <v>1195</v>
      </c>
      <c r="E72" s="8">
        <f ca="1">IFERROR(__xludf.DUMMYFUNCTION("iferror(googlefinance(D72,""price""),"""")"),987.37)</f>
        <v>987.37</v>
      </c>
      <c r="F72" s="9">
        <f ca="1">IFERROR(__xludf.DUMMYFUNCTION("IFERROR(GOOGLEFINANCE(D72,""price"") / index(GOOGLEFINANCE(D72,""price"", datevalue(today()-365) ) , 2,2) - 1,"""")"),0.5319224861527)</f>
        <v>0.53192248615269999</v>
      </c>
      <c r="G72" s="10">
        <f ca="1">IFERROR(__xludf.DUMMYFUNCTION("iferror(googlefinance(D72,""marketcap""),"""")/10^6"),120940.383539)</f>
        <v>120940.383539</v>
      </c>
      <c r="H72" s="11">
        <f ca="1">IFERROR(__xludf.DUMMYFUNCTION("importrange(""https://docs.google.com/spreadsheets/d/1zt6-MZSWh25h7jG4V610KioqWf37FAqPrfKMpjCURpw/edit#gid=254823806"",""Summary!B25"")*1000"),38484.7001090052)</f>
        <v>38484.7001090052</v>
      </c>
      <c r="I72" s="9">
        <f t="shared" ca="1" si="8"/>
        <v>-0.68178784469792153</v>
      </c>
      <c r="J72" s="9">
        <f ca="1">IFERROR(__xludf.DUMMYFUNCTION("importrange(""https://docs.google.com/spreadsheets/d/1zt6-MZSWh25h7jG4V610KioqWf37FAqPrfKMpjCURpw/edit#gid=254823806"",""Summary!G2"")"),0.108039357254394)</f>
        <v>0.10803935725439399</v>
      </c>
      <c r="K72" s="9">
        <f ca="1">IFERROR(__xludf.DUMMYFUNCTION("importrange(""https://docs.google.com/spreadsheets/d/1zt6-MZSWh25h7jG4V610KioqWf37FAqPrfKMpjCURpw/edit#gid=254823806"",""Summary!F18"")"),0.00730397096595773)</f>
        <v>7.3039709659577304E-3</v>
      </c>
      <c r="L72" s="12" t="str">
        <f ca="1">IFERROR(__xludf.DUMMYFUNCTION("IFERROR(googlefinance(D72,""pe""),"""")"),"")</f>
        <v/>
      </c>
      <c r="M72" s="12" t="str">
        <f ca="1">IFERROR(__xludf.DUMMYFUNCTION("IFERROR(googlefinance(D72,""beta""),"""")"),"")</f>
        <v/>
      </c>
      <c r="N72" s="25"/>
      <c r="O72" s="4"/>
      <c r="P72" s="4"/>
      <c r="Q72" s="4"/>
      <c r="R72" s="4"/>
      <c r="S72" s="4"/>
    </row>
    <row r="73" spans="1:19" ht="18" customHeight="1" x14ac:dyDescent="0.2">
      <c r="A73" s="14">
        <f t="shared" ref="A73:A87" si="9">A72+1</f>
        <v>66</v>
      </c>
      <c r="B73" s="7" t="str">
        <f t="shared" si="7"/>
        <v>NVDIA</v>
      </c>
      <c r="C73" s="7" t="s">
        <v>1675</v>
      </c>
      <c r="D73" s="7" t="s">
        <v>27</v>
      </c>
      <c r="E73" s="8">
        <f ca="1">IFERROR(__xludf.DUMMYFUNCTION("iferror(googlefinance(D73,""price""),"""")"),177.19)</f>
        <v>177.19</v>
      </c>
      <c r="F73" s="9">
        <f ca="1">IFERROR(__xludf.DUMMYFUNCTION("IFERROR(GOOGLEFINANCE(D73,""price"") / index(GOOGLEFINANCE(D73,""price"", datevalue(today()-365) ) , 2,2) - 1,"""")"),0.553480624232859)</f>
        <v>0.55348062423285904</v>
      </c>
      <c r="G73" s="10">
        <f ca="1">IFERROR(__xludf.DUMMYFUNCTION("iferror(googlefinance(D73,""marketcap""),"""")/10^6"),4305717)</f>
        <v>4305717</v>
      </c>
      <c r="H73" s="11">
        <f ca="1">IFERROR(__xludf.DUMMYFUNCTION("importrange(""https://docs.google.com/spreadsheets/d/1xz4QVVw6eAJJPxzKhqgOCGtx5P_w0ajl78rdYcFlRZM/edit?usp=sharing"",""Summary!C28"")"),3169036.9422701)</f>
        <v>3169036.9422701001</v>
      </c>
      <c r="I73" s="9">
        <f t="shared" ca="1" si="8"/>
        <v>-0.26399321128859604</v>
      </c>
      <c r="J73" s="9">
        <f ca="1">IFERROR(__xludf.DUMMYFUNCTION("importrange(""https://docs.google.com/spreadsheets/d/1xz4QVVw6eAJJPxzKhqgOCGtx5P_w0ajl78rdYcFlRZM/edit?usp=sharing"",""Summary!J7"")"),1.14203407635993)</f>
        <v>1.1420340763599299</v>
      </c>
      <c r="K73" s="11"/>
      <c r="L73" s="12" t="str">
        <f ca="1">IFERROR(__xludf.DUMMYFUNCTION("IFERROR(googlefinance(D73,""pe""),"""")"),"")</f>
        <v/>
      </c>
      <c r="M73" s="12" t="str">
        <f ca="1">IFERROR(__xludf.DUMMYFUNCTION("IFERROR(googlefinance(D73,""beta""),"""")"),"")</f>
        <v/>
      </c>
      <c r="N73" s="25"/>
      <c r="O73" s="4"/>
      <c r="P73" s="4"/>
      <c r="Q73" s="4"/>
      <c r="R73" s="4"/>
      <c r="S73" s="4"/>
    </row>
    <row r="74" spans="1:19" ht="18" customHeight="1" x14ac:dyDescent="0.2">
      <c r="A74" s="14">
        <f t="shared" si="9"/>
        <v>67</v>
      </c>
      <c r="B74" s="7" t="str">
        <f t="shared" si="7"/>
        <v>STZ</v>
      </c>
      <c r="C74" s="7" t="s">
        <v>714</v>
      </c>
      <c r="D74" s="7" t="s">
        <v>714</v>
      </c>
      <c r="E74" s="8">
        <f ca="1">IFERROR(__xludf.DUMMYFUNCTION("iferror(googlefinance(D74,""price""),"""")"),157.86)</f>
        <v>157.86000000000001</v>
      </c>
      <c r="F74" s="9">
        <f ca="1">IFERROR(__xludf.DUMMYFUNCTION("IFERROR(GOOGLEFINANCE(D74,""price"") / index(GOOGLEFINANCE(D74,""price"", datevalue(today()-365) ) , 2,2) - 1,"""")"),-0.0993838429940665)</f>
        <v>-9.9383842994066496E-2</v>
      </c>
      <c r="G74" s="10">
        <f ca="1">IFERROR(__xludf.DUMMYFUNCTION("iferror(googlefinance(D74,""marketcap""),"""")/10^6"),27374.628993)</f>
        <v>27374.628992999998</v>
      </c>
      <c r="H74" s="11">
        <f ca="1">IFERROR(__xludf.DUMMYFUNCTION("importrange(""https://docs.google.com/spreadsheets/d/1wXUxPs_ekZAd3ic7Nbhf8YE-qk6wcB7VPJvwAvLgbV8/edit?usp=sharing"",""Summary!C28"")*1000"),20454.9308688541)</f>
        <v>20454.930868854099</v>
      </c>
      <c r="I74" s="9">
        <f t="shared" ca="1" si="8"/>
        <v>-0.25277778653786848</v>
      </c>
      <c r="J74" s="9">
        <f ca="1">IFERROR(__xludf.DUMMYFUNCTION("importrange(""https://docs.google.com/spreadsheets/d/1wXUxPs_ekZAd3ic7Nbhf8YE-qk6wcB7VPJvwAvLgbV8/edit?usp=sharing"",""Summary!N6"")"),0.0248995983935742)</f>
        <v>2.4899598393574199E-2</v>
      </c>
      <c r="K74" s="11"/>
      <c r="L74" s="12" t="str">
        <f ca="1">IFERROR(__xludf.DUMMYFUNCTION("IFERROR(googlefinance(D74,""pe""),"""")"),"")</f>
        <v/>
      </c>
      <c r="M74" s="12" t="str">
        <f ca="1">IFERROR(__xludf.DUMMYFUNCTION("IFERROR(googlefinance(D74,""beta""),"""")"),"")</f>
        <v/>
      </c>
      <c r="N74" s="25"/>
      <c r="O74" s="4"/>
      <c r="P74" s="4"/>
      <c r="Q74" s="4"/>
      <c r="R74" s="4"/>
      <c r="S74" s="4"/>
    </row>
    <row r="75" spans="1:19" ht="18" customHeight="1" x14ac:dyDescent="0.2">
      <c r="A75" s="14">
        <f t="shared" si="9"/>
        <v>68</v>
      </c>
      <c r="B75" s="7" t="str">
        <f t="shared" ref="B75:B106" si="10">HYPERLINK("https://finance.yahoo.com/quote/"&amp;D75, C75)</f>
        <v>POOL</v>
      </c>
      <c r="C75" s="7" t="s">
        <v>22</v>
      </c>
      <c r="D75" s="7" t="s">
        <v>22</v>
      </c>
      <c r="E75" s="8">
        <f ca="1">IFERROR(__xludf.DUMMYFUNCTION("iferror(googlefinance(D75,""price""),"""")"),227.18)</f>
        <v>227.18</v>
      </c>
      <c r="F75" s="9">
        <f ca="1">IFERROR(__xludf.DUMMYFUNCTION("IFERROR(GOOGLEFINANCE(D75,""price"") / index(GOOGLEFINANCE(D75,""price"", datevalue(today()-365) ) , 2,2) - 1,"""")"),-0.339938404323319)</f>
        <v>-0.33993840432331901</v>
      </c>
      <c r="G75" s="10">
        <f ca="1">IFERROR(__xludf.DUMMYFUNCTION("iferror(googlefinance(D75,""marketcap""),"""")/10^6"),8462.336593)</f>
        <v>8462.336593</v>
      </c>
      <c r="H75" s="11">
        <f ca="1">IFERROR(__xludf.DUMMYFUNCTION("importrange(""https://docs.google.com/spreadsheets/d/1AjHA3YbkgHW1O9Dt-6Buiwed8NsU2S933D9cwB0cVIg/edit?usp=sharing"",""Summary!C28"")*1000"),5529.19347584864)</f>
        <v>5529.1934758486404</v>
      </c>
      <c r="I75" s="9">
        <f t="shared" ca="1" si="8"/>
        <v>-0.34661149257258805</v>
      </c>
      <c r="J75" s="9">
        <f ca="1">IFERROR(__xludf.DUMMYFUNCTION("importrange(""https://docs.google.com/spreadsheets/d/1AjHA3YbkgHW1O9Dt-6Buiwed8NsU2S933D9cwB0cVIg/edit?usp=sharing"",""Summary!H6"")"),0.0167576727546602)</f>
        <v>1.67576727546602E-2</v>
      </c>
      <c r="K75" s="11"/>
      <c r="L75" s="12" t="str">
        <f ca="1">IFERROR(__xludf.DUMMYFUNCTION("IFERROR(googlefinance(D75,""pe""),"""")"),"")</f>
        <v/>
      </c>
      <c r="M75" s="12" t="str">
        <f ca="1">IFERROR(__xludf.DUMMYFUNCTION("IFERROR(googlefinance(D75,""beta""),"""")"),"")</f>
        <v/>
      </c>
      <c r="N75" s="25"/>
      <c r="O75" s="4"/>
      <c r="P75" s="4"/>
      <c r="Q75" s="4"/>
      <c r="R75" s="4"/>
      <c r="S75" s="4"/>
    </row>
    <row r="76" spans="1:19" ht="15" customHeight="1" x14ac:dyDescent="0.2">
      <c r="A76" s="14">
        <f t="shared" si="9"/>
        <v>69</v>
      </c>
      <c r="B76" s="7" t="str">
        <f t="shared" si="10"/>
        <v>CRCL</v>
      </c>
      <c r="C76" s="7" t="s">
        <v>1676</v>
      </c>
      <c r="D76" s="7" t="s">
        <v>1676</v>
      </c>
      <c r="E76" s="8">
        <f ca="1">IFERROR(__xludf.DUMMYFUNCTION("iferror(googlefinance(D76,""price""),"""")"),83.44)</f>
        <v>83.44</v>
      </c>
      <c r="F76" s="9">
        <f ca="1">IFERROR(__xludf.DUMMYFUNCTION("IFERROR(GOOGLEFINANCE(D76,""price"") / index(GOOGLEFINANCE(D76,""price"", datevalue(today()-90) ) , 2,2) - 1,"""")"),0.0774793388429753)</f>
        <v>7.7479338842975295E-2</v>
      </c>
      <c r="G76" s="10">
        <f ca="1">IFERROR(__xludf.DUMMYFUNCTION("iferror(googlefinance(D76,""marketcap""),"""")/10^6"),19648.084638)</f>
        <v>19648.084638</v>
      </c>
      <c r="H76" s="11"/>
      <c r="I76" s="9">
        <f t="shared" ca="1" si="8"/>
        <v>-1</v>
      </c>
      <c r="J76" s="9">
        <f ca="1">IFERROR(__xludf.DUMMYFUNCTION("importrange(""https://docs.google.com/spreadsheets/d/1PbR9WKj3KQAFiIxPRhAZBzf_n1_MWKzDvgKboQnr7bU/edit#gid=254823806"",""Summary!H2"")"),-0.0205562345398528)</f>
        <v>-2.0556234539852801E-2</v>
      </c>
      <c r="K76" s="9">
        <f ca="1">IFERROR(__xludf.DUMMYFUNCTION("importrange(""https://docs.google.com/spreadsheets/d/1PbR9WKj3KQAFiIxPRhAZBzf_n1_MWKzDvgKboQnr7bU/edit#gid=254823806"",""Summary!G18"")"),0.184729417200254)</f>
        <v>0.18472941720025399</v>
      </c>
      <c r="L76" s="12" t="str">
        <f ca="1">IFERROR(__xludf.DUMMYFUNCTION("IFERROR(googlefinance(D76,""pe""),"""")"),"")</f>
        <v/>
      </c>
      <c r="M76" s="12" t="str">
        <f ca="1">IFERROR(__xludf.DUMMYFUNCTION("IFERROR(googlefinance(D76,""beta""),"""")"),"")</f>
        <v/>
      </c>
      <c r="N76" s="25"/>
      <c r="O76" s="4"/>
      <c r="P76" s="4"/>
      <c r="Q76" s="4"/>
      <c r="R76" s="4"/>
      <c r="S76" s="4"/>
    </row>
    <row r="77" spans="1:19" ht="15" customHeight="1" x14ac:dyDescent="0.2">
      <c r="A77" s="14">
        <f t="shared" si="9"/>
        <v>70</v>
      </c>
      <c r="B77" s="7" t="str">
        <f t="shared" si="10"/>
        <v>LEN</v>
      </c>
      <c r="C77" s="7" t="s">
        <v>14</v>
      </c>
      <c r="D77" s="7" t="s">
        <v>14</v>
      </c>
      <c r="E77" s="8">
        <f ca="1">IFERROR(__xludf.DUMMYFUNCTION("iferror(googlefinance(D77,""price""),"""")"),114.36)</f>
        <v>114.36</v>
      </c>
      <c r="F77" s="9">
        <f ca="1">IFERROR(__xludf.DUMMYFUNCTION("IFERROR(GOOGLEFINANCE(D77,""price"") / index(GOOGLEFINANCE(D77,""price"", datevalue(today()-365) ) , 2,2) - 1,"""")"),-0.0302721953701349)</f>
        <v>-3.02721953701349E-2</v>
      </c>
      <c r="G77" s="10">
        <f ca="1">IFERROR(__xludf.DUMMYFUNCTION("iferror(googlefinance(D77,""marketcap""),"""")/10^6"),28032.152069)</f>
        <v>28032.152069</v>
      </c>
      <c r="H77" s="11">
        <f ca="1">IFERROR(__xludf.DUMMYFUNCTION("importrange(""https://docs.google.com/spreadsheets/d/1PSz-z1Lv-gZ1WOwdTZ8qAxUigZaO9b52l0_4wx34KIs/edit?gid=2118916648#gid=2118916648&amp;range=B28"",""Summary!B28"")*1000"),35428.3539557584)</f>
        <v>35428.353955758401</v>
      </c>
      <c r="I77" s="9">
        <f t="shared" ca="1" si="8"/>
        <v>0.26384709488422264</v>
      </c>
      <c r="J77" s="9">
        <f ca="1">IFERROR(__xludf.DUMMYFUNCTION("importrange(""https://docs.google.com/spreadsheets/d/1zt6-MZSWh25h7jG4V610KioqWf37FAqPrfKMpjCURpw/edit#gid=254823806"",""Summary!G2"")"),0.108039357254394)</f>
        <v>0.10803935725439399</v>
      </c>
      <c r="K77" s="9">
        <f ca="1">IFERROR(__xludf.DUMMYFUNCTION("importrange(""https://docs.google.com/spreadsheets/d/1zt6-MZSWh25h7jG4V610KioqWf37FAqPrfKMpjCURpw/edit#gid=254823806"",""Summary!F18"")"),0.00730397096595773)</f>
        <v>7.3039709659577304E-3</v>
      </c>
      <c r="L77" s="12" t="str">
        <f ca="1">IFERROR(__xludf.DUMMYFUNCTION("IFERROR(googlefinance(D77,""pe""),"""")"),"")</f>
        <v/>
      </c>
      <c r="M77" s="12" t="str">
        <f ca="1">IFERROR(__xludf.DUMMYFUNCTION("IFERROR(googlefinance(D77,""beta""),"""")"),"")</f>
        <v/>
      </c>
      <c r="N77" s="25"/>
      <c r="O77" s="4"/>
      <c r="P77" s="4"/>
      <c r="Q77" s="4"/>
      <c r="R77" s="4"/>
      <c r="S77" s="4"/>
    </row>
    <row r="78" spans="1:19" ht="16" customHeight="1" x14ac:dyDescent="0.2">
      <c r="A78" s="19">
        <f t="shared" si="9"/>
        <v>71</v>
      </c>
      <c r="B78" s="7" t="str">
        <f t="shared" si="10"/>
        <v>DHI</v>
      </c>
      <c r="C78" s="26" t="s">
        <v>1098</v>
      </c>
      <c r="D78" s="26" t="s">
        <v>1098</v>
      </c>
      <c r="E78" s="8">
        <f ca="1">IFERROR(__xludf.DUMMYFUNCTION("iferror(googlefinance(D78,""price""),"""")"),160.39)</f>
        <v>160.38999999999999</v>
      </c>
      <c r="F78" s="9">
        <f ca="1">IFERROR(__xludf.DUMMYFUNCTION("IFERROR(GOOGLEFINANCE(D78,""price"") / index(GOOGLEFINANCE(D78,""price"", datevalue(today()-365) ) , 2,2) - 1,"""")"),0.276177593889242)</f>
        <v>0.27617759388924201</v>
      </c>
      <c r="G78" s="10">
        <f ca="1">IFERROR(__xludf.DUMMYFUNCTION("iferror(googlefinance(D78,""marketcap""),"""")/10^6"),46465.528149)</f>
        <v>46465.528148999998</v>
      </c>
      <c r="H78" s="11">
        <f ca="1">IFERROR(__xludf.DUMMYFUNCTION("importrange(""https://docs.google.com/spreadsheets/d/1PSz-z1Lv-gZ1WOwdTZ8qAxUigZaO9b52l0_4wx34KIs/edit?gid=2118916648#gid=2118916648&amp;range=B28"",""Summary!B28"")*1000"),35428.3539557584)</f>
        <v>35428.353955758401</v>
      </c>
      <c r="I78" s="25"/>
      <c r="J78" s="25"/>
      <c r="K78" s="25"/>
      <c r="L78" s="12" t="str">
        <f ca="1">IFERROR(__xludf.DUMMYFUNCTION("IFERROR(googlefinance(D78,""pe""),"""")"),"")</f>
        <v/>
      </c>
      <c r="M78" s="12" t="str">
        <f ca="1">IFERROR(__xludf.DUMMYFUNCTION("IFERROR(googlefinance(D78,""beta""),"""")"),"")</f>
        <v/>
      </c>
      <c r="N78" s="25"/>
      <c r="O78" s="4"/>
      <c r="P78" s="4"/>
      <c r="Q78" s="4"/>
      <c r="R78" s="4"/>
      <c r="S78" s="4"/>
    </row>
    <row r="79" spans="1:19" ht="16" customHeight="1" x14ac:dyDescent="0.2">
      <c r="A79" s="19">
        <f t="shared" si="9"/>
        <v>72</v>
      </c>
      <c r="B79" s="7" t="str">
        <f t="shared" si="10"/>
        <v>NUE</v>
      </c>
      <c r="C79" s="26" t="s">
        <v>1095</v>
      </c>
      <c r="D79" s="26" t="s">
        <v>1095</v>
      </c>
      <c r="E79" s="8">
        <f ca="1">IFERROR(__xludf.DUMMYFUNCTION("iferror(googlefinance(D79,""price""),"""")"),176.88)</f>
        <v>176.88</v>
      </c>
      <c r="F79" s="9">
        <f ca="1">IFERROR(__xludf.DUMMYFUNCTION("IFERROR(GOOGLEFINANCE(D79,""price"") / index(GOOGLEFINANCE(D79,""price"", datevalue(today()-365) ) , 2,2) - 1,"""")"),0.319310807786977)</f>
        <v>0.31931080778697701</v>
      </c>
      <c r="G79" s="10">
        <f ca="1">IFERROR(__xludf.DUMMYFUNCTION("iferror(googlefinance(D79,""marketcap""),"""")/10^6"),40288.77236)</f>
        <v>40288.772360000003</v>
      </c>
      <c r="H79" s="11">
        <f ca="1">IFERROR(__xludf.DUMMYFUNCTION("importrange(""https://docs.google.com/spreadsheets/d/1PSz-z1Lv-gZ1WOwdTZ8qAxUigZaO9b52l0_4wx34KIs/edit?gid=2118916648#gid=2118916648&amp;range=B28"",""Summary!B28"")*1000"),35428.3539557584)</f>
        <v>35428.353955758401</v>
      </c>
      <c r="I79" s="25"/>
      <c r="J79" s="25"/>
      <c r="K79" s="25"/>
      <c r="L79" s="12" t="str">
        <f ca="1">IFERROR(__xludf.DUMMYFUNCTION("IFERROR(googlefinance(D79,""pe""),"""")"),"")</f>
        <v/>
      </c>
      <c r="M79" s="12" t="str">
        <f ca="1">IFERROR(__xludf.DUMMYFUNCTION("IFERROR(googlefinance(D79,""beta""),"""")"),"")</f>
        <v/>
      </c>
      <c r="N79" s="25"/>
      <c r="O79" s="4"/>
      <c r="P79" s="4"/>
      <c r="Q79" s="4"/>
      <c r="R79" s="4"/>
      <c r="S79" s="4"/>
    </row>
    <row r="80" spans="1:19" ht="16" customHeight="1" x14ac:dyDescent="0.2">
      <c r="A80" s="19">
        <f t="shared" si="9"/>
        <v>73</v>
      </c>
      <c r="B80" s="7" t="str">
        <f t="shared" si="10"/>
        <v>UNH</v>
      </c>
      <c r="C80" s="26" t="s">
        <v>10</v>
      </c>
      <c r="D80" s="26" t="s">
        <v>10</v>
      </c>
      <c r="E80" s="8">
        <f ca="1">IFERROR(__xludf.DUMMYFUNCTION("iferror(googlefinance(D80,""price""),"""")"),293.27)</f>
        <v>293.27</v>
      </c>
      <c r="F80" s="9">
        <f ca="1">IFERROR(__xludf.DUMMYFUNCTION("IFERROR(GOOGLEFINANCE(D80,""price"") / index(GOOGLEFINANCE(D80,""price"", datevalue(today()-365) ) , 2,2) - 1,"""")"),-0.372080077079541)</f>
        <v>-0.37208007707954099</v>
      </c>
      <c r="G80" s="10">
        <f ca="1">IFERROR(__xludf.DUMMYFUNCTION("iferror(googlefinance(D80,""marketcap""),"""")/10^6"),265655.27627)</f>
        <v>265655.27626999997</v>
      </c>
      <c r="H80" s="11">
        <f ca="1">IFERROR(__xludf.DUMMYFUNCTION("importrange(""https://docs.google.com/spreadsheets/d/1FjIVEcih8zxcZhJICjNCjhvohqB0dWGFE_KZsagtJAk/edit?gid=2118916648#gid=2118916648&amp;range=B28"",""Summary!B28"")*1000"),263282.372409604)</f>
        <v>263282.37240960402</v>
      </c>
      <c r="I80" s="9">
        <f ca="1">(H80-G80)/G80</f>
        <v>-8.9322670105156775E-3</v>
      </c>
      <c r="J80" s="25"/>
      <c r="K80" s="25"/>
      <c r="L80" s="12" t="str">
        <f ca="1">IFERROR(__xludf.DUMMYFUNCTION("IFERROR(googlefinance(D80,""pe""),"""")"),"")</f>
        <v/>
      </c>
      <c r="M80" s="12" t="str">
        <f ca="1">IFERROR(__xludf.DUMMYFUNCTION("IFERROR(googlefinance(D80,""beta""),"""")"),"")</f>
        <v/>
      </c>
      <c r="N80" s="25"/>
      <c r="O80" s="4"/>
      <c r="P80" s="4"/>
      <c r="Q80" s="4"/>
      <c r="R80" s="4"/>
      <c r="S80" s="4"/>
    </row>
    <row r="81" spans="1:19" ht="16" customHeight="1" x14ac:dyDescent="0.2">
      <c r="A81" s="19">
        <f t="shared" si="9"/>
        <v>74</v>
      </c>
      <c r="B81" s="7" t="str">
        <f t="shared" si="10"/>
        <v>DPZ</v>
      </c>
      <c r="C81" s="26" t="s">
        <v>24</v>
      </c>
      <c r="D81" s="26" t="s">
        <v>24</v>
      </c>
      <c r="E81" s="8">
        <f ca="1">IFERROR(__xludf.DUMMYFUNCTION("iferror(googlefinance(D81,""price""),"""")"),402.51)</f>
        <v>402.51</v>
      </c>
      <c r="F81" s="9">
        <f ca="1">IFERROR(__xludf.DUMMYFUNCTION("IFERROR(GOOGLEFINANCE(D81,""price"") / index(GOOGLEFINANCE(D81,""price"", datevalue(today()-365) ) , 2,2) - 1,"""")"),-0.168058368814848)</f>
        <v>-0.16805836881484801</v>
      </c>
      <c r="G81" s="10">
        <f ca="1">IFERROR(__xludf.DUMMYFUNCTION("iferror(googlefinance(D81,""marketcap""),"""")/10^6"),13535.964842)</f>
        <v>13535.964841999999</v>
      </c>
      <c r="I81" s="25"/>
      <c r="J81" s="25"/>
      <c r="K81" s="25"/>
      <c r="L81" s="12" t="str">
        <f ca="1">IFERROR(__xludf.DUMMYFUNCTION("IFERROR(googlefinance(D81,""pe""),"""")"),"")</f>
        <v/>
      </c>
      <c r="M81" s="12" t="str">
        <f ca="1">IFERROR(__xludf.DUMMYFUNCTION("IFERROR(googlefinance(D81,""beta""),"""")"),"")</f>
        <v/>
      </c>
      <c r="N81" s="25"/>
      <c r="O81" s="4"/>
      <c r="P81" s="4"/>
      <c r="Q81" s="4"/>
      <c r="R81" s="4"/>
      <c r="S81" s="4"/>
    </row>
    <row r="82" spans="1:19" ht="16" customHeight="1" x14ac:dyDescent="0.2">
      <c r="A82" s="19">
        <f t="shared" si="9"/>
        <v>75</v>
      </c>
      <c r="B82" s="7" t="str">
        <f t="shared" si="10"/>
        <v>SIRI</v>
      </c>
      <c r="C82" s="26" t="s">
        <v>1460</v>
      </c>
      <c r="D82" s="26" t="s">
        <v>1460</v>
      </c>
      <c r="E82" s="8">
        <f ca="1">IFERROR(__xludf.DUMMYFUNCTION("iferror(googlefinance(D82,""price""),"""")"),21.96)</f>
        <v>21.96</v>
      </c>
      <c r="F82" s="9">
        <f ca="1">IFERROR(__xludf.DUMMYFUNCTION("IFERROR(GOOGLEFINANCE(D82,""price"") / index(GOOGLEFINANCE(D82,""price"", datevalue(today()-365) ) , 2,2) - 1,"""")"),-0.0865224625623959)</f>
        <v>-8.6522462562395902E-2</v>
      </c>
      <c r="G82" s="10">
        <f ca="1">IFERROR(__xludf.DUMMYFUNCTION("iferror(googlefinance(D82,""marketcap""),"""")/10^6"),7351.612577)</f>
        <v>7351.6125769999999</v>
      </c>
      <c r="H82" s="11">
        <f ca="1">IFERROR(__xludf.DUMMYFUNCTION("importrange(""https://docs.google.com/spreadsheets/d/1PSz-z1Lv-gZ1WOwdTZ8qAxUigZaO9b52l0_4wx34KIs/edit?gid=2118916648#gid=2118916648&amp;range=B28"",""Summary!B28"")*1000"),35428.3539557584)</f>
        <v>35428.353955758401</v>
      </c>
      <c r="I82" s="25"/>
      <c r="J82" s="25"/>
      <c r="K82" s="25"/>
      <c r="L82" s="12" t="str">
        <f ca="1">IFERROR(__xludf.DUMMYFUNCTION("IFERROR(googlefinance(D82,""pe""),"""")"),"")</f>
        <v/>
      </c>
      <c r="M82" s="12" t="str">
        <f ca="1">IFERROR(__xludf.DUMMYFUNCTION("IFERROR(googlefinance(D82,""beta""),"""")"),"")</f>
        <v/>
      </c>
      <c r="N82" s="25"/>
      <c r="O82" s="4"/>
      <c r="P82" s="4"/>
      <c r="Q82" s="4"/>
      <c r="R82" s="4"/>
      <c r="S82" s="4"/>
    </row>
    <row r="83" spans="1:19" ht="16" customHeight="1" x14ac:dyDescent="0.2">
      <c r="A83" s="19">
        <f t="shared" si="9"/>
        <v>76</v>
      </c>
      <c r="B83" s="7" t="str">
        <f t="shared" si="10"/>
        <v>LAMR</v>
      </c>
      <c r="C83" s="26" t="s">
        <v>1409</v>
      </c>
      <c r="D83" s="26" t="s">
        <v>1409</v>
      </c>
      <c r="E83" s="8">
        <f ca="1">IFERROR(__xludf.DUMMYFUNCTION("iferror(googlefinance(D83,""price""),"""")"),137.74)</f>
        <v>137.74</v>
      </c>
      <c r="F83" s="9">
        <f ca="1">IFERROR(__xludf.DUMMYFUNCTION("IFERROR(GOOGLEFINANCE(D83,""price"") / index(GOOGLEFINANCE(D83,""price"", datevalue(today()-365) ) , 2,2) - 1,"""")"),0.107145727835383)</f>
        <v>0.107145727835383</v>
      </c>
      <c r="G83" s="10">
        <f ca="1">IFERROR(__xludf.DUMMYFUNCTION("iferror(googlefinance(D83,""marketcap""),"""")/10^6"),13952.139698)</f>
        <v>13952.139698000001</v>
      </c>
      <c r="H83" s="11">
        <f ca="1">IFERROR(__xludf.DUMMYFUNCTION("importrange(""https://docs.google.com/spreadsheets/d/1PSz-z1Lv-gZ1WOwdTZ8qAxUigZaO9b52l0_4wx34KIs/edit?gid=2118916648#gid=2118916648&amp;range=B28"",""Summary!B28"")*1000"),35428.3539557584)</f>
        <v>35428.353955758401</v>
      </c>
      <c r="I83" s="25"/>
      <c r="J83" s="25"/>
      <c r="K83" s="25"/>
      <c r="L83" s="12" t="str">
        <f ca="1">IFERROR(__xludf.DUMMYFUNCTION("IFERROR(googlefinance(D83,""pe""),"""")"),"")</f>
        <v/>
      </c>
      <c r="M83" s="12" t="str">
        <f ca="1">IFERROR(__xludf.DUMMYFUNCTION("IFERROR(googlefinance(D83,""beta""),"""")"),"")</f>
        <v/>
      </c>
      <c r="N83" s="25"/>
      <c r="O83" s="4"/>
      <c r="P83" s="4"/>
      <c r="Q83" s="4"/>
      <c r="R83" s="4"/>
      <c r="S83" s="4"/>
    </row>
    <row r="84" spans="1:19" ht="16" customHeight="1" x14ac:dyDescent="0.2">
      <c r="A84" s="19">
        <f t="shared" si="9"/>
        <v>77</v>
      </c>
      <c r="B84" s="7" t="str">
        <f t="shared" si="10"/>
        <v>ALLE</v>
      </c>
      <c r="C84" s="26" t="s">
        <v>799</v>
      </c>
      <c r="D84" s="26" t="s">
        <v>799</v>
      </c>
      <c r="E84" s="8">
        <f ca="1">IFERROR(__xludf.DUMMYFUNCTION("iferror(googlefinance(D84,""price""),"""")"),161.15)</f>
        <v>161.15</v>
      </c>
      <c r="F84" s="9">
        <f ca="1">IFERROR(__xludf.DUMMYFUNCTION("IFERROR(GOOGLEFINANCE(D84,""price"") / index(GOOGLEFINANCE(D84,""price"", datevalue(today()-365) ) , 2,2) - 1,"""")"),0.27371166613974)</f>
        <v>0.27371166613974002</v>
      </c>
      <c r="G84" s="10">
        <f ca="1">IFERROR(__xludf.DUMMYFUNCTION("iferror(googlefinance(D84,""marketcap""),"""")/10^6"),13882.346799)</f>
        <v>13882.346799000001</v>
      </c>
      <c r="H84" s="11">
        <f ca="1">IFERROR(__xludf.DUMMYFUNCTION("importrange(""https://docs.google.com/spreadsheets/d/1PSz-z1Lv-gZ1WOwdTZ8qAxUigZaO9b52l0_4wx34KIs/edit?gid=2118916648#gid=2118916648&amp;range=B28"",""Summary!B28"")*1000"),35428.3539557584)</f>
        <v>35428.353955758401</v>
      </c>
      <c r="I84" s="25"/>
      <c r="J84" s="25"/>
      <c r="K84" s="25"/>
      <c r="L84" s="12" t="str">
        <f ca="1">IFERROR(__xludf.DUMMYFUNCTION("IFERROR(googlefinance(D84,""pe""),"""")"),"")</f>
        <v/>
      </c>
      <c r="M84" s="12" t="str">
        <f ca="1">IFERROR(__xludf.DUMMYFUNCTION("IFERROR(googlefinance(D84,""beta""),"""")"),"")</f>
        <v/>
      </c>
      <c r="N84" s="25"/>
      <c r="O84" s="4"/>
      <c r="P84" s="4"/>
      <c r="Q84" s="4"/>
      <c r="R84" s="4"/>
      <c r="S84" s="4"/>
    </row>
    <row r="85" spans="1:19" ht="16" customHeight="1" x14ac:dyDescent="0.2">
      <c r="A85" s="19">
        <f t="shared" si="9"/>
        <v>78</v>
      </c>
      <c r="B85" s="7" t="str">
        <f t="shared" si="10"/>
        <v>CB</v>
      </c>
      <c r="C85" s="26" t="s">
        <v>718</v>
      </c>
      <c r="D85" s="26" t="s">
        <v>718</v>
      </c>
      <c r="E85" s="8">
        <f ca="1">IFERROR(__xludf.DUMMYFUNCTION("iferror(googlefinance(D85,""price""),"""")"),340.86)</f>
        <v>340.86</v>
      </c>
      <c r="F85" s="9">
        <f ca="1">IFERROR(__xludf.DUMMYFUNCTION("IFERROR(GOOGLEFINANCE(D85,""price"") / index(GOOGLEFINANCE(D85,""price"", datevalue(today()-365) ) , 2,2) - 1,"""")"),0.176637094825503)</f>
        <v>0.17663709482550299</v>
      </c>
      <c r="G85" s="10">
        <f ca="1">IFERROR(__xludf.DUMMYFUNCTION("iferror(googlefinance(D85,""marketcap""),"""")/10^6"),133310.715216)</f>
        <v>133310.71521600001</v>
      </c>
      <c r="H85" s="11">
        <f ca="1">IFERROR(__xludf.DUMMYFUNCTION("importrange(""https://docs.google.com/spreadsheets/d/1PSz-z1Lv-gZ1WOwdTZ8qAxUigZaO9b52l0_4wx34KIs/edit?gid=2118916648#gid=2118916648&amp;range=B28"",""Summary!B28"")*1000"),35428.3539557584)</f>
        <v>35428.353955758401</v>
      </c>
      <c r="I85" s="25"/>
      <c r="J85" s="25"/>
      <c r="K85" s="25"/>
      <c r="L85" s="12" t="str">
        <f ca="1">IFERROR(__xludf.DUMMYFUNCTION("IFERROR(googlefinance(D85,""pe""),"""")"),"")</f>
        <v/>
      </c>
      <c r="M85" s="12" t="str">
        <f ca="1">IFERROR(__xludf.DUMMYFUNCTION("IFERROR(googlefinance(D85,""beta""),"""")"),"")</f>
        <v/>
      </c>
      <c r="N85" s="25"/>
      <c r="O85" s="4"/>
      <c r="P85" s="4"/>
      <c r="Q85" s="4"/>
      <c r="R85" s="4"/>
      <c r="S85" s="4"/>
    </row>
    <row r="86" spans="1:19" ht="16" customHeight="1" x14ac:dyDescent="0.2">
      <c r="A86" s="19">
        <f t="shared" si="9"/>
        <v>79</v>
      </c>
      <c r="B86" s="7" t="s">
        <v>1677</v>
      </c>
      <c r="C86" s="26" t="s">
        <v>1677</v>
      </c>
      <c r="D86" s="26">
        <v>1211</v>
      </c>
      <c r="E86" s="8">
        <v>97.11</v>
      </c>
      <c r="F86" s="9"/>
      <c r="G86" s="10">
        <f ca="1">IFERROR(__xludf.DUMMYFUNCTION("E86*importrange(""https://docs.google.com/spreadsheets/d/1sj5i_x98T-YjDlenwVw1sMU5c0j62zlaOGR3hVGvzVE/edit?gid=2118916648#gid=2118916648&amp;range=G13"",""Summary!G13"")*1000"),885643.199999999)</f>
        <v>885643.19999999902</v>
      </c>
      <c r="H86" s="11">
        <f ca="1">IFERROR(__xludf.DUMMYFUNCTION("importrange(""https://docs.google.com/spreadsheets/d/1sj5i_x98T-YjDlenwVw1sMU5c0j62zlaOGR3hVGvzVE/edit?gid=2118916648#gid=2118916648&amp;range=B28"",""Summary!B28"")*1000"),722603.070173736)</f>
        <v>722603.07017373596</v>
      </c>
      <c r="I86" s="9">
        <f ca="1">(H86-G86)/G86</f>
        <v>-0.18409234082784492</v>
      </c>
      <c r="J86" s="27">
        <f ca="1">IFERROR(__xludf.DUMMYFUNCTION("importrange(""https://docs.google.com/spreadsheets/d/1Cq6JV7ifnjjUQxYb_qlclo8JPOj4y_cw0UWStLqeSrk/edit?gid=2118916648#gid=2118916648&amp;range=G68"",""Summary!G6"")"),0.228852459016393)</f>
        <v>0.22885245901639301</v>
      </c>
      <c r="K86" s="25"/>
      <c r="L86" s="12" t="str">
        <f ca="1">IFERROR(__xludf.DUMMYFUNCTION("IFERROR(googlefinance(D86,""pe""),"""")"),"")</f>
        <v/>
      </c>
      <c r="M86" s="12" t="str">
        <f ca="1">IFERROR(__xludf.DUMMYFUNCTION("IFERROR(googlefinance(D86,""beta""),"""")"),"")</f>
        <v/>
      </c>
      <c r="N86" s="25"/>
      <c r="O86" s="4"/>
      <c r="P86" s="4"/>
      <c r="Q86" s="4"/>
      <c r="R86" s="4"/>
      <c r="S86" s="4"/>
    </row>
    <row r="87" spans="1:19" ht="16" customHeight="1" x14ac:dyDescent="0.2">
      <c r="A87" s="19">
        <f t="shared" si="9"/>
        <v>80</v>
      </c>
      <c r="B87" s="7" t="s">
        <v>1678</v>
      </c>
      <c r="C87" s="26" t="s">
        <v>1678</v>
      </c>
      <c r="D87" s="26">
        <v>1810</v>
      </c>
      <c r="E87" s="8">
        <v>38.58</v>
      </c>
      <c r="F87" s="9" t="str">
        <f ca="1">IFERROR(__xludf.DUMMYFUNCTION("IFERROR(GOOGLEFINANCE(D87,""price"") / index(GOOGLEFINANCE(D87,""price"", datevalue(today()-365) ) , 2,2) - 1,"""")"),"")</f>
        <v/>
      </c>
      <c r="G87" s="10">
        <f ca="1">IFERROR(__xludf.DUMMYFUNCTION("E87*importrange(""https://docs.google.com/spreadsheets/d/1Cq6JV7ifnjjUQxYb_qlclo8JPOj4y_cw0UWStLqeSrk/edit?gid=2118916648#gid=2118916648&amp;range=G13"",""Summary!G13"")*1000"),1005009)</f>
        <v>1005009</v>
      </c>
      <c r="H87" s="11">
        <f ca="1">IFERROR(__xludf.DUMMYFUNCTION("importrange(""https://docs.google.com/spreadsheets/d/1Cq6JV7ifnjjUQxYb_qlclo8JPOj4y_cw0UWStLqeSrk/edit?gid=2118916648#gid=2118916648&amp;range=B28"",""Summary!B28"")*1000"),1365415.80785986)</f>
        <v>1365415.8078598599</v>
      </c>
      <c r="I87" s="9">
        <f ca="1">(H87-G87)/G87</f>
        <v>0.35861052772647795</v>
      </c>
      <c r="J87" s="27">
        <f ca="1">IFERROR(__xludf.DUMMYFUNCTION("importrange(""https://docs.google.com/spreadsheets/d/1sj5i_x98T-YjDlenwVw1sMU5c0j62zlaOGR3hVGvzVE/edit?gid=2118916648#gid=2118916648&amp;range=G68"",""Summary!G6"")"),0.0810356941559796)</f>
        <v>8.1035694155979596E-2</v>
      </c>
      <c r="K87" s="25"/>
      <c r="L87" s="12" t="str">
        <f ca="1">IFERROR(__xludf.DUMMYFUNCTION("IFERROR(googlefinance(D87,""pe""),"""")"),"")</f>
        <v/>
      </c>
      <c r="M87" s="12" t="str">
        <f ca="1">IFERROR(__xludf.DUMMYFUNCTION("IFERROR(googlefinance(D87,""beta""),"""")"),"")</f>
        <v/>
      </c>
      <c r="N87" s="25"/>
      <c r="O87" s="4"/>
      <c r="P87" s="4"/>
      <c r="Q87" s="4"/>
      <c r="R87" s="4"/>
      <c r="S87" s="4"/>
    </row>
    <row r="88" spans="1:19" ht="15" customHeight="1" x14ac:dyDescent="0.2">
      <c r="A88" s="26"/>
      <c r="B88" s="26"/>
      <c r="C88" s="26"/>
      <c r="D88" s="26"/>
      <c r="E88" s="26"/>
      <c r="F88" s="25"/>
      <c r="G88" s="25"/>
      <c r="H88" s="25"/>
      <c r="I88" s="25"/>
      <c r="J88" s="25"/>
      <c r="K88" s="25"/>
      <c r="L88" s="25"/>
      <c r="M88" s="25"/>
      <c r="N88" s="25"/>
      <c r="O88" s="4"/>
      <c r="P88" s="4"/>
      <c r="Q88" s="4"/>
      <c r="R88" s="4"/>
      <c r="S88" s="4"/>
    </row>
    <row r="89" spans="1:19" ht="15" customHeight="1" x14ac:dyDescent="0.2">
      <c r="A89" s="26"/>
      <c r="B89" s="26"/>
      <c r="C89" s="26"/>
      <c r="D89" s="26"/>
      <c r="E89" s="26"/>
      <c r="F89" s="25"/>
      <c r="G89" s="25"/>
      <c r="H89" s="25"/>
      <c r="I89" s="25"/>
      <c r="J89" s="25"/>
      <c r="K89" s="25"/>
      <c r="L89" s="25"/>
      <c r="M89" s="25"/>
      <c r="N89" s="25"/>
      <c r="O89" s="4"/>
      <c r="P89" s="4"/>
      <c r="Q89" s="4"/>
      <c r="R89" s="4"/>
      <c r="S89" s="4"/>
    </row>
    <row r="90" spans="1:19" ht="15" customHeight="1" x14ac:dyDescent="0.2">
      <c r="A90" s="26"/>
      <c r="B90" s="26"/>
      <c r="C90" s="26"/>
      <c r="D90" s="26"/>
      <c r="E90" s="26"/>
      <c r="F90" s="25"/>
      <c r="G90" s="25"/>
      <c r="H90" s="25"/>
      <c r="I90" s="25"/>
      <c r="J90" s="25"/>
      <c r="K90" s="25"/>
      <c r="L90" s="25"/>
      <c r="M90" s="25"/>
      <c r="N90" s="25"/>
      <c r="O90" s="4"/>
      <c r="P90" s="4"/>
      <c r="Q90" s="4"/>
      <c r="R90" s="4"/>
      <c r="S90" s="4"/>
    </row>
    <row r="91" spans="1:19" ht="15" customHeight="1" x14ac:dyDescent="0.2">
      <c r="A91" s="26"/>
      <c r="B91" s="26"/>
      <c r="C91" s="26"/>
      <c r="D91" s="26"/>
      <c r="E91" s="26"/>
      <c r="F91" s="25"/>
      <c r="G91" s="25"/>
      <c r="H91" s="25"/>
      <c r="I91" s="25"/>
      <c r="J91" s="25"/>
      <c r="K91" s="25"/>
      <c r="L91" s="25"/>
      <c r="M91" s="25"/>
      <c r="N91" s="25"/>
      <c r="O91" s="4"/>
      <c r="P91" s="4"/>
      <c r="Q91" s="4"/>
      <c r="R91" s="4"/>
      <c r="S91" s="4"/>
    </row>
    <row r="92" spans="1:19" ht="15" customHeight="1" x14ac:dyDescent="0.2">
      <c r="A92" s="26"/>
      <c r="B92" s="26"/>
      <c r="C92" s="26"/>
      <c r="D92" s="26"/>
      <c r="E92" s="26"/>
      <c r="F92" s="25"/>
      <c r="G92" s="25"/>
      <c r="H92" s="25"/>
      <c r="I92" s="25"/>
      <c r="J92" s="25"/>
      <c r="K92" s="25"/>
      <c r="L92" s="25"/>
      <c r="M92" s="25"/>
      <c r="N92" s="25"/>
      <c r="O92" s="4"/>
      <c r="P92" s="4"/>
      <c r="Q92" s="4"/>
      <c r="R92" s="4"/>
      <c r="S92" s="4"/>
    </row>
    <row r="93" spans="1:19" ht="15" customHeight="1" x14ac:dyDescent="0.2">
      <c r="A93" s="26"/>
      <c r="B93" s="26"/>
      <c r="C93" s="26"/>
      <c r="D93" s="26"/>
      <c r="E93" s="26"/>
      <c r="F93" s="25"/>
      <c r="G93" s="25"/>
      <c r="H93" s="25"/>
      <c r="I93" s="25"/>
      <c r="J93" s="25"/>
      <c r="K93" s="25"/>
      <c r="L93" s="25"/>
      <c r="M93" s="25"/>
      <c r="N93" s="25"/>
      <c r="O93" s="4"/>
      <c r="P93" s="4"/>
      <c r="Q93" s="4"/>
      <c r="R93" s="4"/>
      <c r="S93" s="4"/>
    </row>
    <row r="94" spans="1:19" ht="15" customHeight="1" x14ac:dyDescent="0.2">
      <c r="A94" s="26"/>
      <c r="B94" s="26"/>
      <c r="C94" s="26"/>
      <c r="D94" s="26"/>
      <c r="E94" s="26"/>
      <c r="F94" s="25"/>
      <c r="G94" s="25"/>
      <c r="H94" s="25"/>
      <c r="I94" s="25"/>
      <c r="J94" s="25"/>
      <c r="K94" s="25"/>
      <c r="L94" s="25"/>
      <c r="M94" s="25"/>
      <c r="N94" s="25"/>
      <c r="O94" s="4"/>
      <c r="P94" s="4"/>
      <c r="Q94" s="4"/>
      <c r="R94" s="4"/>
      <c r="S94" s="4"/>
    </row>
    <row r="95" spans="1:19" ht="15" customHeight="1" x14ac:dyDescent="0.2">
      <c r="A95" s="26"/>
      <c r="B95" s="26"/>
      <c r="C95" s="26"/>
      <c r="D95" s="26"/>
      <c r="E95" s="26"/>
      <c r="F95" s="25"/>
      <c r="G95" s="25"/>
      <c r="H95" s="25"/>
      <c r="I95" s="25"/>
      <c r="J95" s="25"/>
      <c r="K95" s="25"/>
      <c r="L95" s="25"/>
      <c r="M95" s="25"/>
      <c r="N95" s="25"/>
      <c r="O95" s="4"/>
      <c r="P95" s="4"/>
      <c r="Q95" s="4"/>
      <c r="R95" s="4"/>
      <c r="S95" s="4"/>
    </row>
    <row r="96" spans="1:19" ht="15" customHeight="1" x14ac:dyDescent="0.2">
      <c r="A96" s="26"/>
      <c r="B96" s="26"/>
      <c r="C96" s="26"/>
      <c r="D96" s="26"/>
      <c r="E96" s="26"/>
      <c r="F96" s="25"/>
      <c r="G96" s="25"/>
      <c r="H96" s="25"/>
      <c r="I96" s="25"/>
      <c r="J96" s="25"/>
      <c r="K96" s="25"/>
      <c r="L96" s="25"/>
      <c r="M96" s="25"/>
      <c r="N96" s="25"/>
      <c r="O96" s="4"/>
      <c r="P96" s="4"/>
      <c r="Q96" s="4"/>
      <c r="R96" s="4"/>
      <c r="S96" s="4"/>
    </row>
    <row r="97" spans="1:19" ht="15" customHeight="1" x14ac:dyDescent="0.2">
      <c r="A97" s="26"/>
      <c r="B97" s="26"/>
      <c r="C97" s="26"/>
      <c r="D97" s="26"/>
      <c r="E97" s="26"/>
      <c r="F97" s="25"/>
      <c r="G97" s="25"/>
      <c r="H97" s="25"/>
      <c r="I97" s="25"/>
      <c r="J97" s="25"/>
      <c r="K97" s="25"/>
      <c r="L97" s="25"/>
      <c r="M97" s="25"/>
      <c r="N97" s="25"/>
      <c r="O97" s="4"/>
      <c r="P97" s="4"/>
      <c r="Q97" s="4"/>
      <c r="R97" s="4"/>
      <c r="S97" s="4"/>
    </row>
    <row r="98" spans="1:19" ht="15" customHeight="1" x14ac:dyDescent="0.2">
      <c r="A98" s="26"/>
      <c r="B98" s="26"/>
      <c r="C98" s="26"/>
      <c r="D98" s="26"/>
      <c r="E98" s="26"/>
      <c r="F98" s="25"/>
      <c r="G98" s="25"/>
      <c r="H98" s="25"/>
      <c r="I98" s="25"/>
      <c r="J98" s="25"/>
      <c r="K98" s="25"/>
      <c r="L98" s="25"/>
      <c r="M98" s="25"/>
      <c r="N98" s="25"/>
      <c r="O98" s="4"/>
      <c r="P98" s="4"/>
      <c r="Q98" s="4"/>
      <c r="R98" s="4"/>
      <c r="S98" s="4"/>
    </row>
    <row r="99" spans="1:19" ht="15" customHeight="1" x14ac:dyDescent="0.2">
      <c r="A99" s="26"/>
      <c r="B99" s="26"/>
      <c r="C99" s="26"/>
      <c r="D99" s="26"/>
      <c r="E99" s="26"/>
      <c r="F99" s="25"/>
      <c r="G99" s="25"/>
      <c r="H99" s="25"/>
      <c r="I99" s="25"/>
      <c r="J99" s="25"/>
      <c r="K99" s="25"/>
      <c r="L99" s="25"/>
      <c r="M99" s="25"/>
      <c r="N99" s="25"/>
      <c r="O99" s="4"/>
      <c r="P99" s="4"/>
      <c r="Q99" s="4"/>
      <c r="R99" s="4"/>
      <c r="S99" s="4"/>
    </row>
    <row r="100" spans="1:19" ht="15" customHeight="1" x14ac:dyDescent="0.2">
      <c r="A100" s="26"/>
      <c r="B100" s="26"/>
      <c r="C100" s="26"/>
      <c r="D100" s="26"/>
      <c r="E100" s="26"/>
      <c r="F100" s="25"/>
      <c r="G100" s="25"/>
      <c r="H100" s="25"/>
      <c r="I100" s="25"/>
      <c r="J100" s="25"/>
      <c r="K100" s="25"/>
      <c r="L100" s="25"/>
      <c r="M100" s="25"/>
      <c r="N100" s="25"/>
      <c r="O100" s="4"/>
      <c r="P100" s="4"/>
      <c r="Q100" s="4"/>
      <c r="R100" s="4"/>
      <c r="S100" s="4"/>
    </row>
    <row r="101" spans="1:19" ht="15" customHeight="1" x14ac:dyDescent="0.2">
      <c r="A101" s="26"/>
      <c r="B101" s="26"/>
      <c r="C101" s="26"/>
      <c r="D101" s="26"/>
      <c r="E101" s="26"/>
      <c r="F101" s="25"/>
      <c r="G101" s="25"/>
      <c r="H101" s="25"/>
      <c r="I101" s="25"/>
      <c r="J101" s="25"/>
      <c r="K101" s="25"/>
      <c r="L101" s="25"/>
      <c r="M101" s="25"/>
      <c r="N101" s="25"/>
      <c r="O101" s="4"/>
      <c r="P101" s="4"/>
      <c r="Q101" s="4"/>
      <c r="R101" s="4"/>
      <c r="S101" s="4"/>
    </row>
    <row r="102" spans="1:19" ht="15" customHeight="1" x14ac:dyDescent="0.2">
      <c r="A102" s="26"/>
      <c r="B102" s="26"/>
      <c r="C102" s="26"/>
      <c r="D102" s="26"/>
      <c r="E102" s="26"/>
      <c r="F102" s="25"/>
      <c r="G102" s="25"/>
      <c r="H102" s="25"/>
      <c r="I102" s="25"/>
      <c r="J102" s="25"/>
      <c r="K102" s="25"/>
      <c r="L102" s="25"/>
      <c r="M102" s="25"/>
      <c r="N102" s="25"/>
      <c r="O102" s="4"/>
      <c r="P102" s="4"/>
      <c r="Q102" s="4"/>
      <c r="R102" s="4"/>
      <c r="S102" s="4"/>
    </row>
    <row r="103" spans="1:19" ht="15" customHeight="1" x14ac:dyDescent="0.2">
      <c r="A103" s="26"/>
      <c r="B103" s="26"/>
      <c r="C103" s="26"/>
      <c r="D103" s="26"/>
      <c r="E103" s="26"/>
      <c r="F103" s="25"/>
      <c r="G103" s="25"/>
      <c r="H103" s="25"/>
      <c r="I103" s="25"/>
      <c r="J103" s="25"/>
      <c r="K103" s="25"/>
      <c r="L103" s="25"/>
      <c r="M103" s="25"/>
      <c r="N103" s="25"/>
      <c r="O103" s="4"/>
      <c r="P103" s="4"/>
      <c r="Q103" s="4"/>
      <c r="R103" s="4"/>
      <c r="S103" s="4"/>
    </row>
    <row r="104" spans="1:19" ht="15" customHeight="1" x14ac:dyDescent="0.2">
      <c r="A104" s="26"/>
      <c r="B104" s="26"/>
      <c r="C104" s="26"/>
      <c r="D104" s="26"/>
      <c r="E104" s="26"/>
      <c r="F104" s="25"/>
      <c r="G104" s="25"/>
      <c r="H104" s="25"/>
      <c r="I104" s="25"/>
      <c r="J104" s="25"/>
      <c r="K104" s="25"/>
      <c r="L104" s="25"/>
      <c r="M104" s="25"/>
      <c r="N104" s="25"/>
      <c r="O104" s="4"/>
      <c r="P104" s="4"/>
      <c r="Q104" s="4"/>
      <c r="R104" s="4"/>
      <c r="S104" s="4"/>
    </row>
    <row r="105" spans="1:19" ht="15" customHeight="1" x14ac:dyDescent="0.2">
      <c r="A105" s="26"/>
      <c r="B105" s="26"/>
      <c r="C105" s="26"/>
      <c r="D105" s="26"/>
      <c r="E105" s="26"/>
      <c r="F105" s="25"/>
      <c r="G105" s="25"/>
      <c r="H105" s="25"/>
      <c r="I105" s="25"/>
      <c r="J105" s="25"/>
      <c r="K105" s="25"/>
      <c r="L105" s="25"/>
      <c r="M105" s="25"/>
      <c r="N105" s="25"/>
      <c r="O105" s="4"/>
      <c r="P105" s="4"/>
      <c r="Q105" s="4"/>
      <c r="R105" s="4"/>
      <c r="S105" s="4"/>
    </row>
    <row r="106" spans="1:19" ht="15" customHeight="1" x14ac:dyDescent="0.2">
      <c r="A106" s="26"/>
      <c r="B106" s="26"/>
      <c r="C106" s="26"/>
      <c r="D106" s="26"/>
      <c r="E106" s="26"/>
      <c r="F106" s="25"/>
      <c r="G106" s="25"/>
      <c r="H106" s="25"/>
      <c r="I106" s="25"/>
      <c r="J106" s="25"/>
      <c r="K106" s="25"/>
      <c r="L106" s="25"/>
      <c r="M106" s="25"/>
      <c r="N106" s="25"/>
      <c r="O106" s="4"/>
      <c r="P106" s="4"/>
      <c r="Q106" s="4"/>
      <c r="R106" s="4"/>
      <c r="S106" s="4"/>
    </row>
    <row r="107" spans="1:19" ht="15" customHeight="1" x14ac:dyDescent="0.2">
      <c r="A107" s="26"/>
      <c r="B107" s="26"/>
      <c r="C107" s="26"/>
      <c r="D107" s="26"/>
      <c r="E107" s="26"/>
      <c r="F107" s="25"/>
      <c r="G107" s="25"/>
      <c r="H107" s="25"/>
      <c r="I107" s="25"/>
      <c r="J107" s="25"/>
      <c r="K107" s="25"/>
      <c r="L107" s="25"/>
      <c r="M107" s="25"/>
      <c r="N107" s="25"/>
      <c r="O107" s="4"/>
      <c r="P107" s="4"/>
      <c r="Q107" s="4"/>
      <c r="R107" s="4"/>
      <c r="S107" s="4"/>
    </row>
    <row r="108" spans="1:19" ht="15" customHeight="1" x14ac:dyDescent="0.2">
      <c r="A108" s="26"/>
      <c r="B108" s="26"/>
      <c r="C108" s="26"/>
      <c r="D108" s="26"/>
      <c r="E108" s="26"/>
      <c r="F108" s="25"/>
      <c r="G108" s="25"/>
      <c r="H108" s="25"/>
      <c r="I108" s="25"/>
      <c r="J108" s="25"/>
      <c r="K108" s="25"/>
      <c r="L108" s="25"/>
      <c r="M108" s="25"/>
      <c r="N108" s="25"/>
      <c r="O108" s="4"/>
      <c r="P108" s="4"/>
      <c r="Q108" s="4"/>
      <c r="R108" s="4"/>
      <c r="S108" s="4"/>
    </row>
    <row r="109" spans="1:19" ht="15" customHeight="1" x14ac:dyDescent="0.2">
      <c r="A109" s="26"/>
      <c r="B109" s="26"/>
      <c r="C109" s="26"/>
      <c r="D109" s="26"/>
      <c r="E109" s="26"/>
      <c r="F109" s="25"/>
      <c r="G109" s="25"/>
      <c r="H109" s="25"/>
      <c r="I109" s="25"/>
      <c r="J109" s="25"/>
      <c r="K109" s="25"/>
      <c r="L109" s="25"/>
      <c r="M109" s="25"/>
      <c r="N109" s="25"/>
      <c r="O109" s="4"/>
      <c r="P109" s="4"/>
      <c r="Q109" s="4"/>
      <c r="R109" s="4"/>
      <c r="S109" s="4"/>
    </row>
    <row r="110" spans="1:19" ht="15" customHeight="1" x14ac:dyDescent="0.2">
      <c r="A110" s="26"/>
      <c r="B110" s="26"/>
      <c r="C110" s="26"/>
      <c r="D110" s="26"/>
      <c r="E110" s="26"/>
      <c r="F110" s="25"/>
      <c r="G110" s="25"/>
      <c r="H110" s="25"/>
      <c r="I110" s="25"/>
      <c r="J110" s="25"/>
      <c r="K110" s="25"/>
      <c r="L110" s="25"/>
      <c r="M110" s="25"/>
      <c r="N110" s="25"/>
      <c r="O110" s="4"/>
      <c r="P110" s="4"/>
      <c r="Q110" s="4"/>
      <c r="R110" s="4"/>
      <c r="S110" s="4"/>
    </row>
    <row r="111" spans="1:19" ht="15" customHeight="1" x14ac:dyDescent="0.2">
      <c r="A111" s="26"/>
      <c r="B111" s="26"/>
      <c r="C111" s="26"/>
      <c r="D111" s="26"/>
      <c r="E111" s="26"/>
      <c r="F111" s="25"/>
      <c r="G111" s="25"/>
      <c r="H111" s="25"/>
      <c r="I111" s="25"/>
      <c r="J111" s="25"/>
      <c r="K111" s="25"/>
      <c r="L111" s="25"/>
      <c r="M111" s="25"/>
      <c r="N111" s="25"/>
      <c r="O111" s="4"/>
      <c r="P111" s="4"/>
      <c r="Q111" s="4"/>
      <c r="R111" s="4"/>
      <c r="S111" s="4"/>
    </row>
    <row r="112" spans="1:19" ht="15" customHeight="1" x14ac:dyDescent="0.2">
      <c r="A112" s="26"/>
      <c r="B112" s="26"/>
      <c r="C112" s="26"/>
      <c r="D112" s="26"/>
      <c r="E112" s="26"/>
      <c r="F112" s="25"/>
      <c r="G112" s="25"/>
      <c r="H112" s="25"/>
      <c r="I112" s="25"/>
      <c r="J112" s="25"/>
      <c r="K112" s="25"/>
      <c r="L112" s="25"/>
      <c r="M112" s="25"/>
      <c r="N112" s="25"/>
      <c r="O112" s="4"/>
      <c r="P112" s="4"/>
      <c r="Q112" s="4"/>
      <c r="R112" s="4"/>
      <c r="S112" s="4"/>
    </row>
    <row r="113" spans="1:19" ht="15" customHeight="1" x14ac:dyDescent="0.2">
      <c r="A113" s="26"/>
      <c r="B113" s="26"/>
      <c r="C113" s="26"/>
      <c r="D113" s="26"/>
      <c r="E113" s="26"/>
      <c r="F113" s="25"/>
      <c r="G113" s="25"/>
      <c r="H113" s="25"/>
      <c r="I113" s="25"/>
      <c r="J113" s="25"/>
      <c r="K113" s="25"/>
      <c r="L113" s="25"/>
      <c r="M113" s="25"/>
      <c r="N113" s="25"/>
      <c r="O113" s="4"/>
      <c r="P113" s="4"/>
      <c r="Q113" s="4"/>
      <c r="R113" s="4"/>
      <c r="S113" s="4"/>
    </row>
    <row r="114" spans="1:19" ht="15" customHeight="1" x14ac:dyDescent="0.2">
      <c r="A114" s="26"/>
      <c r="B114" s="26"/>
      <c r="C114" s="26"/>
      <c r="D114" s="26"/>
      <c r="E114" s="26"/>
      <c r="F114" s="25"/>
      <c r="G114" s="25"/>
      <c r="H114" s="25"/>
      <c r="I114" s="25"/>
      <c r="J114" s="25"/>
      <c r="K114" s="25"/>
      <c r="L114" s="25"/>
      <c r="M114" s="25"/>
      <c r="N114" s="25"/>
      <c r="O114" s="4"/>
      <c r="P114" s="4"/>
      <c r="Q114" s="4"/>
      <c r="R114" s="4"/>
      <c r="S114" s="4"/>
    </row>
    <row r="115" spans="1:19" ht="15" customHeight="1" x14ac:dyDescent="0.2">
      <c r="A115" s="26"/>
      <c r="B115" s="26"/>
      <c r="C115" s="26"/>
      <c r="D115" s="26"/>
      <c r="E115" s="26"/>
      <c r="F115" s="25"/>
      <c r="G115" s="25"/>
      <c r="H115" s="25"/>
      <c r="I115" s="25"/>
      <c r="J115" s="25"/>
      <c r="K115" s="25"/>
      <c r="L115" s="25"/>
      <c r="M115" s="25"/>
      <c r="N115" s="25"/>
      <c r="O115" s="4"/>
      <c r="P115" s="4"/>
      <c r="Q115" s="4"/>
      <c r="R115" s="4"/>
      <c r="S115" s="4"/>
    </row>
    <row r="116" spans="1:19" ht="15" customHeight="1" x14ac:dyDescent="0.2">
      <c r="A116" s="26"/>
      <c r="B116" s="26"/>
      <c r="C116" s="26"/>
      <c r="D116" s="26"/>
      <c r="E116" s="26"/>
      <c r="F116" s="25"/>
      <c r="G116" s="25"/>
      <c r="H116" s="25"/>
      <c r="I116" s="25"/>
      <c r="J116" s="25"/>
      <c r="K116" s="25"/>
      <c r="L116" s="25"/>
      <c r="M116" s="25"/>
      <c r="N116" s="25"/>
      <c r="O116" s="4"/>
      <c r="P116" s="4"/>
      <c r="Q116" s="4"/>
      <c r="R116" s="4"/>
      <c r="S116" s="4"/>
    </row>
    <row r="117" spans="1:19" ht="15" customHeight="1" x14ac:dyDescent="0.2">
      <c r="A117" s="26"/>
      <c r="B117" s="26"/>
      <c r="C117" s="26"/>
      <c r="D117" s="26"/>
      <c r="E117" s="26"/>
      <c r="F117" s="25"/>
      <c r="G117" s="25"/>
      <c r="H117" s="25"/>
      <c r="I117" s="25"/>
      <c r="J117" s="25"/>
      <c r="K117" s="25"/>
      <c r="L117" s="25"/>
      <c r="M117" s="25"/>
      <c r="N117" s="25"/>
      <c r="O117" s="4"/>
      <c r="P117" s="4"/>
      <c r="Q117" s="4"/>
      <c r="R117" s="4"/>
      <c r="S117" s="4"/>
    </row>
    <row r="118" spans="1:19" ht="15" customHeight="1" x14ac:dyDescent="0.2">
      <c r="A118" s="26"/>
      <c r="B118" s="26"/>
      <c r="C118" s="26"/>
      <c r="D118" s="26"/>
      <c r="E118" s="26"/>
      <c r="F118" s="25"/>
      <c r="G118" s="25"/>
      <c r="H118" s="25"/>
      <c r="I118" s="25"/>
      <c r="J118" s="25"/>
      <c r="K118" s="25"/>
      <c r="L118" s="25"/>
      <c r="M118" s="25"/>
      <c r="N118" s="25"/>
      <c r="O118" s="4"/>
      <c r="P118" s="4"/>
      <c r="Q118" s="4"/>
      <c r="R118" s="4"/>
      <c r="S118" s="4"/>
    </row>
    <row r="119" spans="1:19" ht="15" customHeight="1" x14ac:dyDescent="0.2">
      <c r="A119" s="26"/>
      <c r="B119" s="26"/>
      <c r="C119" s="26"/>
      <c r="D119" s="26"/>
      <c r="E119" s="26"/>
      <c r="F119" s="25"/>
      <c r="G119" s="25"/>
      <c r="H119" s="25"/>
      <c r="I119" s="25"/>
      <c r="J119" s="25"/>
      <c r="K119" s="25"/>
      <c r="L119" s="25"/>
      <c r="M119" s="25"/>
      <c r="N119" s="25"/>
      <c r="O119" s="4"/>
      <c r="P119" s="4"/>
      <c r="Q119" s="4"/>
      <c r="R119" s="4"/>
      <c r="S119" s="4"/>
    </row>
    <row r="120" spans="1:19" ht="15" customHeight="1" x14ac:dyDescent="0.2">
      <c r="A120" s="26"/>
      <c r="B120" s="26"/>
      <c r="C120" s="26"/>
      <c r="D120" s="26"/>
      <c r="E120" s="26"/>
      <c r="F120" s="25"/>
      <c r="G120" s="25"/>
      <c r="H120" s="25"/>
      <c r="I120" s="25"/>
      <c r="J120" s="25"/>
      <c r="K120" s="25"/>
      <c r="L120" s="25"/>
      <c r="M120" s="25"/>
      <c r="N120" s="25"/>
      <c r="O120" s="4"/>
      <c r="P120" s="4"/>
      <c r="Q120" s="4"/>
      <c r="R120" s="4"/>
      <c r="S120" s="4"/>
    </row>
    <row r="121" spans="1:19" ht="15" customHeight="1" x14ac:dyDescent="0.2">
      <c r="A121" s="26"/>
      <c r="B121" s="26"/>
      <c r="C121" s="26"/>
      <c r="D121" s="26"/>
      <c r="E121" s="26"/>
      <c r="F121" s="25"/>
      <c r="G121" s="25"/>
      <c r="H121" s="25"/>
      <c r="I121" s="25"/>
      <c r="J121" s="25"/>
      <c r="K121" s="25"/>
      <c r="L121" s="25"/>
      <c r="M121" s="25"/>
      <c r="N121" s="25"/>
      <c r="O121" s="4"/>
      <c r="P121" s="4"/>
      <c r="Q121" s="4"/>
      <c r="R121" s="4"/>
      <c r="S121" s="4"/>
    </row>
    <row r="122" spans="1:19" ht="15" customHeight="1" x14ac:dyDescent="0.2">
      <c r="A122" s="26"/>
      <c r="B122" s="26"/>
      <c r="C122" s="26"/>
      <c r="D122" s="26"/>
      <c r="E122" s="26"/>
      <c r="F122" s="25"/>
      <c r="G122" s="25"/>
      <c r="H122" s="25"/>
      <c r="I122" s="25"/>
      <c r="J122" s="25"/>
      <c r="K122" s="25"/>
      <c r="L122" s="25"/>
      <c r="M122" s="25"/>
      <c r="N122" s="25"/>
      <c r="O122" s="4"/>
      <c r="P122" s="4"/>
      <c r="Q122" s="4"/>
      <c r="R122" s="4"/>
      <c r="S122" s="4"/>
    </row>
    <row r="123" spans="1:19" ht="15" customHeight="1" x14ac:dyDescent="0.2">
      <c r="A123" s="26"/>
      <c r="B123" s="26"/>
      <c r="C123" s="26"/>
      <c r="D123" s="26"/>
      <c r="E123" s="26"/>
      <c r="F123" s="25"/>
      <c r="G123" s="25"/>
      <c r="H123" s="25"/>
      <c r="I123" s="25"/>
      <c r="J123" s="25"/>
      <c r="K123" s="25"/>
      <c r="L123" s="25"/>
      <c r="M123" s="25"/>
      <c r="N123" s="25"/>
      <c r="O123" s="4"/>
      <c r="P123" s="4"/>
      <c r="Q123" s="4"/>
      <c r="R123" s="4"/>
      <c r="S123" s="4"/>
    </row>
    <row r="124" spans="1:19" ht="15" customHeight="1" x14ac:dyDescent="0.2">
      <c r="A124" s="26"/>
      <c r="B124" s="26"/>
      <c r="C124" s="26"/>
      <c r="D124" s="26"/>
      <c r="E124" s="26"/>
      <c r="F124" s="25"/>
      <c r="G124" s="25"/>
      <c r="H124" s="25"/>
      <c r="I124" s="25"/>
      <c r="J124" s="25"/>
      <c r="K124" s="25"/>
      <c r="L124" s="25"/>
      <c r="M124" s="25"/>
      <c r="N124" s="25"/>
      <c r="O124" s="4"/>
      <c r="P124" s="4"/>
      <c r="Q124" s="4"/>
      <c r="R124" s="4"/>
      <c r="S124" s="4"/>
    </row>
    <row r="125" spans="1:19" ht="15" customHeight="1" x14ac:dyDescent="0.2">
      <c r="A125" s="26"/>
      <c r="B125" s="26"/>
      <c r="C125" s="26"/>
      <c r="D125" s="26"/>
      <c r="E125" s="26"/>
      <c r="F125" s="25"/>
      <c r="G125" s="25"/>
      <c r="H125" s="25"/>
      <c r="I125" s="25"/>
      <c r="J125" s="25"/>
      <c r="K125" s="25"/>
      <c r="L125" s="25"/>
      <c r="M125" s="25"/>
      <c r="N125" s="25"/>
      <c r="O125" s="4"/>
      <c r="P125" s="4"/>
      <c r="Q125" s="4"/>
      <c r="R125" s="4"/>
      <c r="S125" s="4"/>
    </row>
    <row r="126" spans="1:19" ht="15" customHeight="1" x14ac:dyDescent="0.2">
      <c r="A126" s="26"/>
      <c r="B126" s="26"/>
      <c r="C126" s="26"/>
      <c r="D126" s="26"/>
      <c r="E126" s="26"/>
      <c r="F126" s="25"/>
      <c r="G126" s="25"/>
      <c r="H126" s="25"/>
      <c r="I126" s="25"/>
      <c r="J126" s="25"/>
      <c r="K126" s="25"/>
      <c r="L126" s="25"/>
      <c r="M126" s="25"/>
      <c r="N126" s="25"/>
      <c r="O126" s="4"/>
      <c r="P126" s="4"/>
      <c r="Q126" s="4"/>
      <c r="R126" s="4"/>
      <c r="S126" s="4"/>
    </row>
    <row r="127" spans="1:19" ht="15" customHeight="1" x14ac:dyDescent="0.2">
      <c r="A127" s="26"/>
      <c r="B127" s="26"/>
      <c r="C127" s="26"/>
      <c r="D127" s="26"/>
      <c r="E127" s="26"/>
      <c r="F127" s="25"/>
      <c r="G127" s="25"/>
      <c r="H127" s="25"/>
      <c r="I127" s="25"/>
      <c r="J127" s="25"/>
      <c r="K127" s="25"/>
      <c r="L127" s="25"/>
      <c r="M127" s="25"/>
      <c r="N127" s="25"/>
      <c r="O127" s="4"/>
      <c r="P127" s="4"/>
      <c r="Q127" s="4"/>
      <c r="R127" s="4"/>
      <c r="S127" s="4"/>
    </row>
    <row r="128" spans="1:19" ht="15" customHeight="1" x14ac:dyDescent="0.2">
      <c r="A128" s="26"/>
      <c r="B128" s="26"/>
      <c r="C128" s="26"/>
      <c r="D128" s="26"/>
      <c r="E128" s="26"/>
      <c r="F128" s="25"/>
      <c r="G128" s="25"/>
      <c r="H128" s="25"/>
      <c r="I128" s="25"/>
      <c r="J128" s="25"/>
      <c r="K128" s="25"/>
      <c r="L128" s="25"/>
      <c r="M128" s="25"/>
      <c r="N128" s="25"/>
      <c r="O128" s="4"/>
      <c r="P128" s="4"/>
      <c r="Q128" s="4"/>
      <c r="R128" s="4"/>
      <c r="S128" s="4"/>
    </row>
    <row r="129" spans="1:19" ht="15" customHeight="1" x14ac:dyDescent="0.2">
      <c r="A129" s="26"/>
      <c r="B129" s="26"/>
      <c r="C129" s="26"/>
      <c r="D129" s="26"/>
      <c r="E129" s="26"/>
      <c r="F129" s="25"/>
      <c r="G129" s="25"/>
      <c r="H129" s="25"/>
      <c r="I129" s="25"/>
      <c r="J129" s="25"/>
      <c r="K129" s="25"/>
      <c r="L129" s="25"/>
      <c r="M129" s="25"/>
      <c r="N129" s="25"/>
      <c r="O129" s="4"/>
      <c r="P129" s="4"/>
      <c r="Q129" s="4"/>
      <c r="R129" s="4"/>
      <c r="S129" s="4"/>
    </row>
    <row r="130" spans="1:19" ht="15" customHeight="1" x14ac:dyDescent="0.2">
      <c r="A130" s="26"/>
      <c r="B130" s="26"/>
      <c r="C130" s="26"/>
      <c r="D130" s="26"/>
      <c r="E130" s="26"/>
      <c r="F130" s="25"/>
      <c r="G130" s="25"/>
      <c r="H130" s="25"/>
      <c r="I130" s="25"/>
      <c r="J130" s="25"/>
      <c r="K130" s="25"/>
      <c r="L130" s="25"/>
      <c r="M130" s="25"/>
      <c r="N130" s="25"/>
      <c r="O130" s="4"/>
      <c r="P130" s="4"/>
      <c r="Q130" s="4"/>
      <c r="R130" s="4"/>
      <c r="S130" s="4"/>
    </row>
    <row r="131" spans="1:19" ht="15" customHeight="1" x14ac:dyDescent="0.2">
      <c r="A131" s="26"/>
      <c r="B131" s="26"/>
      <c r="C131" s="26"/>
      <c r="D131" s="26"/>
      <c r="E131" s="26"/>
      <c r="F131" s="25"/>
      <c r="G131" s="25"/>
      <c r="H131" s="25"/>
      <c r="I131" s="25"/>
      <c r="J131" s="25"/>
      <c r="K131" s="25"/>
      <c r="L131" s="25"/>
      <c r="M131" s="25"/>
      <c r="N131" s="25"/>
      <c r="O131" s="4"/>
      <c r="P131" s="4"/>
      <c r="Q131" s="4"/>
      <c r="R131" s="4"/>
      <c r="S131" s="4"/>
    </row>
    <row r="132" spans="1:19" ht="15" customHeight="1" x14ac:dyDescent="0.2">
      <c r="A132" s="26"/>
      <c r="B132" s="26"/>
      <c r="C132" s="26"/>
      <c r="D132" s="26"/>
      <c r="E132" s="26"/>
      <c r="F132" s="25"/>
      <c r="G132" s="25"/>
      <c r="H132" s="25"/>
      <c r="I132" s="25"/>
      <c r="J132" s="25"/>
      <c r="K132" s="25"/>
      <c r="L132" s="25"/>
      <c r="M132" s="25"/>
      <c r="N132" s="25"/>
      <c r="O132" s="4"/>
      <c r="P132" s="4"/>
      <c r="Q132" s="4"/>
      <c r="R132" s="4"/>
      <c r="S132" s="4"/>
    </row>
    <row r="133" spans="1:19" ht="15" customHeight="1" x14ac:dyDescent="0.2">
      <c r="A133" s="26"/>
      <c r="B133" s="26"/>
      <c r="C133" s="26"/>
      <c r="D133" s="26"/>
      <c r="E133" s="26"/>
      <c r="F133" s="25"/>
      <c r="G133" s="25"/>
      <c r="H133" s="25"/>
      <c r="I133" s="25"/>
      <c r="J133" s="25"/>
      <c r="K133" s="25"/>
      <c r="L133" s="25"/>
      <c r="M133" s="25"/>
      <c r="N133" s="25"/>
      <c r="O133" s="4"/>
      <c r="P133" s="4"/>
      <c r="Q133" s="4"/>
      <c r="R133" s="4"/>
      <c r="S133" s="4"/>
    </row>
    <row r="134" spans="1:19" ht="15" customHeight="1" x14ac:dyDescent="0.2">
      <c r="A134" s="26"/>
      <c r="B134" s="26"/>
      <c r="C134" s="26"/>
      <c r="D134" s="26"/>
      <c r="E134" s="26"/>
      <c r="F134" s="25"/>
      <c r="G134" s="25"/>
      <c r="H134" s="25"/>
      <c r="I134" s="25"/>
      <c r="J134" s="25"/>
      <c r="K134" s="25"/>
      <c r="L134" s="25"/>
      <c r="M134" s="25"/>
      <c r="N134" s="25"/>
      <c r="O134" s="4"/>
      <c r="P134" s="4"/>
      <c r="Q134" s="4"/>
      <c r="R134" s="4"/>
      <c r="S134" s="4"/>
    </row>
    <row r="135" spans="1:19" ht="15" customHeight="1" x14ac:dyDescent="0.2">
      <c r="A135" s="26"/>
      <c r="B135" s="26"/>
      <c r="C135" s="26"/>
      <c r="D135" s="26"/>
      <c r="E135" s="26"/>
      <c r="F135" s="25"/>
      <c r="G135" s="25"/>
      <c r="H135" s="25"/>
      <c r="I135" s="25"/>
      <c r="J135" s="25"/>
      <c r="K135" s="25"/>
      <c r="L135" s="25"/>
      <c r="M135" s="25"/>
      <c r="N135" s="25"/>
      <c r="O135" s="4"/>
      <c r="P135" s="4"/>
      <c r="Q135" s="4"/>
      <c r="R135" s="4"/>
      <c r="S135" s="4"/>
    </row>
    <row r="136" spans="1:19" ht="15" customHeight="1" x14ac:dyDescent="0.2">
      <c r="A136" s="26"/>
      <c r="B136" s="26"/>
      <c r="C136" s="26"/>
      <c r="D136" s="26"/>
      <c r="E136" s="26"/>
      <c r="F136" s="25"/>
      <c r="G136" s="25"/>
      <c r="H136" s="25"/>
      <c r="I136" s="25"/>
      <c r="J136" s="25"/>
      <c r="K136" s="25"/>
      <c r="L136" s="25"/>
      <c r="M136" s="25"/>
      <c r="N136" s="25"/>
      <c r="O136" s="4"/>
      <c r="P136" s="4"/>
      <c r="Q136" s="4"/>
      <c r="R136" s="4"/>
      <c r="S136" s="4"/>
    </row>
    <row r="137" spans="1:19" ht="15" customHeight="1" x14ac:dyDescent="0.2">
      <c r="A137" s="26"/>
      <c r="B137" s="26"/>
      <c r="C137" s="26"/>
      <c r="D137" s="26"/>
      <c r="E137" s="26"/>
      <c r="F137" s="25"/>
      <c r="G137" s="25"/>
      <c r="H137" s="25"/>
      <c r="I137" s="25"/>
      <c r="J137" s="25"/>
      <c r="K137" s="25"/>
      <c r="L137" s="25"/>
      <c r="M137" s="25"/>
      <c r="N137" s="25"/>
      <c r="O137" s="4"/>
      <c r="P137" s="4"/>
      <c r="Q137" s="4"/>
      <c r="R137" s="4"/>
      <c r="S137" s="4"/>
    </row>
    <row r="138" spans="1:19" ht="15" customHeight="1" x14ac:dyDescent="0.2">
      <c r="A138" s="26"/>
      <c r="B138" s="26"/>
      <c r="C138" s="26"/>
      <c r="D138" s="26"/>
      <c r="E138" s="26"/>
      <c r="F138" s="25"/>
      <c r="G138" s="25"/>
      <c r="H138" s="25"/>
      <c r="I138" s="25"/>
      <c r="J138" s="25"/>
      <c r="K138" s="25"/>
      <c r="L138" s="25"/>
      <c r="M138" s="25"/>
      <c r="N138" s="25"/>
      <c r="O138" s="4"/>
      <c r="P138" s="4"/>
      <c r="Q138" s="4"/>
      <c r="R138" s="4"/>
      <c r="S138" s="4"/>
    </row>
    <row r="139" spans="1:19" ht="15" customHeight="1" x14ac:dyDescent="0.2">
      <c r="A139" s="26"/>
      <c r="B139" s="26"/>
      <c r="C139" s="26"/>
      <c r="D139" s="26"/>
      <c r="E139" s="26"/>
      <c r="F139" s="25"/>
      <c r="G139" s="25"/>
      <c r="H139" s="25"/>
      <c r="I139" s="25"/>
      <c r="J139" s="25"/>
      <c r="K139" s="25"/>
      <c r="L139" s="25"/>
      <c r="M139" s="25"/>
      <c r="N139" s="25"/>
      <c r="O139" s="4"/>
      <c r="P139" s="4"/>
      <c r="Q139" s="4"/>
      <c r="R139" s="4"/>
      <c r="S139" s="4"/>
    </row>
    <row r="140" spans="1:19" ht="15" customHeight="1" x14ac:dyDescent="0.2">
      <c r="A140" s="26"/>
      <c r="B140" s="26"/>
      <c r="C140" s="26"/>
      <c r="D140" s="26"/>
      <c r="E140" s="26"/>
      <c r="F140" s="25"/>
      <c r="G140" s="25"/>
      <c r="H140" s="25"/>
      <c r="I140" s="25"/>
      <c r="J140" s="25"/>
      <c r="K140" s="25"/>
      <c r="L140" s="25"/>
      <c r="M140" s="25"/>
      <c r="N140" s="25"/>
      <c r="O140" s="4"/>
      <c r="P140" s="4"/>
      <c r="Q140" s="4"/>
      <c r="R140" s="4"/>
      <c r="S140" s="4"/>
    </row>
    <row r="141" spans="1:19" ht="15" customHeight="1" x14ac:dyDescent="0.2">
      <c r="A141" s="26"/>
      <c r="B141" s="26"/>
      <c r="C141" s="26"/>
      <c r="D141" s="26"/>
      <c r="E141" s="26"/>
      <c r="F141" s="25"/>
      <c r="G141" s="25"/>
      <c r="H141" s="25"/>
      <c r="I141" s="25"/>
      <c r="J141" s="25"/>
      <c r="K141" s="25"/>
      <c r="L141" s="25"/>
      <c r="M141" s="25"/>
      <c r="N141" s="25"/>
      <c r="O141" s="4"/>
      <c r="P141" s="4"/>
      <c r="Q141" s="4"/>
      <c r="R141" s="4"/>
      <c r="S141" s="4"/>
    </row>
    <row r="142" spans="1:19" ht="15" customHeight="1" x14ac:dyDescent="0.2">
      <c r="A142" s="26"/>
      <c r="B142" s="26"/>
      <c r="C142" s="26"/>
      <c r="D142" s="26"/>
      <c r="E142" s="26"/>
      <c r="F142" s="25"/>
      <c r="G142" s="25"/>
      <c r="H142" s="25"/>
      <c r="I142" s="25"/>
      <c r="J142" s="25"/>
      <c r="K142" s="25"/>
      <c r="L142" s="25"/>
      <c r="M142" s="25"/>
      <c r="N142" s="25"/>
      <c r="O142" s="4"/>
      <c r="P142" s="4"/>
      <c r="Q142" s="4"/>
      <c r="R142" s="4"/>
      <c r="S142" s="4"/>
    </row>
    <row r="143" spans="1:19" ht="15" customHeight="1" x14ac:dyDescent="0.2">
      <c r="A143" s="26"/>
      <c r="B143" s="26"/>
      <c r="C143" s="26"/>
      <c r="D143" s="26"/>
      <c r="E143" s="26"/>
      <c r="F143" s="25"/>
      <c r="G143" s="25"/>
      <c r="H143" s="25"/>
      <c r="I143" s="25"/>
      <c r="J143" s="25"/>
      <c r="K143" s="25"/>
      <c r="L143" s="25"/>
      <c r="M143" s="25"/>
      <c r="N143" s="25"/>
      <c r="O143" s="4"/>
      <c r="P143" s="4"/>
      <c r="Q143" s="4"/>
      <c r="R143" s="4"/>
      <c r="S143" s="4"/>
    </row>
    <row r="144" spans="1:19" ht="15" customHeight="1" x14ac:dyDescent="0.2">
      <c r="A144" s="26"/>
      <c r="B144" s="26"/>
      <c r="C144" s="26"/>
      <c r="D144" s="26"/>
      <c r="E144" s="26"/>
      <c r="F144" s="25"/>
      <c r="G144" s="25"/>
      <c r="H144" s="25"/>
      <c r="I144" s="25"/>
      <c r="J144" s="25"/>
      <c r="K144" s="25"/>
      <c r="L144" s="25"/>
      <c r="M144" s="25"/>
      <c r="N144" s="25"/>
      <c r="O144" s="4"/>
      <c r="P144" s="4"/>
      <c r="Q144" s="4"/>
      <c r="R144" s="4"/>
      <c r="S144" s="4"/>
    </row>
    <row r="145" spans="1:19" ht="15" customHeight="1" x14ac:dyDescent="0.2">
      <c r="A145" s="26"/>
      <c r="B145" s="26"/>
      <c r="C145" s="26"/>
      <c r="D145" s="26"/>
      <c r="E145" s="26"/>
      <c r="F145" s="25"/>
      <c r="G145" s="25"/>
      <c r="H145" s="25"/>
      <c r="I145" s="25"/>
      <c r="J145" s="25"/>
      <c r="K145" s="25"/>
      <c r="L145" s="25"/>
      <c r="M145" s="25"/>
      <c r="N145" s="25"/>
      <c r="O145" s="4"/>
      <c r="P145" s="4"/>
      <c r="Q145" s="4"/>
      <c r="R145" s="4"/>
      <c r="S145" s="4"/>
    </row>
    <row r="146" spans="1:19" ht="15" customHeight="1" x14ac:dyDescent="0.2">
      <c r="A146" s="26"/>
      <c r="B146" s="26"/>
      <c r="C146" s="26"/>
      <c r="D146" s="26"/>
      <c r="E146" s="26"/>
      <c r="F146" s="25"/>
      <c r="G146" s="25"/>
      <c r="H146" s="25"/>
      <c r="I146" s="25"/>
      <c r="J146" s="25"/>
      <c r="K146" s="25"/>
      <c r="L146" s="25"/>
      <c r="M146" s="25"/>
      <c r="N146" s="25"/>
      <c r="O146" s="4"/>
      <c r="P146" s="4"/>
      <c r="Q146" s="4"/>
      <c r="R146" s="4"/>
      <c r="S146" s="4"/>
    </row>
    <row r="147" spans="1:19" ht="15" customHeight="1" x14ac:dyDescent="0.2">
      <c r="A147" s="26"/>
      <c r="B147" s="26"/>
      <c r="C147" s="26"/>
      <c r="D147" s="26"/>
      <c r="E147" s="26"/>
      <c r="F147" s="25"/>
      <c r="G147" s="25"/>
      <c r="H147" s="25"/>
      <c r="I147" s="25"/>
      <c r="J147" s="25"/>
      <c r="K147" s="25"/>
      <c r="L147" s="25"/>
      <c r="M147" s="25"/>
      <c r="N147" s="25"/>
      <c r="O147" s="4"/>
      <c r="P147" s="4"/>
      <c r="Q147" s="4"/>
      <c r="R147" s="4"/>
      <c r="S147" s="4"/>
    </row>
    <row r="148" spans="1:19" ht="15" customHeight="1" x14ac:dyDescent="0.2">
      <c r="A148" s="26"/>
      <c r="B148" s="26"/>
      <c r="C148" s="26"/>
      <c r="D148" s="26"/>
      <c r="E148" s="26"/>
      <c r="F148" s="25"/>
      <c r="G148" s="25"/>
      <c r="H148" s="25"/>
      <c r="I148" s="25"/>
      <c r="J148" s="25"/>
      <c r="K148" s="25"/>
      <c r="L148" s="25"/>
      <c r="M148" s="25"/>
      <c r="N148" s="25"/>
      <c r="O148" s="4"/>
      <c r="P148" s="4"/>
      <c r="Q148" s="4"/>
      <c r="R148" s="4"/>
      <c r="S148" s="4"/>
    </row>
    <row r="149" spans="1:19" ht="15" customHeight="1" x14ac:dyDescent="0.2">
      <c r="A149" s="26"/>
      <c r="B149" s="26"/>
      <c r="C149" s="26"/>
      <c r="D149" s="26"/>
      <c r="E149" s="26"/>
      <c r="F149" s="25"/>
      <c r="G149" s="25"/>
      <c r="H149" s="25"/>
      <c r="I149" s="25"/>
      <c r="J149" s="25"/>
      <c r="K149" s="25"/>
      <c r="L149" s="25"/>
      <c r="M149" s="25"/>
      <c r="N149" s="25"/>
      <c r="O149" s="4"/>
      <c r="P149" s="4"/>
      <c r="Q149" s="4"/>
      <c r="R149" s="4"/>
      <c r="S149" s="4"/>
    </row>
    <row r="150" spans="1:19" ht="15" customHeight="1" x14ac:dyDescent="0.2">
      <c r="A150" s="26"/>
      <c r="B150" s="26"/>
      <c r="C150" s="26"/>
      <c r="D150" s="26"/>
      <c r="E150" s="26"/>
      <c r="F150" s="25"/>
      <c r="G150" s="25"/>
      <c r="H150" s="25"/>
      <c r="I150" s="25"/>
      <c r="J150" s="25"/>
      <c r="K150" s="25"/>
      <c r="L150" s="25"/>
      <c r="M150" s="25"/>
      <c r="N150" s="25"/>
      <c r="O150" s="4"/>
      <c r="P150" s="4"/>
      <c r="Q150" s="4"/>
      <c r="R150" s="4"/>
      <c r="S150" s="4"/>
    </row>
    <row r="151" spans="1:19" ht="15" customHeight="1" x14ac:dyDescent="0.2">
      <c r="A151" s="26"/>
      <c r="B151" s="26"/>
      <c r="C151" s="26"/>
      <c r="D151" s="26"/>
      <c r="E151" s="26"/>
      <c r="F151" s="25"/>
      <c r="G151" s="25"/>
      <c r="H151" s="25"/>
      <c r="I151" s="25"/>
      <c r="J151" s="25"/>
      <c r="K151" s="25"/>
      <c r="L151" s="25"/>
      <c r="M151" s="25"/>
      <c r="N151" s="25"/>
      <c r="O151" s="4"/>
      <c r="P151" s="4"/>
      <c r="Q151" s="4"/>
      <c r="R151" s="4"/>
      <c r="S151" s="4"/>
    </row>
    <row r="152" spans="1:19" ht="15" customHeight="1" x14ac:dyDescent="0.2">
      <c r="A152" s="26"/>
      <c r="B152" s="26"/>
      <c r="C152" s="26"/>
      <c r="D152" s="26"/>
      <c r="E152" s="26"/>
      <c r="F152" s="25"/>
      <c r="G152" s="25"/>
      <c r="H152" s="25"/>
      <c r="I152" s="25"/>
      <c r="J152" s="25"/>
      <c r="K152" s="25"/>
      <c r="L152" s="25"/>
      <c r="M152" s="25"/>
      <c r="N152" s="25"/>
      <c r="O152" s="4"/>
      <c r="P152" s="4"/>
      <c r="Q152" s="4"/>
      <c r="R152" s="4"/>
      <c r="S152" s="4"/>
    </row>
    <row r="153" spans="1:19" ht="15" customHeight="1" x14ac:dyDescent="0.2">
      <c r="A153" s="26"/>
      <c r="B153" s="26"/>
      <c r="C153" s="26"/>
      <c r="D153" s="26"/>
      <c r="E153" s="26"/>
      <c r="F153" s="25"/>
      <c r="G153" s="25"/>
      <c r="H153" s="25"/>
      <c r="I153" s="25"/>
      <c r="J153" s="25"/>
      <c r="K153" s="25"/>
      <c r="L153" s="25"/>
      <c r="M153" s="25"/>
      <c r="N153" s="25"/>
      <c r="O153" s="4"/>
      <c r="P153" s="4"/>
      <c r="Q153" s="4"/>
      <c r="R153" s="4"/>
      <c r="S153" s="4"/>
    </row>
    <row r="154" spans="1:19" ht="15" customHeight="1" x14ac:dyDescent="0.2">
      <c r="A154" s="26"/>
      <c r="B154" s="26"/>
      <c r="C154" s="26"/>
      <c r="D154" s="26"/>
      <c r="E154" s="26"/>
      <c r="F154" s="25"/>
      <c r="G154" s="25"/>
      <c r="H154" s="25"/>
      <c r="I154" s="25"/>
      <c r="J154" s="25"/>
      <c r="K154" s="25"/>
      <c r="L154" s="25"/>
      <c r="M154" s="25"/>
      <c r="N154" s="25"/>
      <c r="O154" s="4"/>
      <c r="P154" s="4"/>
      <c r="Q154" s="4"/>
      <c r="R154" s="4"/>
      <c r="S154" s="4"/>
    </row>
    <row r="155" spans="1:19" ht="15" customHeight="1" x14ac:dyDescent="0.2">
      <c r="A155" s="26"/>
      <c r="B155" s="26"/>
      <c r="C155" s="26"/>
      <c r="D155" s="26"/>
      <c r="E155" s="26"/>
      <c r="F155" s="25"/>
      <c r="G155" s="25"/>
      <c r="H155" s="25"/>
      <c r="I155" s="25"/>
      <c r="J155" s="25"/>
      <c r="K155" s="25"/>
      <c r="L155" s="25"/>
      <c r="M155" s="25"/>
      <c r="N155" s="25"/>
      <c r="O155" s="4"/>
      <c r="P155" s="4"/>
      <c r="Q155" s="4"/>
      <c r="R155" s="4"/>
      <c r="S155" s="4"/>
    </row>
    <row r="156" spans="1:19" ht="15" customHeight="1" x14ac:dyDescent="0.2">
      <c r="A156" s="26"/>
      <c r="B156" s="26"/>
      <c r="C156" s="26"/>
      <c r="D156" s="26"/>
      <c r="E156" s="26"/>
      <c r="F156" s="25"/>
      <c r="G156" s="25"/>
      <c r="H156" s="25"/>
      <c r="I156" s="25"/>
      <c r="J156" s="25"/>
      <c r="K156" s="25"/>
      <c r="L156" s="25"/>
      <c r="M156" s="25"/>
      <c r="N156" s="25"/>
      <c r="O156" s="4"/>
      <c r="P156" s="4"/>
      <c r="Q156" s="4"/>
      <c r="R156" s="4"/>
      <c r="S156" s="4"/>
    </row>
    <row r="157" spans="1:19" ht="15" customHeight="1" x14ac:dyDescent="0.2">
      <c r="A157" s="26"/>
      <c r="B157" s="26"/>
      <c r="C157" s="26"/>
      <c r="D157" s="26"/>
      <c r="E157" s="26"/>
      <c r="F157" s="25"/>
      <c r="G157" s="25"/>
      <c r="H157" s="25"/>
      <c r="I157" s="25"/>
      <c r="J157" s="25"/>
      <c r="K157" s="25"/>
      <c r="L157" s="25"/>
      <c r="M157" s="25"/>
      <c r="N157" s="25"/>
      <c r="O157" s="4"/>
      <c r="P157" s="4"/>
      <c r="Q157" s="4"/>
      <c r="R157" s="4"/>
      <c r="S157" s="4"/>
    </row>
    <row r="158" spans="1:19" ht="15" customHeight="1" x14ac:dyDescent="0.2">
      <c r="A158" s="26"/>
      <c r="B158" s="26"/>
      <c r="C158" s="26"/>
      <c r="D158" s="26"/>
      <c r="E158" s="26"/>
      <c r="F158" s="25"/>
      <c r="G158" s="25"/>
      <c r="H158" s="25"/>
      <c r="I158" s="25"/>
      <c r="J158" s="25"/>
      <c r="K158" s="25"/>
      <c r="L158" s="25"/>
      <c r="M158" s="25"/>
      <c r="N158" s="25"/>
      <c r="O158" s="4"/>
      <c r="P158" s="4"/>
      <c r="Q158" s="4"/>
      <c r="R158" s="4"/>
      <c r="S158" s="4"/>
    </row>
    <row r="159" spans="1:19" ht="15" customHeight="1" x14ac:dyDescent="0.2">
      <c r="A159" s="26"/>
      <c r="B159" s="26"/>
      <c r="C159" s="26"/>
      <c r="D159" s="26"/>
      <c r="E159" s="26"/>
      <c r="F159" s="25"/>
      <c r="G159" s="25"/>
      <c r="H159" s="25"/>
      <c r="I159" s="25"/>
      <c r="J159" s="25"/>
      <c r="K159" s="25"/>
      <c r="L159" s="25"/>
      <c r="M159" s="25"/>
      <c r="N159" s="25"/>
      <c r="O159" s="4"/>
      <c r="P159" s="4"/>
      <c r="Q159" s="4"/>
      <c r="R159" s="4"/>
      <c r="S159" s="4"/>
    </row>
    <row r="160" spans="1:19" ht="15" customHeight="1" x14ac:dyDescent="0.2">
      <c r="A160" s="26"/>
      <c r="B160" s="26"/>
      <c r="C160" s="26"/>
      <c r="D160" s="26"/>
      <c r="E160" s="26"/>
      <c r="F160" s="25"/>
      <c r="G160" s="25"/>
      <c r="H160" s="25"/>
      <c r="I160" s="25"/>
      <c r="J160" s="25"/>
      <c r="K160" s="25"/>
      <c r="L160" s="25"/>
      <c r="M160" s="25"/>
      <c r="N160" s="25"/>
      <c r="O160" s="4"/>
      <c r="P160" s="4"/>
      <c r="Q160" s="4"/>
      <c r="R160" s="4"/>
      <c r="S160" s="4"/>
    </row>
    <row r="161" spans="1:19" ht="15" customHeight="1" x14ac:dyDescent="0.2">
      <c r="A161" s="26"/>
      <c r="B161" s="26"/>
      <c r="C161" s="26"/>
      <c r="D161" s="26"/>
      <c r="E161" s="26"/>
      <c r="F161" s="25"/>
      <c r="G161" s="25"/>
      <c r="H161" s="25"/>
      <c r="I161" s="25"/>
      <c r="J161" s="25"/>
      <c r="K161" s="25"/>
      <c r="L161" s="25"/>
      <c r="M161" s="25"/>
      <c r="N161" s="25"/>
      <c r="O161" s="4"/>
      <c r="P161" s="4"/>
      <c r="Q161" s="4"/>
      <c r="R161" s="4"/>
      <c r="S161" s="4"/>
    </row>
    <row r="162" spans="1:19" ht="15" customHeight="1" x14ac:dyDescent="0.2">
      <c r="A162" s="26"/>
      <c r="B162" s="26"/>
      <c r="C162" s="26"/>
      <c r="D162" s="26"/>
      <c r="E162" s="26"/>
      <c r="F162" s="25"/>
      <c r="G162" s="25"/>
      <c r="H162" s="25"/>
      <c r="I162" s="25"/>
      <c r="J162" s="25"/>
      <c r="K162" s="25"/>
      <c r="L162" s="25"/>
      <c r="M162" s="25"/>
      <c r="N162" s="25"/>
      <c r="O162" s="4"/>
      <c r="P162" s="4"/>
      <c r="Q162" s="4"/>
      <c r="R162" s="4"/>
      <c r="S162" s="4"/>
    </row>
    <row r="163" spans="1:19" ht="15" customHeight="1" x14ac:dyDescent="0.2">
      <c r="A163" s="26"/>
      <c r="B163" s="26"/>
      <c r="C163" s="26"/>
      <c r="D163" s="26"/>
      <c r="E163" s="26"/>
      <c r="F163" s="25"/>
      <c r="G163" s="25"/>
      <c r="H163" s="25"/>
      <c r="I163" s="25"/>
      <c r="J163" s="25"/>
      <c r="K163" s="25"/>
      <c r="L163" s="25"/>
      <c r="M163" s="25"/>
      <c r="N163" s="25"/>
      <c r="O163" s="4"/>
      <c r="P163" s="4"/>
      <c r="Q163" s="4"/>
      <c r="R163" s="4"/>
      <c r="S163" s="4"/>
    </row>
    <row r="164" spans="1:19" ht="15" customHeight="1" x14ac:dyDescent="0.2">
      <c r="A164" s="26"/>
      <c r="B164" s="26"/>
      <c r="C164" s="26"/>
      <c r="D164" s="26"/>
      <c r="E164" s="26"/>
      <c r="F164" s="25"/>
      <c r="G164" s="25"/>
      <c r="H164" s="25"/>
      <c r="I164" s="25"/>
      <c r="J164" s="25"/>
      <c r="K164" s="25"/>
      <c r="L164" s="25"/>
      <c r="M164" s="25"/>
      <c r="N164" s="25"/>
      <c r="O164" s="4"/>
      <c r="P164" s="4"/>
      <c r="Q164" s="4"/>
      <c r="R164" s="4"/>
      <c r="S164" s="4"/>
    </row>
    <row r="165" spans="1:19" ht="15" customHeight="1" x14ac:dyDescent="0.2">
      <c r="A165" s="26"/>
      <c r="B165" s="26"/>
      <c r="C165" s="26"/>
      <c r="D165" s="26"/>
      <c r="E165" s="26"/>
      <c r="F165" s="25"/>
      <c r="G165" s="25"/>
      <c r="H165" s="25"/>
      <c r="I165" s="25"/>
      <c r="J165" s="25"/>
      <c r="K165" s="25"/>
      <c r="L165" s="25"/>
      <c r="M165" s="25"/>
      <c r="N165" s="25"/>
      <c r="O165" s="4"/>
      <c r="P165" s="4"/>
      <c r="Q165" s="4"/>
      <c r="R165" s="4"/>
      <c r="S165" s="4"/>
    </row>
    <row r="166" spans="1:19" ht="15" customHeight="1" x14ac:dyDescent="0.2">
      <c r="A166" s="26"/>
      <c r="B166" s="26"/>
      <c r="C166" s="26"/>
      <c r="D166" s="26"/>
      <c r="E166" s="26"/>
      <c r="F166" s="25"/>
      <c r="G166" s="25"/>
      <c r="H166" s="25"/>
      <c r="I166" s="25"/>
      <c r="J166" s="25"/>
      <c r="K166" s="25"/>
      <c r="L166" s="25"/>
      <c r="M166" s="25"/>
      <c r="N166" s="25"/>
      <c r="O166" s="4"/>
      <c r="P166" s="4"/>
      <c r="Q166" s="4"/>
      <c r="R166" s="4"/>
      <c r="S166" s="4"/>
    </row>
    <row r="167" spans="1:19" ht="15" customHeight="1" x14ac:dyDescent="0.2">
      <c r="A167" s="26"/>
      <c r="B167" s="26"/>
      <c r="C167" s="26"/>
      <c r="D167" s="26"/>
      <c r="E167" s="26"/>
      <c r="F167" s="25"/>
      <c r="G167" s="25"/>
      <c r="H167" s="25"/>
      <c r="I167" s="25"/>
      <c r="J167" s="25"/>
      <c r="K167" s="25"/>
      <c r="L167" s="25"/>
      <c r="M167" s="25"/>
      <c r="N167" s="25"/>
      <c r="O167" s="4"/>
      <c r="P167" s="4"/>
      <c r="Q167" s="4"/>
      <c r="R167" s="4"/>
      <c r="S167" s="4"/>
    </row>
    <row r="168" spans="1:19" ht="15" customHeight="1" x14ac:dyDescent="0.2">
      <c r="A168" s="26"/>
      <c r="B168" s="26"/>
      <c r="C168" s="26"/>
      <c r="D168" s="26"/>
      <c r="E168" s="26"/>
      <c r="F168" s="25"/>
      <c r="G168" s="25"/>
      <c r="H168" s="25"/>
      <c r="I168" s="25"/>
      <c r="J168" s="25"/>
      <c r="K168" s="25"/>
      <c r="L168" s="25"/>
      <c r="M168" s="25"/>
      <c r="N168" s="25"/>
      <c r="O168" s="4"/>
      <c r="P168" s="4"/>
      <c r="Q168" s="4"/>
      <c r="R168" s="4"/>
      <c r="S168" s="4"/>
    </row>
    <row r="169" spans="1:19" ht="15" customHeight="1" x14ac:dyDescent="0.2">
      <c r="A169" s="26"/>
      <c r="B169" s="26"/>
      <c r="C169" s="26"/>
      <c r="D169" s="26"/>
      <c r="E169" s="26"/>
      <c r="F169" s="25"/>
      <c r="G169" s="25"/>
      <c r="H169" s="25"/>
      <c r="I169" s="25"/>
      <c r="J169" s="25"/>
      <c r="K169" s="25"/>
      <c r="L169" s="25"/>
      <c r="M169" s="25"/>
      <c r="N169" s="25"/>
      <c r="O169" s="4"/>
      <c r="P169" s="4"/>
      <c r="Q169" s="4"/>
      <c r="R169" s="4"/>
      <c r="S169" s="4"/>
    </row>
    <row r="170" spans="1:19" ht="15" customHeight="1" x14ac:dyDescent="0.2">
      <c r="A170" s="26"/>
      <c r="B170" s="26"/>
      <c r="C170" s="26"/>
      <c r="D170" s="26"/>
      <c r="E170" s="26"/>
      <c r="F170" s="25"/>
      <c r="G170" s="25"/>
      <c r="H170" s="25"/>
      <c r="I170" s="25"/>
      <c r="J170" s="25"/>
      <c r="K170" s="25"/>
      <c r="L170" s="25"/>
      <c r="M170" s="25"/>
      <c r="N170" s="25"/>
      <c r="O170" s="4"/>
      <c r="P170" s="4"/>
      <c r="Q170" s="4"/>
      <c r="R170" s="4"/>
      <c r="S170" s="4"/>
    </row>
    <row r="171" spans="1:19" ht="15" customHeight="1" x14ac:dyDescent="0.2">
      <c r="A171" s="26"/>
      <c r="B171" s="26"/>
      <c r="C171" s="26"/>
      <c r="D171" s="26"/>
      <c r="E171" s="26"/>
      <c r="F171" s="25"/>
      <c r="G171" s="25"/>
      <c r="H171" s="25"/>
      <c r="I171" s="25"/>
      <c r="J171" s="25"/>
      <c r="K171" s="25"/>
      <c r="L171" s="25"/>
      <c r="M171" s="25"/>
      <c r="N171" s="25"/>
      <c r="O171" s="4"/>
      <c r="P171" s="4"/>
      <c r="Q171" s="4"/>
      <c r="R171" s="4"/>
      <c r="S171" s="4"/>
    </row>
    <row r="172" spans="1:19" ht="15" customHeight="1" x14ac:dyDescent="0.2">
      <c r="A172" s="26"/>
      <c r="B172" s="26"/>
      <c r="C172" s="26"/>
      <c r="D172" s="26"/>
      <c r="E172" s="26"/>
      <c r="F172" s="25"/>
      <c r="G172" s="25"/>
      <c r="H172" s="25"/>
      <c r="I172" s="25"/>
      <c r="J172" s="25"/>
      <c r="K172" s="25"/>
      <c r="L172" s="25"/>
      <c r="M172" s="25"/>
      <c r="N172" s="25"/>
      <c r="O172" s="4"/>
      <c r="P172" s="4"/>
      <c r="Q172" s="4"/>
      <c r="R172" s="4"/>
      <c r="S172" s="4"/>
    </row>
    <row r="173" spans="1:19" ht="15" customHeight="1" x14ac:dyDescent="0.2">
      <c r="A173" s="26"/>
      <c r="B173" s="26"/>
      <c r="C173" s="26"/>
      <c r="D173" s="26"/>
      <c r="E173" s="26"/>
      <c r="F173" s="25"/>
      <c r="G173" s="25"/>
      <c r="H173" s="25"/>
      <c r="I173" s="25"/>
      <c r="J173" s="25"/>
      <c r="K173" s="25"/>
      <c r="L173" s="25"/>
      <c r="M173" s="25"/>
      <c r="N173" s="25"/>
      <c r="O173" s="4"/>
      <c r="P173" s="4"/>
      <c r="Q173" s="4"/>
      <c r="R173" s="4"/>
      <c r="S173" s="4"/>
    </row>
    <row r="174" spans="1:19" ht="15" customHeight="1" x14ac:dyDescent="0.2">
      <c r="A174" s="26"/>
      <c r="B174" s="26"/>
      <c r="C174" s="26"/>
      <c r="D174" s="26"/>
      <c r="E174" s="26"/>
      <c r="F174" s="25"/>
      <c r="G174" s="25"/>
      <c r="H174" s="25"/>
      <c r="I174" s="25"/>
      <c r="J174" s="25"/>
      <c r="K174" s="25"/>
      <c r="L174" s="25"/>
      <c r="M174" s="25"/>
      <c r="N174" s="25"/>
      <c r="O174" s="4"/>
      <c r="P174" s="4"/>
      <c r="Q174" s="4"/>
      <c r="R174" s="4"/>
      <c r="S174" s="4"/>
    </row>
    <row r="175" spans="1:19" ht="15" customHeight="1" x14ac:dyDescent="0.2">
      <c r="A175" s="26"/>
      <c r="B175" s="26"/>
      <c r="C175" s="26"/>
      <c r="D175" s="26"/>
      <c r="E175" s="26"/>
      <c r="F175" s="25"/>
      <c r="G175" s="25"/>
      <c r="H175" s="25"/>
      <c r="I175" s="25"/>
      <c r="J175" s="25"/>
      <c r="K175" s="25"/>
      <c r="L175" s="25"/>
      <c r="M175" s="25"/>
      <c r="N175" s="25"/>
      <c r="O175" s="4"/>
      <c r="P175" s="4"/>
      <c r="Q175" s="4"/>
      <c r="R175" s="4"/>
      <c r="S175" s="4"/>
    </row>
    <row r="176" spans="1:19" ht="15" customHeight="1" x14ac:dyDescent="0.2">
      <c r="A176" s="26"/>
      <c r="B176" s="26"/>
      <c r="C176" s="26"/>
      <c r="D176" s="26"/>
      <c r="E176" s="26"/>
      <c r="F176" s="25"/>
      <c r="G176" s="25"/>
      <c r="H176" s="25"/>
      <c r="I176" s="25"/>
      <c r="J176" s="25"/>
      <c r="K176" s="25"/>
      <c r="L176" s="25"/>
      <c r="M176" s="25"/>
      <c r="N176" s="25"/>
      <c r="O176" s="4"/>
      <c r="P176" s="4"/>
      <c r="Q176" s="4"/>
      <c r="R176" s="4"/>
      <c r="S176" s="4"/>
    </row>
    <row r="177" spans="1:19" ht="15" customHeight="1" x14ac:dyDescent="0.2">
      <c r="A177" s="26"/>
      <c r="B177" s="26"/>
      <c r="C177" s="26"/>
      <c r="D177" s="26"/>
      <c r="E177" s="26"/>
      <c r="F177" s="25"/>
      <c r="G177" s="25"/>
      <c r="H177" s="25"/>
      <c r="I177" s="25"/>
      <c r="J177" s="25"/>
      <c r="K177" s="25"/>
      <c r="L177" s="25"/>
      <c r="M177" s="25"/>
      <c r="N177" s="25"/>
      <c r="O177" s="4"/>
      <c r="P177" s="4"/>
      <c r="Q177" s="4"/>
      <c r="R177" s="4"/>
      <c r="S177" s="4"/>
    </row>
    <row r="178" spans="1:19" ht="15" customHeight="1" x14ac:dyDescent="0.2">
      <c r="A178" s="26"/>
      <c r="B178" s="26"/>
      <c r="C178" s="26"/>
      <c r="D178" s="26"/>
      <c r="E178" s="26"/>
      <c r="F178" s="25"/>
      <c r="G178" s="25"/>
      <c r="H178" s="25"/>
      <c r="I178" s="25"/>
      <c r="J178" s="25"/>
      <c r="K178" s="25"/>
      <c r="L178" s="25"/>
      <c r="M178" s="25"/>
      <c r="N178" s="25"/>
      <c r="O178" s="4"/>
      <c r="P178" s="4"/>
      <c r="Q178" s="4"/>
      <c r="R178" s="4"/>
      <c r="S178" s="4"/>
    </row>
    <row r="179" spans="1:19" ht="15" customHeight="1" x14ac:dyDescent="0.2">
      <c r="A179" s="26"/>
      <c r="B179" s="26"/>
      <c r="C179" s="26"/>
      <c r="D179" s="26"/>
      <c r="E179" s="26"/>
      <c r="F179" s="25"/>
      <c r="G179" s="25"/>
      <c r="H179" s="25"/>
      <c r="I179" s="25"/>
      <c r="J179" s="25"/>
      <c r="K179" s="25"/>
      <c r="L179" s="25"/>
      <c r="M179" s="25"/>
      <c r="N179" s="25"/>
      <c r="O179" s="4"/>
      <c r="P179" s="4"/>
      <c r="Q179" s="4"/>
      <c r="R179" s="4"/>
      <c r="S179" s="4"/>
    </row>
    <row r="180" spans="1:19" ht="15" customHeight="1" x14ac:dyDescent="0.2">
      <c r="A180" s="26"/>
      <c r="B180" s="26"/>
      <c r="C180" s="26"/>
      <c r="D180" s="26"/>
      <c r="E180" s="26"/>
      <c r="F180" s="25"/>
      <c r="G180" s="25"/>
      <c r="H180" s="25"/>
      <c r="I180" s="25"/>
      <c r="J180" s="25"/>
      <c r="K180" s="25"/>
      <c r="L180" s="25"/>
      <c r="M180" s="25"/>
      <c r="N180" s="25"/>
      <c r="O180" s="4"/>
      <c r="P180" s="4"/>
      <c r="Q180" s="4"/>
      <c r="R180" s="4"/>
      <c r="S180" s="4"/>
    </row>
    <row r="181" spans="1:19" ht="15" customHeight="1" x14ac:dyDescent="0.2">
      <c r="A181" s="26"/>
      <c r="B181" s="26"/>
      <c r="C181" s="26"/>
      <c r="D181" s="26"/>
      <c r="E181" s="26"/>
      <c r="F181" s="25"/>
      <c r="G181" s="25"/>
      <c r="H181" s="25"/>
      <c r="I181" s="25"/>
      <c r="J181" s="25"/>
      <c r="K181" s="25"/>
      <c r="L181" s="25"/>
      <c r="M181" s="25"/>
      <c r="N181" s="25"/>
      <c r="O181" s="4"/>
      <c r="P181" s="4"/>
      <c r="Q181" s="4"/>
      <c r="R181" s="4"/>
      <c r="S181" s="4"/>
    </row>
    <row r="182" spans="1:19" ht="15" customHeight="1" x14ac:dyDescent="0.2">
      <c r="A182" s="26"/>
      <c r="B182" s="26"/>
      <c r="C182" s="26"/>
      <c r="D182" s="26"/>
      <c r="E182" s="26"/>
      <c r="F182" s="25"/>
      <c r="G182" s="25"/>
      <c r="H182" s="25"/>
      <c r="I182" s="25"/>
      <c r="J182" s="25"/>
      <c r="K182" s="25"/>
      <c r="L182" s="25"/>
      <c r="M182" s="25"/>
      <c r="N182" s="25"/>
      <c r="O182" s="4"/>
      <c r="P182" s="4"/>
      <c r="Q182" s="4"/>
      <c r="R182" s="4"/>
      <c r="S182" s="4"/>
    </row>
    <row r="183" spans="1:19" ht="15" customHeight="1" x14ac:dyDescent="0.2">
      <c r="A183" s="26"/>
      <c r="B183" s="26"/>
      <c r="C183" s="26"/>
      <c r="D183" s="26"/>
      <c r="E183" s="26"/>
      <c r="F183" s="25"/>
      <c r="G183" s="25"/>
      <c r="H183" s="25"/>
      <c r="I183" s="25"/>
      <c r="J183" s="25"/>
      <c r="K183" s="25"/>
      <c r="L183" s="25"/>
      <c r="M183" s="25"/>
      <c r="N183" s="25"/>
      <c r="O183" s="4"/>
      <c r="P183" s="4"/>
      <c r="Q183" s="4"/>
      <c r="R183" s="4"/>
      <c r="S183" s="4"/>
    </row>
    <row r="184" spans="1:19" ht="15" customHeight="1" x14ac:dyDescent="0.2">
      <c r="A184" s="26"/>
      <c r="B184" s="26"/>
      <c r="C184" s="26"/>
      <c r="D184" s="26"/>
      <c r="E184" s="26"/>
      <c r="F184" s="25"/>
      <c r="G184" s="25"/>
      <c r="H184" s="25"/>
      <c r="I184" s="25"/>
      <c r="J184" s="25"/>
      <c r="K184" s="25"/>
      <c r="L184" s="25"/>
      <c r="M184" s="25"/>
      <c r="N184" s="25"/>
      <c r="O184" s="4"/>
      <c r="P184" s="4"/>
      <c r="Q184" s="4"/>
      <c r="R184" s="4"/>
      <c r="S184" s="4"/>
    </row>
    <row r="185" spans="1:19" ht="15" customHeight="1" x14ac:dyDescent="0.2">
      <c r="A185" s="26"/>
      <c r="B185" s="26"/>
      <c r="C185" s="26"/>
      <c r="D185" s="26"/>
      <c r="E185" s="26"/>
      <c r="F185" s="25"/>
      <c r="G185" s="25"/>
      <c r="H185" s="25"/>
      <c r="I185" s="25"/>
      <c r="J185" s="25"/>
      <c r="K185" s="25"/>
      <c r="L185" s="25"/>
      <c r="M185" s="25"/>
      <c r="N185" s="25"/>
      <c r="O185" s="4"/>
      <c r="P185" s="4"/>
      <c r="Q185" s="4"/>
      <c r="R185" s="4"/>
      <c r="S185" s="4"/>
    </row>
    <row r="186" spans="1:19" ht="15" customHeight="1" x14ac:dyDescent="0.2">
      <c r="A186" s="26"/>
      <c r="B186" s="26"/>
      <c r="C186" s="26"/>
      <c r="D186" s="26"/>
      <c r="E186" s="26"/>
      <c r="F186" s="25"/>
      <c r="G186" s="25"/>
      <c r="H186" s="25"/>
      <c r="I186" s="25"/>
      <c r="J186" s="25"/>
      <c r="K186" s="25"/>
      <c r="L186" s="25"/>
      <c r="M186" s="25"/>
      <c r="N186" s="25"/>
      <c r="O186" s="4"/>
      <c r="P186" s="4"/>
      <c r="Q186" s="4"/>
      <c r="R186" s="4"/>
      <c r="S186" s="4"/>
    </row>
    <row r="187" spans="1:19" ht="15" customHeight="1" x14ac:dyDescent="0.2">
      <c r="A187" s="26"/>
      <c r="B187" s="26"/>
      <c r="C187" s="26"/>
      <c r="D187" s="26"/>
      <c r="E187" s="26"/>
      <c r="F187" s="25"/>
      <c r="G187" s="25"/>
      <c r="H187" s="25"/>
      <c r="I187" s="25"/>
      <c r="J187" s="25"/>
      <c r="K187" s="25"/>
      <c r="L187" s="25"/>
      <c r="M187" s="25"/>
      <c r="N187" s="25"/>
      <c r="O187" s="4"/>
      <c r="P187" s="4"/>
      <c r="Q187" s="4"/>
      <c r="R187" s="4"/>
      <c r="S187" s="4"/>
    </row>
    <row r="188" spans="1:19" ht="15" customHeight="1" x14ac:dyDescent="0.2">
      <c r="A188" s="26"/>
      <c r="B188" s="26"/>
      <c r="C188" s="26"/>
      <c r="D188" s="26"/>
      <c r="E188" s="26"/>
      <c r="F188" s="25"/>
      <c r="G188" s="25"/>
      <c r="H188" s="25"/>
      <c r="I188" s="25"/>
      <c r="J188" s="25"/>
      <c r="K188" s="25"/>
      <c r="L188" s="25"/>
      <c r="M188" s="25"/>
      <c r="N188" s="25"/>
      <c r="O188" s="4"/>
      <c r="P188" s="4"/>
      <c r="Q188" s="4"/>
      <c r="R188" s="4"/>
      <c r="S188" s="4"/>
    </row>
    <row r="189" spans="1:19" ht="15" customHeight="1" x14ac:dyDescent="0.2">
      <c r="A189" s="26"/>
      <c r="B189" s="26"/>
      <c r="C189" s="26"/>
      <c r="D189" s="26"/>
      <c r="E189" s="26"/>
      <c r="F189" s="25"/>
      <c r="G189" s="25"/>
      <c r="H189" s="25"/>
      <c r="I189" s="25"/>
      <c r="J189" s="25"/>
      <c r="K189" s="25"/>
      <c r="L189" s="25"/>
      <c r="M189" s="25"/>
      <c r="N189" s="25"/>
      <c r="O189" s="4"/>
      <c r="P189" s="4"/>
      <c r="Q189" s="4"/>
      <c r="R189" s="4"/>
      <c r="S189" s="4"/>
    </row>
    <row r="190" spans="1:19" ht="15" customHeight="1" x14ac:dyDescent="0.2">
      <c r="A190" s="26"/>
      <c r="B190" s="26"/>
      <c r="C190" s="26"/>
      <c r="D190" s="26"/>
      <c r="E190" s="26"/>
      <c r="F190" s="25"/>
      <c r="G190" s="25"/>
      <c r="H190" s="25"/>
      <c r="I190" s="25"/>
      <c r="J190" s="25"/>
      <c r="K190" s="25"/>
      <c r="L190" s="25"/>
      <c r="M190" s="25"/>
      <c r="N190" s="25"/>
      <c r="O190" s="4"/>
      <c r="P190" s="4"/>
      <c r="Q190" s="4"/>
      <c r="R190" s="4"/>
      <c r="S190" s="4"/>
    </row>
    <row r="191" spans="1:19" ht="15" customHeight="1" x14ac:dyDescent="0.2">
      <c r="A191" s="26"/>
      <c r="B191" s="26"/>
      <c r="C191" s="26"/>
      <c r="D191" s="26"/>
      <c r="E191" s="26"/>
      <c r="F191" s="25"/>
      <c r="G191" s="25"/>
      <c r="H191" s="25"/>
      <c r="I191" s="25"/>
      <c r="J191" s="25"/>
      <c r="K191" s="25"/>
      <c r="L191" s="25"/>
      <c r="M191" s="25"/>
      <c r="N191" s="25"/>
      <c r="O191" s="4"/>
      <c r="P191" s="4"/>
      <c r="Q191" s="4"/>
      <c r="R191" s="4"/>
      <c r="S191" s="4"/>
    </row>
    <row r="192" spans="1:19" ht="15" customHeight="1" x14ac:dyDescent="0.2">
      <c r="A192" s="26"/>
      <c r="B192" s="26"/>
      <c r="C192" s="26"/>
      <c r="D192" s="26"/>
      <c r="E192" s="26"/>
      <c r="F192" s="25"/>
      <c r="G192" s="25"/>
      <c r="H192" s="25"/>
      <c r="I192" s="25"/>
      <c r="J192" s="25"/>
      <c r="K192" s="25"/>
      <c r="L192" s="25"/>
      <c r="M192" s="25"/>
      <c r="N192" s="25"/>
      <c r="O192" s="4"/>
      <c r="P192" s="4"/>
      <c r="Q192" s="4"/>
      <c r="R192" s="4"/>
      <c r="S192" s="4"/>
    </row>
    <row r="193" spans="1:19" ht="15" customHeight="1" x14ac:dyDescent="0.2">
      <c r="A193" s="26"/>
      <c r="B193" s="26"/>
      <c r="C193" s="26"/>
      <c r="D193" s="26"/>
      <c r="E193" s="26"/>
      <c r="F193" s="25"/>
      <c r="G193" s="25"/>
      <c r="H193" s="25"/>
      <c r="I193" s="25"/>
      <c r="J193" s="25"/>
      <c r="K193" s="25"/>
      <c r="L193" s="25"/>
      <c r="M193" s="25"/>
      <c r="N193" s="25"/>
      <c r="O193" s="4"/>
      <c r="P193" s="4"/>
      <c r="Q193" s="4"/>
      <c r="R193" s="4"/>
      <c r="S193" s="4"/>
    </row>
    <row r="194" spans="1:19" ht="15" customHeight="1" x14ac:dyDescent="0.2">
      <c r="A194" s="26"/>
      <c r="B194" s="26"/>
      <c r="C194" s="26"/>
      <c r="D194" s="26"/>
      <c r="E194" s="26"/>
      <c r="F194" s="25"/>
      <c r="G194" s="25"/>
      <c r="H194" s="25"/>
      <c r="I194" s="25"/>
      <c r="J194" s="25"/>
      <c r="K194" s="25"/>
      <c r="L194" s="25"/>
      <c r="M194" s="25"/>
      <c r="N194" s="25"/>
      <c r="O194" s="4"/>
      <c r="P194" s="4"/>
      <c r="Q194" s="4"/>
      <c r="R194" s="4"/>
      <c r="S194" s="4"/>
    </row>
    <row r="195" spans="1:19" ht="15" customHeight="1" x14ac:dyDescent="0.2">
      <c r="A195" s="26"/>
      <c r="B195" s="26"/>
      <c r="C195" s="26"/>
      <c r="D195" s="26"/>
      <c r="E195" s="26"/>
      <c r="F195" s="25"/>
      <c r="G195" s="25"/>
      <c r="H195" s="25"/>
      <c r="I195" s="25"/>
      <c r="J195" s="25"/>
      <c r="K195" s="25"/>
      <c r="L195" s="25"/>
      <c r="M195" s="25"/>
      <c r="N195" s="25"/>
      <c r="O195" s="4"/>
      <c r="P195" s="4"/>
      <c r="Q195" s="4"/>
      <c r="R195" s="4"/>
      <c r="S195" s="4"/>
    </row>
    <row r="196" spans="1:19" ht="15" customHeight="1" x14ac:dyDescent="0.2">
      <c r="A196" s="26"/>
      <c r="B196" s="26"/>
      <c r="C196" s="26"/>
      <c r="D196" s="26"/>
      <c r="E196" s="26"/>
      <c r="F196" s="25"/>
      <c r="G196" s="25"/>
      <c r="H196" s="25"/>
      <c r="I196" s="25"/>
      <c r="J196" s="25"/>
      <c r="K196" s="25"/>
      <c r="L196" s="25"/>
      <c r="M196" s="25"/>
      <c r="N196" s="25"/>
      <c r="O196" s="4"/>
      <c r="P196" s="4"/>
      <c r="Q196" s="4"/>
      <c r="R196" s="4"/>
      <c r="S196" s="4"/>
    </row>
    <row r="197" spans="1:19" ht="15" customHeight="1" x14ac:dyDescent="0.2">
      <c r="A197" s="26"/>
      <c r="B197" s="26"/>
      <c r="C197" s="26"/>
      <c r="D197" s="26"/>
      <c r="E197" s="26"/>
      <c r="F197" s="25"/>
      <c r="G197" s="25"/>
      <c r="H197" s="25"/>
      <c r="I197" s="25"/>
      <c r="J197" s="25"/>
      <c r="K197" s="25"/>
      <c r="L197" s="25"/>
      <c r="M197" s="25"/>
      <c r="N197" s="25"/>
      <c r="O197" s="4"/>
      <c r="P197" s="4"/>
      <c r="Q197" s="4"/>
      <c r="R197" s="4"/>
      <c r="S197" s="4"/>
    </row>
    <row r="198" spans="1:19" ht="15" customHeight="1" x14ac:dyDescent="0.2">
      <c r="A198" s="26"/>
      <c r="B198" s="26"/>
      <c r="C198" s="26"/>
      <c r="D198" s="26"/>
      <c r="E198" s="26"/>
      <c r="F198" s="25"/>
      <c r="G198" s="25"/>
      <c r="H198" s="25"/>
      <c r="I198" s="25"/>
      <c r="J198" s="25"/>
      <c r="K198" s="25"/>
      <c r="L198" s="25"/>
      <c r="M198" s="25"/>
      <c r="N198" s="25"/>
      <c r="O198" s="4"/>
      <c r="P198" s="4"/>
      <c r="Q198" s="4"/>
      <c r="R198" s="4"/>
      <c r="S198" s="4"/>
    </row>
    <row r="199" spans="1:19" ht="15" customHeight="1" x14ac:dyDescent="0.2">
      <c r="A199" s="26"/>
      <c r="B199" s="26"/>
      <c r="C199" s="26"/>
      <c r="D199" s="26"/>
      <c r="E199" s="26"/>
      <c r="F199" s="25"/>
      <c r="G199" s="25"/>
      <c r="H199" s="25"/>
      <c r="I199" s="25"/>
      <c r="J199" s="25"/>
      <c r="K199" s="25"/>
      <c r="L199" s="25"/>
      <c r="M199" s="25"/>
      <c r="N199" s="25"/>
      <c r="O199" s="4"/>
      <c r="P199" s="4"/>
      <c r="Q199" s="4"/>
      <c r="R199" s="4"/>
      <c r="S199" s="4"/>
    </row>
    <row r="200" spans="1:19" ht="15" customHeight="1" x14ac:dyDescent="0.2">
      <c r="A200" s="26"/>
      <c r="B200" s="26"/>
      <c r="C200" s="26"/>
      <c r="D200" s="26"/>
      <c r="E200" s="26"/>
      <c r="F200" s="25"/>
      <c r="G200" s="25"/>
      <c r="H200" s="25"/>
      <c r="I200" s="25"/>
      <c r="J200" s="25"/>
      <c r="K200" s="25"/>
      <c r="L200" s="25"/>
      <c r="M200" s="25"/>
      <c r="N200" s="25"/>
      <c r="O200" s="4"/>
      <c r="P200" s="4"/>
      <c r="Q200" s="4"/>
      <c r="R200" s="4"/>
      <c r="S200" s="4"/>
    </row>
    <row r="201" spans="1:19" ht="15" customHeight="1" x14ac:dyDescent="0.2">
      <c r="A201" s="26"/>
      <c r="B201" s="26"/>
      <c r="C201" s="26"/>
      <c r="D201" s="26"/>
      <c r="E201" s="26"/>
      <c r="F201" s="25"/>
      <c r="G201" s="25"/>
      <c r="H201" s="25"/>
      <c r="I201" s="25"/>
      <c r="J201" s="25"/>
      <c r="K201" s="25"/>
      <c r="L201" s="25"/>
      <c r="M201" s="25"/>
      <c r="N201" s="25"/>
      <c r="O201" s="4"/>
      <c r="P201" s="4"/>
      <c r="Q201" s="4"/>
      <c r="R201" s="4"/>
      <c r="S201" s="4"/>
    </row>
    <row r="202" spans="1:19" ht="15" customHeight="1" x14ac:dyDescent="0.2">
      <c r="A202" s="26"/>
      <c r="B202" s="26"/>
      <c r="C202" s="26"/>
      <c r="D202" s="26"/>
      <c r="E202" s="26"/>
      <c r="F202" s="25"/>
      <c r="G202" s="25"/>
      <c r="H202" s="25"/>
      <c r="I202" s="25"/>
      <c r="J202" s="25"/>
      <c r="K202" s="25"/>
      <c r="L202" s="25"/>
      <c r="M202" s="25"/>
      <c r="N202" s="25"/>
      <c r="O202" s="4"/>
      <c r="P202" s="4"/>
      <c r="Q202" s="4"/>
      <c r="R202" s="4"/>
      <c r="S202" s="4"/>
    </row>
    <row r="203" spans="1:19" ht="15" customHeight="1" x14ac:dyDescent="0.2">
      <c r="A203" s="26"/>
      <c r="B203" s="26"/>
      <c r="C203" s="26"/>
      <c r="D203" s="26"/>
      <c r="E203" s="26"/>
      <c r="F203" s="25"/>
      <c r="G203" s="25"/>
      <c r="H203" s="25"/>
      <c r="I203" s="25"/>
      <c r="J203" s="25"/>
      <c r="K203" s="25"/>
      <c r="L203" s="25"/>
      <c r="M203" s="25"/>
      <c r="N203" s="25"/>
      <c r="O203" s="4"/>
      <c r="P203" s="4"/>
      <c r="Q203" s="4"/>
      <c r="R203" s="4"/>
      <c r="S203" s="4"/>
    </row>
    <row r="204" spans="1:19" ht="15" customHeight="1" x14ac:dyDescent="0.2">
      <c r="A204" s="26"/>
      <c r="B204" s="26"/>
      <c r="C204" s="26"/>
      <c r="D204" s="26"/>
      <c r="E204" s="26"/>
      <c r="F204" s="25"/>
      <c r="G204" s="25"/>
      <c r="H204" s="25"/>
      <c r="I204" s="25"/>
      <c r="J204" s="25"/>
      <c r="K204" s="25"/>
      <c r="L204" s="25"/>
      <c r="M204" s="25"/>
      <c r="N204" s="25"/>
      <c r="O204" s="4"/>
      <c r="P204" s="4"/>
      <c r="Q204" s="4"/>
      <c r="R204" s="4"/>
      <c r="S204" s="4"/>
    </row>
    <row r="205" spans="1:19" ht="15" customHeight="1" x14ac:dyDescent="0.2">
      <c r="A205" s="26"/>
      <c r="B205" s="26"/>
      <c r="C205" s="26"/>
      <c r="D205" s="26"/>
      <c r="E205" s="26"/>
      <c r="F205" s="25"/>
      <c r="G205" s="25"/>
      <c r="H205" s="25"/>
      <c r="I205" s="25"/>
      <c r="J205" s="25"/>
      <c r="K205" s="25"/>
      <c r="L205" s="25"/>
      <c r="M205" s="25"/>
      <c r="N205" s="25"/>
      <c r="O205" s="4"/>
      <c r="P205" s="4"/>
      <c r="Q205" s="4"/>
      <c r="R205" s="4"/>
      <c r="S205" s="4"/>
    </row>
    <row r="206" spans="1:19" ht="15" customHeight="1" x14ac:dyDescent="0.2">
      <c r="A206" s="26"/>
      <c r="B206" s="26"/>
      <c r="C206" s="26"/>
      <c r="D206" s="26"/>
      <c r="E206" s="26"/>
      <c r="F206" s="25"/>
      <c r="G206" s="25"/>
      <c r="H206" s="25"/>
      <c r="I206" s="25"/>
      <c r="J206" s="25"/>
      <c r="K206" s="25"/>
      <c r="L206" s="25"/>
      <c r="M206" s="25"/>
      <c r="N206" s="25"/>
      <c r="O206" s="4"/>
      <c r="P206" s="4"/>
      <c r="Q206" s="4"/>
      <c r="R206" s="4"/>
      <c r="S206" s="4"/>
    </row>
    <row r="207" spans="1:19" ht="15" customHeight="1" x14ac:dyDescent="0.2">
      <c r="A207" s="26"/>
      <c r="B207" s="26"/>
      <c r="C207" s="26"/>
      <c r="D207" s="26"/>
      <c r="E207" s="26"/>
      <c r="F207" s="25"/>
      <c r="G207" s="25"/>
      <c r="H207" s="25"/>
      <c r="I207" s="25"/>
      <c r="J207" s="25"/>
      <c r="K207" s="25"/>
      <c r="L207" s="25"/>
      <c r="M207" s="25"/>
      <c r="N207" s="25"/>
      <c r="O207" s="4"/>
      <c r="P207" s="4"/>
      <c r="Q207" s="4"/>
      <c r="R207" s="4"/>
      <c r="S207" s="4"/>
    </row>
    <row r="208" spans="1:19" ht="15" customHeight="1" x14ac:dyDescent="0.2">
      <c r="A208" s="26"/>
      <c r="B208" s="26"/>
      <c r="C208" s="26"/>
      <c r="D208" s="26"/>
      <c r="E208" s="26"/>
      <c r="F208" s="25"/>
      <c r="G208" s="25"/>
      <c r="H208" s="25"/>
      <c r="I208" s="25"/>
      <c r="J208" s="25"/>
      <c r="K208" s="25"/>
      <c r="L208" s="25"/>
      <c r="M208" s="25"/>
      <c r="N208" s="25"/>
      <c r="O208" s="4"/>
      <c r="P208" s="4"/>
      <c r="Q208" s="4"/>
      <c r="R208" s="4"/>
      <c r="S208" s="4"/>
    </row>
    <row r="209" spans="1:19" ht="15" customHeight="1" x14ac:dyDescent="0.2">
      <c r="A209" s="26"/>
      <c r="B209" s="26"/>
      <c r="C209" s="26"/>
      <c r="D209" s="26"/>
      <c r="E209" s="26"/>
      <c r="F209" s="25"/>
      <c r="G209" s="25"/>
      <c r="H209" s="25"/>
      <c r="I209" s="25"/>
      <c r="J209" s="25"/>
      <c r="K209" s="25"/>
      <c r="L209" s="25"/>
      <c r="M209" s="25"/>
      <c r="N209" s="25"/>
      <c r="O209" s="4"/>
      <c r="P209" s="4"/>
      <c r="Q209" s="4"/>
      <c r="R209" s="4"/>
      <c r="S209" s="4"/>
    </row>
    <row r="210" spans="1:19" ht="15" customHeight="1" x14ac:dyDescent="0.2">
      <c r="A210" s="26"/>
      <c r="B210" s="26"/>
      <c r="C210" s="26"/>
      <c r="D210" s="26"/>
      <c r="E210" s="26"/>
      <c r="F210" s="25"/>
      <c r="G210" s="25"/>
      <c r="H210" s="25"/>
      <c r="I210" s="25"/>
      <c r="J210" s="25"/>
      <c r="K210" s="25"/>
      <c r="L210" s="25"/>
      <c r="M210" s="25"/>
      <c r="N210" s="25"/>
      <c r="O210" s="4"/>
      <c r="P210" s="4"/>
      <c r="Q210" s="4"/>
      <c r="R210" s="4"/>
      <c r="S210" s="4"/>
    </row>
    <row r="211" spans="1:19" ht="15" customHeight="1" x14ac:dyDescent="0.2">
      <c r="A211" s="26"/>
      <c r="B211" s="26"/>
      <c r="C211" s="26"/>
      <c r="D211" s="26"/>
      <c r="E211" s="26"/>
      <c r="F211" s="25"/>
      <c r="G211" s="25"/>
      <c r="H211" s="25"/>
      <c r="I211" s="25"/>
      <c r="J211" s="25"/>
      <c r="K211" s="25"/>
      <c r="L211" s="25"/>
      <c r="M211" s="25"/>
      <c r="N211" s="25"/>
      <c r="O211" s="4"/>
      <c r="P211" s="4"/>
      <c r="Q211" s="4"/>
      <c r="R211" s="4"/>
      <c r="S211" s="4"/>
    </row>
    <row r="212" spans="1:19" ht="15" customHeight="1" x14ac:dyDescent="0.2">
      <c r="A212" s="26"/>
      <c r="B212" s="26"/>
      <c r="C212" s="26"/>
      <c r="D212" s="26"/>
      <c r="E212" s="26"/>
      <c r="F212" s="25"/>
      <c r="G212" s="25"/>
      <c r="H212" s="25"/>
      <c r="I212" s="25"/>
      <c r="J212" s="25"/>
      <c r="K212" s="25"/>
      <c r="L212" s="25"/>
      <c r="M212" s="25"/>
      <c r="N212" s="25"/>
      <c r="O212" s="4"/>
      <c r="P212" s="4"/>
      <c r="Q212" s="4"/>
      <c r="R212" s="4"/>
      <c r="S212" s="4"/>
    </row>
    <row r="213" spans="1:19" ht="15" customHeight="1" x14ac:dyDescent="0.2">
      <c r="A213" s="26"/>
      <c r="B213" s="26"/>
      <c r="C213" s="26"/>
      <c r="D213" s="26"/>
      <c r="E213" s="26"/>
      <c r="F213" s="25"/>
      <c r="G213" s="25"/>
      <c r="H213" s="25"/>
      <c r="I213" s="25"/>
      <c r="J213" s="25"/>
      <c r="K213" s="25"/>
      <c r="L213" s="25"/>
      <c r="M213" s="25"/>
      <c r="N213" s="25"/>
      <c r="O213" s="4"/>
      <c r="P213" s="4"/>
      <c r="Q213" s="4"/>
      <c r="R213" s="4"/>
      <c r="S213" s="4"/>
    </row>
    <row r="214" spans="1:19" ht="15" customHeight="1" x14ac:dyDescent="0.2">
      <c r="A214" s="26"/>
      <c r="B214" s="26"/>
      <c r="C214" s="26"/>
      <c r="D214" s="26"/>
      <c r="E214" s="26"/>
      <c r="F214" s="25"/>
      <c r="G214" s="25"/>
      <c r="H214" s="25"/>
      <c r="I214" s="25"/>
      <c r="J214" s="25"/>
      <c r="K214" s="25"/>
      <c r="L214" s="25"/>
      <c r="M214" s="25"/>
      <c r="N214" s="25"/>
      <c r="O214" s="4"/>
      <c r="P214" s="4"/>
      <c r="Q214" s="4"/>
      <c r="R214" s="4"/>
      <c r="S214" s="4"/>
    </row>
    <row r="215" spans="1:19" ht="15" customHeight="1" x14ac:dyDescent="0.2">
      <c r="A215" s="26"/>
      <c r="B215" s="26"/>
      <c r="C215" s="26"/>
      <c r="D215" s="26"/>
      <c r="E215" s="26"/>
      <c r="F215" s="25"/>
      <c r="G215" s="25"/>
      <c r="H215" s="25"/>
      <c r="I215" s="25"/>
      <c r="J215" s="25"/>
      <c r="K215" s="25"/>
      <c r="L215" s="25"/>
      <c r="M215" s="25"/>
      <c r="N215" s="25"/>
      <c r="O215" s="4"/>
      <c r="P215" s="4"/>
      <c r="Q215" s="4"/>
      <c r="R215" s="4"/>
      <c r="S215" s="4"/>
    </row>
    <row r="216" spans="1:19" ht="15" customHeight="1" x14ac:dyDescent="0.2">
      <c r="A216" s="26"/>
      <c r="B216" s="26"/>
      <c r="C216" s="26"/>
      <c r="D216" s="26"/>
      <c r="E216" s="26"/>
      <c r="F216" s="25"/>
      <c r="G216" s="25"/>
      <c r="H216" s="25"/>
      <c r="I216" s="25"/>
      <c r="J216" s="25"/>
      <c r="K216" s="25"/>
      <c r="L216" s="25"/>
      <c r="M216" s="25"/>
      <c r="N216" s="25"/>
      <c r="O216" s="4"/>
      <c r="P216" s="4"/>
      <c r="Q216" s="4"/>
      <c r="R216" s="4"/>
      <c r="S216" s="4"/>
    </row>
    <row r="217" spans="1:19" ht="15" customHeight="1" x14ac:dyDescent="0.2">
      <c r="A217" s="26"/>
      <c r="B217" s="26"/>
      <c r="C217" s="26"/>
      <c r="D217" s="26"/>
      <c r="E217" s="26"/>
      <c r="F217" s="25"/>
      <c r="G217" s="25"/>
      <c r="H217" s="25"/>
      <c r="I217" s="25"/>
      <c r="J217" s="25"/>
      <c r="K217" s="25"/>
      <c r="L217" s="25"/>
      <c r="M217" s="25"/>
      <c r="N217" s="25"/>
      <c r="O217" s="4"/>
      <c r="P217" s="4"/>
      <c r="Q217" s="4"/>
      <c r="R217" s="4"/>
      <c r="S217" s="4"/>
    </row>
    <row r="218" spans="1:19" ht="15" customHeight="1" x14ac:dyDescent="0.2">
      <c r="A218" s="26"/>
      <c r="B218" s="26"/>
      <c r="C218" s="26"/>
      <c r="D218" s="26"/>
      <c r="E218" s="26"/>
      <c r="F218" s="25"/>
      <c r="G218" s="25"/>
      <c r="H218" s="25"/>
      <c r="I218" s="25"/>
      <c r="J218" s="25"/>
      <c r="K218" s="25"/>
      <c r="L218" s="25"/>
      <c r="M218" s="25"/>
      <c r="N218" s="25"/>
      <c r="O218" s="4"/>
      <c r="P218" s="4"/>
      <c r="Q218" s="4"/>
      <c r="R218" s="4"/>
      <c r="S218" s="4"/>
    </row>
    <row r="219" spans="1:19" ht="15" customHeight="1" x14ac:dyDescent="0.2">
      <c r="A219" s="26"/>
      <c r="B219" s="26"/>
      <c r="C219" s="26"/>
      <c r="D219" s="26"/>
      <c r="E219" s="26"/>
      <c r="F219" s="25"/>
      <c r="G219" s="25"/>
      <c r="H219" s="25"/>
      <c r="I219" s="25"/>
      <c r="J219" s="25"/>
      <c r="K219" s="25"/>
      <c r="L219" s="25"/>
      <c r="M219" s="25"/>
      <c r="N219" s="25"/>
      <c r="O219" s="4"/>
      <c r="P219" s="4"/>
      <c r="Q219" s="4"/>
      <c r="R219" s="4"/>
      <c r="S219" s="4"/>
    </row>
    <row r="220" spans="1:19" ht="15" customHeight="1" x14ac:dyDescent="0.2">
      <c r="A220" s="26"/>
      <c r="B220" s="26"/>
      <c r="C220" s="26"/>
      <c r="D220" s="26"/>
      <c r="E220" s="26"/>
      <c r="F220" s="25"/>
      <c r="G220" s="25"/>
      <c r="H220" s="25"/>
      <c r="I220" s="25"/>
      <c r="J220" s="25"/>
      <c r="K220" s="25"/>
      <c r="L220" s="25"/>
      <c r="M220" s="25"/>
      <c r="N220" s="25"/>
      <c r="O220" s="4"/>
      <c r="P220" s="4"/>
      <c r="Q220" s="4"/>
      <c r="R220" s="4"/>
      <c r="S220" s="4"/>
    </row>
    <row r="221" spans="1:19" ht="15" customHeight="1" x14ac:dyDescent="0.2">
      <c r="A221" s="26"/>
      <c r="B221" s="26"/>
      <c r="C221" s="26"/>
      <c r="D221" s="26"/>
      <c r="E221" s="26"/>
      <c r="F221" s="25"/>
      <c r="G221" s="25"/>
      <c r="H221" s="25"/>
      <c r="I221" s="25"/>
      <c r="J221" s="25"/>
      <c r="K221" s="25"/>
      <c r="L221" s="25"/>
      <c r="M221" s="25"/>
      <c r="N221" s="25"/>
      <c r="O221" s="4"/>
      <c r="P221" s="4"/>
      <c r="Q221" s="4"/>
      <c r="R221" s="4"/>
      <c r="S221" s="4"/>
    </row>
    <row r="222" spans="1:19" ht="15" customHeight="1" x14ac:dyDescent="0.2">
      <c r="A222" s="26"/>
      <c r="B222" s="26"/>
      <c r="C222" s="26"/>
      <c r="D222" s="26"/>
      <c r="E222" s="26"/>
      <c r="F222" s="25"/>
      <c r="G222" s="25"/>
      <c r="H222" s="25"/>
      <c r="I222" s="25"/>
      <c r="J222" s="25"/>
      <c r="K222" s="25"/>
      <c r="L222" s="25"/>
      <c r="M222" s="25"/>
      <c r="N222" s="25"/>
      <c r="O222" s="4"/>
      <c r="P222" s="4"/>
      <c r="Q222" s="4"/>
      <c r="R222" s="4"/>
      <c r="S222" s="4"/>
    </row>
    <row r="223" spans="1:19" ht="15" customHeight="1" x14ac:dyDescent="0.2">
      <c r="A223" s="26"/>
      <c r="B223" s="26"/>
      <c r="C223" s="26"/>
      <c r="D223" s="26"/>
      <c r="E223" s="26"/>
      <c r="F223" s="25"/>
      <c r="G223" s="25"/>
      <c r="H223" s="25"/>
      <c r="I223" s="25"/>
      <c r="J223" s="25"/>
      <c r="K223" s="25"/>
      <c r="L223" s="25"/>
      <c r="M223" s="25"/>
      <c r="N223" s="25"/>
      <c r="O223" s="4"/>
      <c r="P223" s="4"/>
      <c r="Q223" s="4"/>
      <c r="R223" s="4"/>
      <c r="S223" s="4"/>
    </row>
    <row r="224" spans="1:19" ht="15" customHeight="1" x14ac:dyDescent="0.2">
      <c r="A224" s="26"/>
      <c r="B224" s="26"/>
      <c r="C224" s="26"/>
      <c r="D224" s="26"/>
      <c r="E224" s="26"/>
      <c r="F224" s="25"/>
      <c r="G224" s="25"/>
      <c r="H224" s="25"/>
      <c r="I224" s="25"/>
      <c r="J224" s="25"/>
      <c r="K224" s="25"/>
      <c r="L224" s="25"/>
      <c r="M224" s="25"/>
      <c r="N224" s="25"/>
      <c r="O224" s="4"/>
      <c r="P224" s="4"/>
      <c r="Q224" s="4"/>
      <c r="R224" s="4"/>
      <c r="S224" s="4"/>
    </row>
    <row r="225" spans="1:19" ht="15" customHeight="1" x14ac:dyDescent="0.2">
      <c r="A225" s="26"/>
      <c r="B225" s="26"/>
      <c r="C225" s="26"/>
      <c r="D225" s="26"/>
      <c r="E225" s="26"/>
      <c r="F225" s="25"/>
      <c r="G225" s="25"/>
      <c r="H225" s="25"/>
      <c r="I225" s="25"/>
      <c r="J225" s="25"/>
      <c r="K225" s="25"/>
      <c r="L225" s="25"/>
      <c r="M225" s="25"/>
      <c r="N225" s="25"/>
      <c r="O225" s="4"/>
      <c r="P225" s="4"/>
      <c r="Q225" s="4"/>
      <c r="R225" s="4"/>
      <c r="S225" s="4"/>
    </row>
    <row r="226" spans="1:19" ht="15" customHeight="1" x14ac:dyDescent="0.2">
      <c r="A226" s="26"/>
      <c r="B226" s="26"/>
      <c r="C226" s="26"/>
      <c r="D226" s="26"/>
      <c r="E226" s="26"/>
      <c r="F226" s="25"/>
      <c r="G226" s="25"/>
      <c r="H226" s="25"/>
      <c r="I226" s="25"/>
      <c r="J226" s="25"/>
      <c r="K226" s="25"/>
      <c r="L226" s="25"/>
      <c r="M226" s="25"/>
      <c r="N226" s="25"/>
      <c r="O226" s="4"/>
      <c r="P226" s="4"/>
      <c r="Q226" s="4"/>
      <c r="R226" s="4"/>
      <c r="S226" s="4"/>
    </row>
    <row r="227" spans="1:19" ht="15" customHeight="1" x14ac:dyDescent="0.2">
      <c r="A227" s="26"/>
      <c r="B227" s="26"/>
      <c r="C227" s="26"/>
      <c r="D227" s="26"/>
      <c r="E227" s="26"/>
      <c r="F227" s="25"/>
      <c r="G227" s="25"/>
      <c r="H227" s="25"/>
      <c r="I227" s="25"/>
      <c r="J227" s="25"/>
      <c r="K227" s="25"/>
      <c r="L227" s="25"/>
      <c r="M227" s="25"/>
      <c r="N227" s="25"/>
      <c r="O227" s="4"/>
      <c r="P227" s="4"/>
      <c r="Q227" s="4"/>
      <c r="R227" s="4"/>
      <c r="S227" s="4"/>
    </row>
    <row r="228" spans="1:19" ht="15" customHeight="1" x14ac:dyDescent="0.2">
      <c r="A228" s="26"/>
      <c r="B228" s="26"/>
      <c r="C228" s="26"/>
      <c r="D228" s="26"/>
      <c r="E228" s="26"/>
      <c r="F228" s="25"/>
      <c r="G228" s="25"/>
      <c r="H228" s="25"/>
      <c r="I228" s="25"/>
      <c r="J228" s="25"/>
      <c r="K228" s="25"/>
      <c r="L228" s="25"/>
      <c r="M228" s="25"/>
      <c r="N228" s="25"/>
      <c r="O228" s="4"/>
      <c r="P228" s="4"/>
      <c r="Q228" s="4"/>
      <c r="R228" s="4"/>
      <c r="S228" s="4"/>
    </row>
    <row r="229" spans="1:19" ht="15" customHeight="1" x14ac:dyDescent="0.2">
      <c r="A229" s="26"/>
      <c r="B229" s="26"/>
      <c r="C229" s="26"/>
      <c r="D229" s="26"/>
      <c r="E229" s="26"/>
      <c r="F229" s="25"/>
      <c r="G229" s="25"/>
      <c r="H229" s="25"/>
      <c r="I229" s="25"/>
      <c r="J229" s="25"/>
      <c r="K229" s="25"/>
      <c r="L229" s="25"/>
      <c r="M229" s="25"/>
      <c r="N229" s="25"/>
      <c r="O229" s="4"/>
      <c r="P229" s="4"/>
      <c r="Q229" s="4"/>
      <c r="R229" s="4"/>
      <c r="S229" s="4"/>
    </row>
    <row r="230" spans="1:19" ht="15" customHeight="1" x14ac:dyDescent="0.2">
      <c r="A230" s="26"/>
      <c r="B230" s="26"/>
      <c r="C230" s="26"/>
      <c r="D230" s="26"/>
      <c r="E230" s="26"/>
      <c r="F230" s="25"/>
      <c r="G230" s="25"/>
      <c r="H230" s="25"/>
      <c r="I230" s="25"/>
      <c r="J230" s="25"/>
      <c r="K230" s="25"/>
      <c r="L230" s="25"/>
      <c r="M230" s="25"/>
      <c r="N230" s="25"/>
      <c r="O230" s="4"/>
      <c r="P230" s="4"/>
      <c r="Q230" s="4"/>
      <c r="R230" s="4"/>
      <c r="S230" s="4"/>
    </row>
    <row r="231" spans="1:19" ht="15" customHeight="1" x14ac:dyDescent="0.2">
      <c r="A231" s="26"/>
      <c r="B231" s="26"/>
      <c r="C231" s="26"/>
      <c r="D231" s="26"/>
      <c r="E231" s="26"/>
      <c r="F231" s="25"/>
      <c r="G231" s="25"/>
      <c r="H231" s="25"/>
      <c r="I231" s="25"/>
      <c r="J231" s="25"/>
      <c r="K231" s="25"/>
      <c r="L231" s="25"/>
      <c r="M231" s="25"/>
      <c r="N231" s="25"/>
      <c r="O231" s="4"/>
      <c r="P231" s="4"/>
      <c r="Q231" s="4"/>
      <c r="R231" s="4"/>
      <c r="S231" s="4"/>
    </row>
    <row r="232" spans="1:19" ht="15" customHeight="1" x14ac:dyDescent="0.2">
      <c r="A232" s="26"/>
      <c r="B232" s="26"/>
      <c r="C232" s="26"/>
      <c r="D232" s="26"/>
      <c r="E232" s="26"/>
      <c r="F232" s="25"/>
      <c r="G232" s="25"/>
      <c r="H232" s="25"/>
      <c r="I232" s="25"/>
      <c r="J232" s="25"/>
      <c r="K232" s="25"/>
      <c r="L232" s="25"/>
      <c r="M232" s="25"/>
      <c r="N232" s="25"/>
      <c r="O232" s="4"/>
      <c r="P232" s="4"/>
      <c r="Q232" s="4"/>
      <c r="R232" s="4"/>
      <c r="S232" s="4"/>
    </row>
    <row r="233" spans="1:19" ht="15" customHeight="1" x14ac:dyDescent="0.2">
      <c r="A233" s="26"/>
      <c r="B233" s="26"/>
      <c r="C233" s="26"/>
      <c r="D233" s="26"/>
      <c r="E233" s="26"/>
      <c r="F233" s="25"/>
      <c r="G233" s="25"/>
      <c r="H233" s="25"/>
      <c r="I233" s="25"/>
      <c r="J233" s="25"/>
      <c r="K233" s="25"/>
      <c r="L233" s="25"/>
      <c r="M233" s="25"/>
      <c r="N233" s="25"/>
      <c r="O233" s="4"/>
      <c r="P233" s="4"/>
      <c r="Q233" s="4"/>
      <c r="R233" s="4"/>
      <c r="S233" s="4"/>
    </row>
    <row r="234" spans="1:19" ht="15" customHeight="1" x14ac:dyDescent="0.2">
      <c r="A234" s="26"/>
      <c r="B234" s="26"/>
      <c r="C234" s="26"/>
      <c r="D234" s="26"/>
      <c r="E234" s="26"/>
      <c r="F234" s="25"/>
      <c r="G234" s="25"/>
      <c r="H234" s="25"/>
      <c r="I234" s="25"/>
      <c r="J234" s="25"/>
      <c r="K234" s="25"/>
      <c r="L234" s="25"/>
      <c r="M234" s="25"/>
      <c r="N234" s="25"/>
      <c r="O234" s="4"/>
      <c r="P234" s="4"/>
      <c r="Q234" s="4"/>
      <c r="R234" s="4"/>
      <c r="S234" s="4"/>
    </row>
    <row r="235" spans="1:19" ht="15" customHeight="1" x14ac:dyDescent="0.2">
      <c r="A235" s="26"/>
      <c r="B235" s="26"/>
      <c r="C235" s="26"/>
      <c r="D235" s="26"/>
      <c r="E235" s="26"/>
      <c r="F235" s="25"/>
      <c r="G235" s="25"/>
      <c r="H235" s="25"/>
      <c r="I235" s="25"/>
      <c r="J235" s="25"/>
      <c r="K235" s="25"/>
      <c r="L235" s="25"/>
      <c r="M235" s="25"/>
      <c r="N235" s="25"/>
      <c r="O235" s="4"/>
      <c r="P235" s="4"/>
      <c r="Q235" s="4"/>
      <c r="R235" s="4"/>
      <c r="S235" s="4"/>
    </row>
    <row r="236" spans="1:19" ht="15" customHeight="1" x14ac:dyDescent="0.2">
      <c r="A236" s="26"/>
      <c r="B236" s="26"/>
      <c r="C236" s="26"/>
      <c r="D236" s="26"/>
      <c r="E236" s="26"/>
      <c r="F236" s="25"/>
      <c r="G236" s="25"/>
      <c r="H236" s="25"/>
      <c r="I236" s="25"/>
      <c r="J236" s="25"/>
      <c r="K236" s="25"/>
      <c r="L236" s="25"/>
      <c r="M236" s="25"/>
      <c r="N236" s="25"/>
      <c r="O236" s="4"/>
      <c r="P236" s="4"/>
      <c r="Q236" s="4"/>
      <c r="R236" s="4"/>
      <c r="S236" s="4"/>
    </row>
    <row r="237" spans="1:19" ht="15" customHeight="1" x14ac:dyDescent="0.2">
      <c r="A237" s="26"/>
      <c r="B237" s="26"/>
      <c r="C237" s="26"/>
      <c r="D237" s="26"/>
      <c r="E237" s="26"/>
      <c r="F237" s="25"/>
      <c r="G237" s="25"/>
      <c r="H237" s="25"/>
      <c r="I237" s="25"/>
      <c r="J237" s="25"/>
      <c r="K237" s="25"/>
      <c r="L237" s="25"/>
      <c r="M237" s="25"/>
      <c r="N237" s="25"/>
      <c r="O237" s="4"/>
      <c r="P237" s="4"/>
      <c r="Q237" s="4"/>
      <c r="R237" s="4"/>
      <c r="S237" s="4"/>
    </row>
    <row r="238" spans="1:19" ht="15" customHeight="1" x14ac:dyDescent="0.2">
      <c r="A238" s="26"/>
      <c r="B238" s="26"/>
      <c r="C238" s="26"/>
      <c r="D238" s="26"/>
      <c r="E238" s="26"/>
      <c r="F238" s="25"/>
      <c r="G238" s="25"/>
      <c r="H238" s="25"/>
      <c r="I238" s="25"/>
      <c r="J238" s="25"/>
      <c r="K238" s="25"/>
      <c r="L238" s="25"/>
      <c r="M238" s="25"/>
      <c r="N238" s="25"/>
      <c r="O238" s="4"/>
      <c r="P238" s="4"/>
      <c r="Q238" s="4"/>
      <c r="R238" s="4"/>
      <c r="S238" s="4"/>
    </row>
    <row r="239" spans="1:19" ht="15" customHeight="1" x14ac:dyDescent="0.2">
      <c r="A239" s="26"/>
      <c r="B239" s="26"/>
      <c r="C239" s="26"/>
      <c r="D239" s="26"/>
      <c r="E239" s="26"/>
      <c r="F239" s="25"/>
      <c r="G239" s="25"/>
      <c r="H239" s="25"/>
      <c r="I239" s="25"/>
      <c r="J239" s="25"/>
      <c r="K239" s="25"/>
      <c r="L239" s="25"/>
      <c r="M239" s="25"/>
      <c r="N239" s="25"/>
      <c r="O239" s="4"/>
      <c r="P239" s="4"/>
      <c r="Q239" s="4"/>
      <c r="R239" s="4"/>
      <c r="S239" s="4"/>
    </row>
    <row r="240" spans="1:19" ht="15" customHeight="1" x14ac:dyDescent="0.2">
      <c r="A240" s="26"/>
      <c r="B240" s="26"/>
      <c r="C240" s="26"/>
      <c r="D240" s="26"/>
      <c r="E240" s="26"/>
      <c r="F240" s="25"/>
      <c r="G240" s="25"/>
      <c r="H240" s="25"/>
      <c r="I240" s="25"/>
      <c r="J240" s="25"/>
      <c r="K240" s="25"/>
      <c r="L240" s="25"/>
      <c r="M240" s="25"/>
      <c r="N240" s="25"/>
      <c r="O240" s="4"/>
      <c r="P240" s="4"/>
      <c r="Q240" s="4"/>
      <c r="R240" s="4"/>
      <c r="S240" s="4"/>
    </row>
    <row r="241" spans="1:19" ht="15" customHeight="1" x14ac:dyDescent="0.2">
      <c r="A241" s="26"/>
      <c r="B241" s="26"/>
      <c r="C241" s="26"/>
      <c r="D241" s="26"/>
      <c r="E241" s="26"/>
      <c r="F241" s="25"/>
      <c r="G241" s="25"/>
      <c r="H241" s="25"/>
      <c r="I241" s="25"/>
      <c r="J241" s="25"/>
      <c r="K241" s="25"/>
      <c r="L241" s="25"/>
      <c r="M241" s="25"/>
      <c r="N241" s="25"/>
      <c r="O241" s="4"/>
      <c r="P241" s="4"/>
      <c r="Q241" s="4"/>
      <c r="R241" s="4"/>
      <c r="S241" s="4"/>
    </row>
    <row r="242" spans="1:19" ht="15" customHeight="1" x14ac:dyDescent="0.2">
      <c r="A242" s="26"/>
      <c r="B242" s="26"/>
      <c r="C242" s="26"/>
      <c r="D242" s="26"/>
      <c r="E242" s="26"/>
      <c r="F242" s="25"/>
      <c r="G242" s="25"/>
      <c r="H242" s="25"/>
      <c r="I242" s="25"/>
      <c r="J242" s="25"/>
      <c r="K242" s="25"/>
      <c r="L242" s="25"/>
      <c r="M242" s="25"/>
      <c r="N242" s="25"/>
      <c r="O242" s="4"/>
      <c r="P242" s="4"/>
      <c r="Q242" s="4"/>
      <c r="R242" s="4"/>
      <c r="S242" s="4"/>
    </row>
    <row r="243" spans="1:19" ht="15" customHeight="1" x14ac:dyDescent="0.2">
      <c r="A243" s="26"/>
      <c r="B243" s="26"/>
      <c r="C243" s="26"/>
      <c r="D243" s="26"/>
      <c r="E243" s="26"/>
      <c r="F243" s="25"/>
      <c r="G243" s="25"/>
      <c r="H243" s="25"/>
      <c r="I243" s="25"/>
      <c r="J243" s="25"/>
      <c r="K243" s="25"/>
      <c r="L243" s="25"/>
      <c r="M243" s="25"/>
      <c r="N243" s="25"/>
      <c r="O243" s="4"/>
      <c r="P243" s="4"/>
      <c r="Q243" s="4"/>
      <c r="R243" s="4"/>
      <c r="S243" s="4"/>
    </row>
    <row r="244" spans="1:19" ht="15" customHeight="1" x14ac:dyDescent="0.2">
      <c r="A244" s="26"/>
      <c r="B244" s="26"/>
      <c r="C244" s="26"/>
      <c r="D244" s="26"/>
      <c r="E244" s="26"/>
      <c r="F244" s="25"/>
      <c r="G244" s="25"/>
      <c r="H244" s="25"/>
      <c r="I244" s="25"/>
      <c r="J244" s="25"/>
      <c r="K244" s="25"/>
      <c r="L244" s="25"/>
      <c r="M244" s="25"/>
      <c r="N244" s="25"/>
      <c r="O244" s="4"/>
      <c r="P244" s="4"/>
      <c r="Q244" s="4"/>
      <c r="R244" s="4"/>
      <c r="S244" s="4"/>
    </row>
    <row r="245" spans="1:19" ht="15" customHeight="1" x14ac:dyDescent="0.2">
      <c r="A245" s="26"/>
      <c r="B245" s="26"/>
      <c r="C245" s="26"/>
      <c r="D245" s="26"/>
      <c r="E245" s="26"/>
      <c r="F245" s="25"/>
      <c r="G245" s="25"/>
      <c r="H245" s="25"/>
      <c r="I245" s="25"/>
      <c r="J245" s="25"/>
      <c r="K245" s="25"/>
      <c r="L245" s="25"/>
      <c r="M245" s="25"/>
      <c r="N245" s="25"/>
      <c r="O245" s="4"/>
      <c r="P245" s="4"/>
      <c r="Q245" s="4"/>
      <c r="R245" s="4"/>
      <c r="S245" s="4"/>
    </row>
    <row r="246" spans="1:19" ht="15" customHeight="1" x14ac:dyDescent="0.2">
      <c r="A246" s="26"/>
      <c r="B246" s="26"/>
      <c r="C246" s="26"/>
      <c r="D246" s="26"/>
      <c r="E246" s="26"/>
      <c r="F246" s="25"/>
      <c r="G246" s="25"/>
      <c r="H246" s="25"/>
      <c r="I246" s="25"/>
      <c r="J246" s="25"/>
      <c r="K246" s="25"/>
      <c r="L246" s="25"/>
      <c r="M246" s="25"/>
      <c r="N246" s="25"/>
      <c r="O246" s="4"/>
      <c r="P246" s="4"/>
      <c r="Q246" s="4"/>
      <c r="R246" s="4"/>
      <c r="S246" s="4"/>
    </row>
    <row r="247" spans="1:19" ht="15" customHeight="1" x14ac:dyDescent="0.2">
      <c r="A247" s="26"/>
      <c r="B247" s="26"/>
      <c r="C247" s="26"/>
      <c r="D247" s="26"/>
      <c r="E247" s="26"/>
      <c r="F247" s="25"/>
      <c r="G247" s="25"/>
      <c r="H247" s="25"/>
      <c r="I247" s="25"/>
      <c r="J247" s="25"/>
      <c r="K247" s="25"/>
      <c r="L247" s="25"/>
      <c r="M247" s="25"/>
      <c r="N247" s="25"/>
      <c r="O247" s="4"/>
      <c r="P247" s="4"/>
      <c r="Q247" s="4"/>
      <c r="R247" s="4"/>
      <c r="S247" s="4"/>
    </row>
    <row r="248" spans="1:19" ht="15" customHeight="1" x14ac:dyDescent="0.2">
      <c r="A248" s="26"/>
      <c r="B248" s="26"/>
      <c r="C248" s="26"/>
      <c r="D248" s="26"/>
      <c r="E248" s="26"/>
      <c r="F248" s="25"/>
      <c r="G248" s="25"/>
      <c r="H248" s="25"/>
      <c r="I248" s="25"/>
      <c r="J248" s="25"/>
      <c r="K248" s="25"/>
      <c r="L248" s="25"/>
      <c r="M248" s="25"/>
      <c r="N248" s="25"/>
      <c r="O248" s="4"/>
      <c r="P248" s="4"/>
      <c r="Q248" s="4"/>
      <c r="R248" s="4"/>
      <c r="S248" s="4"/>
    </row>
    <row r="249" spans="1:19" ht="15" customHeight="1" x14ac:dyDescent="0.2">
      <c r="A249" s="26"/>
      <c r="B249" s="26"/>
      <c r="C249" s="26"/>
      <c r="D249" s="26"/>
      <c r="E249" s="26"/>
      <c r="F249" s="25"/>
      <c r="G249" s="25"/>
      <c r="H249" s="25"/>
      <c r="I249" s="25"/>
      <c r="J249" s="25"/>
      <c r="K249" s="25"/>
      <c r="L249" s="25"/>
      <c r="M249" s="25"/>
      <c r="N249" s="25"/>
      <c r="O249" s="4"/>
      <c r="P249" s="4"/>
      <c r="Q249" s="4"/>
      <c r="R249" s="4"/>
      <c r="S249" s="4"/>
    </row>
    <row r="250" spans="1:19" ht="15" customHeight="1" x14ac:dyDescent="0.2">
      <c r="A250" s="26"/>
      <c r="B250" s="26"/>
      <c r="C250" s="26"/>
      <c r="D250" s="26"/>
      <c r="E250" s="26"/>
      <c r="F250" s="25"/>
      <c r="G250" s="25"/>
      <c r="H250" s="25"/>
      <c r="I250" s="25"/>
      <c r="J250" s="25"/>
      <c r="K250" s="25"/>
      <c r="L250" s="25"/>
      <c r="M250" s="25"/>
      <c r="N250" s="25"/>
      <c r="O250" s="4"/>
      <c r="P250" s="4"/>
      <c r="Q250" s="4"/>
      <c r="R250" s="4"/>
      <c r="S250" s="4"/>
    </row>
    <row r="251" spans="1:19" ht="15" customHeight="1" x14ac:dyDescent="0.2">
      <c r="A251" s="26"/>
      <c r="B251" s="26"/>
      <c r="C251" s="26"/>
      <c r="D251" s="26"/>
      <c r="E251" s="26"/>
      <c r="F251" s="25"/>
      <c r="G251" s="25"/>
      <c r="H251" s="25"/>
      <c r="I251" s="25"/>
      <c r="J251" s="25"/>
      <c r="K251" s="25"/>
      <c r="L251" s="25"/>
      <c r="M251" s="25"/>
      <c r="N251" s="25"/>
      <c r="O251" s="4"/>
      <c r="P251" s="4"/>
      <c r="Q251" s="4"/>
      <c r="R251" s="4"/>
      <c r="S251" s="4"/>
    </row>
    <row r="252" spans="1:19" ht="15" customHeight="1" x14ac:dyDescent="0.2">
      <c r="A252" s="26"/>
      <c r="B252" s="26"/>
      <c r="C252" s="26"/>
      <c r="D252" s="26"/>
      <c r="E252" s="26"/>
      <c r="F252" s="25"/>
      <c r="G252" s="25"/>
      <c r="H252" s="25"/>
      <c r="I252" s="25"/>
      <c r="J252" s="25"/>
      <c r="K252" s="25"/>
      <c r="L252" s="25"/>
      <c r="M252" s="25"/>
      <c r="N252" s="25"/>
      <c r="O252" s="4"/>
      <c r="P252" s="4"/>
      <c r="Q252" s="4"/>
      <c r="R252" s="4"/>
      <c r="S252" s="4"/>
    </row>
    <row r="253" spans="1:19" ht="15" customHeight="1" x14ac:dyDescent="0.2">
      <c r="A253" s="26"/>
      <c r="B253" s="26"/>
      <c r="C253" s="26"/>
      <c r="D253" s="26"/>
      <c r="E253" s="26"/>
      <c r="F253" s="25"/>
      <c r="G253" s="25"/>
      <c r="H253" s="25"/>
      <c r="I253" s="25"/>
      <c r="J253" s="25"/>
      <c r="K253" s="25"/>
      <c r="L253" s="25"/>
      <c r="M253" s="25"/>
      <c r="N253" s="25"/>
      <c r="O253" s="4"/>
      <c r="P253" s="4"/>
      <c r="Q253" s="4"/>
      <c r="R253" s="4"/>
      <c r="S253" s="4"/>
    </row>
    <row r="254" spans="1:19" ht="15" customHeight="1" x14ac:dyDescent="0.2">
      <c r="A254" s="26"/>
      <c r="B254" s="26"/>
      <c r="C254" s="26"/>
      <c r="D254" s="26"/>
      <c r="E254" s="26"/>
      <c r="F254" s="25"/>
      <c r="G254" s="25"/>
      <c r="H254" s="25"/>
      <c r="I254" s="25"/>
      <c r="J254" s="25"/>
      <c r="K254" s="25"/>
      <c r="L254" s="25"/>
      <c r="M254" s="25"/>
      <c r="N254" s="25"/>
      <c r="O254" s="4"/>
      <c r="P254" s="4"/>
      <c r="Q254" s="4"/>
      <c r="R254" s="4"/>
      <c r="S254" s="4"/>
    </row>
    <row r="255" spans="1:19" ht="15" customHeight="1" x14ac:dyDescent="0.2">
      <c r="A255" s="26"/>
      <c r="B255" s="26"/>
      <c r="C255" s="26"/>
      <c r="D255" s="26"/>
      <c r="E255" s="26"/>
      <c r="F255" s="25"/>
      <c r="G255" s="25"/>
      <c r="H255" s="25"/>
      <c r="I255" s="25"/>
      <c r="J255" s="25"/>
      <c r="K255" s="25"/>
      <c r="L255" s="25"/>
      <c r="M255" s="25"/>
      <c r="N255" s="25"/>
      <c r="O255" s="4"/>
      <c r="P255" s="4"/>
      <c r="Q255" s="4"/>
      <c r="R255" s="4"/>
      <c r="S255" s="4"/>
    </row>
    <row r="256" spans="1:19" ht="15" customHeight="1" x14ac:dyDescent="0.2">
      <c r="A256" s="26"/>
      <c r="B256" s="26"/>
      <c r="C256" s="26"/>
      <c r="D256" s="26"/>
      <c r="E256" s="26"/>
      <c r="F256" s="25"/>
      <c r="G256" s="25"/>
      <c r="H256" s="25"/>
      <c r="I256" s="25"/>
      <c r="J256" s="25"/>
      <c r="K256" s="25"/>
      <c r="L256" s="25"/>
      <c r="M256" s="25"/>
      <c r="N256" s="25"/>
      <c r="O256" s="4"/>
      <c r="P256" s="4"/>
      <c r="Q256" s="4"/>
      <c r="R256" s="4"/>
      <c r="S256" s="4"/>
    </row>
    <row r="257" spans="1:19" ht="15" customHeight="1" x14ac:dyDescent="0.2">
      <c r="A257" s="26"/>
      <c r="B257" s="26"/>
      <c r="C257" s="26"/>
      <c r="D257" s="26"/>
      <c r="E257" s="26"/>
      <c r="F257" s="25"/>
      <c r="G257" s="25"/>
      <c r="H257" s="25"/>
      <c r="I257" s="25"/>
      <c r="J257" s="25"/>
      <c r="K257" s="25"/>
      <c r="L257" s="25"/>
      <c r="M257" s="25"/>
      <c r="N257" s="25"/>
      <c r="O257" s="4"/>
      <c r="P257" s="4"/>
      <c r="Q257" s="4"/>
      <c r="R257" s="4"/>
      <c r="S257" s="4"/>
    </row>
    <row r="258" spans="1:19" ht="15" customHeight="1" x14ac:dyDescent="0.2">
      <c r="A258" s="26"/>
      <c r="B258" s="26"/>
      <c r="C258" s="26"/>
      <c r="D258" s="26"/>
      <c r="E258" s="26"/>
      <c r="F258" s="25"/>
      <c r="G258" s="25"/>
      <c r="H258" s="25"/>
      <c r="I258" s="25"/>
      <c r="J258" s="25"/>
      <c r="K258" s="25"/>
      <c r="L258" s="25"/>
      <c r="M258" s="25"/>
      <c r="N258" s="25"/>
      <c r="O258" s="4"/>
      <c r="P258" s="4"/>
      <c r="Q258" s="4"/>
      <c r="R258" s="4"/>
      <c r="S258" s="4"/>
    </row>
    <row r="259" spans="1:19" ht="15" customHeight="1" x14ac:dyDescent="0.2">
      <c r="A259" s="26"/>
      <c r="B259" s="26"/>
      <c r="C259" s="26"/>
      <c r="D259" s="26"/>
      <c r="E259" s="26"/>
      <c r="F259" s="25"/>
      <c r="G259" s="25"/>
      <c r="H259" s="25"/>
      <c r="I259" s="25"/>
      <c r="J259" s="25"/>
      <c r="K259" s="25"/>
      <c r="L259" s="25"/>
      <c r="M259" s="25"/>
      <c r="N259" s="25"/>
      <c r="O259" s="4"/>
      <c r="P259" s="4"/>
      <c r="Q259" s="4"/>
      <c r="R259" s="4"/>
      <c r="S259" s="4"/>
    </row>
    <row r="260" spans="1:19" ht="15" customHeight="1" x14ac:dyDescent="0.2">
      <c r="A260" s="26"/>
      <c r="B260" s="26"/>
      <c r="C260" s="26"/>
      <c r="D260" s="26"/>
      <c r="E260" s="26"/>
      <c r="F260" s="25"/>
      <c r="G260" s="25"/>
      <c r="H260" s="25"/>
      <c r="I260" s="25"/>
      <c r="J260" s="25"/>
      <c r="K260" s="25"/>
      <c r="L260" s="25"/>
      <c r="M260" s="25"/>
      <c r="N260" s="25"/>
      <c r="O260" s="4"/>
      <c r="P260" s="4"/>
      <c r="Q260" s="4"/>
      <c r="R260" s="4"/>
      <c r="S260" s="4"/>
    </row>
    <row r="261" spans="1:19" ht="15" customHeight="1" x14ac:dyDescent="0.2">
      <c r="A261" s="26"/>
      <c r="B261" s="26"/>
      <c r="C261" s="26"/>
      <c r="D261" s="26"/>
      <c r="E261" s="26"/>
      <c r="F261" s="25"/>
      <c r="G261" s="25"/>
      <c r="H261" s="25"/>
      <c r="I261" s="25"/>
      <c r="J261" s="25"/>
      <c r="K261" s="25"/>
      <c r="L261" s="25"/>
      <c r="M261" s="25"/>
      <c r="N261" s="25"/>
      <c r="O261" s="4"/>
      <c r="P261" s="4"/>
      <c r="Q261" s="4"/>
      <c r="R261" s="4"/>
      <c r="S261" s="4"/>
    </row>
    <row r="262" spans="1:19" ht="15" customHeight="1" x14ac:dyDescent="0.2">
      <c r="A262" s="26"/>
      <c r="B262" s="26"/>
      <c r="C262" s="26"/>
      <c r="D262" s="26"/>
      <c r="E262" s="26"/>
      <c r="F262" s="25"/>
      <c r="G262" s="25"/>
      <c r="H262" s="25"/>
      <c r="I262" s="25"/>
      <c r="J262" s="25"/>
      <c r="K262" s="25"/>
      <c r="L262" s="25"/>
      <c r="M262" s="25"/>
      <c r="N262" s="25"/>
      <c r="O262" s="4"/>
      <c r="P262" s="4"/>
      <c r="Q262" s="4"/>
      <c r="R262" s="4"/>
      <c r="S262" s="4"/>
    </row>
    <row r="263" spans="1:19" ht="15" customHeight="1" x14ac:dyDescent="0.2">
      <c r="A263" s="26"/>
      <c r="B263" s="26"/>
      <c r="C263" s="26"/>
      <c r="D263" s="26"/>
      <c r="E263" s="26"/>
      <c r="F263" s="25"/>
      <c r="G263" s="25"/>
      <c r="H263" s="25"/>
      <c r="I263" s="25"/>
      <c r="J263" s="25"/>
      <c r="K263" s="25"/>
      <c r="L263" s="25"/>
      <c r="M263" s="25"/>
      <c r="N263" s="25"/>
      <c r="O263" s="4"/>
      <c r="P263" s="4"/>
      <c r="Q263" s="4"/>
      <c r="R263" s="4"/>
      <c r="S263" s="4"/>
    </row>
    <row r="264" spans="1:19" ht="15" customHeight="1" x14ac:dyDescent="0.2">
      <c r="A264" s="26"/>
      <c r="B264" s="26"/>
      <c r="C264" s="26"/>
      <c r="D264" s="26"/>
      <c r="E264" s="26"/>
      <c r="F264" s="25"/>
      <c r="G264" s="25"/>
      <c r="H264" s="25"/>
      <c r="I264" s="25"/>
      <c r="J264" s="25"/>
      <c r="K264" s="25"/>
      <c r="L264" s="25"/>
      <c r="M264" s="25"/>
      <c r="N264" s="25"/>
      <c r="O264" s="4"/>
      <c r="P264" s="4"/>
      <c r="Q264" s="4"/>
      <c r="R264" s="4"/>
      <c r="S264" s="4"/>
    </row>
    <row r="265" spans="1:19" ht="15" customHeight="1" x14ac:dyDescent="0.2">
      <c r="A265" s="26"/>
      <c r="B265" s="26"/>
      <c r="C265" s="26"/>
      <c r="D265" s="26"/>
      <c r="E265" s="26"/>
      <c r="F265" s="25"/>
      <c r="G265" s="25"/>
      <c r="H265" s="25"/>
      <c r="I265" s="25"/>
      <c r="J265" s="25"/>
      <c r="K265" s="25"/>
      <c r="L265" s="25"/>
      <c r="M265" s="25"/>
      <c r="N265" s="25"/>
      <c r="O265" s="4"/>
      <c r="P265" s="4"/>
      <c r="Q265" s="4"/>
      <c r="R265" s="4"/>
      <c r="S265" s="4"/>
    </row>
    <row r="266" spans="1:19" ht="15" customHeight="1" x14ac:dyDescent="0.2">
      <c r="A266" s="26"/>
      <c r="B266" s="26"/>
      <c r="C266" s="26"/>
      <c r="D266" s="26"/>
      <c r="E266" s="26"/>
      <c r="F266" s="25"/>
      <c r="G266" s="25"/>
      <c r="H266" s="25"/>
      <c r="I266" s="25"/>
      <c r="J266" s="25"/>
      <c r="K266" s="25"/>
      <c r="L266" s="25"/>
      <c r="M266" s="25"/>
      <c r="N266" s="25"/>
      <c r="O266" s="4"/>
      <c r="P266" s="4"/>
      <c r="Q266" s="4"/>
      <c r="R266" s="4"/>
      <c r="S266" s="4"/>
    </row>
    <row r="267" spans="1:19" ht="15" customHeight="1" x14ac:dyDescent="0.2">
      <c r="A267" s="26"/>
      <c r="B267" s="26"/>
      <c r="C267" s="26"/>
      <c r="D267" s="26"/>
      <c r="E267" s="26"/>
      <c r="F267" s="25"/>
      <c r="G267" s="25"/>
      <c r="H267" s="25"/>
      <c r="I267" s="25"/>
      <c r="J267" s="25"/>
      <c r="K267" s="25"/>
      <c r="L267" s="25"/>
      <c r="M267" s="25"/>
      <c r="N267" s="25"/>
      <c r="O267" s="4"/>
      <c r="P267" s="4"/>
      <c r="Q267" s="4"/>
      <c r="R267" s="4"/>
      <c r="S267" s="4"/>
    </row>
    <row r="268" spans="1:19" ht="15" customHeight="1" x14ac:dyDescent="0.2">
      <c r="A268" s="26"/>
      <c r="B268" s="26"/>
      <c r="C268" s="26"/>
      <c r="D268" s="26"/>
      <c r="E268" s="26"/>
      <c r="F268" s="25"/>
      <c r="G268" s="25"/>
      <c r="H268" s="25"/>
      <c r="I268" s="25"/>
      <c r="J268" s="25"/>
      <c r="K268" s="25"/>
      <c r="L268" s="25"/>
      <c r="M268" s="25"/>
      <c r="N268" s="25"/>
      <c r="O268" s="4"/>
      <c r="P268" s="4"/>
      <c r="Q268" s="4"/>
      <c r="R268" s="4"/>
      <c r="S268" s="4"/>
    </row>
    <row r="269" spans="1:19" ht="15" customHeight="1" x14ac:dyDescent="0.2">
      <c r="A269" s="26"/>
      <c r="B269" s="26"/>
      <c r="C269" s="26"/>
      <c r="D269" s="26"/>
      <c r="E269" s="26"/>
      <c r="F269" s="25"/>
      <c r="G269" s="25"/>
      <c r="H269" s="25"/>
      <c r="I269" s="25"/>
      <c r="J269" s="25"/>
      <c r="K269" s="25"/>
      <c r="L269" s="25"/>
      <c r="M269" s="25"/>
      <c r="N269" s="25"/>
      <c r="O269" s="4"/>
      <c r="P269" s="4"/>
      <c r="Q269" s="4"/>
      <c r="R269" s="4"/>
      <c r="S269" s="4"/>
    </row>
    <row r="270" spans="1:19" ht="15" customHeight="1" x14ac:dyDescent="0.2">
      <c r="A270" s="26"/>
      <c r="B270" s="26"/>
      <c r="C270" s="26"/>
      <c r="D270" s="26"/>
      <c r="E270" s="26"/>
      <c r="F270" s="25"/>
      <c r="G270" s="25"/>
      <c r="H270" s="25"/>
      <c r="I270" s="25"/>
      <c r="J270" s="25"/>
      <c r="K270" s="25"/>
      <c r="L270" s="25"/>
      <c r="M270" s="25"/>
      <c r="N270" s="25"/>
      <c r="O270" s="4"/>
      <c r="P270" s="4"/>
      <c r="Q270" s="4"/>
      <c r="R270" s="4"/>
      <c r="S270" s="4"/>
    </row>
    <row r="271" spans="1:19" ht="15" customHeight="1" x14ac:dyDescent="0.2">
      <c r="A271" s="26"/>
      <c r="B271" s="26"/>
      <c r="C271" s="26"/>
      <c r="D271" s="26"/>
      <c r="E271" s="26"/>
      <c r="F271" s="25"/>
      <c r="G271" s="25"/>
      <c r="H271" s="25"/>
      <c r="I271" s="25"/>
      <c r="J271" s="25"/>
      <c r="K271" s="25"/>
      <c r="L271" s="25"/>
      <c r="M271" s="25"/>
      <c r="N271" s="25"/>
      <c r="O271" s="4"/>
      <c r="P271" s="4"/>
      <c r="Q271" s="4"/>
      <c r="R271" s="4"/>
      <c r="S271" s="4"/>
    </row>
    <row r="272" spans="1:19" ht="15" customHeight="1" x14ac:dyDescent="0.2">
      <c r="A272" s="26"/>
      <c r="B272" s="26"/>
      <c r="C272" s="26"/>
      <c r="D272" s="26"/>
      <c r="E272" s="26"/>
      <c r="F272" s="25"/>
      <c r="G272" s="25"/>
      <c r="H272" s="25"/>
      <c r="I272" s="25"/>
      <c r="J272" s="25"/>
      <c r="K272" s="25"/>
      <c r="L272" s="25"/>
      <c r="M272" s="25"/>
      <c r="N272" s="25"/>
      <c r="O272" s="4"/>
      <c r="P272" s="4"/>
      <c r="Q272" s="4"/>
      <c r="R272" s="4"/>
      <c r="S272" s="4"/>
    </row>
    <row r="273" spans="1:19" ht="15" customHeight="1" x14ac:dyDescent="0.2">
      <c r="A273" s="26"/>
      <c r="B273" s="26"/>
      <c r="C273" s="26"/>
      <c r="D273" s="26"/>
      <c r="E273" s="26"/>
      <c r="F273" s="25"/>
      <c r="G273" s="25"/>
      <c r="H273" s="25"/>
      <c r="I273" s="25"/>
      <c r="J273" s="25"/>
      <c r="K273" s="25"/>
      <c r="L273" s="25"/>
      <c r="M273" s="25"/>
      <c r="N273" s="25"/>
      <c r="O273" s="4"/>
      <c r="P273" s="4"/>
      <c r="Q273" s="4"/>
      <c r="R273" s="4"/>
      <c r="S273" s="4"/>
    </row>
    <row r="274" spans="1:19" ht="15" customHeight="1" x14ac:dyDescent="0.2">
      <c r="A274" s="26"/>
      <c r="B274" s="26"/>
      <c r="C274" s="26"/>
      <c r="D274" s="26"/>
      <c r="E274" s="26"/>
      <c r="F274" s="25"/>
      <c r="G274" s="25"/>
      <c r="H274" s="25"/>
      <c r="I274" s="25"/>
      <c r="J274" s="25"/>
      <c r="K274" s="25"/>
      <c r="L274" s="25"/>
      <c r="M274" s="25"/>
      <c r="N274" s="25"/>
      <c r="O274" s="4"/>
      <c r="P274" s="4"/>
      <c r="Q274" s="4"/>
      <c r="R274" s="4"/>
      <c r="S274" s="4"/>
    </row>
    <row r="275" spans="1:19" ht="15" customHeight="1" x14ac:dyDescent="0.2">
      <c r="A275" s="26"/>
      <c r="B275" s="26"/>
      <c r="C275" s="26"/>
      <c r="D275" s="26"/>
      <c r="E275" s="26"/>
      <c r="F275" s="25"/>
      <c r="G275" s="25"/>
      <c r="H275" s="25"/>
      <c r="I275" s="25"/>
      <c r="J275" s="25"/>
      <c r="K275" s="25"/>
      <c r="L275" s="25"/>
      <c r="M275" s="25"/>
      <c r="N275" s="25"/>
      <c r="O275" s="4"/>
      <c r="P275" s="4"/>
      <c r="Q275" s="4"/>
      <c r="R275" s="4"/>
      <c r="S275" s="4"/>
    </row>
    <row r="276" spans="1:19" ht="15" customHeight="1" x14ac:dyDescent="0.2">
      <c r="A276" s="26"/>
      <c r="B276" s="26"/>
      <c r="C276" s="26"/>
      <c r="D276" s="26"/>
      <c r="E276" s="26"/>
      <c r="F276" s="25"/>
      <c r="G276" s="25"/>
      <c r="H276" s="25"/>
      <c r="I276" s="25"/>
      <c r="J276" s="25"/>
      <c r="K276" s="25"/>
      <c r="L276" s="25"/>
      <c r="M276" s="25"/>
      <c r="N276" s="25"/>
      <c r="O276" s="4"/>
      <c r="P276" s="4"/>
      <c r="Q276" s="4"/>
      <c r="R276" s="4"/>
      <c r="S276" s="4"/>
    </row>
    <row r="277" spans="1:19" ht="15" customHeight="1" x14ac:dyDescent="0.2">
      <c r="A277" s="26"/>
      <c r="B277" s="26"/>
      <c r="C277" s="26"/>
      <c r="D277" s="26"/>
      <c r="E277" s="26"/>
      <c r="F277" s="25"/>
      <c r="G277" s="25"/>
      <c r="H277" s="25"/>
      <c r="I277" s="25"/>
      <c r="J277" s="25"/>
      <c r="K277" s="25"/>
      <c r="L277" s="25"/>
      <c r="M277" s="25"/>
      <c r="N277" s="25"/>
      <c r="O277" s="4"/>
      <c r="P277" s="4"/>
      <c r="Q277" s="4"/>
      <c r="R277" s="4"/>
      <c r="S277" s="4"/>
    </row>
    <row r="278" spans="1:19" ht="15" customHeight="1" x14ac:dyDescent="0.2">
      <c r="A278" s="26"/>
      <c r="B278" s="26"/>
      <c r="C278" s="26"/>
      <c r="D278" s="26"/>
      <c r="E278" s="26"/>
      <c r="F278" s="25"/>
      <c r="G278" s="25"/>
      <c r="H278" s="25"/>
      <c r="I278" s="25"/>
      <c r="J278" s="25"/>
      <c r="K278" s="25"/>
      <c r="L278" s="25"/>
      <c r="M278" s="25"/>
      <c r="N278" s="25"/>
      <c r="O278" s="4"/>
      <c r="P278" s="4"/>
      <c r="Q278" s="4"/>
      <c r="R278" s="4"/>
      <c r="S278" s="4"/>
    </row>
    <row r="279" spans="1:19" ht="15" customHeight="1" x14ac:dyDescent="0.2">
      <c r="A279" s="26"/>
      <c r="B279" s="26"/>
      <c r="C279" s="26"/>
      <c r="D279" s="26"/>
      <c r="E279" s="26"/>
      <c r="F279" s="25"/>
      <c r="G279" s="25"/>
      <c r="H279" s="25"/>
      <c r="I279" s="25"/>
      <c r="J279" s="25"/>
      <c r="K279" s="25"/>
      <c r="L279" s="25"/>
      <c r="M279" s="25"/>
      <c r="N279" s="25"/>
      <c r="O279" s="4"/>
      <c r="P279" s="4"/>
      <c r="Q279" s="4"/>
      <c r="R279" s="4"/>
      <c r="S279" s="4"/>
    </row>
    <row r="280" spans="1:19" ht="15" customHeight="1" x14ac:dyDescent="0.2">
      <c r="A280" s="26"/>
      <c r="B280" s="26"/>
      <c r="C280" s="26"/>
      <c r="D280" s="26"/>
      <c r="E280" s="26"/>
      <c r="F280" s="25"/>
      <c r="G280" s="25"/>
      <c r="H280" s="25"/>
      <c r="I280" s="25"/>
      <c r="J280" s="25"/>
      <c r="K280" s="25"/>
      <c r="L280" s="25"/>
      <c r="M280" s="25"/>
      <c r="N280" s="25"/>
      <c r="O280" s="4"/>
      <c r="P280" s="4"/>
      <c r="Q280" s="4"/>
      <c r="R280" s="4"/>
      <c r="S280" s="4"/>
    </row>
    <row r="281" spans="1:19" ht="15" customHeight="1" x14ac:dyDescent="0.2">
      <c r="A281" s="26"/>
      <c r="B281" s="26"/>
      <c r="C281" s="26"/>
      <c r="D281" s="26"/>
      <c r="E281" s="26"/>
      <c r="F281" s="25"/>
      <c r="G281" s="25"/>
      <c r="H281" s="25"/>
      <c r="I281" s="25"/>
      <c r="J281" s="25"/>
      <c r="K281" s="25"/>
      <c r="L281" s="25"/>
      <c r="M281" s="25"/>
      <c r="N281" s="25"/>
      <c r="O281" s="4"/>
      <c r="P281" s="4"/>
      <c r="Q281" s="4"/>
      <c r="R281" s="4"/>
      <c r="S281" s="4"/>
    </row>
    <row r="282" spans="1:19" ht="15" customHeight="1" x14ac:dyDescent="0.2">
      <c r="A282" s="26"/>
      <c r="B282" s="26"/>
      <c r="C282" s="26"/>
      <c r="D282" s="26"/>
      <c r="E282" s="26"/>
      <c r="F282" s="25"/>
      <c r="G282" s="25"/>
      <c r="H282" s="25"/>
      <c r="I282" s="25"/>
      <c r="J282" s="25"/>
      <c r="K282" s="25"/>
      <c r="L282" s="25"/>
      <c r="M282" s="25"/>
      <c r="N282" s="25"/>
      <c r="O282" s="4"/>
      <c r="P282" s="4"/>
      <c r="Q282" s="4"/>
      <c r="R282" s="4"/>
      <c r="S282" s="4"/>
    </row>
    <row r="283" spans="1:19" ht="15" customHeight="1" x14ac:dyDescent="0.2">
      <c r="A283" s="26"/>
      <c r="B283" s="26"/>
      <c r="C283" s="26"/>
      <c r="D283" s="26"/>
      <c r="E283" s="26"/>
      <c r="F283" s="25"/>
      <c r="G283" s="25"/>
      <c r="H283" s="25"/>
      <c r="I283" s="25"/>
      <c r="J283" s="25"/>
      <c r="K283" s="25"/>
      <c r="L283" s="25"/>
      <c r="M283" s="25"/>
      <c r="N283" s="25"/>
      <c r="O283" s="4"/>
      <c r="P283" s="4"/>
      <c r="Q283" s="4"/>
      <c r="R283" s="4"/>
      <c r="S283" s="4"/>
    </row>
    <row r="284" spans="1:19" ht="15" customHeight="1" x14ac:dyDescent="0.2">
      <c r="A284" s="26"/>
      <c r="B284" s="26"/>
      <c r="C284" s="26"/>
      <c r="D284" s="26"/>
      <c r="E284" s="26"/>
      <c r="F284" s="25"/>
      <c r="G284" s="25"/>
      <c r="H284" s="25"/>
      <c r="I284" s="25"/>
      <c r="J284" s="25"/>
      <c r="K284" s="25"/>
      <c r="L284" s="25"/>
      <c r="M284" s="25"/>
      <c r="N284" s="25"/>
      <c r="O284" s="4"/>
      <c r="P284" s="4"/>
      <c r="Q284" s="4"/>
      <c r="R284" s="4"/>
      <c r="S284" s="4"/>
    </row>
    <row r="285" spans="1:19" ht="15" customHeight="1" x14ac:dyDescent="0.2">
      <c r="A285" s="26"/>
      <c r="B285" s="26"/>
      <c r="C285" s="26"/>
      <c r="D285" s="26"/>
      <c r="E285" s="26"/>
      <c r="F285" s="25"/>
      <c r="G285" s="25"/>
      <c r="H285" s="25"/>
      <c r="I285" s="25"/>
      <c r="J285" s="25"/>
      <c r="K285" s="25"/>
      <c r="L285" s="25"/>
      <c r="M285" s="25"/>
      <c r="N285" s="25"/>
      <c r="O285" s="4"/>
      <c r="P285" s="4"/>
      <c r="Q285" s="4"/>
      <c r="R285" s="4"/>
      <c r="S285" s="4"/>
    </row>
    <row r="286" spans="1:19" ht="15" customHeight="1" x14ac:dyDescent="0.2">
      <c r="A286" s="26"/>
      <c r="B286" s="26"/>
      <c r="C286" s="26"/>
      <c r="D286" s="26"/>
      <c r="E286" s="26"/>
      <c r="F286" s="25"/>
      <c r="G286" s="25"/>
      <c r="H286" s="25"/>
      <c r="I286" s="25"/>
      <c r="J286" s="25"/>
      <c r="K286" s="25"/>
      <c r="L286" s="25"/>
      <c r="M286" s="25"/>
      <c r="N286" s="25"/>
      <c r="O286" s="4"/>
      <c r="P286" s="4"/>
      <c r="Q286" s="4"/>
      <c r="R286" s="4"/>
      <c r="S286" s="4"/>
    </row>
    <row r="287" spans="1:19" ht="15" customHeight="1" x14ac:dyDescent="0.2">
      <c r="A287" s="26"/>
      <c r="B287" s="26"/>
      <c r="C287" s="26"/>
      <c r="D287" s="26"/>
      <c r="E287" s="26"/>
      <c r="F287" s="25"/>
      <c r="G287" s="25"/>
      <c r="H287" s="25"/>
      <c r="I287" s="25"/>
      <c r="J287" s="25"/>
      <c r="K287" s="25"/>
      <c r="L287" s="25"/>
      <c r="M287" s="25"/>
      <c r="N287" s="25"/>
      <c r="O287" s="4"/>
      <c r="P287" s="4"/>
      <c r="Q287" s="4"/>
      <c r="R287" s="4"/>
      <c r="S287" s="4"/>
    </row>
    <row r="288" spans="1:19" ht="15" customHeight="1" x14ac:dyDescent="0.2">
      <c r="A288" s="26"/>
      <c r="B288" s="26"/>
      <c r="C288" s="26"/>
      <c r="D288" s="26"/>
      <c r="E288" s="26"/>
      <c r="F288" s="25"/>
      <c r="G288" s="25"/>
      <c r="H288" s="25"/>
      <c r="I288" s="25"/>
      <c r="J288" s="25"/>
      <c r="K288" s="25"/>
      <c r="L288" s="25"/>
      <c r="M288" s="25"/>
      <c r="N288" s="25"/>
      <c r="O288" s="4"/>
      <c r="P288" s="4"/>
      <c r="Q288" s="4"/>
      <c r="R288" s="4"/>
      <c r="S288" s="4"/>
    </row>
    <row r="289" spans="1:19" ht="15" customHeight="1" x14ac:dyDescent="0.2">
      <c r="A289" s="26"/>
      <c r="B289" s="26"/>
      <c r="C289" s="26"/>
      <c r="D289" s="26"/>
      <c r="E289" s="26"/>
      <c r="F289" s="25"/>
      <c r="G289" s="25"/>
      <c r="H289" s="25"/>
      <c r="I289" s="25"/>
      <c r="J289" s="25"/>
      <c r="K289" s="25"/>
      <c r="L289" s="25"/>
      <c r="M289" s="25"/>
      <c r="N289" s="25"/>
      <c r="O289" s="4"/>
      <c r="P289" s="4"/>
      <c r="Q289" s="4"/>
      <c r="R289" s="4"/>
      <c r="S289" s="4"/>
    </row>
    <row r="290" spans="1:19" ht="15" customHeight="1" x14ac:dyDescent="0.2">
      <c r="A290" s="26"/>
      <c r="B290" s="26"/>
      <c r="C290" s="26"/>
      <c r="D290" s="26"/>
      <c r="E290" s="26"/>
      <c r="F290" s="25"/>
      <c r="G290" s="25"/>
      <c r="H290" s="25"/>
      <c r="I290" s="25"/>
      <c r="J290" s="25"/>
      <c r="K290" s="25"/>
      <c r="L290" s="25"/>
      <c r="M290" s="25"/>
      <c r="N290" s="25"/>
      <c r="O290" s="4"/>
      <c r="P290" s="4"/>
      <c r="Q290" s="4"/>
      <c r="R290" s="4"/>
      <c r="S290" s="4"/>
    </row>
    <row r="291" spans="1:19" ht="15" customHeight="1" x14ac:dyDescent="0.2">
      <c r="A291" s="26"/>
      <c r="B291" s="26"/>
      <c r="C291" s="26"/>
      <c r="D291" s="26"/>
      <c r="E291" s="26"/>
      <c r="F291" s="25"/>
      <c r="G291" s="25"/>
      <c r="H291" s="25"/>
      <c r="I291" s="25"/>
      <c r="J291" s="25"/>
      <c r="K291" s="25"/>
      <c r="L291" s="25"/>
      <c r="M291" s="25"/>
      <c r="N291" s="25"/>
      <c r="O291" s="4"/>
      <c r="P291" s="4"/>
      <c r="Q291" s="4"/>
      <c r="R291" s="4"/>
      <c r="S291" s="4"/>
    </row>
    <row r="292" spans="1:19" ht="15" customHeight="1" x14ac:dyDescent="0.2">
      <c r="A292" s="26"/>
      <c r="B292" s="26"/>
      <c r="C292" s="26"/>
      <c r="D292" s="26"/>
      <c r="E292" s="26"/>
      <c r="F292" s="25"/>
      <c r="G292" s="25"/>
      <c r="H292" s="25"/>
      <c r="I292" s="25"/>
      <c r="J292" s="25"/>
      <c r="K292" s="25"/>
      <c r="L292" s="25"/>
      <c r="M292" s="25"/>
      <c r="N292" s="25"/>
      <c r="O292" s="4"/>
      <c r="P292" s="4"/>
      <c r="Q292" s="4"/>
      <c r="R292" s="4"/>
      <c r="S292" s="4"/>
    </row>
    <row r="293" spans="1:19" ht="15" customHeight="1" x14ac:dyDescent="0.2">
      <c r="A293" s="26"/>
      <c r="B293" s="26"/>
      <c r="C293" s="26"/>
      <c r="D293" s="26"/>
      <c r="E293" s="26"/>
      <c r="F293" s="25"/>
      <c r="G293" s="25"/>
      <c r="H293" s="25"/>
      <c r="I293" s="25"/>
      <c r="J293" s="25"/>
      <c r="K293" s="25"/>
      <c r="L293" s="25"/>
      <c r="M293" s="25"/>
      <c r="N293" s="25"/>
      <c r="O293" s="4"/>
      <c r="P293" s="4"/>
      <c r="Q293" s="4"/>
      <c r="R293" s="4"/>
      <c r="S293" s="4"/>
    </row>
    <row r="294" spans="1:19" ht="15" customHeight="1" x14ac:dyDescent="0.2">
      <c r="A294" s="26"/>
      <c r="B294" s="26"/>
      <c r="C294" s="26"/>
      <c r="D294" s="26"/>
      <c r="E294" s="26"/>
      <c r="F294" s="25"/>
      <c r="G294" s="25"/>
      <c r="H294" s="25"/>
      <c r="I294" s="25"/>
      <c r="J294" s="25"/>
      <c r="K294" s="25"/>
      <c r="L294" s="25"/>
      <c r="M294" s="25"/>
      <c r="N294" s="25"/>
      <c r="O294" s="4"/>
      <c r="P294" s="4"/>
      <c r="Q294" s="4"/>
      <c r="R294" s="4"/>
      <c r="S294" s="4"/>
    </row>
    <row r="295" spans="1:19" ht="15" customHeight="1" x14ac:dyDescent="0.2">
      <c r="A295" s="26"/>
      <c r="B295" s="26"/>
      <c r="C295" s="26"/>
      <c r="D295" s="26"/>
      <c r="E295" s="26"/>
      <c r="F295" s="25"/>
      <c r="G295" s="25"/>
      <c r="H295" s="25"/>
      <c r="I295" s="25"/>
      <c r="J295" s="25"/>
      <c r="K295" s="25"/>
      <c r="L295" s="25"/>
      <c r="M295" s="25"/>
      <c r="N295" s="25"/>
      <c r="O295" s="4"/>
      <c r="P295" s="4"/>
      <c r="Q295" s="4"/>
      <c r="R295" s="4"/>
      <c r="S295" s="4"/>
    </row>
    <row r="296" spans="1:19" ht="15" customHeight="1" x14ac:dyDescent="0.2">
      <c r="A296" s="26"/>
      <c r="B296" s="26"/>
      <c r="C296" s="26"/>
      <c r="D296" s="26"/>
      <c r="E296" s="26"/>
      <c r="F296" s="25"/>
      <c r="G296" s="25"/>
      <c r="H296" s="25"/>
      <c r="I296" s="25"/>
      <c r="J296" s="25"/>
      <c r="K296" s="25"/>
      <c r="L296" s="25"/>
      <c r="M296" s="25"/>
      <c r="N296" s="25"/>
      <c r="O296" s="4"/>
      <c r="P296" s="4"/>
      <c r="Q296" s="4"/>
      <c r="R296" s="4"/>
      <c r="S296" s="4"/>
    </row>
    <row r="297" spans="1:19" ht="15" customHeight="1" x14ac:dyDescent="0.2">
      <c r="A297" s="26"/>
      <c r="B297" s="26"/>
      <c r="C297" s="26"/>
      <c r="D297" s="26"/>
      <c r="E297" s="26"/>
      <c r="F297" s="25"/>
      <c r="G297" s="25"/>
      <c r="H297" s="25"/>
      <c r="I297" s="25"/>
      <c r="J297" s="25"/>
      <c r="K297" s="25"/>
      <c r="L297" s="25"/>
      <c r="M297" s="25"/>
      <c r="N297" s="25"/>
      <c r="O297" s="4"/>
      <c r="P297" s="4"/>
      <c r="Q297" s="4"/>
      <c r="R297" s="4"/>
      <c r="S297" s="4"/>
    </row>
    <row r="298" spans="1:19" ht="15" customHeight="1" x14ac:dyDescent="0.2">
      <c r="A298" s="26"/>
      <c r="B298" s="26"/>
      <c r="C298" s="26"/>
      <c r="D298" s="26"/>
      <c r="E298" s="26"/>
      <c r="F298" s="25"/>
      <c r="G298" s="25"/>
      <c r="H298" s="25"/>
      <c r="I298" s="25"/>
      <c r="J298" s="25"/>
      <c r="K298" s="25"/>
      <c r="L298" s="25"/>
      <c r="M298" s="25"/>
      <c r="N298" s="25"/>
      <c r="O298" s="4"/>
      <c r="P298" s="4"/>
      <c r="Q298" s="4"/>
      <c r="R298" s="4"/>
      <c r="S298" s="4"/>
    </row>
    <row r="299" spans="1:19" ht="15" customHeight="1" x14ac:dyDescent="0.2">
      <c r="A299" s="26"/>
      <c r="B299" s="26"/>
      <c r="C299" s="26"/>
      <c r="D299" s="26"/>
      <c r="E299" s="26"/>
      <c r="F299" s="25"/>
      <c r="G299" s="25"/>
      <c r="H299" s="25"/>
      <c r="I299" s="25"/>
      <c r="J299" s="25"/>
      <c r="K299" s="25"/>
      <c r="L299" s="25"/>
      <c r="M299" s="25"/>
      <c r="N299" s="25"/>
      <c r="O299" s="4"/>
      <c r="P299" s="4"/>
      <c r="Q299" s="4"/>
      <c r="R299" s="4"/>
      <c r="S299" s="4"/>
    </row>
    <row r="300" spans="1:19" ht="15" customHeight="1" x14ac:dyDescent="0.2">
      <c r="A300" s="26"/>
      <c r="B300" s="26"/>
      <c r="C300" s="26"/>
      <c r="D300" s="26"/>
      <c r="E300" s="26"/>
      <c r="F300" s="25"/>
      <c r="G300" s="25"/>
      <c r="H300" s="25"/>
      <c r="I300" s="25"/>
      <c r="J300" s="25"/>
      <c r="K300" s="25"/>
      <c r="L300" s="25"/>
      <c r="M300" s="25"/>
      <c r="N300" s="25"/>
      <c r="O300" s="4"/>
      <c r="P300" s="4"/>
      <c r="Q300" s="4"/>
      <c r="R300" s="4"/>
      <c r="S300" s="4"/>
    </row>
    <row r="301" spans="1:19" ht="15" customHeight="1" x14ac:dyDescent="0.2">
      <c r="A301" s="26"/>
      <c r="B301" s="26"/>
      <c r="C301" s="26"/>
      <c r="D301" s="26"/>
      <c r="E301" s="26"/>
      <c r="F301" s="25"/>
      <c r="G301" s="25"/>
      <c r="H301" s="25"/>
      <c r="I301" s="25"/>
      <c r="J301" s="25"/>
      <c r="K301" s="25"/>
      <c r="L301" s="25"/>
      <c r="M301" s="25"/>
      <c r="N301" s="25"/>
      <c r="O301" s="4"/>
      <c r="P301" s="4"/>
      <c r="Q301" s="4"/>
      <c r="R301" s="4"/>
      <c r="S301" s="4"/>
    </row>
    <row r="302" spans="1:19" ht="15" customHeight="1" x14ac:dyDescent="0.2">
      <c r="A302" s="26"/>
      <c r="B302" s="26"/>
      <c r="C302" s="26"/>
      <c r="D302" s="26"/>
      <c r="E302" s="26"/>
      <c r="F302" s="25"/>
      <c r="G302" s="25"/>
      <c r="H302" s="25"/>
      <c r="I302" s="25"/>
      <c r="J302" s="25"/>
      <c r="K302" s="25"/>
      <c r="L302" s="25"/>
      <c r="M302" s="25"/>
      <c r="N302" s="25"/>
      <c r="O302" s="4"/>
      <c r="P302" s="4"/>
      <c r="Q302" s="4"/>
      <c r="R302" s="4"/>
      <c r="S302" s="4"/>
    </row>
    <row r="303" spans="1:19" ht="15" customHeight="1" x14ac:dyDescent="0.2">
      <c r="A303" s="26"/>
      <c r="B303" s="26"/>
      <c r="C303" s="26"/>
      <c r="D303" s="26"/>
      <c r="E303" s="26"/>
      <c r="F303" s="25"/>
      <c r="G303" s="25"/>
      <c r="H303" s="25"/>
      <c r="I303" s="25"/>
      <c r="J303" s="25"/>
      <c r="K303" s="25"/>
      <c r="L303" s="25"/>
      <c r="M303" s="25"/>
      <c r="N303" s="25"/>
      <c r="O303" s="4"/>
      <c r="P303" s="4"/>
      <c r="Q303" s="4"/>
      <c r="R303" s="4"/>
      <c r="S303" s="4"/>
    </row>
    <row r="304" spans="1:19" ht="15" customHeight="1" x14ac:dyDescent="0.2">
      <c r="A304" s="26"/>
      <c r="B304" s="26"/>
      <c r="C304" s="26"/>
      <c r="D304" s="26"/>
      <c r="E304" s="26"/>
      <c r="F304" s="25"/>
      <c r="G304" s="25"/>
      <c r="H304" s="25"/>
      <c r="I304" s="25"/>
      <c r="J304" s="25"/>
      <c r="K304" s="25"/>
      <c r="L304" s="25"/>
      <c r="M304" s="25"/>
      <c r="N304" s="25"/>
      <c r="O304" s="4"/>
      <c r="P304" s="4"/>
      <c r="Q304" s="4"/>
      <c r="R304" s="4"/>
      <c r="S304" s="4"/>
    </row>
    <row r="305" spans="1:19" ht="15" customHeight="1" x14ac:dyDescent="0.2">
      <c r="A305" s="26"/>
      <c r="B305" s="26"/>
      <c r="C305" s="26"/>
      <c r="D305" s="26"/>
      <c r="E305" s="26"/>
      <c r="F305" s="25"/>
      <c r="G305" s="25"/>
      <c r="H305" s="25"/>
      <c r="I305" s="25"/>
      <c r="J305" s="25"/>
      <c r="K305" s="25"/>
      <c r="L305" s="25"/>
      <c r="M305" s="25"/>
      <c r="N305" s="25"/>
      <c r="O305" s="4"/>
      <c r="P305" s="4"/>
      <c r="Q305" s="4"/>
      <c r="R305" s="4"/>
      <c r="S305" s="4"/>
    </row>
    <row r="306" spans="1:19" ht="15" customHeight="1" x14ac:dyDescent="0.2">
      <c r="A306" s="26"/>
      <c r="B306" s="26"/>
      <c r="C306" s="26"/>
      <c r="D306" s="26"/>
      <c r="E306" s="26"/>
      <c r="F306" s="25"/>
      <c r="G306" s="25"/>
      <c r="H306" s="25"/>
      <c r="I306" s="25"/>
      <c r="J306" s="25"/>
      <c r="K306" s="25"/>
      <c r="L306" s="25"/>
      <c r="M306" s="25"/>
      <c r="N306" s="25"/>
      <c r="O306" s="4"/>
      <c r="P306" s="4"/>
      <c r="Q306" s="4"/>
      <c r="R306" s="4"/>
      <c r="S306" s="4"/>
    </row>
    <row r="307" spans="1:19" ht="15" customHeight="1" x14ac:dyDescent="0.2">
      <c r="A307" s="26"/>
      <c r="B307" s="26"/>
      <c r="C307" s="26"/>
      <c r="D307" s="26"/>
      <c r="E307" s="26"/>
      <c r="F307" s="25"/>
      <c r="G307" s="25"/>
      <c r="H307" s="25"/>
      <c r="I307" s="25"/>
      <c r="J307" s="25"/>
      <c r="K307" s="25"/>
      <c r="L307" s="25"/>
      <c r="M307" s="25"/>
      <c r="N307" s="25"/>
      <c r="O307" s="4"/>
      <c r="P307" s="4"/>
      <c r="Q307" s="4"/>
      <c r="R307" s="4"/>
      <c r="S307" s="4"/>
    </row>
    <row r="308" spans="1:19" ht="15" customHeight="1" x14ac:dyDescent="0.2">
      <c r="A308" s="26"/>
      <c r="B308" s="26"/>
      <c r="C308" s="26"/>
      <c r="D308" s="26"/>
      <c r="E308" s="26"/>
      <c r="F308" s="25"/>
      <c r="G308" s="25"/>
      <c r="H308" s="25"/>
      <c r="I308" s="25"/>
      <c r="J308" s="25"/>
      <c r="K308" s="25"/>
      <c r="L308" s="25"/>
      <c r="M308" s="25"/>
      <c r="N308" s="25"/>
      <c r="O308" s="4"/>
      <c r="P308" s="4"/>
      <c r="Q308" s="4"/>
      <c r="R308" s="4"/>
      <c r="S308" s="4"/>
    </row>
    <row r="309" spans="1:19" ht="15" customHeight="1" x14ac:dyDescent="0.2">
      <c r="A309" s="26"/>
      <c r="B309" s="26"/>
      <c r="C309" s="26"/>
      <c r="D309" s="26"/>
      <c r="E309" s="26"/>
      <c r="F309" s="25"/>
      <c r="G309" s="25"/>
      <c r="H309" s="25"/>
      <c r="I309" s="25"/>
      <c r="J309" s="25"/>
      <c r="K309" s="25"/>
      <c r="L309" s="25"/>
      <c r="M309" s="25"/>
      <c r="N309" s="25"/>
      <c r="O309" s="4"/>
      <c r="P309" s="4"/>
      <c r="Q309" s="4"/>
      <c r="R309" s="4"/>
      <c r="S309" s="4"/>
    </row>
    <row r="310" spans="1:19" ht="15" customHeight="1" x14ac:dyDescent="0.2">
      <c r="A310" s="26"/>
      <c r="B310" s="26"/>
      <c r="C310" s="26"/>
      <c r="D310" s="26"/>
      <c r="E310" s="26"/>
      <c r="F310" s="25"/>
      <c r="G310" s="25"/>
      <c r="H310" s="25"/>
      <c r="I310" s="25"/>
      <c r="J310" s="25"/>
      <c r="K310" s="25"/>
      <c r="L310" s="25"/>
      <c r="M310" s="25"/>
      <c r="N310" s="25"/>
      <c r="O310" s="4"/>
      <c r="P310" s="4"/>
      <c r="Q310" s="4"/>
      <c r="R310" s="4"/>
      <c r="S310" s="4"/>
    </row>
    <row r="311" spans="1:19" ht="15" customHeight="1" x14ac:dyDescent="0.2">
      <c r="A311" s="26"/>
      <c r="B311" s="26"/>
      <c r="C311" s="26"/>
      <c r="D311" s="26"/>
      <c r="E311" s="26"/>
      <c r="F311" s="25"/>
      <c r="G311" s="25"/>
      <c r="H311" s="25"/>
      <c r="I311" s="25"/>
      <c r="J311" s="25"/>
      <c r="K311" s="25"/>
      <c r="L311" s="25"/>
      <c r="M311" s="25"/>
      <c r="N311" s="25"/>
      <c r="O311" s="4"/>
      <c r="P311" s="4"/>
      <c r="Q311" s="4"/>
      <c r="R311" s="4"/>
      <c r="S311" s="4"/>
    </row>
    <row r="312" spans="1:19" ht="15" customHeight="1" x14ac:dyDescent="0.2">
      <c r="A312" s="26"/>
      <c r="B312" s="26"/>
      <c r="C312" s="26"/>
      <c r="D312" s="26"/>
      <c r="E312" s="26"/>
      <c r="F312" s="25"/>
      <c r="G312" s="25"/>
      <c r="H312" s="25"/>
      <c r="I312" s="25"/>
      <c r="J312" s="25"/>
      <c r="K312" s="25"/>
      <c r="L312" s="25"/>
      <c r="M312" s="25"/>
      <c r="N312" s="25"/>
      <c r="O312" s="4"/>
      <c r="P312" s="4"/>
      <c r="Q312" s="4"/>
      <c r="R312" s="4"/>
      <c r="S312" s="4"/>
    </row>
    <row r="313" spans="1:19" ht="15" customHeight="1" x14ac:dyDescent="0.2">
      <c r="A313" s="26"/>
      <c r="B313" s="26"/>
      <c r="C313" s="26"/>
      <c r="D313" s="26"/>
      <c r="E313" s="26"/>
      <c r="F313" s="25"/>
      <c r="G313" s="25"/>
      <c r="H313" s="25"/>
      <c r="I313" s="25"/>
      <c r="J313" s="25"/>
      <c r="K313" s="25"/>
      <c r="L313" s="25"/>
      <c r="M313" s="25"/>
      <c r="N313" s="25"/>
      <c r="O313" s="4"/>
      <c r="P313" s="4"/>
      <c r="Q313" s="4"/>
      <c r="R313" s="4"/>
      <c r="S313" s="4"/>
    </row>
    <row r="314" spans="1:19" ht="15" customHeight="1" x14ac:dyDescent="0.2">
      <c r="A314" s="26"/>
      <c r="B314" s="26"/>
      <c r="C314" s="26"/>
      <c r="D314" s="26"/>
      <c r="E314" s="26"/>
      <c r="F314" s="25"/>
      <c r="G314" s="25"/>
      <c r="H314" s="25"/>
      <c r="I314" s="25"/>
      <c r="J314" s="25"/>
      <c r="K314" s="25"/>
      <c r="L314" s="25"/>
      <c r="M314" s="25"/>
      <c r="N314" s="25"/>
      <c r="O314" s="4"/>
      <c r="P314" s="4"/>
      <c r="Q314" s="4"/>
      <c r="R314" s="4"/>
      <c r="S314" s="4"/>
    </row>
    <row r="315" spans="1:19" ht="15" customHeight="1" x14ac:dyDescent="0.2">
      <c r="A315" s="26"/>
      <c r="B315" s="26"/>
      <c r="C315" s="26"/>
      <c r="D315" s="26"/>
      <c r="E315" s="26"/>
      <c r="F315" s="25"/>
      <c r="G315" s="25"/>
      <c r="H315" s="25"/>
      <c r="I315" s="25"/>
      <c r="J315" s="25"/>
      <c r="K315" s="25"/>
      <c r="L315" s="25"/>
      <c r="M315" s="25"/>
      <c r="N315" s="25"/>
      <c r="O315" s="4"/>
      <c r="P315" s="4"/>
      <c r="Q315" s="4"/>
      <c r="R315" s="4"/>
      <c r="S315" s="4"/>
    </row>
    <row r="316" spans="1:19" ht="15" customHeight="1" x14ac:dyDescent="0.2">
      <c r="A316" s="26"/>
      <c r="B316" s="26"/>
      <c r="C316" s="26"/>
      <c r="D316" s="26"/>
      <c r="E316" s="26"/>
      <c r="F316" s="25"/>
      <c r="G316" s="25"/>
      <c r="H316" s="25"/>
      <c r="I316" s="25"/>
      <c r="J316" s="25"/>
      <c r="K316" s="25"/>
      <c r="L316" s="25"/>
      <c r="M316" s="25"/>
      <c r="N316" s="25"/>
      <c r="O316" s="4"/>
      <c r="P316" s="4"/>
      <c r="Q316" s="4"/>
      <c r="R316" s="4"/>
      <c r="S316" s="4"/>
    </row>
    <row r="317" spans="1:19" ht="15" customHeight="1" x14ac:dyDescent="0.2">
      <c r="A317" s="26"/>
      <c r="B317" s="26"/>
      <c r="C317" s="26"/>
      <c r="D317" s="26"/>
      <c r="E317" s="26"/>
      <c r="F317" s="25"/>
      <c r="G317" s="25"/>
      <c r="H317" s="25"/>
      <c r="I317" s="25"/>
      <c r="J317" s="25"/>
      <c r="K317" s="25"/>
      <c r="L317" s="25"/>
      <c r="M317" s="25"/>
      <c r="N317" s="25"/>
      <c r="O317" s="4"/>
      <c r="P317" s="4"/>
      <c r="Q317" s="4"/>
      <c r="R317" s="4"/>
      <c r="S317" s="4"/>
    </row>
    <row r="318" spans="1:19" ht="15" customHeight="1" x14ac:dyDescent="0.2">
      <c r="A318" s="26"/>
      <c r="B318" s="26"/>
      <c r="C318" s="26"/>
      <c r="D318" s="26"/>
      <c r="E318" s="26"/>
      <c r="F318" s="25"/>
      <c r="G318" s="25"/>
      <c r="H318" s="25"/>
      <c r="I318" s="25"/>
      <c r="J318" s="25"/>
      <c r="K318" s="25"/>
      <c r="L318" s="25"/>
      <c r="M318" s="25"/>
      <c r="N318" s="25"/>
      <c r="O318" s="4"/>
      <c r="P318" s="4"/>
      <c r="Q318" s="4"/>
      <c r="R318" s="4"/>
      <c r="S318" s="4"/>
    </row>
    <row r="319" spans="1:19" ht="15" customHeight="1" x14ac:dyDescent="0.2">
      <c r="A319" s="26"/>
      <c r="B319" s="26"/>
      <c r="C319" s="26"/>
      <c r="D319" s="26"/>
      <c r="E319" s="26"/>
      <c r="F319" s="25"/>
      <c r="G319" s="25"/>
      <c r="H319" s="25"/>
      <c r="I319" s="25"/>
      <c r="J319" s="25"/>
      <c r="K319" s="25"/>
      <c r="L319" s="25"/>
      <c r="M319" s="25"/>
      <c r="N319" s="25"/>
      <c r="O319" s="4"/>
      <c r="P319" s="4"/>
      <c r="Q319" s="4"/>
      <c r="R319" s="4"/>
      <c r="S319" s="4"/>
    </row>
    <row r="320" spans="1:19" ht="15" customHeight="1" x14ac:dyDescent="0.2">
      <c r="A320" s="26"/>
      <c r="B320" s="26"/>
      <c r="C320" s="26"/>
      <c r="D320" s="26"/>
      <c r="E320" s="26"/>
      <c r="F320" s="25"/>
      <c r="G320" s="25"/>
      <c r="H320" s="25"/>
      <c r="I320" s="25"/>
      <c r="J320" s="25"/>
      <c r="K320" s="25"/>
      <c r="L320" s="25"/>
      <c r="M320" s="25"/>
      <c r="N320" s="25"/>
      <c r="O320" s="4"/>
      <c r="P320" s="4"/>
      <c r="Q320" s="4"/>
      <c r="R320" s="4"/>
      <c r="S320" s="4"/>
    </row>
    <row r="321" spans="1:19" ht="15" customHeight="1" x14ac:dyDescent="0.2">
      <c r="A321" s="26"/>
      <c r="B321" s="26"/>
      <c r="C321" s="26"/>
      <c r="D321" s="26"/>
      <c r="E321" s="26"/>
      <c r="F321" s="25"/>
      <c r="G321" s="25"/>
      <c r="H321" s="25"/>
      <c r="I321" s="25"/>
      <c r="J321" s="25"/>
      <c r="K321" s="25"/>
      <c r="L321" s="25"/>
      <c r="M321" s="25"/>
      <c r="N321" s="25"/>
      <c r="O321" s="4"/>
      <c r="P321" s="4"/>
      <c r="Q321" s="4"/>
      <c r="R321" s="4"/>
      <c r="S321" s="4"/>
    </row>
    <row r="322" spans="1:19" ht="15" customHeight="1" x14ac:dyDescent="0.2">
      <c r="A322" s="26"/>
      <c r="B322" s="26"/>
      <c r="C322" s="26"/>
      <c r="D322" s="26"/>
      <c r="E322" s="26"/>
      <c r="F322" s="25"/>
      <c r="G322" s="25"/>
      <c r="H322" s="25"/>
      <c r="I322" s="25"/>
      <c r="J322" s="25"/>
      <c r="K322" s="25"/>
      <c r="L322" s="25"/>
      <c r="M322" s="25"/>
      <c r="N322" s="25"/>
      <c r="O322" s="4"/>
      <c r="P322" s="4"/>
      <c r="Q322" s="4"/>
      <c r="R322" s="4"/>
      <c r="S322" s="4"/>
    </row>
    <row r="323" spans="1:19" ht="15" customHeight="1" x14ac:dyDescent="0.2">
      <c r="A323" s="26"/>
      <c r="B323" s="26"/>
      <c r="C323" s="26"/>
      <c r="D323" s="26"/>
      <c r="E323" s="26"/>
      <c r="F323" s="25"/>
      <c r="G323" s="25"/>
      <c r="H323" s="25"/>
      <c r="I323" s="25"/>
      <c r="J323" s="25"/>
      <c r="K323" s="25"/>
      <c r="L323" s="25"/>
      <c r="M323" s="25"/>
      <c r="N323" s="25"/>
      <c r="O323" s="4"/>
      <c r="P323" s="4"/>
      <c r="Q323" s="4"/>
      <c r="R323" s="4"/>
      <c r="S323" s="4"/>
    </row>
    <row r="324" spans="1:19" ht="15" customHeight="1" x14ac:dyDescent="0.2">
      <c r="A324" s="26"/>
      <c r="B324" s="26"/>
      <c r="C324" s="26"/>
      <c r="D324" s="26"/>
      <c r="E324" s="26"/>
      <c r="F324" s="25"/>
      <c r="G324" s="25"/>
      <c r="H324" s="25"/>
      <c r="I324" s="25"/>
      <c r="J324" s="25"/>
      <c r="K324" s="25"/>
      <c r="L324" s="25"/>
      <c r="M324" s="25"/>
      <c r="N324" s="25"/>
      <c r="O324" s="4"/>
      <c r="P324" s="4"/>
      <c r="Q324" s="4"/>
      <c r="R324" s="4"/>
      <c r="S324" s="4"/>
    </row>
    <row r="325" spans="1:19" ht="15" customHeight="1" x14ac:dyDescent="0.2">
      <c r="A325" s="26"/>
      <c r="B325" s="26"/>
      <c r="C325" s="26"/>
      <c r="D325" s="26"/>
      <c r="E325" s="26"/>
      <c r="F325" s="25"/>
      <c r="G325" s="25"/>
      <c r="H325" s="25"/>
      <c r="I325" s="25"/>
      <c r="J325" s="25"/>
      <c r="K325" s="25"/>
      <c r="L325" s="25"/>
      <c r="M325" s="25"/>
      <c r="N325" s="25"/>
      <c r="O325" s="4"/>
      <c r="P325" s="4"/>
      <c r="Q325" s="4"/>
      <c r="R325" s="4"/>
      <c r="S325" s="4"/>
    </row>
    <row r="326" spans="1:19" ht="15" customHeight="1" x14ac:dyDescent="0.2">
      <c r="A326" s="26"/>
      <c r="B326" s="26"/>
      <c r="C326" s="26"/>
      <c r="D326" s="26"/>
      <c r="E326" s="26"/>
      <c r="F326" s="25"/>
      <c r="G326" s="25"/>
      <c r="H326" s="25"/>
      <c r="I326" s="25"/>
      <c r="J326" s="25"/>
      <c r="K326" s="25"/>
      <c r="L326" s="25"/>
      <c r="M326" s="25"/>
      <c r="N326" s="25"/>
      <c r="O326" s="4"/>
      <c r="P326" s="4"/>
      <c r="Q326" s="4"/>
      <c r="R326" s="4"/>
      <c r="S326" s="4"/>
    </row>
    <row r="327" spans="1:19" ht="15" customHeight="1" x14ac:dyDescent="0.2">
      <c r="A327" s="26"/>
      <c r="B327" s="26"/>
      <c r="C327" s="26"/>
      <c r="D327" s="26"/>
      <c r="E327" s="26"/>
      <c r="F327" s="25"/>
      <c r="G327" s="25"/>
      <c r="H327" s="25"/>
      <c r="I327" s="25"/>
      <c r="J327" s="25"/>
      <c r="K327" s="25"/>
      <c r="L327" s="25"/>
      <c r="M327" s="25"/>
      <c r="N327" s="25"/>
      <c r="O327" s="4"/>
      <c r="P327" s="4"/>
      <c r="Q327" s="4"/>
      <c r="R327" s="4"/>
      <c r="S327" s="4"/>
    </row>
    <row r="328" spans="1:19" ht="15" customHeight="1" x14ac:dyDescent="0.2">
      <c r="A328" s="26"/>
      <c r="B328" s="26"/>
      <c r="C328" s="26"/>
      <c r="D328" s="26"/>
      <c r="E328" s="26"/>
      <c r="F328" s="25"/>
      <c r="G328" s="25"/>
      <c r="H328" s="25"/>
      <c r="I328" s="25"/>
      <c r="J328" s="25"/>
      <c r="K328" s="25"/>
      <c r="L328" s="25"/>
      <c r="M328" s="25"/>
      <c r="N328" s="25"/>
      <c r="O328" s="4"/>
      <c r="P328" s="4"/>
      <c r="Q328" s="4"/>
      <c r="R328" s="4"/>
      <c r="S328" s="4"/>
    </row>
    <row r="329" spans="1:19" ht="15" customHeight="1" x14ac:dyDescent="0.2">
      <c r="A329" s="26"/>
      <c r="B329" s="26"/>
      <c r="C329" s="26"/>
      <c r="D329" s="26"/>
      <c r="E329" s="26"/>
      <c r="F329" s="25"/>
      <c r="G329" s="25"/>
      <c r="H329" s="25"/>
      <c r="I329" s="25"/>
      <c r="J329" s="25"/>
      <c r="K329" s="25"/>
      <c r="L329" s="25"/>
      <c r="M329" s="25"/>
      <c r="N329" s="25"/>
      <c r="O329" s="4"/>
      <c r="P329" s="4"/>
      <c r="Q329" s="4"/>
      <c r="R329" s="4"/>
      <c r="S329" s="4"/>
    </row>
    <row r="330" spans="1:19" ht="15" customHeight="1" x14ac:dyDescent="0.2">
      <c r="A330" s="26"/>
      <c r="B330" s="26"/>
      <c r="C330" s="26"/>
      <c r="D330" s="26"/>
      <c r="E330" s="26"/>
      <c r="F330" s="25"/>
      <c r="G330" s="25"/>
      <c r="H330" s="25"/>
      <c r="I330" s="25"/>
      <c r="J330" s="25"/>
      <c r="K330" s="25"/>
      <c r="L330" s="25"/>
      <c r="M330" s="25"/>
      <c r="N330" s="25"/>
      <c r="O330" s="4"/>
      <c r="P330" s="4"/>
      <c r="Q330" s="4"/>
      <c r="R330" s="4"/>
      <c r="S330" s="4"/>
    </row>
    <row r="331" spans="1:19" ht="15" customHeight="1" x14ac:dyDescent="0.2">
      <c r="A331" s="26"/>
      <c r="B331" s="26"/>
      <c r="C331" s="26"/>
      <c r="D331" s="26"/>
      <c r="E331" s="26"/>
      <c r="F331" s="25"/>
      <c r="G331" s="25"/>
      <c r="H331" s="25"/>
      <c r="I331" s="25"/>
      <c r="J331" s="25"/>
      <c r="K331" s="25"/>
      <c r="L331" s="25"/>
      <c r="M331" s="25"/>
      <c r="N331" s="25"/>
      <c r="O331" s="4"/>
      <c r="P331" s="4"/>
      <c r="Q331" s="4"/>
      <c r="R331" s="4"/>
      <c r="S331" s="4"/>
    </row>
    <row r="332" spans="1:19" ht="15" customHeight="1" x14ac:dyDescent="0.2">
      <c r="A332" s="26"/>
      <c r="B332" s="26"/>
      <c r="C332" s="26"/>
      <c r="D332" s="26"/>
      <c r="E332" s="26"/>
      <c r="F332" s="25"/>
      <c r="G332" s="25"/>
      <c r="H332" s="25"/>
      <c r="I332" s="25"/>
      <c r="J332" s="25"/>
      <c r="K332" s="25"/>
      <c r="L332" s="25"/>
      <c r="M332" s="25"/>
      <c r="N332" s="25"/>
      <c r="O332" s="4"/>
      <c r="P332" s="4"/>
      <c r="Q332" s="4"/>
      <c r="R332" s="4"/>
      <c r="S332" s="4"/>
    </row>
    <row r="333" spans="1:19" ht="15" customHeight="1" x14ac:dyDescent="0.2">
      <c r="A333" s="26"/>
      <c r="B333" s="26"/>
      <c r="C333" s="26"/>
      <c r="D333" s="26"/>
      <c r="E333" s="26"/>
      <c r="F333" s="25"/>
      <c r="G333" s="25"/>
      <c r="H333" s="25"/>
      <c r="I333" s="25"/>
      <c r="J333" s="25"/>
      <c r="K333" s="25"/>
      <c r="L333" s="25"/>
      <c r="M333" s="25"/>
      <c r="N333" s="25"/>
      <c r="O333" s="4"/>
      <c r="P333" s="4"/>
      <c r="Q333" s="4"/>
      <c r="R333" s="4"/>
      <c r="S333" s="4"/>
    </row>
    <row r="334" spans="1:19" ht="15" customHeight="1" x14ac:dyDescent="0.2">
      <c r="A334" s="26"/>
      <c r="B334" s="26"/>
      <c r="C334" s="26"/>
      <c r="D334" s="26"/>
      <c r="E334" s="26"/>
      <c r="F334" s="25"/>
      <c r="G334" s="25"/>
      <c r="H334" s="25"/>
      <c r="I334" s="25"/>
      <c r="J334" s="25"/>
      <c r="K334" s="25"/>
      <c r="L334" s="25"/>
      <c r="M334" s="25"/>
      <c r="N334" s="25"/>
      <c r="O334" s="4"/>
      <c r="P334" s="4"/>
      <c r="Q334" s="4"/>
      <c r="R334" s="4"/>
      <c r="S334" s="4"/>
    </row>
    <row r="335" spans="1:19" ht="15" customHeight="1" x14ac:dyDescent="0.2">
      <c r="A335" s="26"/>
      <c r="B335" s="26"/>
      <c r="C335" s="26"/>
      <c r="D335" s="26"/>
      <c r="E335" s="26"/>
      <c r="F335" s="25"/>
      <c r="G335" s="25"/>
      <c r="H335" s="25"/>
      <c r="I335" s="25"/>
      <c r="J335" s="25"/>
      <c r="K335" s="25"/>
      <c r="L335" s="25"/>
      <c r="M335" s="25"/>
      <c r="N335" s="25"/>
      <c r="O335" s="4"/>
      <c r="P335" s="4"/>
      <c r="Q335" s="4"/>
      <c r="R335" s="4"/>
      <c r="S335" s="4"/>
    </row>
    <row r="336" spans="1:19" ht="15" customHeight="1" x14ac:dyDescent="0.2">
      <c r="A336" s="26"/>
      <c r="B336" s="26"/>
      <c r="C336" s="26"/>
      <c r="D336" s="26"/>
      <c r="E336" s="26"/>
      <c r="F336" s="25"/>
      <c r="G336" s="25"/>
      <c r="H336" s="25"/>
      <c r="I336" s="25"/>
      <c r="J336" s="25"/>
      <c r="K336" s="25"/>
      <c r="L336" s="25"/>
      <c r="M336" s="25"/>
      <c r="N336" s="25"/>
      <c r="O336" s="4"/>
      <c r="P336" s="4"/>
      <c r="Q336" s="4"/>
      <c r="R336" s="4"/>
      <c r="S336" s="4"/>
    </row>
    <row r="337" spans="1:19" ht="15" customHeight="1" x14ac:dyDescent="0.2">
      <c r="A337" s="26"/>
      <c r="B337" s="26"/>
      <c r="C337" s="26"/>
      <c r="D337" s="26"/>
      <c r="E337" s="26"/>
      <c r="F337" s="25"/>
      <c r="G337" s="25"/>
      <c r="H337" s="25"/>
      <c r="I337" s="25"/>
      <c r="J337" s="25"/>
      <c r="K337" s="25"/>
      <c r="L337" s="25"/>
      <c r="M337" s="25"/>
      <c r="N337" s="25"/>
      <c r="O337" s="4"/>
      <c r="P337" s="4"/>
      <c r="Q337" s="4"/>
      <c r="R337" s="4"/>
      <c r="S337" s="4"/>
    </row>
    <row r="338" spans="1:19" ht="15" customHeight="1" x14ac:dyDescent="0.2">
      <c r="A338" s="26"/>
      <c r="B338" s="26"/>
      <c r="C338" s="26"/>
      <c r="D338" s="26"/>
      <c r="E338" s="26"/>
      <c r="F338" s="25"/>
      <c r="G338" s="25"/>
      <c r="H338" s="25"/>
      <c r="I338" s="25"/>
      <c r="J338" s="25"/>
      <c r="K338" s="25"/>
      <c r="L338" s="25"/>
      <c r="M338" s="25"/>
      <c r="N338" s="25"/>
      <c r="O338" s="4"/>
      <c r="P338" s="4"/>
      <c r="Q338" s="4"/>
      <c r="R338" s="4"/>
      <c r="S338" s="4"/>
    </row>
    <row r="339" spans="1:19" ht="15" customHeight="1" x14ac:dyDescent="0.2">
      <c r="A339" s="26"/>
      <c r="B339" s="26"/>
      <c r="C339" s="26"/>
      <c r="D339" s="26"/>
      <c r="E339" s="26"/>
      <c r="F339" s="25"/>
      <c r="G339" s="25"/>
      <c r="H339" s="25"/>
      <c r="I339" s="25"/>
      <c r="J339" s="25"/>
      <c r="K339" s="25"/>
      <c r="L339" s="25"/>
      <c r="M339" s="25"/>
      <c r="N339" s="25"/>
      <c r="O339" s="4"/>
      <c r="P339" s="4"/>
      <c r="Q339" s="4"/>
      <c r="R339" s="4"/>
      <c r="S339" s="4"/>
    </row>
    <row r="340" spans="1:19" ht="15" customHeight="1" x14ac:dyDescent="0.2">
      <c r="A340" s="26"/>
      <c r="B340" s="26"/>
      <c r="C340" s="26"/>
      <c r="D340" s="26"/>
      <c r="E340" s="26"/>
      <c r="F340" s="25"/>
      <c r="G340" s="25"/>
      <c r="H340" s="25"/>
      <c r="I340" s="25"/>
      <c r="J340" s="25"/>
      <c r="K340" s="25"/>
      <c r="L340" s="25"/>
      <c r="M340" s="25"/>
      <c r="N340" s="25"/>
      <c r="O340" s="4"/>
      <c r="P340" s="4"/>
      <c r="Q340" s="4"/>
      <c r="R340" s="4"/>
      <c r="S340" s="4"/>
    </row>
    <row r="341" spans="1:19" ht="15" customHeight="1" x14ac:dyDescent="0.2">
      <c r="A341" s="26"/>
      <c r="B341" s="26"/>
      <c r="C341" s="26"/>
      <c r="D341" s="26"/>
      <c r="E341" s="26"/>
      <c r="F341" s="25"/>
      <c r="G341" s="25"/>
      <c r="H341" s="25"/>
      <c r="I341" s="25"/>
      <c r="J341" s="25"/>
      <c r="K341" s="25"/>
      <c r="L341" s="25"/>
      <c r="M341" s="25"/>
      <c r="N341" s="25"/>
      <c r="O341" s="4"/>
      <c r="P341" s="4"/>
      <c r="Q341" s="4"/>
      <c r="R341" s="4"/>
      <c r="S341" s="4"/>
    </row>
    <row r="342" spans="1:19" ht="15" customHeight="1" x14ac:dyDescent="0.2">
      <c r="A342" s="26"/>
      <c r="B342" s="26"/>
      <c r="C342" s="26"/>
      <c r="D342" s="26"/>
      <c r="E342" s="26"/>
      <c r="F342" s="25"/>
      <c r="G342" s="25"/>
      <c r="H342" s="25"/>
      <c r="I342" s="25"/>
      <c r="J342" s="25"/>
      <c r="K342" s="25"/>
      <c r="L342" s="25"/>
      <c r="M342" s="25"/>
      <c r="N342" s="25"/>
      <c r="O342" s="4"/>
      <c r="P342" s="4"/>
      <c r="Q342" s="4"/>
      <c r="R342" s="4"/>
      <c r="S342" s="4"/>
    </row>
    <row r="343" spans="1:19" ht="15" customHeight="1" x14ac:dyDescent="0.2">
      <c r="A343" s="26"/>
      <c r="B343" s="26"/>
      <c r="C343" s="26"/>
      <c r="D343" s="26"/>
      <c r="E343" s="26"/>
      <c r="F343" s="25"/>
      <c r="G343" s="25"/>
      <c r="H343" s="25"/>
      <c r="I343" s="25"/>
      <c r="J343" s="25"/>
      <c r="K343" s="25"/>
      <c r="L343" s="25"/>
      <c r="M343" s="25"/>
      <c r="N343" s="25"/>
      <c r="O343" s="4"/>
      <c r="P343" s="4"/>
      <c r="Q343" s="4"/>
      <c r="R343" s="4"/>
      <c r="S343" s="4"/>
    </row>
    <row r="344" spans="1:19" ht="15" customHeight="1" x14ac:dyDescent="0.2">
      <c r="A344" s="26"/>
      <c r="B344" s="26"/>
      <c r="C344" s="26"/>
      <c r="D344" s="26"/>
      <c r="E344" s="26"/>
      <c r="F344" s="25"/>
      <c r="G344" s="25"/>
      <c r="H344" s="25"/>
      <c r="I344" s="25"/>
      <c r="J344" s="25"/>
      <c r="K344" s="25"/>
      <c r="L344" s="25"/>
      <c r="M344" s="25"/>
      <c r="N344" s="25"/>
      <c r="O344" s="4"/>
      <c r="P344" s="4"/>
      <c r="Q344" s="4"/>
      <c r="R344" s="4"/>
      <c r="S344" s="4"/>
    </row>
    <row r="345" spans="1:19" ht="15" customHeight="1" x14ac:dyDescent="0.2">
      <c r="A345" s="26"/>
      <c r="B345" s="26"/>
      <c r="C345" s="26"/>
      <c r="D345" s="26"/>
      <c r="E345" s="26"/>
      <c r="F345" s="25"/>
      <c r="G345" s="25"/>
      <c r="H345" s="25"/>
      <c r="I345" s="25"/>
      <c r="J345" s="25"/>
      <c r="K345" s="25"/>
      <c r="L345" s="25"/>
      <c r="M345" s="25"/>
      <c r="N345" s="25"/>
      <c r="O345" s="4"/>
      <c r="P345" s="4"/>
      <c r="Q345" s="4"/>
      <c r="R345" s="4"/>
      <c r="S345" s="4"/>
    </row>
    <row r="346" spans="1:19" ht="15" customHeight="1" x14ac:dyDescent="0.2">
      <c r="A346" s="26"/>
      <c r="B346" s="26"/>
      <c r="C346" s="26"/>
      <c r="D346" s="26"/>
      <c r="E346" s="26"/>
      <c r="F346" s="25"/>
      <c r="G346" s="25"/>
      <c r="H346" s="25"/>
      <c r="I346" s="25"/>
      <c r="J346" s="25"/>
      <c r="K346" s="25"/>
      <c r="L346" s="25"/>
      <c r="M346" s="25"/>
      <c r="N346" s="25"/>
      <c r="O346" s="4"/>
      <c r="P346" s="4"/>
      <c r="Q346" s="4"/>
      <c r="R346" s="4"/>
      <c r="S346" s="4"/>
    </row>
    <row r="347" spans="1:19" ht="15" customHeight="1" x14ac:dyDescent="0.2">
      <c r="A347" s="26"/>
      <c r="B347" s="26"/>
      <c r="C347" s="26"/>
      <c r="D347" s="26"/>
      <c r="E347" s="26"/>
      <c r="F347" s="25"/>
      <c r="G347" s="25"/>
      <c r="H347" s="25"/>
      <c r="I347" s="25"/>
      <c r="J347" s="25"/>
      <c r="K347" s="25"/>
      <c r="L347" s="25"/>
      <c r="M347" s="25"/>
      <c r="N347" s="25"/>
      <c r="O347" s="4"/>
      <c r="P347" s="4"/>
      <c r="Q347" s="4"/>
      <c r="R347" s="4"/>
      <c r="S347" s="4"/>
    </row>
    <row r="348" spans="1:19" ht="15" customHeight="1" x14ac:dyDescent="0.2">
      <c r="A348" s="26"/>
      <c r="B348" s="26"/>
      <c r="C348" s="26"/>
      <c r="D348" s="26"/>
      <c r="E348" s="26"/>
      <c r="F348" s="25"/>
      <c r="G348" s="25"/>
      <c r="H348" s="25"/>
      <c r="I348" s="25"/>
      <c r="J348" s="25"/>
      <c r="K348" s="25"/>
      <c r="L348" s="25"/>
      <c r="M348" s="25"/>
      <c r="N348" s="25"/>
      <c r="O348" s="4"/>
      <c r="P348" s="4"/>
      <c r="Q348" s="4"/>
      <c r="R348" s="4"/>
      <c r="S348" s="4"/>
    </row>
    <row r="349" spans="1:19" ht="15" customHeight="1" x14ac:dyDescent="0.2">
      <c r="A349" s="26"/>
      <c r="B349" s="26"/>
      <c r="C349" s="26"/>
      <c r="D349" s="26"/>
      <c r="E349" s="26"/>
      <c r="F349" s="25"/>
      <c r="G349" s="25"/>
      <c r="H349" s="25"/>
      <c r="I349" s="25"/>
      <c r="J349" s="25"/>
      <c r="K349" s="25"/>
      <c r="L349" s="25"/>
      <c r="M349" s="25"/>
      <c r="N349" s="25"/>
      <c r="O349" s="4"/>
      <c r="P349" s="4"/>
      <c r="Q349" s="4"/>
      <c r="R349" s="4"/>
      <c r="S349" s="4"/>
    </row>
    <row r="350" spans="1:19" ht="15" customHeight="1" x14ac:dyDescent="0.2">
      <c r="A350" s="26"/>
      <c r="B350" s="26"/>
      <c r="C350" s="26"/>
      <c r="D350" s="26"/>
      <c r="E350" s="26"/>
      <c r="F350" s="25"/>
      <c r="G350" s="25"/>
      <c r="H350" s="25"/>
      <c r="I350" s="25"/>
      <c r="J350" s="25"/>
      <c r="K350" s="25"/>
      <c r="L350" s="25"/>
      <c r="M350" s="25"/>
      <c r="N350" s="25"/>
      <c r="O350" s="4"/>
      <c r="P350" s="4"/>
      <c r="Q350" s="4"/>
      <c r="R350" s="4"/>
      <c r="S350" s="4"/>
    </row>
    <row r="351" spans="1:19" ht="15" customHeight="1" x14ac:dyDescent="0.2">
      <c r="A351" s="26"/>
      <c r="B351" s="26"/>
      <c r="C351" s="26"/>
      <c r="D351" s="26"/>
      <c r="E351" s="26"/>
      <c r="F351" s="25"/>
      <c r="G351" s="25"/>
      <c r="H351" s="25"/>
      <c r="I351" s="25"/>
      <c r="J351" s="25"/>
      <c r="K351" s="25"/>
      <c r="L351" s="25"/>
      <c r="M351" s="25"/>
      <c r="N351" s="25"/>
      <c r="O351" s="4"/>
      <c r="P351" s="4"/>
      <c r="Q351" s="4"/>
      <c r="R351" s="4"/>
      <c r="S351" s="4"/>
    </row>
    <row r="352" spans="1:19" ht="15" customHeight="1" x14ac:dyDescent="0.2">
      <c r="A352" s="26"/>
      <c r="B352" s="26"/>
      <c r="C352" s="26"/>
      <c r="D352" s="26"/>
      <c r="E352" s="26"/>
      <c r="F352" s="25"/>
      <c r="G352" s="25"/>
      <c r="H352" s="25"/>
      <c r="I352" s="25"/>
      <c r="J352" s="25"/>
      <c r="K352" s="25"/>
      <c r="L352" s="25"/>
      <c r="M352" s="25"/>
      <c r="N352" s="25"/>
      <c r="O352" s="4"/>
      <c r="P352" s="4"/>
      <c r="Q352" s="4"/>
      <c r="R352" s="4"/>
      <c r="S352" s="4"/>
    </row>
    <row r="353" spans="1:19" ht="15" customHeight="1" x14ac:dyDescent="0.2">
      <c r="A353" s="26"/>
      <c r="B353" s="26"/>
      <c r="C353" s="26"/>
      <c r="D353" s="26"/>
      <c r="E353" s="26"/>
      <c r="F353" s="25"/>
      <c r="G353" s="25"/>
      <c r="H353" s="25"/>
      <c r="I353" s="25"/>
      <c r="J353" s="25"/>
      <c r="K353" s="25"/>
      <c r="L353" s="25"/>
      <c r="M353" s="25"/>
      <c r="N353" s="25"/>
      <c r="O353" s="4"/>
      <c r="P353" s="4"/>
      <c r="Q353" s="4"/>
      <c r="R353" s="4"/>
      <c r="S353" s="4"/>
    </row>
    <row r="354" spans="1:19" ht="15" customHeight="1" x14ac:dyDescent="0.2">
      <c r="A354" s="26"/>
      <c r="B354" s="26"/>
      <c r="C354" s="26"/>
      <c r="D354" s="26"/>
      <c r="E354" s="26"/>
      <c r="F354" s="25"/>
      <c r="G354" s="25"/>
      <c r="H354" s="25"/>
      <c r="I354" s="25"/>
      <c r="J354" s="25"/>
      <c r="K354" s="25"/>
      <c r="L354" s="25"/>
      <c r="M354" s="25"/>
      <c r="N354" s="25"/>
      <c r="O354" s="4"/>
      <c r="P354" s="4"/>
      <c r="Q354" s="4"/>
      <c r="R354" s="4"/>
      <c r="S354" s="4"/>
    </row>
    <row r="355" spans="1:19" ht="15" customHeight="1" x14ac:dyDescent="0.2">
      <c r="A355" s="26"/>
      <c r="B355" s="26"/>
      <c r="C355" s="26"/>
      <c r="D355" s="26"/>
      <c r="E355" s="26"/>
      <c r="F355" s="25"/>
      <c r="G355" s="25"/>
      <c r="H355" s="25"/>
      <c r="I355" s="25"/>
      <c r="J355" s="25"/>
      <c r="K355" s="25"/>
      <c r="L355" s="25"/>
      <c r="M355" s="25"/>
      <c r="N355" s="25"/>
      <c r="O355" s="4"/>
      <c r="P355" s="4"/>
      <c r="Q355" s="4"/>
      <c r="R355" s="4"/>
      <c r="S355" s="4"/>
    </row>
    <row r="356" spans="1:19" ht="15" customHeight="1" x14ac:dyDescent="0.2">
      <c r="A356" s="26"/>
      <c r="B356" s="26"/>
      <c r="C356" s="26"/>
      <c r="D356" s="26"/>
      <c r="E356" s="26"/>
      <c r="F356" s="25"/>
      <c r="G356" s="25"/>
      <c r="H356" s="25"/>
      <c r="I356" s="25"/>
      <c r="J356" s="25"/>
      <c r="K356" s="25"/>
      <c r="L356" s="25"/>
      <c r="M356" s="25"/>
      <c r="N356" s="25"/>
      <c r="O356" s="4"/>
      <c r="P356" s="4"/>
      <c r="Q356" s="4"/>
      <c r="R356" s="4"/>
      <c r="S356" s="4"/>
    </row>
    <row r="357" spans="1:19" ht="15" customHeight="1" x14ac:dyDescent="0.2">
      <c r="A357" s="26"/>
      <c r="B357" s="26"/>
      <c r="C357" s="26"/>
      <c r="D357" s="26"/>
      <c r="E357" s="26"/>
      <c r="F357" s="25"/>
      <c r="G357" s="25"/>
      <c r="H357" s="25"/>
      <c r="I357" s="25"/>
      <c r="J357" s="25"/>
      <c r="K357" s="25"/>
      <c r="L357" s="25"/>
      <c r="M357" s="25"/>
      <c r="N357" s="25"/>
      <c r="O357" s="4"/>
      <c r="P357" s="4"/>
      <c r="Q357" s="4"/>
      <c r="R357" s="4"/>
      <c r="S357" s="4"/>
    </row>
    <row r="358" spans="1:19" ht="15" customHeight="1" x14ac:dyDescent="0.2">
      <c r="A358" s="26"/>
      <c r="B358" s="26"/>
      <c r="C358" s="26"/>
      <c r="D358" s="26"/>
      <c r="E358" s="26"/>
      <c r="F358" s="25"/>
      <c r="G358" s="25"/>
      <c r="H358" s="25"/>
      <c r="I358" s="25"/>
      <c r="J358" s="25"/>
      <c r="K358" s="25"/>
      <c r="L358" s="25"/>
      <c r="M358" s="25"/>
      <c r="N358" s="25"/>
      <c r="O358" s="4"/>
      <c r="P358" s="4"/>
      <c r="Q358" s="4"/>
      <c r="R358" s="4"/>
      <c r="S358" s="4"/>
    </row>
    <row r="359" spans="1:19" ht="15" customHeight="1" x14ac:dyDescent="0.2">
      <c r="A359" s="26"/>
      <c r="B359" s="26"/>
      <c r="C359" s="26"/>
      <c r="D359" s="26"/>
      <c r="E359" s="26"/>
      <c r="F359" s="25"/>
      <c r="G359" s="25"/>
      <c r="H359" s="25"/>
      <c r="I359" s="25"/>
      <c r="J359" s="25"/>
      <c r="K359" s="25"/>
      <c r="L359" s="25"/>
      <c r="M359" s="25"/>
      <c r="N359" s="25"/>
      <c r="O359" s="4"/>
      <c r="P359" s="4"/>
      <c r="Q359" s="4"/>
      <c r="R359" s="4"/>
      <c r="S359" s="4"/>
    </row>
    <row r="360" spans="1:19" ht="15" customHeight="1" x14ac:dyDescent="0.2">
      <c r="A360" s="26"/>
      <c r="B360" s="26"/>
      <c r="C360" s="26"/>
      <c r="D360" s="26"/>
      <c r="E360" s="26"/>
      <c r="F360" s="25"/>
      <c r="G360" s="25"/>
      <c r="H360" s="25"/>
      <c r="I360" s="25"/>
      <c r="J360" s="25"/>
      <c r="K360" s="25"/>
      <c r="L360" s="25"/>
      <c r="M360" s="25"/>
      <c r="N360" s="25"/>
      <c r="O360" s="4"/>
      <c r="P360" s="4"/>
      <c r="Q360" s="4"/>
      <c r="R360" s="4"/>
      <c r="S360" s="4"/>
    </row>
    <row r="361" spans="1:19" ht="15" customHeight="1" x14ac:dyDescent="0.2">
      <c r="A361" s="26"/>
      <c r="B361" s="26"/>
      <c r="C361" s="26"/>
      <c r="D361" s="26"/>
      <c r="E361" s="26"/>
      <c r="F361" s="25"/>
      <c r="G361" s="25"/>
      <c r="H361" s="25"/>
      <c r="I361" s="25"/>
      <c r="J361" s="25"/>
      <c r="K361" s="25"/>
      <c r="L361" s="25"/>
      <c r="M361" s="25"/>
      <c r="N361" s="25"/>
      <c r="O361" s="4"/>
      <c r="P361" s="4"/>
      <c r="Q361" s="4"/>
      <c r="R361" s="4"/>
      <c r="S361" s="4"/>
    </row>
    <row r="362" spans="1:19" ht="15" customHeight="1" x14ac:dyDescent="0.2">
      <c r="A362" s="26"/>
      <c r="B362" s="26"/>
      <c r="C362" s="26"/>
      <c r="D362" s="26"/>
      <c r="E362" s="26"/>
      <c r="F362" s="25"/>
      <c r="G362" s="25"/>
      <c r="H362" s="25"/>
      <c r="I362" s="25"/>
      <c r="J362" s="25"/>
      <c r="K362" s="25"/>
      <c r="L362" s="25"/>
      <c r="M362" s="25"/>
      <c r="N362" s="25"/>
      <c r="O362" s="4"/>
      <c r="P362" s="4"/>
      <c r="Q362" s="4"/>
      <c r="R362" s="4"/>
      <c r="S362" s="4"/>
    </row>
    <row r="363" spans="1:19" ht="15" customHeight="1" x14ac:dyDescent="0.2">
      <c r="A363" s="26"/>
      <c r="B363" s="26"/>
      <c r="C363" s="26"/>
      <c r="D363" s="26"/>
      <c r="E363" s="26"/>
      <c r="F363" s="25"/>
      <c r="G363" s="25"/>
      <c r="H363" s="25"/>
      <c r="I363" s="25"/>
      <c r="J363" s="25"/>
      <c r="K363" s="25"/>
      <c r="L363" s="25"/>
      <c r="M363" s="25"/>
      <c r="N363" s="25"/>
      <c r="O363" s="4"/>
      <c r="P363" s="4"/>
      <c r="Q363" s="4"/>
      <c r="R363" s="4"/>
      <c r="S363" s="4"/>
    </row>
    <row r="364" spans="1:19" ht="15" customHeight="1" x14ac:dyDescent="0.2">
      <c r="A364" s="26"/>
      <c r="B364" s="26"/>
      <c r="C364" s="26"/>
      <c r="D364" s="26"/>
      <c r="E364" s="26"/>
      <c r="F364" s="25"/>
      <c r="G364" s="25"/>
      <c r="H364" s="25"/>
      <c r="I364" s="25"/>
      <c r="J364" s="25"/>
      <c r="K364" s="25"/>
      <c r="L364" s="25"/>
      <c r="M364" s="25"/>
      <c r="N364" s="25"/>
      <c r="O364" s="4"/>
      <c r="P364" s="4"/>
      <c r="Q364" s="4"/>
      <c r="R364" s="4"/>
      <c r="S364" s="4"/>
    </row>
    <row r="365" spans="1:19" ht="15" customHeight="1" x14ac:dyDescent="0.2">
      <c r="A365" s="26"/>
      <c r="B365" s="26"/>
      <c r="C365" s="26"/>
      <c r="D365" s="26"/>
      <c r="E365" s="26"/>
      <c r="F365" s="25"/>
      <c r="G365" s="25"/>
      <c r="H365" s="25"/>
      <c r="I365" s="25"/>
      <c r="J365" s="25"/>
      <c r="K365" s="25"/>
      <c r="L365" s="25"/>
      <c r="M365" s="25"/>
      <c r="N365" s="25"/>
      <c r="O365" s="4"/>
      <c r="P365" s="4"/>
      <c r="Q365" s="4"/>
      <c r="R365" s="4"/>
      <c r="S365" s="4"/>
    </row>
    <row r="366" spans="1:19" ht="15" customHeight="1" x14ac:dyDescent="0.2">
      <c r="A366" s="26"/>
      <c r="B366" s="26"/>
      <c r="C366" s="26"/>
      <c r="D366" s="26"/>
      <c r="E366" s="26"/>
      <c r="F366" s="25"/>
      <c r="G366" s="25"/>
      <c r="H366" s="25"/>
      <c r="I366" s="25"/>
      <c r="J366" s="25"/>
      <c r="K366" s="25"/>
      <c r="L366" s="25"/>
      <c r="M366" s="25"/>
      <c r="N366" s="25"/>
      <c r="O366" s="4"/>
      <c r="P366" s="4"/>
      <c r="Q366" s="4"/>
      <c r="R366" s="4"/>
      <c r="S366" s="4"/>
    </row>
    <row r="367" spans="1:19" ht="15" customHeight="1" x14ac:dyDescent="0.2">
      <c r="A367" s="26"/>
      <c r="B367" s="26"/>
      <c r="C367" s="26"/>
      <c r="D367" s="26"/>
      <c r="E367" s="26"/>
      <c r="F367" s="25"/>
      <c r="G367" s="25"/>
      <c r="H367" s="25"/>
      <c r="I367" s="25"/>
      <c r="J367" s="25"/>
      <c r="K367" s="25"/>
      <c r="L367" s="25"/>
      <c r="M367" s="25"/>
      <c r="N367" s="25"/>
      <c r="O367" s="4"/>
      <c r="P367" s="4"/>
      <c r="Q367" s="4"/>
      <c r="R367" s="4"/>
      <c r="S367" s="4"/>
    </row>
    <row r="368" spans="1:19" ht="15" customHeight="1" x14ac:dyDescent="0.2">
      <c r="A368" s="26"/>
      <c r="B368" s="26"/>
      <c r="C368" s="26"/>
      <c r="D368" s="26"/>
      <c r="E368" s="26"/>
      <c r="F368" s="25"/>
      <c r="G368" s="25"/>
      <c r="H368" s="25"/>
      <c r="I368" s="25"/>
      <c r="J368" s="25"/>
      <c r="K368" s="25"/>
      <c r="L368" s="25"/>
      <c r="M368" s="25"/>
      <c r="N368" s="25"/>
      <c r="O368" s="4"/>
      <c r="P368" s="4"/>
      <c r="Q368" s="4"/>
      <c r="R368" s="4"/>
      <c r="S368" s="4"/>
    </row>
    <row r="369" spans="1:19" ht="15" customHeight="1" x14ac:dyDescent="0.2">
      <c r="A369" s="26"/>
      <c r="B369" s="26"/>
      <c r="C369" s="26"/>
      <c r="D369" s="26"/>
      <c r="E369" s="26"/>
      <c r="F369" s="25"/>
      <c r="G369" s="25"/>
      <c r="H369" s="25"/>
      <c r="I369" s="25"/>
      <c r="J369" s="25"/>
      <c r="K369" s="25"/>
      <c r="L369" s="25"/>
      <c r="M369" s="25"/>
      <c r="N369" s="25"/>
      <c r="O369" s="4"/>
      <c r="P369" s="4"/>
      <c r="Q369" s="4"/>
      <c r="R369" s="4"/>
      <c r="S369" s="4"/>
    </row>
    <row r="370" spans="1:19" ht="15" customHeight="1" x14ac:dyDescent="0.2">
      <c r="A370" s="26"/>
      <c r="B370" s="26"/>
      <c r="C370" s="26"/>
      <c r="D370" s="26"/>
      <c r="E370" s="26"/>
      <c r="F370" s="25"/>
      <c r="G370" s="25"/>
      <c r="H370" s="25"/>
      <c r="I370" s="25"/>
      <c r="J370" s="25"/>
      <c r="K370" s="25"/>
      <c r="L370" s="25"/>
      <c r="M370" s="25"/>
      <c r="N370" s="25"/>
      <c r="O370" s="4"/>
      <c r="P370" s="4"/>
      <c r="Q370" s="4"/>
      <c r="R370" s="4"/>
      <c r="S370" s="4"/>
    </row>
    <row r="371" spans="1:19" ht="15" customHeight="1" x14ac:dyDescent="0.2">
      <c r="A371" s="26"/>
      <c r="B371" s="26"/>
      <c r="C371" s="26"/>
      <c r="D371" s="26"/>
      <c r="E371" s="26"/>
      <c r="F371" s="25"/>
      <c r="G371" s="25"/>
      <c r="H371" s="25"/>
      <c r="I371" s="25"/>
      <c r="J371" s="25"/>
      <c r="K371" s="25"/>
      <c r="L371" s="25"/>
      <c r="M371" s="25"/>
      <c r="N371" s="25"/>
      <c r="O371" s="4"/>
      <c r="P371" s="4"/>
      <c r="Q371" s="4"/>
      <c r="R371" s="4"/>
      <c r="S371" s="4"/>
    </row>
    <row r="372" spans="1:19" ht="15" customHeight="1" x14ac:dyDescent="0.2">
      <c r="A372" s="26"/>
      <c r="B372" s="26"/>
      <c r="C372" s="26"/>
      <c r="D372" s="26"/>
      <c r="E372" s="26"/>
      <c r="F372" s="25"/>
      <c r="G372" s="25"/>
      <c r="H372" s="25"/>
      <c r="I372" s="25"/>
      <c r="J372" s="25"/>
      <c r="K372" s="25"/>
      <c r="L372" s="25"/>
      <c r="M372" s="25"/>
      <c r="N372" s="25"/>
      <c r="O372" s="4"/>
      <c r="P372" s="4"/>
      <c r="Q372" s="4"/>
      <c r="R372" s="4"/>
      <c r="S372" s="4"/>
    </row>
    <row r="373" spans="1:19" ht="15" customHeight="1" x14ac:dyDescent="0.2">
      <c r="A373" s="26"/>
      <c r="B373" s="26"/>
      <c r="C373" s="26"/>
      <c r="D373" s="26"/>
      <c r="E373" s="26"/>
      <c r="F373" s="25"/>
      <c r="G373" s="25"/>
      <c r="H373" s="25"/>
      <c r="I373" s="25"/>
      <c r="J373" s="25"/>
      <c r="K373" s="25"/>
      <c r="L373" s="25"/>
      <c r="M373" s="25"/>
      <c r="N373" s="25"/>
      <c r="O373" s="4"/>
      <c r="P373" s="4"/>
      <c r="Q373" s="4"/>
      <c r="R373" s="4"/>
      <c r="S373" s="4"/>
    </row>
    <row r="374" spans="1:19" ht="15" customHeight="1" x14ac:dyDescent="0.2">
      <c r="A374" s="26"/>
      <c r="B374" s="26"/>
      <c r="C374" s="26"/>
      <c r="D374" s="26"/>
      <c r="E374" s="26"/>
      <c r="F374" s="25"/>
      <c r="G374" s="25"/>
      <c r="H374" s="25"/>
      <c r="I374" s="25"/>
      <c r="J374" s="25"/>
      <c r="K374" s="25"/>
      <c r="L374" s="25"/>
      <c r="M374" s="25"/>
      <c r="N374" s="25"/>
      <c r="O374" s="4"/>
      <c r="P374" s="4"/>
      <c r="Q374" s="4"/>
      <c r="R374" s="4"/>
      <c r="S374" s="4"/>
    </row>
    <row r="375" spans="1:19" ht="15" customHeight="1" x14ac:dyDescent="0.2">
      <c r="A375" s="26"/>
      <c r="B375" s="26"/>
      <c r="C375" s="26"/>
      <c r="D375" s="26"/>
      <c r="E375" s="26"/>
      <c r="F375" s="25"/>
      <c r="G375" s="25"/>
      <c r="H375" s="25"/>
      <c r="I375" s="25"/>
      <c r="J375" s="25"/>
      <c r="K375" s="25"/>
      <c r="L375" s="25"/>
      <c r="M375" s="25"/>
      <c r="N375" s="25"/>
      <c r="O375" s="4"/>
      <c r="P375" s="4"/>
      <c r="Q375" s="4"/>
      <c r="R375" s="4"/>
      <c r="S375" s="4"/>
    </row>
    <row r="376" spans="1:19" ht="15" customHeight="1" x14ac:dyDescent="0.2">
      <c r="A376" s="26"/>
      <c r="B376" s="26"/>
      <c r="C376" s="26"/>
      <c r="D376" s="26"/>
      <c r="E376" s="26"/>
      <c r="F376" s="25"/>
      <c r="G376" s="25"/>
      <c r="H376" s="25"/>
      <c r="I376" s="25"/>
      <c r="J376" s="25"/>
      <c r="K376" s="25"/>
      <c r="L376" s="25"/>
      <c r="M376" s="25"/>
      <c r="N376" s="25"/>
      <c r="O376" s="4"/>
      <c r="P376" s="4"/>
      <c r="Q376" s="4"/>
      <c r="R376" s="4"/>
      <c r="S376" s="4"/>
    </row>
    <row r="377" spans="1:19" ht="15" customHeight="1" x14ac:dyDescent="0.2">
      <c r="A377" s="26"/>
      <c r="B377" s="26"/>
      <c r="C377" s="26"/>
      <c r="D377" s="26"/>
      <c r="E377" s="26"/>
      <c r="F377" s="25"/>
      <c r="G377" s="25"/>
      <c r="H377" s="25"/>
      <c r="I377" s="25"/>
      <c r="J377" s="25"/>
      <c r="K377" s="25"/>
      <c r="L377" s="25"/>
      <c r="M377" s="25"/>
      <c r="N377" s="25"/>
      <c r="O377" s="4"/>
      <c r="P377" s="4"/>
      <c r="Q377" s="4"/>
      <c r="R377" s="4"/>
      <c r="S377" s="4"/>
    </row>
    <row r="378" spans="1:19" ht="15" customHeight="1" x14ac:dyDescent="0.2">
      <c r="A378" s="26"/>
      <c r="B378" s="26"/>
      <c r="C378" s="26"/>
      <c r="D378" s="26"/>
      <c r="E378" s="26"/>
      <c r="F378" s="25"/>
      <c r="G378" s="25"/>
      <c r="H378" s="25"/>
      <c r="I378" s="25"/>
      <c r="J378" s="25"/>
      <c r="K378" s="25"/>
      <c r="L378" s="25"/>
      <c r="M378" s="25"/>
      <c r="N378" s="25"/>
      <c r="O378" s="4"/>
      <c r="P378" s="4"/>
      <c r="Q378" s="4"/>
      <c r="R378" s="4"/>
      <c r="S378" s="4"/>
    </row>
    <row r="379" spans="1:19" ht="15" customHeight="1" x14ac:dyDescent="0.2">
      <c r="A379" s="26"/>
      <c r="B379" s="26"/>
      <c r="C379" s="26"/>
      <c r="D379" s="26"/>
      <c r="E379" s="26"/>
      <c r="F379" s="25"/>
      <c r="G379" s="25"/>
      <c r="H379" s="25"/>
      <c r="I379" s="25"/>
      <c r="J379" s="25"/>
      <c r="K379" s="25"/>
      <c r="L379" s="25"/>
      <c r="M379" s="25"/>
      <c r="N379" s="25"/>
      <c r="O379" s="4"/>
      <c r="P379" s="4"/>
      <c r="Q379" s="4"/>
      <c r="R379" s="4"/>
      <c r="S379" s="4"/>
    </row>
    <row r="380" spans="1:19" ht="15" customHeight="1" x14ac:dyDescent="0.2">
      <c r="A380" s="26"/>
      <c r="B380" s="26"/>
      <c r="C380" s="26"/>
      <c r="D380" s="26"/>
      <c r="E380" s="26"/>
      <c r="F380" s="25"/>
      <c r="G380" s="25"/>
      <c r="H380" s="25"/>
      <c r="I380" s="25"/>
      <c r="J380" s="25"/>
      <c r="K380" s="25"/>
      <c r="L380" s="25"/>
      <c r="M380" s="25"/>
      <c r="N380" s="25"/>
      <c r="O380" s="4"/>
      <c r="P380" s="4"/>
      <c r="Q380" s="4"/>
      <c r="R380" s="4"/>
      <c r="S380" s="4"/>
    </row>
    <row r="381" spans="1:19" ht="15" customHeight="1" x14ac:dyDescent="0.2">
      <c r="A381" s="26"/>
      <c r="B381" s="26"/>
      <c r="C381" s="26"/>
      <c r="D381" s="26"/>
      <c r="E381" s="26"/>
      <c r="F381" s="25"/>
      <c r="G381" s="25"/>
      <c r="H381" s="25"/>
      <c r="I381" s="25"/>
      <c r="J381" s="25"/>
      <c r="K381" s="25"/>
      <c r="L381" s="25"/>
      <c r="M381" s="25"/>
      <c r="N381" s="25"/>
      <c r="O381" s="4"/>
      <c r="P381" s="4"/>
      <c r="Q381" s="4"/>
      <c r="R381" s="4"/>
      <c r="S381" s="4"/>
    </row>
    <row r="382" spans="1:19" ht="15" customHeight="1" x14ac:dyDescent="0.2">
      <c r="A382" s="26"/>
      <c r="B382" s="26"/>
      <c r="C382" s="26"/>
      <c r="D382" s="26"/>
      <c r="E382" s="26"/>
      <c r="F382" s="25"/>
      <c r="G382" s="25"/>
      <c r="H382" s="25"/>
      <c r="I382" s="25"/>
      <c r="J382" s="25"/>
      <c r="K382" s="25"/>
      <c r="L382" s="25"/>
      <c r="M382" s="25"/>
      <c r="N382" s="25"/>
      <c r="O382" s="4"/>
      <c r="P382" s="4"/>
      <c r="Q382" s="4"/>
      <c r="R382" s="4"/>
      <c r="S382" s="4"/>
    </row>
    <row r="383" spans="1:19" ht="15" customHeight="1" x14ac:dyDescent="0.2">
      <c r="A383" s="26"/>
      <c r="B383" s="26"/>
      <c r="C383" s="26"/>
      <c r="D383" s="26"/>
      <c r="E383" s="26"/>
      <c r="F383" s="25"/>
      <c r="G383" s="25"/>
      <c r="H383" s="25"/>
      <c r="I383" s="25"/>
      <c r="J383" s="25"/>
      <c r="K383" s="25"/>
      <c r="L383" s="25"/>
      <c r="M383" s="25"/>
      <c r="N383" s="25"/>
      <c r="O383" s="4"/>
      <c r="P383" s="4"/>
      <c r="Q383" s="4"/>
      <c r="R383" s="4"/>
      <c r="S383" s="4"/>
    </row>
    <row r="384" spans="1:19" ht="15" customHeight="1" x14ac:dyDescent="0.2">
      <c r="A384" s="26"/>
      <c r="B384" s="26"/>
      <c r="C384" s="26"/>
      <c r="D384" s="26"/>
      <c r="E384" s="26"/>
      <c r="F384" s="25"/>
      <c r="G384" s="25"/>
      <c r="H384" s="25"/>
      <c r="I384" s="25"/>
      <c r="J384" s="25"/>
      <c r="K384" s="25"/>
      <c r="L384" s="25"/>
      <c r="M384" s="25"/>
      <c r="N384" s="25"/>
      <c r="O384" s="4"/>
      <c r="P384" s="4"/>
      <c r="Q384" s="4"/>
      <c r="R384" s="4"/>
      <c r="S384" s="4"/>
    </row>
    <row r="385" spans="1:19" ht="15" customHeight="1" x14ac:dyDescent="0.2">
      <c r="A385" s="26"/>
      <c r="B385" s="26"/>
      <c r="C385" s="26"/>
      <c r="D385" s="26"/>
      <c r="E385" s="26"/>
      <c r="F385" s="25"/>
      <c r="G385" s="25"/>
      <c r="H385" s="25"/>
      <c r="I385" s="25"/>
      <c r="J385" s="25"/>
      <c r="K385" s="25"/>
      <c r="L385" s="25"/>
      <c r="M385" s="25"/>
      <c r="N385" s="25"/>
      <c r="O385" s="4"/>
      <c r="P385" s="4"/>
      <c r="Q385" s="4"/>
      <c r="R385" s="4"/>
      <c r="S385" s="4"/>
    </row>
    <row r="386" spans="1:19" ht="15" customHeight="1" x14ac:dyDescent="0.2">
      <c r="A386" s="26"/>
      <c r="B386" s="26"/>
      <c r="C386" s="26"/>
      <c r="D386" s="26"/>
      <c r="E386" s="26"/>
      <c r="F386" s="25"/>
      <c r="G386" s="25"/>
      <c r="H386" s="25"/>
      <c r="I386" s="25"/>
      <c r="J386" s="25"/>
      <c r="K386" s="25"/>
      <c r="L386" s="25"/>
      <c r="M386" s="25"/>
      <c r="N386" s="25"/>
      <c r="O386" s="4"/>
      <c r="P386" s="4"/>
      <c r="Q386" s="4"/>
      <c r="R386" s="4"/>
      <c r="S386" s="4"/>
    </row>
    <row r="387" spans="1:19" ht="15" customHeight="1" x14ac:dyDescent="0.2">
      <c r="A387" s="26"/>
      <c r="B387" s="26"/>
      <c r="C387" s="26"/>
      <c r="D387" s="26"/>
      <c r="E387" s="26"/>
      <c r="F387" s="25"/>
      <c r="G387" s="25"/>
      <c r="H387" s="25"/>
      <c r="I387" s="25"/>
      <c r="J387" s="25"/>
      <c r="K387" s="25"/>
      <c r="L387" s="25"/>
      <c r="M387" s="25"/>
      <c r="N387" s="25"/>
      <c r="O387" s="4"/>
      <c r="P387" s="4"/>
      <c r="Q387" s="4"/>
      <c r="R387" s="4"/>
      <c r="S387" s="4"/>
    </row>
    <row r="388" spans="1:19" ht="15" customHeight="1" x14ac:dyDescent="0.2">
      <c r="A388" s="26"/>
      <c r="B388" s="26"/>
      <c r="C388" s="26"/>
      <c r="D388" s="26"/>
      <c r="E388" s="26"/>
      <c r="F388" s="25"/>
      <c r="G388" s="25"/>
      <c r="H388" s="25"/>
      <c r="I388" s="25"/>
      <c r="J388" s="25"/>
      <c r="K388" s="25"/>
      <c r="L388" s="25"/>
      <c r="M388" s="25"/>
      <c r="N388" s="25"/>
      <c r="O388" s="4"/>
      <c r="P388" s="4"/>
      <c r="Q388" s="4"/>
      <c r="R388" s="4"/>
      <c r="S388" s="4"/>
    </row>
    <row r="389" spans="1:19" ht="15" customHeight="1" x14ac:dyDescent="0.2">
      <c r="A389" s="26"/>
      <c r="B389" s="26"/>
      <c r="C389" s="26"/>
      <c r="D389" s="26"/>
      <c r="E389" s="26"/>
      <c r="F389" s="25"/>
      <c r="G389" s="25"/>
      <c r="H389" s="25"/>
      <c r="I389" s="25"/>
      <c r="J389" s="25"/>
      <c r="K389" s="25"/>
      <c r="L389" s="25"/>
      <c r="M389" s="25"/>
      <c r="N389" s="25"/>
      <c r="O389" s="4"/>
      <c r="P389" s="4"/>
      <c r="Q389" s="4"/>
      <c r="R389" s="4"/>
      <c r="S389" s="4"/>
    </row>
    <row r="390" spans="1:19" ht="15" customHeight="1" x14ac:dyDescent="0.2">
      <c r="A390" s="26"/>
      <c r="B390" s="26"/>
      <c r="C390" s="26"/>
      <c r="D390" s="26"/>
      <c r="E390" s="26"/>
      <c r="F390" s="25"/>
      <c r="G390" s="25"/>
      <c r="H390" s="25"/>
      <c r="I390" s="25"/>
      <c r="J390" s="25"/>
      <c r="K390" s="25"/>
      <c r="L390" s="25"/>
      <c r="M390" s="25"/>
      <c r="N390" s="25"/>
      <c r="O390" s="4"/>
      <c r="P390" s="4"/>
      <c r="Q390" s="4"/>
      <c r="R390" s="4"/>
      <c r="S390" s="4"/>
    </row>
    <row r="391" spans="1:19" ht="15" customHeight="1" x14ac:dyDescent="0.2">
      <c r="A391" s="26"/>
      <c r="B391" s="26"/>
      <c r="C391" s="26"/>
      <c r="D391" s="26"/>
      <c r="E391" s="26"/>
      <c r="F391" s="25"/>
      <c r="G391" s="25"/>
      <c r="H391" s="25"/>
      <c r="I391" s="25"/>
      <c r="J391" s="25"/>
      <c r="K391" s="25"/>
      <c r="L391" s="25"/>
      <c r="M391" s="25"/>
      <c r="N391" s="25"/>
      <c r="O391" s="4"/>
      <c r="P391" s="4"/>
      <c r="Q391" s="4"/>
      <c r="R391" s="4"/>
      <c r="S391" s="4"/>
    </row>
    <row r="392" spans="1:19" ht="15" customHeight="1" x14ac:dyDescent="0.2">
      <c r="A392" s="26"/>
      <c r="B392" s="26"/>
      <c r="C392" s="26"/>
      <c r="D392" s="26"/>
      <c r="E392" s="26"/>
      <c r="F392" s="25"/>
      <c r="G392" s="25"/>
      <c r="H392" s="25"/>
      <c r="I392" s="25"/>
      <c r="J392" s="25"/>
      <c r="K392" s="25"/>
      <c r="L392" s="25"/>
      <c r="M392" s="25"/>
      <c r="N392" s="25"/>
      <c r="O392" s="4"/>
      <c r="P392" s="4"/>
      <c r="Q392" s="4"/>
      <c r="R392" s="4"/>
      <c r="S392" s="4"/>
    </row>
    <row r="393" spans="1:19" ht="15" customHeight="1" x14ac:dyDescent="0.2">
      <c r="A393" s="26"/>
      <c r="B393" s="26"/>
      <c r="C393" s="26"/>
      <c r="D393" s="26"/>
      <c r="E393" s="26"/>
      <c r="F393" s="25"/>
      <c r="G393" s="25"/>
      <c r="H393" s="25"/>
      <c r="I393" s="25"/>
      <c r="J393" s="25"/>
      <c r="K393" s="25"/>
      <c r="L393" s="25"/>
      <c r="M393" s="25"/>
      <c r="N393" s="25"/>
      <c r="O393" s="4"/>
      <c r="P393" s="4"/>
      <c r="Q393" s="4"/>
      <c r="R393" s="4"/>
      <c r="S393" s="4"/>
    </row>
    <row r="394" spans="1:19" ht="15" customHeight="1" x14ac:dyDescent="0.2">
      <c r="A394" s="26"/>
      <c r="B394" s="26"/>
      <c r="C394" s="26"/>
      <c r="D394" s="26"/>
      <c r="E394" s="26"/>
      <c r="F394" s="25"/>
      <c r="G394" s="25"/>
      <c r="H394" s="25"/>
      <c r="I394" s="25"/>
      <c r="J394" s="25"/>
      <c r="K394" s="25"/>
      <c r="L394" s="25"/>
      <c r="M394" s="25"/>
      <c r="N394" s="25"/>
      <c r="O394" s="4"/>
      <c r="P394" s="4"/>
      <c r="Q394" s="4"/>
      <c r="R394" s="4"/>
      <c r="S394" s="4"/>
    </row>
    <row r="395" spans="1:19" ht="15" customHeight="1" x14ac:dyDescent="0.2">
      <c r="A395" s="26"/>
      <c r="B395" s="26"/>
      <c r="C395" s="26"/>
      <c r="D395" s="26"/>
      <c r="E395" s="26"/>
      <c r="F395" s="25"/>
      <c r="G395" s="25"/>
      <c r="H395" s="25"/>
      <c r="I395" s="25"/>
      <c r="J395" s="25"/>
      <c r="K395" s="25"/>
      <c r="L395" s="25"/>
      <c r="M395" s="25"/>
      <c r="N395" s="25"/>
      <c r="O395" s="4"/>
      <c r="P395" s="4"/>
      <c r="Q395" s="4"/>
      <c r="R395" s="4"/>
      <c r="S395" s="4"/>
    </row>
    <row r="396" spans="1:19" ht="15" customHeight="1" x14ac:dyDescent="0.2">
      <c r="A396" s="26"/>
      <c r="B396" s="26"/>
      <c r="C396" s="26"/>
      <c r="D396" s="26"/>
      <c r="E396" s="26"/>
      <c r="F396" s="25"/>
      <c r="G396" s="25"/>
      <c r="H396" s="25"/>
      <c r="I396" s="25"/>
      <c r="J396" s="25"/>
      <c r="K396" s="25"/>
      <c r="L396" s="25"/>
      <c r="M396" s="25"/>
      <c r="N396" s="25"/>
      <c r="O396" s="4"/>
      <c r="P396" s="4"/>
      <c r="Q396" s="4"/>
      <c r="R396" s="4"/>
      <c r="S396" s="4"/>
    </row>
    <row r="397" spans="1:19" ht="15" customHeight="1" x14ac:dyDescent="0.2">
      <c r="A397" s="26"/>
      <c r="B397" s="26"/>
      <c r="C397" s="26"/>
      <c r="D397" s="26"/>
      <c r="E397" s="26"/>
      <c r="F397" s="25"/>
      <c r="G397" s="25"/>
      <c r="H397" s="25"/>
      <c r="I397" s="25"/>
      <c r="J397" s="25"/>
      <c r="K397" s="25"/>
      <c r="L397" s="25"/>
      <c r="M397" s="25"/>
      <c r="N397" s="25"/>
      <c r="O397" s="4"/>
      <c r="P397" s="4"/>
      <c r="Q397" s="4"/>
      <c r="R397" s="4"/>
      <c r="S397" s="4"/>
    </row>
    <row r="398" spans="1:19" ht="15" customHeight="1" x14ac:dyDescent="0.2">
      <c r="A398" s="26"/>
      <c r="B398" s="26"/>
      <c r="C398" s="26"/>
      <c r="D398" s="26"/>
      <c r="E398" s="26"/>
      <c r="F398" s="25"/>
      <c r="G398" s="25"/>
      <c r="H398" s="25"/>
      <c r="I398" s="25"/>
      <c r="J398" s="25"/>
      <c r="K398" s="25"/>
      <c r="L398" s="25"/>
      <c r="M398" s="25"/>
      <c r="N398" s="25"/>
      <c r="O398" s="4"/>
      <c r="P398" s="4"/>
      <c r="Q398" s="4"/>
      <c r="R398" s="4"/>
      <c r="S398" s="4"/>
    </row>
    <row r="399" spans="1:19" ht="15" customHeight="1" x14ac:dyDescent="0.2">
      <c r="A399" s="26"/>
      <c r="B399" s="26"/>
      <c r="C399" s="26"/>
      <c r="D399" s="26"/>
      <c r="E399" s="26"/>
      <c r="F399" s="25"/>
      <c r="G399" s="25"/>
      <c r="H399" s="25"/>
      <c r="I399" s="25"/>
      <c r="J399" s="25"/>
      <c r="K399" s="25"/>
      <c r="L399" s="25"/>
      <c r="M399" s="25"/>
      <c r="N399" s="25"/>
      <c r="O399" s="4"/>
      <c r="P399" s="4"/>
      <c r="Q399" s="4"/>
      <c r="R399" s="4"/>
      <c r="S399" s="4"/>
    </row>
    <row r="400" spans="1:19" ht="15" customHeight="1" x14ac:dyDescent="0.2">
      <c r="A400" s="26"/>
      <c r="B400" s="26"/>
      <c r="C400" s="26"/>
      <c r="D400" s="26"/>
      <c r="E400" s="26"/>
      <c r="F400" s="25"/>
      <c r="G400" s="25"/>
      <c r="H400" s="25"/>
      <c r="I400" s="25"/>
      <c r="J400" s="25"/>
      <c r="K400" s="25"/>
      <c r="L400" s="25"/>
      <c r="M400" s="25"/>
      <c r="N400" s="25"/>
      <c r="O400" s="4"/>
      <c r="P400" s="4"/>
      <c r="Q400" s="4"/>
      <c r="R400" s="4"/>
      <c r="S400" s="4"/>
    </row>
    <row r="401" spans="1:19" ht="15" customHeight="1" x14ac:dyDescent="0.2">
      <c r="A401" s="26"/>
      <c r="B401" s="26"/>
      <c r="C401" s="26"/>
      <c r="D401" s="26"/>
      <c r="E401" s="26"/>
      <c r="F401" s="25"/>
      <c r="G401" s="25"/>
      <c r="H401" s="25"/>
      <c r="I401" s="25"/>
      <c r="J401" s="25"/>
      <c r="K401" s="25"/>
      <c r="L401" s="25"/>
      <c r="M401" s="25"/>
      <c r="N401" s="25"/>
      <c r="O401" s="4"/>
      <c r="P401" s="4"/>
      <c r="Q401" s="4"/>
      <c r="R401" s="4"/>
      <c r="S401" s="4"/>
    </row>
    <row r="402" spans="1:19" ht="15" customHeight="1" x14ac:dyDescent="0.2">
      <c r="A402" s="26"/>
      <c r="B402" s="26"/>
      <c r="C402" s="26"/>
      <c r="D402" s="26"/>
      <c r="E402" s="26"/>
      <c r="F402" s="25"/>
      <c r="G402" s="25"/>
      <c r="H402" s="25"/>
      <c r="I402" s="25"/>
      <c r="J402" s="25"/>
      <c r="K402" s="25"/>
      <c r="L402" s="25"/>
      <c r="M402" s="25"/>
      <c r="N402" s="25"/>
      <c r="O402" s="4"/>
      <c r="P402" s="4"/>
      <c r="Q402" s="4"/>
      <c r="R402" s="4"/>
      <c r="S402" s="4"/>
    </row>
    <row r="403" spans="1:19" ht="15" customHeight="1" x14ac:dyDescent="0.2">
      <c r="A403" s="26"/>
      <c r="B403" s="26"/>
      <c r="C403" s="26"/>
      <c r="D403" s="26"/>
      <c r="E403" s="26"/>
      <c r="F403" s="25"/>
      <c r="G403" s="25"/>
      <c r="H403" s="25"/>
      <c r="I403" s="25"/>
      <c r="J403" s="25"/>
      <c r="K403" s="25"/>
      <c r="L403" s="25"/>
      <c r="M403" s="25"/>
      <c r="N403" s="25"/>
      <c r="O403" s="4"/>
      <c r="P403" s="4"/>
      <c r="Q403" s="4"/>
      <c r="R403" s="4"/>
      <c r="S403" s="4"/>
    </row>
    <row r="404" spans="1:19" ht="15" customHeight="1" x14ac:dyDescent="0.2">
      <c r="A404" s="26"/>
      <c r="B404" s="26"/>
      <c r="C404" s="26"/>
      <c r="D404" s="26"/>
      <c r="E404" s="26"/>
      <c r="F404" s="25"/>
      <c r="G404" s="25"/>
      <c r="H404" s="25"/>
      <c r="I404" s="25"/>
      <c r="J404" s="25"/>
      <c r="K404" s="25"/>
      <c r="L404" s="25"/>
      <c r="M404" s="25"/>
      <c r="N404" s="25"/>
      <c r="O404" s="4"/>
      <c r="P404" s="4"/>
      <c r="Q404" s="4"/>
      <c r="R404" s="4"/>
      <c r="S404" s="4"/>
    </row>
    <row r="405" spans="1:19" ht="15" customHeight="1" x14ac:dyDescent="0.2">
      <c r="A405" s="26"/>
      <c r="B405" s="26"/>
      <c r="C405" s="26"/>
      <c r="D405" s="26"/>
      <c r="E405" s="26"/>
      <c r="F405" s="25"/>
      <c r="G405" s="25"/>
      <c r="H405" s="25"/>
      <c r="I405" s="25"/>
      <c r="J405" s="25"/>
      <c r="K405" s="25"/>
      <c r="L405" s="25"/>
      <c r="M405" s="25"/>
      <c r="N405" s="25"/>
      <c r="O405" s="4"/>
      <c r="P405" s="4"/>
      <c r="Q405" s="4"/>
      <c r="R405" s="4"/>
      <c r="S405" s="4"/>
    </row>
    <row r="406" spans="1:19" ht="15" customHeight="1" x14ac:dyDescent="0.2">
      <c r="A406" s="26"/>
      <c r="B406" s="26"/>
      <c r="C406" s="26"/>
      <c r="D406" s="26"/>
      <c r="E406" s="26"/>
      <c r="F406" s="25"/>
      <c r="G406" s="25"/>
      <c r="H406" s="25"/>
      <c r="I406" s="25"/>
      <c r="J406" s="25"/>
      <c r="K406" s="25"/>
      <c r="L406" s="25"/>
      <c r="M406" s="25"/>
      <c r="N406" s="25"/>
      <c r="O406" s="4"/>
      <c r="P406" s="4"/>
      <c r="Q406" s="4"/>
      <c r="R406" s="4"/>
      <c r="S406" s="4"/>
    </row>
    <row r="407" spans="1:19" ht="15" customHeight="1" x14ac:dyDescent="0.2">
      <c r="A407" s="26"/>
      <c r="B407" s="26"/>
      <c r="C407" s="26"/>
      <c r="D407" s="26"/>
      <c r="E407" s="26"/>
      <c r="F407" s="25"/>
      <c r="G407" s="25"/>
      <c r="H407" s="25"/>
      <c r="I407" s="25"/>
      <c r="J407" s="25"/>
      <c r="K407" s="25"/>
      <c r="L407" s="25"/>
      <c r="M407" s="25"/>
      <c r="N407" s="25"/>
      <c r="O407" s="4"/>
      <c r="P407" s="4"/>
      <c r="Q407" s="4"/>
      <c r="R407" s="4"/>
      <c r="S407" s="4"/>
    </row>
    <row r="408" spans="1:19" ht="15" customHeight="1" x14ac:dyDescent="0.2">
      <c r="A408" s="26"/>
      <c r="B408" s="26"/>
      <c r="C408" s="26"/>
      <c r="D408" s="26"/>
      <c r="E408" s="26"/>
      <c r="F408" s="25"/>
      <c r="G408" s="25"/>
      <c r="H408" s="25"/>
      <c r="I408" s="25"/>
      <c r="J408" s="25"/>
      <c r="K408" s="25"/>
      <c r="L408" s="25"/>
      <c r="M408" s="25"/>
      <c r="N408" s="25"/>
      <c r="O408" s="4"/>
      <c r="P408" s="4"/>
      <c r="Q408" s="4"/>
      <c r="R408" s="4"/>
      <c r="S408" s="4"/>
    </row>
    <row r="409" spans="1:19" ht="15" customHeight="1" x14ac:dyDescent="0.2">
      <c r="A409" s="26"/>
      <c r="B409" s="26"/>
      <c r="C409" s="26"/>
      <c r="D409" s="26"/>
      <c r="E409" s="26"/>
      <c r="F409" s="25"/>
      <c r="G409" s="25"/>
      <c r="H409" s="25"/>
      <c r="I409" s="25"/>
      <c r="J409" s="25"/>
      <c r="K409" s="25"/>
      <c r="L409" s="25"/>
      <c r="M409" s="25"/>
      <c r="N409" s="25"/>
      <c r="O409" s="4"/>
      <c r="P409" s="4"/>
      <c r="Q409" s="4"/>
      <c r="R409" s="4"/>
      <c r="S409" s="4"/>
    </row>
    <row r="410" spans="1:19" ht="15" customHeight="1" x14ac:dyDescent="0.2">
      <c r="A410" s="26"/>
      <c r="B410" s="26"/>
      <c r="C410" s="26"/>
      <c r="D410" s="26"/>
      <c r="E410" s="26"/>
      <c r="F410" s="25"/>
      <c r="G410" s="25"/>
      <c r="H410" s="25"/>
      <c r="I410" s="25"/>
      <c r="J410" s="25"/>
      <c r="K410" s="25"/>
      <c r="L410" s="25"/>
      <c r="M410" s="25"/>
      <c r="N410" s="25"/>
      <c r="O410" s="4"/>
      <c r="P410" s="4"/>
      <c r="Q410" s="4"/>
      <c r="R410" s="4"/>
      <c r="S410" s="4"/>
    </row>
    <row r="411" spans="1:19" ht="15" customHeight="1" x14ac:dyDescent="0.2">
      <c r="A411" s="26"/>
      <c r="B411" s="26"/>
      <c r="C411" s="26"/>
      <c r="D411" s="26"/>
      <c r="E411" s="26"/>
      <c r="F411" s="25"/>
      <c r="G411" s="25"/>
      <c r="H411" s="25"/>
      <c r="I411" s="25"/>
      <c r="J411" s="25"/>
      <c r="K411" s="25"/>
      <c r="L411" s="25"/>
      <c r="M411" s="25"/>
      <c r="N411" s="25"/>
      <c r="O411" s="4"/>
      <c r="P411" s="4"/>
      <c r="Q411" s="4"/>
      <c r="R411" s="4"/>
      <c r="S411" s="4"/>
    </row>
    <row r="412" spans="1:19" ht="15" customHeight="1" x14ac:dyDescent="0.2">
      <c r="A412" s="26"/>
      <c r="B412" s="26"/>
      <c r="C412" s="26"/>
      <c r="D412" s="26"/>
      <c r="E412" s="26"/>
      <c r="F412" s="25"/>
      <c r="G412" s="25"/>
      <c r="H412" s="25"/>
      <c r="I412" s="25"/>
      <c r="J412" s="25"/>
      <c r="K412" s="25"/>
      <c r="L412" s="25"/>
      <c r="M412" s="25"/>
      <c r="N412" s="25"/>
      <c r="O412" s="4"/>
      <c r="P412" s="4"/>
      <c r="Q412" s="4"/>
      <c r="R412" s="4"/>
      <c r="S412" s="4"/>
    </row>
    <row r="413" spans="1:19" ht="15" customHeight="1" x14ac:dyDescent="0.2">
      <c r="A413" s="26"/>
      <c r="B413" s="26"/>
      <c r="C413" s="26"/>
      <c r="D413" s="26"/>
      <c r="E413" s="26"/>
      <c r="F413" s="25"/>
      <c r="G413" s="25"/>
      <c r="H413" s="25"/>
      <c r="I413" s="25"/>
      <c r="J413" s="25"/>
      <c r="K413" s="25"/>
      <c r="L413" s="25"/>
      <c r="M413" s="25"/>
      <c r="N413" s="25"/>
      <c r="O413" s="4"/>
      <c r="P413" s="4"/>
      <c r="Q413" s="4"/>
      <c r="R413" s="4"/>
      <c r="S413" s="4"/>
    </row>
    <row r="414" spans="1:19" ht="15" customHeight="1" x14ac:dyDescent="0.2">
      <c r="A414" s="26"/>
      <c r="B414" s="26"/>
      <c r="C414" s="26"/>
      <c r="D414" s="26"/>
      <c r="E414" s="26"/>
      <c r="F414" s="25"/>
      <c r="G414" s="25"/>
      <c r="H414" s="25"/>
      <c r="I414" s="25"/>
      <c r="J414" s="25"/>
      <c r="K414" s="25"/>
      <c r="L414" s="25"/>
      <c r="M414" s="25"/>
      <c r="N414" s="25"/>
      <c r="O414" s="4"/>
      <c r="P414" s="4"/>
      <c r="Q414" s="4"/>
      <c r="R414" s="4"/>
      <c r="S414" s="4"/>
    </row>
    <row r="415" spans="1:19" ht="15" customHeight="1" x14ac:dyDescent="0.2">
      <c r="A415" s="26"/>
      <c r="B415" s="26"/>
      <c r="C415" s="26"/>
      <c r="D415" s="26"/>
      <c r="E415" s="26"/>
      <c r="F415" s="25"/>
      <c r="G415" s="25"/>
      <c r="H415" s="25"/>
      <c r="I415" s="25"/>
      <c r="J415" s="25"/>
      <c r="K415" s="25"/>
      <c r="L415" s="25"/>
      <c r="M415" s="25"/>
      <c r="N415" s="25"/>
      <c r="O415" s="4"/>
      <c r="P415" s="4"/>
      <c r="Q415" s="4"/>
      <c r="R415" s="4"/>
      <c r="S415" s="4"/>
    </row>
    <row r="416" spans="1:19" ht="15" customHeight="1" x14ac:dyDescent="0.2">
      <c r="A416" s="26"/>
      <c r="B416" s="26"/>
      <c r="C416" s="26"/>
      <c r="D416" s="26"/>
      <c r="E416" s="26"/>
      <c r="F416" s="25"/>
      <c r="G416" s="25"/>
      <c r="H416" s="25"/>
      <c r="I416" s="25"/>
      <c r="J416" s="25"/>
      <c r="K416" s="25"/>
      <c r="L416" s="25"/>
      <c r="M416" s="25"/>
      <c r="N416" s="25"/>
      <c r="O416" s="4"/>
      <c r="P416" s="4"/>
      <c r="Q416" s="4"/>
      <c r="R416" s="4"/>
      <c r="S416" s="4"/>
    </row>
    <row r="417" spans="1:19" ht="15" customHeight="1" x14ac:dyDescent="0.2">
      <c r="A417" s="26"/>
      <c r="B417" s="26"/>
      <c r="C417" s="26"/>
      <c r="D417" s="26"/>
      <c r="E417" s="26"/>
      <c r="F417" s="25"/>
      <c r="G417" s="25"/>
      <c r="H417" s="25"/>
      <c r="I417" s="25"/>
      <c r="J417" s="25"/>
      <c r="K417" s="25"/>
      <c r="L417" s="25"/>
      <c r="M417" s="25"/>
      <c r="N417" s="25"/>
      <c r="O417" s="4"/>
      <c r="P417" s="4"/>
      <c r="Q417" s="4"/>
      <c r="R417" s="4"/>
      <c r="S417" s="4"/>
    </row>
    <row r="418" spans="1:19" ht="15" customHeight="1" x14ac:dyDescent="0.2">
      <c r="A418" s="26"/>
      <c r="B418" s="26"/>
      <c r="C418" s="26"/>
      <c r="D418" s="26"/>
      <c r="E418" s="26"/>
      <c r="F418" s="25"/>
      <c r="G418" s="25"/>
      <c r="H418" s="25"/>
      <c r="I418" s="25"/>
      <c r="J418" s="25"/>
      <c r="K418" s="25"/>
      <c r="L418" s="25"/>
      <c r="M418" s="25"/>
      <c r="N418" s="25"/>
      <c r="O418" s="4"/>
      <c r="P418" s="4"/>
      <c r="Q418" s="4"/>
      <c r="R418" s="4"/>
      <c r="S418" s="4"/>
    </row>
    <row r="419" spans="1:19" ht="15" customHeight="1" x14ac:dyDescent="0.2">
      <c r="A419" s="26"/>
      <c r="B419" s="26"/>
      <c r="C419" s="26"/>
      <c r="D419" s="26"/>
      <c r="E419" s="26"/>
      <c r="F419" s="25"/>
      <c r="G419" s="25"/>
      <c r="H419" s="25"/>
      <c r="I419" s="25"/>
      <c r="J419" s="25"/>
      <c r="K419" s="25"/>
      <c r="L419" s="25"/>
      <c r="M419" s="25"/>
      <c r="N419" s="25"/>
      <c r="O419" s="4"/>
      <c r="P419" s="4"/>
      <c r="Q419" s="4"/>
      <c r="R419" s="4"/>
      <c r="S419" s="4"/>
    </row>
    <row r="420" spans="1:19" ht="15" customHeight="1" x14ac:dyDescent="0.2">
      <c r="A420" s="26"/>
      <c r="B420" s="26"/>
      <c r="C420" s="26"/>
      <c r="D420" s="26"/>
      <c r="E420" s="26"/>
      <c r="F420" s="25"/>
      <c r="G420" s="25"/>
      <c r="H420" s="25"/>
      <c r="I420" s="25"/>
      <c r="J420" s="25"/>
      <c r="K420" s="25"/>
      <c r="L420" s="25"/>
      <c r="M420" s="25"/>
      <c r="N420" s="25"/>
      <c r="O420" s="4"/>
      <c r="P420" s="4"/>
      <c r="Q420" s="4"/>
      <c r="R420" s="4"/>
      <c r="S420" s="4"/>
    </row>
    <row r="421" spans="1:19" ht="15" customHeight="1" x14ac:dyDescent="0.2">
      <c r="A421" s="26"/>
      <c r="B421" s="26"/>
      <c r="C421" s="26"/>
      <c r="D421" s="26"/>
      <c r="E421" s="26"/>
      <c r="F421" s="25"/>
      <c r="G421" s="25"/>
      <c r="H421" s="25"/>
      <c r="I421" s="25"/>
      <c r="J421" s="25"/>
      <c r="K421" s="25"/>
      <c r="L421" s="25"/>
      <c r="M421" s="25"/>
      <c r="N421" s="25"/>
      <c r="O421" s="4"/>
      <c r="P421" s="4"/>
      <c r="Q421" s="4"/>
      <c r="R421" s="4"/>
      <c r="S421" s="4"/>
    </row>
    <row r="422" spans="1:19" ht="15" customHeight="1" x14ac:dyDescent="0.2">
      <c r="A422" s="26"/>
      <c r="B422" s="26"/>
      <c r="C422" s="26"/>
      <c r="D422" s="26"/>
      <c r="E422" s="26"/>
      <c r="F422" s="25"/>
      <c r="G422" s="25"/>
      <c r="H422" s="25"/>
      <c r="I422" s="25"/>
      <c r="J422" s="25"/>
      <c r="K422" s="25"/>
      <c r="L422" s="25"/>
      <c r="M422" s="25"/>
      <c r="N422" s="25"/>
      <c r="O422" s="4"/>
      <c r="P422" s="4"/>
      <c r="Q422" s="4"/>
      <c r="R422" s="4"/>
      <c r="S422" s="4"/>
    </row>
    <row r="423" spans="1:19" ht="15" customHeight="1" x14ac:dyDescent="0.2">
      <c r="A423" s="26"/>
      <c r="B423" s="26"/>
      <c r="C423" s="26"/>
      <c r="D423" s="26"/>
      <c r="E423" s="26"/>
      <c r="F423" s="25"/>
      <c r="G423" s="25"/>
      <c r="H423" s="25"/>
      <c r="I423" s="25"/>
      <c r="J423" s="25"/>
      <c r="K423" s="25"/>
      <c r="L423" s="25"/>
      <c r="M423" s="25"/>
      <c r="N423" s="25"/>
      <c r="O423" s="4"/>
      <c r="P423" s="4"/>
      <c r="Q423" s="4"/>
      <c r="R423" s="4"/>
      <c r="S423" s="4"/>
    </row>
    <row r="424" spans="1:19" ht="15" customHeight="1" x14ac:dyDescent="0.2">
      <c r="A424" s="26"/>
      <c r="B424" s="26"/>
      <c r="C424" s="26"/>
      <c r="D424" s="26"/>
      <c r="E424" s="26"/>
      <c r="F424" s="25"/>
      <c r="G424" s="25"/>
      <c r="H424" s="25"/>
      <c r="I424" s="25"/>
      <c r="J424" s="25"/>
      <c r="K424" s="25"/>
      <c r="L424" s="25"/>
      <c r="M424" s="25"/>
      <c r="N424" s="25"/>
      <c r="O424" s="4"/>
      <c r="P424" s="4"/>
      <c r="Q424" s="4"/>
      <c r="R424" s="4"/>
      <c r="S424" s="4"/>
    </row>
    <row r="425" spans="1:19" ht="15" customHeight="1" x14ac:dyDescent="0.2">
      <c r="A425" s="26"/>
      <c r="B425" s="26"/>
      <c r="C425" s="26"/>
      <c r="D425" s="26"/>
      <c r="E425" s="26"/>
      <c r="F425" s="25"/>
      <c r="G425" s="25"/>
      <c r="H425" s="25"/>
      <c r="I425" s="25"/>
      <c r="J425" s="25"/>
      <c r="K425" s="25"/>
      <c r="L425" s="25"/>
      <c r="M425" s="25"/>
      <c r="N425" s="25"/>
      <c r="O425" s="4"/>
      <c r="P425" s="4"/>
      <c r="Q425" s="4"/>
      <c r="R425" s="4"/>
      <c r="S425" s="4"/>
    </row>
    <row r="426" spans="1:19" ht="15" customHeight="1" x14ac:dyDescent="0.2">
      <c r="A426" s="26"/>
      <c r="B426" s="26"/>
      <c r="C426" s="26"/>
      <c r="D426" s="26"/>
      <c r="E426" s="26"/>
      <c r="F426" s="25"/>
      <c r="G426" s="25"/>
      <c r="H426" s="25"/>
      <c r="I426" s="25"/>
      <c r="J426" s="25"/>
      <c r="K426" s="25"/>
      <c r="L426" s="25"/>
      <c r="M426" s="25"/>
      <c r="N426" s="25"/>
      <c r="O426" s="4"/>
      <c r="P426" s="4"/>
      <c r="Q426" s="4"/>
      <c r="R426" s="4"/>
      <c r="S426" s="4"/>
    </row>
    <row r="427" spans="1:19" ht="15" customHeight="1" x14ac:dyDescent="0.2">
      <c r="A427" s="26"/>
      <c r="B427" s="26"/>
      <c r="C427" s="26"/>
      <c r="D427" s="26"/>
      <c r="E427" s="26"/>
      <c r="F427" s="25"/>
      <c r="G427" s="25"/>
      <c r="H427" s="25"/>
      <c r="I427" s="25"/>
      <c r="J427" s="25"/>
      <c r="K427" s="25"/>
      <c r="L427" s="25"/>
      <c r="M427" s="25"/>
      <c r="N427" s="25"/>
      <c r="O427" s="4"/>
      <c r="P427" s="4"/>
      <c r="Q427" s="4"/>
      <c r="R427" s="4"/>
      <c r="S427" s="4"/>
    </row>
    <row r="428" spans="1:19" ht="15" customHeight="1" x14ac:dyDescent="0.2">
      <c r="A428" s="26"/>
      <c r="B428" s="26"/>
      <c r="C428" s="26"/>
      <c r="D428" s="26"/>
      <c r="E428" s="26"/>
      <c r="F428" s="25"/>
      <c r="G428" s="25"/>
      <c r="H428" s="25"/>
      <c r="I428" s="25"/>
      <c r="J428" s="25"/>
      <c r="K428" s="25"/>
      <c r="L428" s="25"/>
      <c r="M428" s="25"/>
      <c r="N428" s="25"/>
      <c r="O428" s="4"/>
      <c r="P428" s="4"/>
      <c r="Q428" s="4"/>
      <c r="R428" s="4"/>
      <c r="S428" s="4"/>
    </row>
    <row r="429" spans="1:19" ht="15" customHeight="1" x14ac:dyDescent="0.2">
      <c r="A429" s="26"/>
      <c r="B429" s="26"/>
      <c r="C429" s="26"/>
      <c r="D429" s="26"/>
      <c r="E429" s="26"/>
      <c r="F429" s="25"/>
      <c r="G429" s="25"/>
      <c r="H429" s="25"/>
      <c r="I429" s="25"/>
      <c r="J429" s="25"/>
      <c r="K429" s="25"/>
      <c r="L429" s="25"/>
      <c r="M429" s="25"/>
      <c r="N429" s="25"/>
      <c r="O429" s="4"/>
      <c r="P429" s="4"/>
      <c r="Q429" s="4"/>
      <c r="R429" s="4"/>
      <c r="S429" s="4"/>
    </row>
    <row r="430" spans="1:19" ht="15" customHeight="1" x14ac:dyDescent="0.2">
      <c r="A430" s="26"/>
      <c r="B430" s="26"/>
      <c r="C430" s="26"/>
      <c r="D430" s="26"/>
      <c r="E430" s="26"/>
      <c r="F430" s="25"/>
      <c r="G430" s="25"/>
      <c r="H430" s="25"/>
      <c r="I430" s="25"/>
      <c r="J430" s="25"/>
      <c r="K430" s="25"/>
      <c r="L430" s="25"/>
      <c r="M430" s="25"/>
      <c r="N430" s="25"/>
      <c r="O430" s="4"/>
      <c r="P430" s="4"/>
      <c r="Q430" s="4"/>
      <c r="R430" s="4"/>
      <c r="S430" s="4"/>
    </row>
    <row r="431" spans="1:19" ht="15" customHeight="1" x14ac:dyDescent="0.2">
      <c r="A431" s="26"/>
      <c r="B431" s="26"/>
      <c r="C431" s="26"/>
      <c r="D431" s="26"/>
      <c r="E431" s="26"/>
      <c r="F431" s="25"/>
      <c r="G431" s="25"/>
      <c r="H431" s="25"/>
      <c r="I431" s="25"/>
      <c r="J431" s="25"/>
      <c r="K431" s="25"/>
      <c r="L431" s="25"/>
      <c r="M431" s="25"/>
      <c r="N431" s="25"/>
      <c r="O431" s="4"/>
      <c r="P431" s="4"/>
      <c r="Q431" s="4"/>
      <c r="R431" s="4"/>
      <c r="S431" s="4"/>
    </row>
    <row r="432" spans="1:19" ht="15" customHeight="1" x14ac:dyDescent="0.2">
      <c r="A432" s="26"/>
      <c r="B432" s="26"/>
      <c r="C432" s="26"/>
      <c r="D432" s="26"/>
      <c r="E432" s="26"/>
      <c r="F432" s="25"/>
      <c r="G432" s="25"/>
      <c r="H432" s="25"/>
      <c r="I432" s="25"/>
      <c r="J432" s="25"/>
      <c r="K432" s="25"/>
      <c r="L432" s="25"/>
      <c r="M432" s="25"/>
      <c r="N432" s="25"/>
      <c r="O432" s="4"/>
      <c r="P432" s="4"/>
      <c r="Q432" s="4"/>
      <c r="R432" s="4"/>
      <c r="S432" s="4"/>
    </row>
    <row r="433" spans="1:19" ht="15" customHeight="1" x14ac:dyDescent="0.2">
      <c r="A433" s="26"/>
      <c r="B433" s="26"/>
      <c r="C433" s="26"/>
      <c r="D433" s="26"/>
      <c r="E433" s="26"/>
      <c r="F433" s="25"/>
      <c r="G433" s="25"/>
      <c r="H433" s="25"/>
      <c r="I433" s="25"/>
      <c r="J433" s="25"/>
      <c r="K433" s="25"/>
      <c r="L433" s="25"/>
      <c r="M433" s="25"/>
      <c r="N433" s="25"/>
      <c r="O433" s="4"/>
      <c r="P433" s="4"/>
      <c r="Q433" s="4"/>
      <c r="R433" s="4"/>
      <c r="S433" s="4"/>
    </row>
    <row r="434" spans="1:19" ht="15" customHeight="1" x14ac:dyDescent="0.2">
      <c r="A434" s="26"/>
      <c r="B434" s="26"/>
      <c r="C434" s="26"/>
      <c r="D434" s="26"/>
      <c r="E434" s="26"/>
      <c r="F434" s="25"/>
      <c r="G434" s="25"/>
      <c r="H434" s="25"/>
      <c r="I434" s="25"/>
      <c r="J434" s="25"/>
      <c r="K434" s="25"/>
      <c r="L434" s="25"/>
      <c r="M434" s="25"/>
      <c r="N434" s="25"/>
      <c r="O434" s="4"/>
      <c r="P434" s="4"/>
      <c r="Q434" s="4"/>
      <c r="R434" s="4"/>
      <c r="S434" s="4"/>
    </row>
    <row r="435" spans="1:19" ht="15" customHeight="1" x14ac:dyDescent="0.2">
      <c r="A435" s="26"/>
      <c r="B435" s="26"/>
      <c r="C435" s="26"/>
      <c r="D435" s="26"/>
      <c r="E435" s="26"/>
      <c r="F435" s="25"/>
      <c r="G435" s="25"/>
      <c r="H435" s="25"/>
      <c r="I435" s="25"/>
      <c r="J435" s="25"/>
      <c r="K435" s="25"/>
      <c r="L435" s="25"/>
      <c r="M435" s="25"/>
      <c r="N435" s="25"/>
      <c r="O435" s="4"/>
      <c r="P435" s="4"/>
      <c r="Q435" s="4"/>
      <c r="R435" s="4"/>
      <c r="S435" s="4"/>
    </row>
    <row r="436" spans="1:19" ht="15" customHeight="1" x14ac:dyDescent="0.2">
      <c r="A436" s="26"/>
      <c r="B436" s="26"/>
      <c r="C436" s="26"/>
      <c r="D436" s="26"/>
      <c r="E436" s="26"/>
      <c r="F436" s="25"/>
      <c r="G436" s="25"/>
      <c r="H436" s="25"/>
      <c r="I436" s="25"/>
      <c r="J436" s="25"/>
      <c r="K436" s="25"/>
      <c r="L436" s="25"/>
      <c r="M436" s="25"/>
      <c r="N436" s="25"/>
      <c r="O436" s="4"/>
      <c r="P436" s="4"/>
      <c r="Q436" s="4"/>
      <c r="R436" s="4"/>
      <c r="S436" s="4"/>
    </row>
    <row r="437" spans="1:19" ht="15" customHeight="1" x14ac:dyDescent="0.2">
      <c r="A437" s="26"/>
      <c r="B437" s="26"/>
      <c r="C437" s="26"/>
      <c r="D437" s="26"/>
      <c r="E437" s="26"/>
      <c r="F437" s="25"/>
      <c r="G437" s="25"/>
      <c r="H437" s="25"/>
      <c r="I437" s="25"/>
      <c r="J437" s="25"/>
      <c r="K437" s="25"/>
      <c r="L437" s="25"/>
      <c r="M437" s="25"/>
      <c r="N437" s="25"/>
      <c r="O437" s="4"/>
      <c r="P437" s="4"/>
      <c r="Q437" s="4"/>
      <c r="R437" s="4"/>
      <c r="S437" s="4"/>
    </row>
    <row r="438" spans="1:19" ht="15" customHeight="1" x14ac:dyDescent="0.2">
      <c r="A438" s="26"/>
      <c r="B438" s="26"/>
      <c r="C438" s="26"/>
      <c r="D438" s="26"/>
      <c r="E438" s="26"/>
      <c r="F438" s="25"/>
      <c r="G438" s="25"/>
      <c r="H438" s="25"/>
      <c r="I438" s="25"/>
      <c r="J438" s="25"/>
      <c r="K438" s="25"/>
      <c r="L438" s="25"/>
      <c r="M438" s="25"/>
      <c r="N438" s="25"/>
      <c r="O438" s="4"/>
      <c r="P438" s="4"/>
      <c r="Q438" s="4"/>
      <c r="R438" s="4"/>
      <c r="S438" s="4"/>
    </row>
    <row r="439" spans="1:19" ht="15" customHeight="1" x14ac:dyDescent="0.2">
      <c r="A439" s="26"/>
      <c r="B439" s="26"/>
      <c r="C439" s="26"/>
      <c r="D439" s="26"/>
      <c r="E439" s="26"/>
      <c r="F439" s="25"/>
      <c r="G439" s="25"/>
      <c r="H439" s="25"/>
      <c r="I439" s="25"/>
      <c r="J439" s="25"/>
      <c r="K439" s="25"/>
      <c r="L439" s="25"/>
      <c r="M439" s="25"/>
      <c r="N439" s="25"/>
      <c r="O439" s="4"/>
      <c r="P439" s="4"/>
      <c r="Q439" s="4"/>
      <c r="R439" s="4"/>
      <c r="S439" s="4"/>
    </row>
    <row r="440" spans="1:19" ht="15" customHeight="1" x14ac:dyDescent="0.2">
      <c r="A440" s="26"/>
      <c r="B440" s="26"/>
      <c r="C440" s="26"/>
      <c r="D440" s="26"/>
      <c r="E440" s="26"/>
      <c r="F440" s="25"/>
      <c r="G440" s="25"/>
      <c r="H440" s="25"/>
      <c r="I440" s="25"/>
      <c r="J440" s="25"/>
      <c r="K440" s="25"/>
      <c r="L440" s="25"/>
      <c r="M440" s="25"/>
      <c r="N440" s="25"/>
      <c r="O440" s="4"/>
      <c r="P440" s="4"/>
      <c r="Q440" s="4"/>
      <c r="R440" s="4"/>
      <c r="S440" s="4"/>
    </row>
    <row r="441" spans="1:19" ht="15" customHeight="1" x14ac:dyDescent="0.2">
      <c r="A441" s="26"/>
      <c r="B441" s="26"/>
      <c r="C441" s="26"/>
      <c r="D441" s="26"/>
      <c r="E441" s="26"/>
      <c r="F441" s="25"/>
      <c r="G441" s="25"/>
      <c r="H441" s="25"/>
      <c r="I441" s="25"/>
      <c r="J441" s="25"/>
      <c r="K441" s="25"/>
      <c r="L441" s="25"/>
      <c r="M441" s="25"/>
      <c r="N441" s="25"/>
      <c r="O441" s="4"/>
      <c r="P441" s="4"/>
      <c r="Q441" s="4"/>
      <c r="R441" s="4"/>
      <c r="S441" s="4"/>
    </row>
    <row r="442" spans="1:19" ht="15" customHeight="1" x14ac:dyDescent="0.2">
      <c r="A442" s="26"/>
      <c r="B442" s="26"/>
      <c r="C442" s="26"/>
      <c r="D442" s="26"/>
      <c r="E442" s="26"/>
      <c r="F442" s="25"/>
      <c r="G442" s="25"/>
      <c r="H442" s="25"/>
      <c r="I442" s="25"/>
      <c r="J442" s="25"/>
      <c r="K442" s="25"/>
      <c r="L442" s="25"/>
      <c r="M442" s="25"/>
      <c r="N442" s="25"/>
      <c r="O442" s="4"/>
      <c r="P442" s="4"/>
      <c r="Q442" s="4"/>
      <c r="R442" s="4"/>
      <c r="S442" s="4"/>
    </row>
    <row r="443" spans="1:19" ht="15" customHeight="1" x14ac:dyDescent="0.2">
      <c r="A443" s="26"/>
      <c r="B443" s="26"/>
      <c r="C443" s="26"/>
      <c r="D443" s="26"/>
      <c r="E443" s="26"/>
      <c r="F443" s="25"/>
      <c r="G443" s="25"/>
      <c r="H443" s="25"/>
      <c r="I443" s="25"/>
      <c r="J443" s="25"/>
      <c r="K443" s="25"/>
      <c r="L443" s="25"/>
      <c r="M443" s="25"/>
      <c r="N443" s="25"/>
      <c r="O443" s="4"/>
      <c r="P443" s="4"/>
      <c r="Q443" s="4"/>
      <c r="R443" s="4"/>
      <c r="S443" s="4"/>
    </row>
    <row r="444" spans="1:19" ht="15" customHeight="1" x14ac:dyDescent="0.2">
      <c r="A444" s="26"/>
      <c r="B444" s="26"/>
      <c r="C444" s="26"/>
      <c r="D444" s="26"/>
      <c r="E444" s="26"/>
      <c r="F444" s="25"/>
      <c r="G444" s="25"/>
      <c r="H444" s="25"/>
      <c r="I444" s="25"/>
      <c r="J444" s="25"/>
      <c r="K444" s="25"/>
      <c r="L444" s="25"/>
      <c r="M444" s="25"/>
      <c r="N444" s="25"/>
      <c r="O444" s="4"/>
      <c r="P444" s="4"/>
      <c r="Q444" s="4"/>
      <c r="R444" s="4"/>
      <c r="S444" s="4"/>
    </row>
    <row r="445" spans="1:19" ht="15" customHeight="1" x14ac:dyDescent="0.2">
      <c r="A445" s="26"/>
      <c r="B445" s="26"/>
      <c r="C445" s="26"/>
      <c r="D445" s="26"/>
      <c r="E445" s="26"/>
      <c r="F445" s="25"/>
      <c r="G445" s="25"/>
      <c r="H445" s="25"/>
      <c r="I445" s="25"/>
      <c r="J445" s="25"/>
      <c r="K445" s="25"/>
      <c r="L445" s="25"/>
      <c r="M445" s="25"/>
      <c r="N445" s="25"/>
      <c r="O445" s="4"/>
      <c r="P445" s="4"/>
      <c r="Q445" s="4"/>
      <c r="R445" s="4"/>
      <c r="S445" s="4"/>
    </row>
    <row r="446" spans="1:19" ht="15" customHeight="1" x14ac:dyDescent="0.2">
      <c r="A446" s="26"/>
      <c r="B446" s="26"/>
      <c r="C446" s="26"/>
      <c r="D446" s="26"/>
      <c r="E446" s="26"/>
      <c r="F446" s="25"/>
      <c r="G446" s="25"/>
      <c r="H446" s="25"/>
      <c r="I446" s="25"/>
      <c r="J446" s="25"/>
      <c r="K446" s="25"/>
      <c r="L446" s="25"/>
      <c r="M446" s="25"/>
      <c r="N446" s="25"/>
      <c r="O446" s="4"/>
      <c r="P446" s="4"/>
      <c r="Q446" s="4"/>
      <c r="R446" s="4"/>
      <c r="S446" s="4"/>
    </row>
    <row r="447" spans="1:19" ht="15" customHeight="1" x14ac:dyDescent="0.2">
      <c r="A447" s="26"/>
      <c r="B447" s="26"/>
      <c r="C447" s="26"/>
      <c r="D447" s="26"/>
      <c r="E447" s="26"/>
      <c r="F447" s="25"/>
      <c r="G447" s="25"/>
      <c r="H447" s="25"/>
      <c r="I447" s="25"/>
      <c r="J447" s="25"/>
      <c r="K447" s="25"/>
      <c r="L447" s="25"/>
      <c r="M447" s="25"/>
      <c r="N447" s="25"/>
      <c r="O447" s="4"/>
      <c r="P447" s="4"/>
      <c r="Q447" s="4"/>
      <c r="R447" s="4"/>
      <c r="S447" s="4"/>
    </row>
    <row r="448" spans="1:19" ht="15" customHeight="1" x14ac:dyDescent="0.2">
      <c r="A448" s="26"/>
      <c r="B448" s="26"/>
      <c r="C448" s="26"/>
      <c r="D448" s="26"/>
      <c r="E448" s="26"/>
      <c r="F448" s="25"/>
      <c r="G448" s="25"/>
      <c r="H448" s="25"/>
      <c r="I448" s="25"/>
      <c r="J448" s="25"/>
      <c r="K448" s="25"/>
      <c r="L448" s="25"/>
      <c r="M448" s="25"/>
      <c r="N448" s="25"/>
      <c r="O448" s="4"/>
      <c r="P448" s="4"/>
      <c r="Q448" s="4"/>
      <c r="R448" s="4"/>
      <c r="S448" s="4"/>
    </row>
    <row r="449" spans="1:19" ht="15" customHeight="1" x14ac:dyDescent="0.2">
      <c r="A449" s="26"/>
      <c r="B449" s="26"/>
      <c r="C449" s="26"/>
      <c r="D449" s="26"/>
      <c r="E449" s="26"/>
      <c r="F449" s="25"/>
      <c r="G449" s="25"/>
      <c r="H449" s="25"/>
      <c r="I449" s="25"/>
      <c r="J449" s="25"/>
      <c r="K449" s="25"/>
      <c r="L449" s="25"/>
      <c r="M449" s="25"/>
      <c r="N449" s="25"/>
      <c r="O449" s="4"/>
      <c r="P449" s="4"/>
      <c r="Q449" s="4"/>
      <c r="R449" s="4"/>
      <c r="S449" s="4"/>
    </row>
    <row r="450" spans="1:19" ht="15" customHeight="1" x14ac:dyDescent="0.2">
      <c r="A450" s="26"/>
      <c r="B450" s="26"/>
      <c r="C450" s="26"/>
      <c r="D450" s="26"/>
      <c r="E450" s="26"/>
      <c r="F450" s="25"/>
      <c r="G450" s="25"/>
      <c r="H450" s="25"/>
      <c r="I450" s="25"/>
      <c r="J450" s="25"/>
      <c r="K450" s="25"/>
      <c r="L450" s="25"/>
      <c r="M450" s="25"/>
      <c r="N450" s="25"/>
      <c r="O450" s="4"/>
      <c r="P450" s="4"/>
      <c r="Q450" s="4"/>
      <c r="R450" s="4"/>
      <c r="S450" s="4"/>
    </row>
    <row r="451" spans="1:19" ht="15" customHeight="1" x14ac:dyDescent="0.2">
      <c r="A451" s="26"/>
      <c r="B451" s="26"/>
      <c r="C451" s="26"/>
      <c r="D451" s="26"/>
      <c r="E451" s="26"/>
      <c r="F451" s="25"/>
      <c r="G451" s="25"/>
      <c r="H451" s="25"/>
      <c r="I451" s="25"/>
      <c r="J451" s="25"/>
      <c r="K451" s="25"/>
      <c r="L451" s="25"/>
      <c r="M451" s="25"/>
      <c r="N451" s="25"/>
      <c r="O451" s="4"/>
      <c r="P451" s="4"/>
      <c r="Q451" s="4"/>
      <c r="R451" s="4"/>
      <c r="S451" s="4"/>
    </row>
    <row r="452" spans="1:19" ht="15" customHeight="1" x14ac:dyDescent="0.2">
      <c r="A452" s="26"/>
      <c r="B452" s="26"/>
      <c r="C452" s="26"/>
      <c r="D452" s="26"/>
      <c r="E452" s="26"/>
      <c r="F452" s="25"/>
      <c r="G452" s="25"/>
      <c r="H452" s="25"/>
      <c r="I452" s="25"/>
      <c r="J452" s="25"/>
      <c r="K452" s="25"/>
      <c r="L452" s="25"/>
      <c r="M452" s="25"/>
      <c r="N452" s="25"/>
      <c r="O452" s="4"/>
      <c r="P452" s="4"/>
      <c r="Q452" s="4"/>
      <c r="R452" s="4"/>
      <c r="S452" s="4"/>
    </row>
    <row r="453" spans="1:19" ht="15" customHeight="1" x14ac:dyDescent="0.2">
      <c r="A453" s="26"/>
      <c r="B453" s="26"/>
      <c r="C453" s="26"/>
      <c r="D453" s="26"/>
      <c r="E453" s="26"/>
      <c r="F453" s="25"/>
      <c r="G453" s="25"/>
      <c r="H453" s="25"/>
      <c r="I453" s="25"/>
      <c r="J453" s="25"/>
      <c r="K453" s="25"/>
      <c r="L453" s="25"/>
      <c r="M453" s="25"/>
      <c r="N453" s="25"/>
      <c r="O453" s="4"/>
      <c r="P453" s="4"/>
      <c r="Q453" s="4"/>
      <c r="R453" s="4"/>
      <c r="S453" s="4"/>
    </row>
    <row r="454" spans="1:19" ht="15" customHeight="1" x14ac:dyDescent="0.2">
      <c r="A454" s="26"/>
      <c r="B454" s="26"/>
      <c r="C454" s="26"/>
      <c r="D454" s="26"/>
      <c r="E454" s="26"/>
      <c r="F454" s="25"/>
      <c r="G454" s="25"/>
      <c r="H454" s="25"/>
      <c r="I454" s="25"/>
      <c r="J454" s="25"/>
      <c r="K454" s="25"/>
      <c r="L454" s="25"/>
      <c r="M454" s="25"/>
      <c r="N454" s="25"/>
      <c r="O454" s="4"/>
      <c r="P454" s="4"/>
      <c r="Q454" s="4"/>
      <c r="R454" s="4"/>
      <c r="S454" s="4"/>
    </row>
    <row r="455" spans="1:19" ht="15" customHeight="1" x14ac:dyDescent="0.2">
      <c r="A455" s="26"/>
      <c r="B455" s="26"/>
      <c r="C455" s="26"/>
      <c r="D455" s="26"/>
      <c r="E455" s="26"/>
      <c r="F455" s="25"/>
      <c r="G455" s="25"/>
      <c r="H455" s="25"/>
      <c r="I455" s="25"/>
      <c r="J455" s="25"/>
      <c r="K455" s="25"/>
      <c r="L455" s="25"/>
      <c r="M455" s="25"/>
      <c r="N455" s="25"/>
      <c r="O455" s="4"/>
      <c r="P455" s="4"/>
      <c r="Q455" s="4"/>
      <c r="R455" s="4"/>
      <c r="S455" s="4"/>
    </row>
    <row r="456" spans="1:19" ht="15" customHeight="1" x14ac:dyDescent="0.2">
      <c r="A456" s="26"/>
      <c r="B456" s="26"/>
      <c r="C456" s="26"/>
      <c r="D456" s="26"/>
      <c r="E456" s="26"/>
      <c r="F456" s="25"/>
      <c r="G456" s="25"/>
      <c r="H456" s="25"/>
      <c r="I456" s="25"/>
      <c r="J456" s="25"/>
      <c r="K456" s="25"/>
      <c r="L456" s="25"/>
      <c r="M456" s="25"/>
      <c r="N456" s="25"/>
      <c r="O456" s="4"/>
      <c r="P456" s="4"/>
      <c r="Q456" s="4"/>
      <c r="R456" s="4"/>
      <c r="S456" s="4"/>
    </row>
    <row r="457" spans="1:19" ht="15" customHeight="1" x14ac:dyDescent="0.2">
      <c r="A457" s="26"/>
      <c r="B457" s="26"/>
      <c r="C457" s="26"/>
      <c r="D457" s="26"/>
      <c r="E457" s="26"/>
      <c r="F457" s="25"/>
      <c r="G457" s="25"/>
      <c r="H457" s="25"/>
      <c r="I457" s="25"/>
      <c r="J457" s="25"/>
      <c r="K457" s="25"/>
      <c r="L457" s="25"/>
      <c r="M457" s="25"/>
      <c r="N457" s="25"/>
      <c r="O457" s="4"/>
      <c r="P457" s="4"/>
      <c r="Q457" s="4"/>
      <c r="R457" s="4"/>
      <c r="S457" s="4"/>
    </row>
    <row r="458" spans="1:19" ht="15" customHeight="1" x14ac:dyDescent="0.2">
      <c r="A458" s="26"/>
      <c r="B458" s="26"/>
      <c r="C458" s="26"/>
      <c r="D458" s="26"/>
      <c r="E458" s="26"/>
      <c r="F458" s="25"/>
      <c r="G458" s="25"/>
      <c r="H458" s="25"/>
      <c r="I458" s="25"/>
      <c r="J458" s="25"/>
      <c r="K458" s="25"/>
      <c r="L458" s="25"/>
      <c r="M458" s="25"/>
      <c r="N458" s="25"/>
      <c r="O458" s="4"/>
      <c r="P458" s="4"/>
      <c r="Q458" s="4"/>
      <c r="R458" s="4"/>
      <c r="S458" s="4"/>
    </row>
    <row r="459" spans="1:19" ht="15" customHeight="1" x14ac:dyDescent="0.2">
      <c r="A459" s="26"/>
      <c r="B459" s="26"/>
      <c r="C459" s="26"/>
      <c r="D459" s="26"/>
      <c r="E459" s="26"/>
      <c r="F459" s="25"/>
      <c r="G459" s="25"/>
      <c r="H459" s="25"/>
      <c r="I459" s="25"/>
      <c r="J459" s="25"/>
      <c r="K459" s="25"/>
      <c r="L459" s="25"/>
      <c r="M459" s="25"/>
      <c r="N459" s="25"/>
      <c r="O459" s="4"/>
      <c r="P459" s="4"/>
      <c r="Q459" s="4"/>
      <c r="R459" s="4"/>
      <c r="S459" s="4"/>
    </row>
    <row r="460" spans="1:19" ht="15" customHeight="1" x14ac:dyDescent="0.2">
      <c r="A460" s="26"/>
      <c r="B460" s="26"/>
      <c r="C460" s="26"/>
      <c r="D460" s="26"/>
      <c r="E460" s="26"/>
      <c r="F460" s="25"/>
      <c r="G460" s="25"/>
      <c r="H460" s="25"/>
      <c r="I460" s="25"/>
      <c r="J460" s="25"/>
      <c r="K460" s="25"/>
      <c r="L460" s="25"/>
      <c r="M460" s="25"/>
      <c r="N460" s="25"/>
      <c r="O460" s="4"/>
      <c r="P460" s="4"/>
      <c r="Q460" s="4"/>
      <c r="R460" s="4"/>
      <c r="S460" s="4"/>
    </row>
    <row r="461" spans="1:19" ht="15" customHeight="1" x14ac:dyDescent="0.2">
      <c r="A461" s="26"/>
      <c r="B461" s="26"/>
      <c r="C461" s="26"/>
      <c r="D461" s="26"/>
      <c r="E461" s="26"/>
      <c r="F461" s="25"/>
      <c r="G461" s="25"/>
      <c r="H461" s="25"/>
      <c r="I461" s="25"/>
      <c r="J461" s="25"/>
      <c r="K461" s="25"/>
      <c r="L461" s="25"/>
      <c r="M461" s="25"/>
      <c r="N461" s="25"/>
      <c r="O461" s="4"/>
      <c r="P461" s="4"/>
      <c r="Q461" s="4"/>
      <c r="R461" s="4"/>
      <c r="S461" s="4"/>
    </row>
    <row r="462" spans="1:19" ht="15" customHeight="1" x14ac:dyDescent="0.2">
      <c r="A462" s="26"/>
      <c r="B462" s="26"/>
      <c r="C462" s="26"/>
      <c r="D462" s="26"/>
      <c r="E462" s="26"/>
      <c r="F462" s="25"/>
      <c r="G462" s="25"/>
      <c r="H462" s="25"/>
      <c r="I462" s="25"/>
      <c r="J462" s="25"/>
      <c r="K462" s="25"/>
      <c r="L462" s="25"/>
      <c r="M462" s="25"/>
      <c r="N462" s="25"/>
      <c r="O462" s="4"/>
      <c r="P462" s="4"/>
      <c r="Q462" s="4"/>
      <c r="R462" s="4"/>
      <c r="S462" s="4"/>
    </row>
    <row r="463" spans="1:19" ht="15" customHeight="1" x14ac:dyDescent="0.2">
      <c r="A463" s="26"/>
      <c r="B463" s="26"/>
      <c r="C463" s="26"/>
      <c r="D463" s="26"/>
      <c r="E463" s="26"/>
      <c r="F463" s="25"/>
      <c r="G463" s="25"/>
      <c r="H463" s="25"/>
      <c r="I463" s="25"/>
      <c r="J463" s="25"/>
      <c r="K463" s="25"/>
      <c r="L463" s="25"/>
      <c r="M463" s="25"/>
      <c r="N463" s="25"/>
      <c r="O463" s="4"/>
      <c r="P463" s="4"/>
      <c r="Q463" s="4"/>
      <c r="R463" s="4"/>
      <c r="S463" s="4"/>
    </row>
    <row r="464" spans="1:19" ht="15" customHeight="1" x14ac:dyDescent="0.2">
      <c r="A464" s="26"/>
      <c r="B464" s="26"/>
      <c r="C464" s="26"/>
      <c r="D464" s="26"/>
      <c r="E464" s="26"/>
      <c r="F464" s="25"/>
      <c r="G464" s="25"/>
      <c r="H464" s="25"/>
      <c r="I464" s="25"/>
      <c r="J464" s="25"/>
      <c r="K464" s="25"/>
      <c r="L464" s="25"/>
      <c r="M464" s="25"/>
      <c r="N464" s="25"/>
      <c r="O464" s="4"/>
      <c r="P464" s="4"/>
      <c r="Q464" s="4"/>
      <c r="R464" s="4"/>
      <c r="S464" s="4"/>
    </row>
    <row r="465" spans="1:19" ht="15" customHeight="1" x14ac:dyDescent="0.2">
      <c r="A465" s="26"/>
      <c r="B465" s="26"/>
      <c r="C465" s="26"/>
      <c r="D465" s="26"/>
      <c r="E465" s="26"/>
      <c r="F465" s="25"/>
      <c r="G465" s="25"/>
      <c r="H465" s="25"/>
      <c r="I465" s="25"/>
      <c r="J465" s="25"/>
      <c r="K465" s="25"/>
      <c r="L465" s="25"/>
      <c r="M465" s="25"/>
      <c r="N465" s="25"/>
      <c r="O465" s="4"/>
      <c r="P465" s="4"/>
      <c r="Q465" s="4"/>
      <c r="R465" s="4"/>
      <c r="S465" s="4"/>
    </row>
    <row r="466" spans="1:19" ht="15" customHeight="1" x14ac:dyDescent="0.2">
      <c r="A466" s="26"/>
      <c r="B466" s="26"/>
      <c r="C466" s="26"/>
      <c r="D466" s="26"/>
      <c r="E466" s="26"/>
      <c r="F466" s="25"/>
      <c r="G466" s="25"/>
      <c r="H466" s="25"/>
      <c r="I466" s="25"/>
      <c r="J466" s="25"/>
      <c r="K466" s="25"/>
      <c r="L466" s="25"/>
      <c r="M466" s="25"/>
      <c r="N466" s="25"/>
      <c r="O466" s="4"/>
      <c r="P466" s="4"/>
      <c r="Q466" s="4"/>
      <c r="R466" s="4"/>
      <c r="S466" s="4"/>
    </row>
    <row r="467" spans="1:19" ht="15" customHeight="1" x14ac:dyDescent="0.2">
      <c r="A467" s="26"/>
      <c r="B467" s="26"/>
      <c r="C467" s="26"/>
      <c r="D467" s="26"/>
      <c r="E467" s="26"/>
      <c r="F467" s="25"/>
      <c r="G467" s="25"/>
      <c r="H467" s="25"/>
      <c r="I467" s="25"/>
      <c r="J467" s="25"/>
      <c r="K467" s="25"/>
      <c r="L467" s="25"/>
      <c r="M467" s="25"/>
      <c r="N467" s="25"/>
      <c r="O467" s="4"/>
      <c r="P467" s="4"/>
      <c r="Q467" s="4"/>
      <c r="R467" s="4"/>
      <c r="S467" s="4"/>
    </row>
    <row r="468" spans="1:19" ht="15" customHeight="1" x14ac:dyDescent="0.2">
      <c r="A468" s="26"/>
      <c r="B468" s="26"/>
      <c r="C468" s="26"/>
      <c r="D468" s="26"/>
      <c r="E468" s="26"/>
      <c r="F468" s="25"/>
      <c r="G468" s="25"/>
      <c r="H468" s="25"/>
      <c r="I468" s="25"/>
      <c r="J468" s="25"/>
      <c r="K468" s="25"/>
      <c r="L468" s="25"/>
      <c r="M468" s="25"/>
      <c r="N468" s="25"/>
      <c r="O468" s="4"/>
      <c r="P468" s="4"/>
      <c r="Q468" s="4"/>
      <c r="R468" s="4"/>
      <c r="S468" s="4"/>
    </row>
    <row r="469" spans="1:19" ht="15" customHeight="1" x14ac:dyDescent="0.2">
      <c r="A469" s="26"/>
      <c r="B469" s="26"/>
      <c r="C469" s="26"/>
      <c r="D469" s="26"/>
      <c r="E469" s="26"/>
      <c r="F469" s="25"/>
      <c r="G469" s="25"/>
      <c r="H469" s="25"/>
      <c r="I469" s="25"/>
      <c r="J469" s="25"/>
      <c r="K469" s="25"/>
      <c r="L469" s="25"/>
      <c r="M469" s="25"/>
      <c r="N469" s="25"/>
      <c r="O469" s="4"/>
      <c r="P469" s="4"/>
      <c r="Q469" s="4"/>
      <c r="R469" s="4"/>
      <c r="S469" s="4"/>
    </row>
    <row r="470" spans="1:19" ht="15" customHeight="1" x14ac:dyDescent="0.2">
      <c r="A470" s="26"/>
      <c r="B470" s="26"/>
      <c r="C470" s="26"/>
      <c r="D470" s="26"/>
      <c r="E470" s="26"/>
      <c r="F470" s="25"/>
      <c r="G470" s="25"/>
      <c r="H470" s="25"/>
      <c r="I470" s="25"/>
      <c r="J470" s="25"/>
      <c r="K470" s="25"/>
      <c r="L470" s="25"/>
      <c r="M470" s="25"/>
      <c r="N470" s="25"/>
      <c r="O470" s="4"/>
      <c r="P470" s="4"/>
      <c r="Q470" s="4"/>
      <c r="R470" s="4"/>
      <c r="S470" s="4"/>
    </row>
    <row r="471" spans="1:19" ht="15" customHeight="1" x14ac:dyDescent="0.2">
      <c r="A471" s="26"/>
      <c r="B471" s="26"/>
      <c r="C471" s="26"/>
      <c r="D471" s="26"/>
      <c r="E471" s="26"/>
      <c r="F471" s="25"/>
      <c r="G471" s="25"/>
      <c r="H471" s="25"/>
      <c r="I471" s="25"/>
      <c r="J471" s="25"/>
      <c r="K471" s="25"/>
      <c r="L471" s="25"/>
      <c r="M471" s="25"/>
      <c r="N471" s="25"/>
      <c r="O471" s="4"/>
      <c r="P471" s="4"/>
      <c r="Q471" s="4"/>
      <c r="R471" s="4"/>
      <c r="S471" s="4"/>
    </row>
    <row r="472" spans="1:19" ht="15" customHeight="1" x14ac:dyDescent="0.2">
      <c r="A472" s="26"/>
      <c r="B472" s="26"/>
      <c r="C472" s="26"/>
      <c r="D472" s="26"/>
      <c r="E472" s="26"/>
      <c r="F472" s="25"/>
      <c r="G472" s="25"/>
      <c r="H472" s="25"/>
      <c r="I472" s="25"/>
      <c r="J472" s="25"/>
      <c r="K472" s="25"/>
      <c r="L472" s="25"/>
      <c r="M472" s="25"/>
      <c r="N472" s="25"/>
      <c r="O472" s="4"/>
      <c r="P472" s="4"/>
      <c r="Q472" s="4"/>
      <c r="R472" s="4"/>
      <c r="S472" s="4"/>
    </row>
    <row r="473" spans="1:19" ht="15" customHeight="1" x14ac:dyDescent="0.2">
      <c r="A473" s="26"/>
      <c r="B473" s="26"/>
      <c r="C473" s="26"/>
      <c r="D473" s="26"/>
      <c r="E473" s="26"/>
      <c r="F473" s="25"/>
      <c r="G473" s="25"/>
      <c r="H473" s="25"/>
      <c r="I473" s="25"/>
      <c r="J473" s="25"/>
      <c r="K473" s="25"/>
      <c r="L473" s="25"/>
      <c r="M473" s="25"/>
      <c r="N473" s="25"/>
      <c r="O473" s="4"/>
      <c r="P473" s="4"/>
      <c r="Q473" s="4"/>
      <c r="R473" s="4"/>
      <c r="S473" s="4"/>
    </row>
    <row r="474" spans="1:19" ht="15" customHeight="1" x14ac:dyDescent="0.2">
      <c r="A474" s="26"/>
      <c r="B474" s="26"/>
      <c r="C474" s="26"/>
      <c r="D474" s="26"/>
      <c r="E474" s="26"/>
      <c r="F474" s="25"/>
      <c r="G474" s="25"/>
      <c r="H474" s="25"/>
      <c r="I474" s="25"/>
      <c r="J474" s="25"/>
      <c r="K474" s="25"/>
      <c r="L474" s="25"/>
      <c r="M474" s="25"/>
      <c r="N474" s="25"/>
      <c r="O474" s="4"/>
      <c r="P474" s="4"/>
      <c r="Q474" s="4"/>
      <c r="R474" s="4"/>
      <c r="S474" s="4"/>
    </row>
    <row r="475" spans="1:19" ht="15" customHeight="1" x14ac:dyDescent="0.2">
      <c r="A475" s="26"/>
      <c r="B475" s="26"/>
      <c r="C475" s="26"/>
      <c r="D475" s="26"/>
      <c r="E475" s="26"/>
      <c r="F475" s="25"/>
      <c r="G475" s="25"/>
      <c r="H475" s="25"/>
      <c r="I475" s="25"/>
      <c r="J475" s="25"/>
      <c r="K475" s="25"/>
      <c r="L475" s="25"/>
      <c r="M475" s="25"/>
      <c r="N475" s="25"/>
      <c r="O475" s="4"/>
      <c r="P475" s="4"/>
      <c r="Q475" s="4"/>
      <c r="R475" s="4"/>
      <c r="S475" s="4"/>
    </row>
    <row r="476" spans="1:19" ht="15" customHeight="1" x14ac:dyDescent="0.2">
      <c r="A476" s="26"/>
      <c r="B476" s="26"/>
      <c r="C476" s="26"/>
      <c r="D476" s="26"/>
      <c r="E476" s="26"/>
      <c r="F476" s="25"/>
      <c r="G476" s="25"/>
      <c r="H476" s="25"/>
      <c r="I476" s="25"/>
      <c r="J476" s="25"/>
      <c r="K476" s="25"/>
      <c r="L476" s="25"/>
      <c r="M476" s="25"/>
      <c r="N476" s="25"/>
      <c r="O476" s="4"/>
      <c r="P476" s="4"/>
      <c r="Q476" s="4"/>
      <c r="R476" s="4"/>
      <c r="S476" s="4"/>
    </row>
    <row r="477" spans="1:19" ht="15" customHeight="1" x14ac:dyDescent="0.2">
      <c r="A477" s="26"/>
      <c r="B477" s="26"/>
      <c r="C477" s="26"/>
      <c r="D477" s="26"/>
      <c r="E477" s="26"/>
      <c r="F477" s="25"/>
      <c r="G477" s="25"/>
      <c r="H477" s="25"/>
      <c r="I477" s="25"/>
      <c r="J477" s="25"/>
      <c r="K477" s="25"/>
      <c r="L477" s="25"/>
      <c r="M477" s="25"/>
      <c r="N477" s="25"/>
      <c r="O477" s="4"/>
      <c r="P477" s="4"/>
      <c r="Q477" s="4"/>
      <c r="R477" s="4"/>
      <c r="S477" s="4"/>
    </row>
    <row r="478" spans="1:19" ht="15" customHeight="1" x14ac:dyDescent="0.2">
      <c r="A478" s="26"/>
      <c r="B478" s="26"/>
      <c r="C478" s="26"/>
      <c r="D478" s="26"/>
      <c r="E478" s="26"/>
      <c r="F478" s="25"/>
      <c r="G478" s="25"/>
      <c r="H478" s="25"/>
      <c r="I478" s="25"/>
      <c r="J478" s="25"/>
      <c r="K478" s="25"/>
      <c r="L478" s="25"/>
      <c r="M478" s="25"/>
      <c r="N478" s="25"/>
      <c r="O478" s="4"/>
      <c r="P478" s="4"/>
      <c r="Q478" s="4"/>
      <c r="R478" s="4"/>
      <c r="S478" s="4"/>
    </row>
    <row r="479" spans="1:19" ht="15" customHeight="1" x14ac:dyDescent="0.2">
      <c r="A479" s="26"/>
      <c r="B479" s="26"/>
      <c r="C479" s="26"/>
      <c r="D479" s="26"/>
      <c r="E479" s="26"/>
      <c r="F479" s="25"/>
      <c r="G479" s="25"/>
      <c r="H479" s="25"/>
      <c r="I479" s="25"/>
      <c r="J479" s="25"/>
      <c r="K479" s="25"/>
      <c r="L479" s="25"/>
      <c r="M479" s="25"/>
      <c r="N479" s="25"/>
      <c r="O479" s="4"/>
      <c r="P479" s="4"/>
      <c r="Q479" s="4"/>
      <c r="R479" s="4"/>
      <c r="S479" s="4"/>
    </row>
    <row r="480" spans="1:19" ht="15" customHeight="1" x14ac:dyDescent="0.2">
      <c r="A480" s="26"/>
      <c r="B480" s="26"/>
      <c r="C480" s="26"/>
      <c r="D480" s="26"/>
      <c r="E480" s="26"/>
      <c r="F480" s="25"/>
      <c r="G480" s="25"/>
      <c r="H480" s="25"/>
      <c r="I480" s="25"/>
      <c r="J480" s="25"/>
      <c r="K480" s="25"/>
      <c r="L480" s="25"/>
      <c r="M480" s="25"/>
      <c r="N480" s="25"/>
      <c r="O480" s="4"/>
      <c r="P480" s="4"/>
      <c r="Q480" s="4"/>
      <c r="R480" s="4"/>
      <c r="S480" s="4"/>
    </row>
    <row r="481" spans="1:19" ht="15" customHeight="1" x14ac:dyDescent="0.2">
      <c r="A481" s="26"/>
      <c r="B481" s="26"/>
      <c r="C481" s="26"/>
      <c r="D481" s="26"/>
      <c r="E481" s="26"/>
      <c r="F481" s="25"/>
      <c r="G481" s="25"/>
      <c r="H481" s="25"/>
      <c r="I481" s="25"/>
      <c r="J481" s="25"/>
      <c r="K481" s="25"/>
      <c r="L481" s="25"/>
      <c r="M481" s="25"/>
      <c r="N481" s="25"/>
      <c r="O481" s="4"/>
      <c r="P481" s="4"/>
      <c r="Q481" s="4"/>
      <c r="R481" s="4"/>
      <c r="S481" s="4"/>
    </row>
    <row r="482" spans="1:19" ht="15" customHeight="1" x14ac:dyDescent="0.2">
      <c r="A482" s="26"/>
      <c r="B482" s="26"/>
      <c r="C482" s="26"/>
      <c r="D482" s="26"/>
      <c r="E482" s="26"/>
      <c r="F482" s="25"/>
      <c r="G482" s="25"/>
      <c r="H482" s="25"/>
      <c r="I482" s="25"/>
      <c r="J482" s="25"/>
      <c r="K482" s="25"/>
      <c r="L482" s="25"/>
      <c r="M482" s="25"/>
      <c r="N482" s="25"/>
      <c r="O482" s="4"/>
      <c r="P482" s="4"/>
      <c r="Q482" s="4"/>
      <c r="R482" s="4"/>
      <c r="S482" s="4"/>
    </row>
    <row r="483" spans="1:19" ht="15" customHeight="1" x14ac:dyDescent="0.2">
      <c r="A483" s="26"/>
      <c r="B483" s="26"/>
      <c r="C483" s="26"/>
      <c r="D483" s="26"/>
      <c r="E483" s="26"/>
      <c r="F483" s="25"/>
      <c r="G483" s="25"/>
      <c r="H483" s="25"/>
      <c r="I483" s="25"/>
      <c r="J483" s="25"/>
      <c r="K483" s="25"/>
      <c r="L483" s="25"/>
      <c r="M483" s="25"/>
      <c r="N483" s="25"/>
      <c r="O483" s="4"/>
      <c r="P483" s="4"/>
      <c r="Q483" s="4"/>
      <c r="R483" s="4"/>
      <c r="S483" s="4"/>
    </row>
    <row r="484" spans="1:19" ht="15" customHeight="1" x14ac:dyDescent="0.2">
      <c r="A484" s="26"/>
      <c r="B484" s="26"/>
      <c r="C484" s="26"/>
      <c r="D484" s="26"/>
      <c r="E484" s="26"/>
      <c r="F484" s="25"/>
      <c r="G484" s="25"/>
      <c r="H484" s="25"/>
      <c r="I484" s="25"/>
      <c r="J484" s="25"/>
      <c r="K484" s="25"/>
      <c r="L484" s="25"/>
      <c r="M484" s="25"/>
      <c r="N484" s="25"/>
      <c r="O484" s="4"/>
      <c r="P484" s="4"/>
      <c r="Q484" s="4"/>
      <c r="R484" s="4"/>
      <c r="S484" s="4"/>
    </row>
    <row r="485" spans="1:19" ht="15" customHeight="1" x14ac:dyDescent="0.2">
      <c r="A485" s="26"/>
      <c r="B485" s="26"/>
      <c r="C485" s="26"/>
      <c r="D485" s="26"/>
      <c r="E485" s="26"/>
      <c r="F485" s="25"/>
      <c r="G485" s="25"/>
      <c r="H485" s="25"/>
      <c r="I485" s="25"/>
      <c r="J485" s="25"/>
      <c r="K485" s="25"/>
      <c r="L485" s="25"/>
      <c r="M485" s="25"/>
      <c r="N485" s="25"/>
      <c r="O485" s="4"/>
      <c r="P485" s="4"/>
      <c r="Q485" s="4"/>
      <c r="R485" s="4"/>
      <c r="S485" s="4"/>
    </row>
    <row r="486" spans="1:19" ht="15" customHeight="1" x14ac:dyDescent="0.2">
      <c r="A486" s="26"/>
      <c r="B486" s="26"/>
      <c r="C486" s="26"/>
      <c r="D486" s="26"/>
      <c r="E486" s="26"/>
      <c r="F486" s="25"/>
      <c r="G486" s="25"/>
      <c r="H486" s="25"/>
      <c r="I486" s="25"/>
      <c r="J486" s="25"/>
      <c r="K486" s="25"/>
      <c r="L486" s="25"/>
      <c r="M486" s="25"/>
      <c r="N486" s="25"/>
      <c r="O486" s="4"/>
      <c r="P486" s="4"/>
      <c r="Q486" s="4"/>
      <c r="R486" s="4"/>
      <c r="S486" s="4"/>
    </row>
    <row r="487" spans="1:19" ht="15" customHeight="1" x14ac:dyDescent="0.2">
      <c r="A487" s="26"/>
      <c r="B487" s="26"/>
      <c r="C487" s="26"/>
      <c r="D487" s="26"/>
      <c r="E487" s="26"/>
      <c r="F487" s="25"/>
      <c r="G487" s="25"/>
      <c r="H487" s="25"/>
      <c r="I487" s="25"/>
      <c r="J487" s="25"/>
      <c r="K487" s="25"/>
      <c r="L487" s="25"/>
      <c r="M487" s="25"/>
      <c r="N487" s="25"/>
      <c r="O487" s="4"/>
      <c r="P487" s="4"/>
      <c r="Q487" s="4"/>
      <c r="R487" s="4"/>
      <c r="S487" s="4"/>
    </row>
    <row r="488" spans="1:19" ht="15" customHeight="1" x14ac:dyDescent="0.2">
      <c r="A488" s="26"/>
      <c r="B488" s="26"/>
      <c r="C488" s="26"/>
      <c r="D488" s="26"/>
      <c r="E488" s="26"/>
      <c r="F488" s="25"/>
      <c r="G488" s="25"/>
      <c r="H488" s="25"/>
      <c r="I488" s="25"/>
      <c r="J488" s="25"/>
      <c r="K488" s="25"/>
      <c r="L488" s="25"/>
      <c r="M488" s="25"/>
      <c r="N488" s="25"/>
      <c r="O488" s="4"/>
      <c r="P488" s="4"/>
      <c r="Q488" s="4"/>
      <c r="R488" s="4"/>
      <c r="S488" s="4"/>
    </row>
    <row r="489" spans="1:19" ht="15" customHeight="1" x14ac:dyDescent="0.2">
      <c r="A489" s="26"/>
      <c r="B489" s="26"/>
      <c r="C489" s="26"/>
      <c r="D489" s="26"/>
      <c r="E489" s="26"/>
      <c r="F489" s="25"/>
      <c r="G489" s="25"/>
      <c r="H489" s="25"/>
      <c r="I489" s="25"/>
      <c r="J489" s="25"/>
      <c r="K489" s="25"/>
      <c r="L489" s="25"/>
      <c r="M489" s="25"/>
      <c r="N489" s="25"/>
      <c r="O489" s="4"/>
      <c r="P489" s="4"/>
      <c r="Q489" s="4"/>
      <c r="R489" s="4"/>
      <c r="S489" s="4"/>
    </row>
    <row r="490" spans="1:19" ht="15" customHeight="1" x14ac:dyDescent="0.2">
      <c r="A490" s="26"/>
      <c r="B490" s="26"/>
      <c r="C490" s="26"/>
      <c r="D490" s="26"/>
      <c r="E490" s="26"/>
      <c r="F490" s="25"/>
      <c r="G490" s="25"/>
      <c r="H490" s="25"/>
      <c r="I490" s="25"/>
      <c r="J490" s="25"/>
      <c r="K490" s="25"/>
      <c r="L490" s="25"/>
      <c r="M490" s="25"/>
      <c r="N490" s="25"/>
      <c r="O490" s="4"/>
      <c r="P490" s="4"/>
      <c r="Q490" s="4"/>
      <c r="R490" s="4"/>
      <c r="S490" s="4"/>
    </row>
    <row r="491" spans="1:19" ht="15" customHeight="1" x14ac:dyDescent="0.2">
      <c r="A491" s="26"/>
      <c r="B491" s="26"/>
      <c r="C491" s="26"/>
      <c r="D491" s="26"/>
      <c r="E491" s="26"/>
      <c r="F491" s="25"/>
      <c r="G491" s="25"/>
      <c r="H491" s="25"/>
      <c r="I491" s="25"/>
      <c r="J491" s="25"/>
      <c r="K491" s="25"/>
      <c r="L491" s="25"/>
      <c r="M491" s="25"/>
      <c r="N491" s="25"/>
      <c r="O491" s="4"/>
      <c r="P491" s="4"/>
      <c r="Q491" s="4"/>
      <c r="R491" s="4"/>
      <c r="S491" s="4"/>
    </row>
    <row r="492" spans="1:19" ht="15" customHeight="1" x14ac:dyDescent="0.2">
      <c r="A492" s="26"/>
      <c r="B492" s="26"/>
      <c r="C492" s="26"/>
      <c r="D492" s="26"/>
      <c r="E492" s="26"/>
      <c r="F492" s="25"/>
      <c r="G492" s="25"/>
      <c r="H492" s="25"/>
      <c r="I492" s="25"/>
      <c r="J492" s="25"/>
      <c r="K492" s="25"/>
      <c r="L492" s="25"/>
      <c r="M492" s="25"/>
      <c r="N492" s="25"/>
      <c r="O492" s="4"/>
      <c r="P492" s="4"/>
      <c r="Q492" s="4"/>
      <c r="R492" s="4"/>
      <c r="S492" s="4"/>
    </row>
    <row r="493" spans="1:19" ht="15" customHeight="1" x14ac:dyDescent="0.2">
      <c r="A493" s="26"/>
      <c r="B493" s="26"/>
      <c r="C493" s="26"/>
      <c r="D493" s="26"/>
      <c r="E493" s="26"/>
      <c r="F493" s="25"/>
      <c r="G493" s="25"/>
      <c r="H493" s="25"/>
      <c r="I493" s="25"/>
      <c r="J493" s="25"/>
      <c r="K493" s="25"/>
      <c r="L493" s="25"/>
      <c r="M493" s="25"/>
      <c r="N493" s="25"/>
      <c r="O493" s="4"/>
      <c r="P493" s="4"/>
      <c r="Q493" s="4"/>
      <c r="R493" s="4"/>
      <c r="S493" s="4"/>
    </row>
    <row r="494" spans="1:19" ht="15" customHeight="1" x14ac:dyDescent="0.2">
      <c r="A494" s="26"/>
      <c r="B494" s="26"/>
      <c r="C494" s="26"/>
      <c r="D494" s="26"/>
      <c r="E494" s="26"/>
      <c r="F494" s="25"/>
      <c r="G494" s="25"/>
      <c r="H494" s="25"/>
      <c r="I494" s="25"/>
      <c r="J494" s="25"/>
      <c r="K494" s="25"/>
      <c r="L494" s="25"/>
      <c r="M494" s="25"/>
      <c r="N494" s="25"/>
      <c r="O494" s="4"/>
      <c r="P494" s="4"/>
      <c r="Q494" s="4"/>
      <c r="R494" s="4"/>
      <c r="S494" s="4"/>
    </row>
    <row r="495" spans="1:19" ht="15" customHeight="1" x14ac:dyDescent="0.2">
      <c r="A495" s="26"/>
      <c r="B495" s="26"/>
      <c r="C495" s="26"/>
      <c r="D495" s="26"/>
      <c r="E495" s="26"/>
      <c r="F495" s="25"/>
      <c r="G495" s="25"/>
      <c r="H495" s="25"/>
      <c r="I495" s="25"/>
      <c r="J495" s="25"/>
      <c r="K495" s="25"/>
      <c r="L495" s="25"/>
      <c r="M495" s="25"/>
      <c r="N495" s="25"/>
      <c r="O495" s="4"/>
      <c r="P495" s="4"/>
      <c r="Q495" s="4"/>
      <c r="R495" s="4"/>
      <c r="S495" s="4"/>
    </row>
    <row r="496" spans="1:19" ht="15" customHeight="1" x14ac:dyDescent="0.2">
      <c r="A496" s="26"/>
      <c r="B496" s="26"/>
      <c r="C496" s="26"/>
      <c r="D496" s="26"/>
      <c r="E496" s="26"/>
      <c r="F496" s="25"/>
      <c r="G496" s="25"/>
      <c r="H496" s="25"/>
      <c r="I496" s="25"/>
      <c r="J496" s="25"/>
      <c r="K496" s="25"/>
      <c r="L496" s="25"/>
      <c r="M496" s="25"/>
      <c r="N496" s="25"/>
      <c r="O496" s="4"/>
      <c r="P496" s="4"/>
      <c r="Q496" s="4"/>
      <c r="R496" s="4"/>
      <c r="S496" s="4"/>
    </row>
    <row r="497" spans="1:19" ht="15" customHeight="1" x14ac:dyDescent="0.2">
      <c r="A497" s="26"/>
      <c r="B497" s="26"/>
      <c r="C497" s="26"/>
      <c r="D497" s="26"/>
      <c r="E497" s="26"/>
      <c r="F497" s="25"/>
      <c r="G497" s="25"/>
      <c r="H497" s="25"/>
      <c r="I497" s="25"/>
      <c r="J497" s="25"/>
      <c r="K497" s="25"/>
      <c r="L497" s="25"/>
      <c r="M497" s="25"/>
      <c r="N497" s="25"/>
      <c r="O497" s="4"/>
      <c r="P497" s="4"/>
      <c r="Q497" s="4"/>
      <c r="R497" s="4"/>
      <c r="S497" s="4"/>
    </row>
    <row r="498" spans="1:19" ht="15" customHeight="1" x14ac:dyDescent="0.2">
      <c r="A498" s="26"/>
      <c r="B498" s="26"/>
      <c r="C498" s="26"/>
      <c r="D498" s="26"/>
      <c r="E498" s="26"/>
      <c r="F498" s="25"/>
      <c r="G498" s="25"/>
      <c r="H498" s="25"/>
      <c r="I498" s="25"/>
      <c r="J498" s="25"/>
      <c r="K498" s="25"/>
      <c r="L498" s="25"/>
      <c r="M498" s="25"/>
      <c r="N498" s="25"/>
      <c r="O498" s="4"/>
      <c r="P498" s="4"/>
      <c r="Q498" s="4"/>
      <c r="R498" s="4"/>
      <c r="S498" s="4"/>
    </row>
    <row r="499" spans="1:19" ht="15" customHeight="1" x14ac:dyDescent="0.2">
      <c r="A499" s="26"/>
      <c r="B499" s="26"/>
      <c r="C499" s="26"/>
      <c r="D499" s="26"/>
      <c r="E499" s="26"/>
      <c r="F499" s="25"/>
      <c r="G499" s="25"/>
      <c r="H499" s="25"/>
      <c r="I499" s="25"/>
      <c r="J499" s="25"/>
      <c r="K499" s="25"/>
      <c r="L499" s="25"/>
      <c r="M499" s="25"/>
      <c r="N499" s="25"/>
      <c r="O499" s="4"/>
      <c r="P499" s="4"/>
      <c r="Q499" s="4"/>
      <c r="R499" s="4"/>
      <c r="S499" s="4"/>
    </row>
    <row r="500" spans="1:19" ht="15" customHeight="1" x14ac:dyDescent="0.2">
      <c r="A500" s="26"/>
      <c r="B500" s="26"/>
      <c r="C500" s="26"/>
      <c r="D500" s="26"/>
      <c r="E500" s="26"/>
      <c r="F500" s="25"/>
      <c r="G500" s="25"/>
      <c r="H500" s="25"/>
      <c r="I500" s="25"/>
      <c r="J500" s="25"/>
      <c r="K500" s="25"/>
      <c r="L500" s="25"/>
      <c r="M500" s="25"/>
      <c r="N500" s="25"/>
      <c r="O500" s="4"/>
      <c r="P500" s="4"/>
      <c r="Q500" s="4"/>
      <c r="R500" s="4"/>
      <c r="S500" s="4"/>
    </row>
    <row r="501" spans="1:19" ht="15" customHeight="1" x14ac:dyDescent="0.2">
      <c r="A501" s="26"/>
      <c r="B501" s="26"/>
      <c r="C501" s="26"/>
      <c r="D501" s="26"/>
      <c r="E501" s="26"/>
      <c r="F501" s="25"/>
      <c r="G501" s="25"/>
      <c r="H501" s="25"/>
      <c r="I501" s="25"/>
      <c r="J501" s="25"/>
      <c r="K501" s="25"/>
      <c r="L501" s="25"/>
      <c r="M501" s="25"/>
      <c r="N501" s="25"/>
      <c r="O501" s="4"/>
      <c r="P501" s="4"/>
      <c r="Q501" s="4"/>
      <c r="R501" s="4"/>
      <c r="S501" s="4"/>
    </row>
    <row r="502" spans="1:19" ht="15" customHeight="1" x14ac:dyDescent="0.2">
      <c r="A502" s="26"/>
      <c r="B502" s="26"/>
      <c r="C502" s="26"/>
      <c r="D502" s="26"/>
      <c r="E502" s="26"/>
      <c r="F502" s="25"/>
      <c r="G502" s="25"/>
      <c r="H502" s="25"/>
      <c r="I502" s="25"/>
      <c r="J502" s="25"/>
      <c r="K502" s="25"/>
      <c r="L502" s="25"/>
      <c r="M502" s="25"/>
      <c r="N502" s="25"/>
      <c r="O502" s="4"/>
      <c r="P502" s="4"/>
      <c r="Q502" s="4"/>
      <c r="R502" s="4"/>
      <c r="S502" s="4"/>
    </row>
    <row r="503" spans="1:19" ht="15" customHeight="1" x14ac:dyDescent="0.2">
      <c r="A503" s="26"/>
      <c r="B503" s="26"/>
      <c r="C503" s="26"/>
      <c r="D503" s="26"/>
      <c r="E503" s="26"/>
      <c r="F503" s="25"/>
      <c r="G503" s="25"/>
      <c r="H503" s="25"/>
      <c r="I503" s="25"/>
      <c r="J503" s="25"/>
      <c r="K503" s="25"/>
      <c r="L503" s="25"/>
      <c r="M503" s="25"/>
      <c r="N503" s="25"/>
      <c r="O503" s="4"/>
      <c r="P503" s="4"/>
      <c r="Q503" s="4"/>
      <c r="R503" s="4"/>
      <c r="S503" s="4"/>
    </row>
    <row r="504" spans="1:19" ht="15" customHeight="1" x14ac:dyDescent="0.2">
      <c r="A504" s="26"/>
      <c r="B504" s="26"/>
      <c r="C504" s="26"/>
      <c r="D504" s="26"/>
      <c r="E504" s="26"/>
      <c r="F504" s="25"/>
      <c r="G504" s="25"/>
      <c r="H504" s="25"/>
      <c r="I504" s="25"/>
      <c r="J504" s="25"/>
      <c r="K504" s="25"/>
      <c r="L504" s="25"/>
      <c r="M504" s="25"/>
      <c r="N504" s="25"/>
      <c r="O504" s="4"/>
      <c r="P504" s="4"/>
      <c r="Q504" s="4"/>
      <c r="R504" s="4"/>
      <c r="S504" s="4"/>
    </row>
    <row r="505" spans="1:19" ht="15" customHeight="1" x14ac:dyDescent="0.2">
      <c r="A505" s="26"/>
      <c r="B505" s="26"/>
      <c r="C505" s="26"/>
      <c r="D505" s="26"/>
      <c r="E505" s="26"/>
      <c r="F505" s="25"/>
      <c r="G505" s="25"/>
      <c r="H505" s="25"/>
      <c r="I505" s="25"/>
      <c r="J505" s="25"/>
      <c r="K505" s="25"/>
      <c r="L505" s="25"/>
      <c r="M505" s="25"/>
      <c r="N505" s="25"/>
      <c r="O505" s="4"/>
      <c r="P505" s="4"/>
      <c r="Q505" s="4"/>
      <c r="R505" s="4"/>
      <c r="S505" s="4"/>
    </row>
    <row r="506" spans="1:19" ht="15" customHeight="1" x14ac:dyDescent="0.2">
      <c r="A506" s="26"/>
      <c r="B506" s="26"/>
      <c r="C506" s="26"/>
      <c r="D506" s="26"/>
      <c r="E506" s="26"/>
      <c r="F506" s="25"/>
      <c r="G506" s="25"/>
      <c r="H506" s="25"/>
      <c r="I506" s="25"/>
      <c r="J506" s="25"/>
      <c r="K506" s="25"/>
      <c r="L506" s="25"/>
      <c r="M506" s="25"/>
      <c r="N506" s="25"/>
      <c r="O506" s="4"/>
      <c r="P506" s="4"/>
      <c r="Q506" s="4"/>
      <c r="R506" s="4"/>
      <c r="S506" s="4"/>
    </row>
    <row r="507" spans="1:19" ht="15" customHeight="1" x14ac:dyDescent="0.2">
      <c r="A507" s="26"/>
      <c r="B507" s="26"/>
      <c r="C507" s="26"/>
      <c r="D507" s="26"/>
      <c r="E507" s="26"/>
      <c r="F507" s="25"/>
      <c r="G507" s="25"/>
      <c r="H507" s="25"/>
      <c r="I507" s="25"/>
      <c r="J507" s="25"/>
      <c r="K507" s="25"/>
      <c r="L507" s="25"/>
      <c r="M507" s="25"/>
      <c r="N507" s="25"/>
      <c r="O507" s="4"/>
      <c r="P507" s="4"/>
      <c r="Q507" s="4"/>
      <c r="R507" s="4"/>
      <c r="S507" s="4"/>
    </row>
    <row r="508" spans="1:19" ht="15" customHeight="1" x14ac:dyDescent="0.2">
      <c r="A508" s="26"/>
      <c r="B508" s="26"/>
      <c r="C508" s="26"/>
      <c r="D508" s="26"/>
      <c r="E508" s="26"/>
      <c r="F508" s="25"/>
      <c r="G508" s="25"/>
      <c r="H508" s="25"/>
      <c r="I508" s="25"/>
      <c r="J508" s="25"/>
      <c r="K508" s="25"/>
      <c r="L508" s="25"/>
      <c r="M508" s="25"/>
      <c r="N508" s="25"/>
      <c r="O508" s="4"/>
      <c r="P508" s="4"/>
      <c r="Q508" s="4"/>
      <c r="R508" s="4"/>
      <c r="S508" s="4"/>
    </row>
    <row r="509" spans="1:19" ht="15" customHeight="1" x14ac:dyDescent="0.2">
      <c r="A509" s="26"/>
      <c r="B509" s="26"/>
      <c r="C509" s="26"/>
      <c r="D509" s="26"/>
      <c r="E509" s="26"/>
      <c r="F509" s="25"/>
      <c r="G509" s="25"/>
      <c r="H509" s="25"/>
      <c r="I509" s="25"/>
      <c r="J509" s="25"/>
      <c r="K509" s="25"/>
      <c r="L509" s="25"/>
      <c r="M509" s="25"/>
      <c r="N509" s="25"/>
      <c r="O509" s="4"/>
      <c r="P509" s="4"/>
      <c r="Q509" s="4"/>
      <c r="R509" s="4"/>
      <c r="S509" s="4"/>
    </row>
    <row r="510" spans="1:19" ht="15" customHeight="1" x14ac:dyDescent="0.2">
      <c r="A510" s="26"/>
      <c r="B510" s="26"/>
      <c r="C510" s="26"/>
      <c r="D510" s="26"/>
      <c r="E510" s="26"/>
      <c r="F510" s="25"/>
      <c r="G510" s="25"/>
      <c r="H510" s="25"/>
      <c r="I510" s="25"/>
      <c r="J510" s="25"/>
      <c r="K510" s="25"/>
      <c r="L510" s="25"/>
      <c r="M510" s="25"/>
      <c r="N510" s="25"/>
      <c r="O510" s="4"/>
      <c r="P510" s="4"/>
      <c r="Q510" s="4"/>
      <c r="R510" s="4"/>
      <c r="S510" s="4"/>
    </row>
    <row r="511" spans="1:19" ht="15" customHeight="1" x14ac:dyDescent="0.2">
      <c r="A511" s="26"/>
      <c r="B511" s="26"/>
      <c r="C511" s="26"/>
      <c r="D511" s="26"/>
      <c r="E511" s="26"/>
      <c r="F511" s="25"/>
      <c r="G511" s="25"/>
      <c r="H511" s="25"/>
      <c r="I511" s="25"/>
      <c r="J511" s="25"/>
      <c r="K511" s="25"/>
      <c r="L511" s="25"/>
      <c r="M511" s="25"/>
      <c r="N511" s="25"/>
      <c r="O511" s="4"/>
      <c r="P511" s="4"/>
      <c r="Q511" s="4"/>
      <c r="R511" s="4"/>
      <c r="S511" s="4"/>
    </row>
    <row r="512" spans="1:19" ht="15" customHeight="1" x14ac:dyDescent="0.2">
      <c r="A512" s="26"/>
      <c r="B512" s="26"/>
      <c r="C512" s="26"/>
      <c r="D512" s="26"/>
      <c r="E512" s="26"/>
      <c r="F512" s="25"/>
      <c r="G512" s="25"/>
      <c r="H512" s="25"/>
      <c r="I512" s="25"/>
      <c r="J512" s="25"/>
      <c r="K512" s="25"/>
      <c r="L512" s="25"/>
      <c r="M512" s="25"/>
      <c r="N512" s="25"/>
      <c r="O512" s="4"/>
      <c r="P512" s="4"/>
      <c r="Q512" s="4"/>
      <c r="R512" s="4"/>
      <c r="S512" s="4"/>
    </row>
    <row r="513" spans="1:19" ht="15" customHeight="1" x14ac:dyDescent="0.2">
      <c r="A513" s="26"/>
      <c r="B513" s="26"/>
      <c r="C513" s="26"/>
      <c r="D513" s="26"/>
      <c r="E513" s="26"/>
      <c r="F513" s="25"/>
      <c r="G513" s="25"/>
      <c r="H513" s="25"/>
      <c r="I513" s="25"/>
      <c r="J513" s="25"/>
      <c r="K513" s="25"/>
      <c r="L513" s="25"/>
      <c r="M513" s="25"/>
      <c r="N513" s="25"/>
      <c r="O513" s="4"/>
      <c r="P513" s="4"/>
      <c r="Q513" s="4"/>
      <c r="R513" s="4"/>
      <c r="S513" s="4"/>
    </row>
    <row r="514" spans="1:19" ht="15" customHeight="1" x14ac:dyDescent="0.2">
      <c r="A514" s="26"/>
      <c r="B514" s="26"/>
      <c r="C514" s="26"/>
      <c r="D514" s="26"/>
      <c r="E514" s="26"/>
      <c r="F514" s="25"/>
      <c r="G514" s="25"/>
      <c r="H514" s="25"/>
      <c r="I514" s="25"/>
      <c r="J514" s="25"/>
      <c r="K514" s="25"/>
      <c r="L514" s="25"/>
      <c r="M514" s="25"/>
      <c r="N514" s="25"/>
      <c r="O514" s="4"/>
      <c r="P514" s="4"/>
      <c r="Q514" s="4"/>
      <c r="R514" s="4"/>
      <c r="S514" s="4"/>
    </row>
    <row r="515" spans="1:19" ht="15" customHeight="1" x14ac:dyDescent="0.2">
      <c r="A515" s="26"/>
      <c r="B515" s="26"/>
      <c r="C515" s="26"/>
      <c r="D515" s="26"/>
      <c r="E515" s="26"/>
      <c r="F515" s="25"/>
      <c r="G515" s="25"/>
      <c r="H515" s="25"/>
      <c r="I515" s="25"/>
      <c r="J515" s="25"/>
      <c r="K515" s="25"/>
      <c r="L515" s="25"/>
      <c r="M515" s="25"/>
      <c r="N515" s="25"/>
      <c r="O515" s="4"/>
      <c r="P515" s="4"/>
      <c r="Q515" s="4"/>
      <c r="R515" s="4"/>
      <c r="S515" s="4"/>
    </row>
    <row r="516" spans="1:19" ht="15" customHeight="1" x14ac:dyDescent="0.2">
      <c r="A516" s="26"/>
      <c r="B516" s="26"/>
      <c r="C516" s="26"/>
      <c r="D516" s="26"/>
      <c r="E516" s="26"/>
      <c r="F516" s="25"/>
      <c r="G516" s="25"/>
      <c r="H516" s="25"/>
      <c r="I516" s="25"/>
      <c r="J516" s="25"/>
      <c r="K516" s="25"/>
      <c r="L516" s="25"/>
      <c r="M516" s="25"/>
      <c r="N516" s="25"/>
      <c r="O516" s="4"/>
      <c r="P516" s="4"/>
      <c r="Q516" s="4"/>
      <c r="R516" s="4"/>
      <c r="S516" s="4"/>
    </row>
    <row r="517" spans="1:19" ht="15" customHeight="1" x14ac:dyDescent="0.2">
      <c r="A517" s="26"/>
      <c r="B517" s="26"/>
      <c r="C517" s="26"/>
      <c r="D517" s="26"/>
      <c r="E517" s="26"/>
      <c r="F517" s="25"/>
      <c r="G517" s="25"/>
      <c r="H517" s="25"/>
      <c r="I517" s="25"/>
      <c r="J517" s="25"/>
      <c r="K517" s="25"/>
      <c r="L517" s="25"/>
      <c r="M517" s="25"/>
      <c r="N517" s="25"/>
      <c r="O517" s="4"/>
      <c r="P517" s="4"/>
      <c r="Q517" s="4"/>
      <c r="R517" s="4"/>
      <c r="S517" s="4"/>
    </row>
    <row r="518" spans="1:19" ht="15" customHeight="1" x14ac:dyDescent="0.2">
      <c r="A518" s="26"/>
      <c r="B518" s="26"/>
      <c r="C518" s="26"/>
      <c r="D518" s="26"/>
      <c r="E518" s="26"/>
      <c r="F518" s="25"/>
      <c r="G518" s="25"/>
      <c r="H518" s="25"/>
      <c r="I518" s="25"/>
      <c r="J518" s="25"/>
      <c r="K518" s="25"/>
      <c r="L518" s="25"/>
      <c r="M518" s="25"/>
      <c r="N518" s="25"/>
      <c r="O518" s="4"/>
      <c r="P518" s="4"/>
      <c r="Q518" s="4"/>
      <c r="R518" s="4"/>
      <c r="S518" s="4"/>
    </row>
    <row r="519" spans="1:19" ht="15" customHeight="1" x14ac:dyDescent="0.2">
      <c r="A519" s="26"/>
      <c r="B519" s="26"/>
      <c r="C519" s="26"/>
      <c r="D519" s="26"/>
      <c r="E519" s="26"/>
      <c r="F519" s="25"/>
      <c r="G519" s="25"/>
      <c r="H519" s="25"/>
      <c r="I519" s="25"/>
      <c r="J519" s="25"/>
      <c r="K519" s="25"/>
      <c r="L519" s="25"/>
      <c r="M519" s="25"/>
      <c r="N519" s="25"/>
      <c r="O519" s="4"/>
      <c r="P519" s="4"/>
      <c r="Q519" s="4"/>
      <c r="R519" s="4"/>
      <c r="S519" s="4"/>
    </row>
    <row r="520" spans="1:19" ht="15" customHeight="1" x14ac:dyDescent="0.2">
      <c r="A520" s="26"/>
      <c r="B520" s="26"/>
      <c r="C520" s="26"/>
      <c r="D520" s="26"/>
      <c r="E520" s="26"/>
      <c r="F520" s="25"/>
      <c r="G520" s="25"/>
      <c r="H520" s="25"/>
      <c r="I520" s="25"/>
      <c r="J520" s="25"/>
      <c r="K520" s="25"/>
      <c r="L520" s="25"/>
      <c r="M520" s="25"/>
      <c r="N520" s="25"/>
      <c r="O520" s="4"/>
      <c r="P520" s="4"/>
      <c r="Q520" s="4"/>
      <c r="R520" s="4"/>
      <c r="S520" s="4"/>
    </row>
    <row r="521" spans="1:19" ht="15" customHeight="1" x14ac:dyDescent="0.2">
      <c r="A521" s="26"/>
      <c r="B521" s="26"/>
      <c r="C521" s="26"/>
      <c r="D521" s="26"/>
      <c r="E521" s="26"/>
      <c r="F521" s="25"/>
      <c r="G521" s="25"/>
      <c r="H521" s="25"/>
      <c r="I521" s="25"/>
      <c r="J521" s="25"/>
      <c r="K521" s="25"/>
      <c r="L521" s="25"/>
      <c r="M521" s="25"/>
      <c r="N521" s="25"/>
      <c r="O521" s="4"/>
      <c r="P521" s="4"/>
      <c r="Q521" s="4"/>
      <c r="R521" s="4"/>
      <c r="S521" s="4"/>
    </row>
    <row r="522" spans="1:19" ht="15" customHeight="1" x14ac:dyDescent="0.2">
      <c r="A522" s="26"/>
      <c r="B522" s="26"/>
      <c r="C522" s="26"/>
      <c r="D522" s="26"/>
      <c r="E522" s="26"/>
      <c r="F522" s="25"/>
      <c r="G522" s="25"/>
      <c r="H522" s="25"/>
      <c r="I522" s="25"/>
      <c r="J522" s="25"/>
      <c r="K522" s="25"/>
      <c r="L522" s="25"/>
      <c r="M522" s="25"/>
      <c r="N522" s="25"/>
      <c r="O522" s="4"/>
      <c r="P522" s="4"/>
      <c r="Q522" s="4"/>
      <c r="R522" s="4"/>
      <c r="S522" s="4"/>
    </row>
    <row r="523" spans="1:19" ht="15" customHeight="1" x14ac:dyDescent="0.2">
      <c r="A523" s="26"/>
      <c r="B523" s="26"/>
      <c r="C523" s="26"/>
      <c r="D523" s="26"/>
      <c r="E523" s="26"/>
      <c r="F523" s="25"/>
      <c r="G523" s="25"/>
      <c r="H523" s="25"/>
      <c r="I523" s="25"/>
      <c r="J523" s="25"/>
      <c r="K523" s="25"/>
      <c r="L523" s="25"/>
      <c r="M523" s="25"/>
      <c r="N523" s="25"/>
      <c r="O523" s="4"/>
      <c r="P523" s="4"/>
      <c r="Q523" s="4"/>
      <c r="R523" s="4"/>
      <c r="S523" s="4"/>
    </row>
    <row r="524" spans="1:19" ht="15" customHeight="1" x14ac:dyDescent="0.2">
      <c r="A524" s="26"/>
      <c r="B524" s="26"/>
      <c r="C524" s="26"/>
      <c r="D524" s="26"/>
      <c r="E524" s="26"/>
      <c r="F524" s="25"/>
      <c r="G524" s="25"/>
      <c r="H524" s="25"/>
      <c r="I524" s="25"/>
      <c r="J524" s="25"/>
      <c r="K524" s="25"/>
      <c r="L524" s="25"/>
      <c r="M524" s="25"/>
      <c r="N524" s="25"/>
      <c r="O524" s="4"/>
      <c r="P524" s="4"/>
      <c r="Q524" s="4"/>
      <c r="R524" s="4"/>
      <c r="S524" s="4"/>
    </row>
    <row r="525" spans="1:19" ht="15" customHeight="1" x14ac:dyDescent="0.2">
      <c r="A525" s="26"/>
      <c r="B525" s="26"/>
      <c r="C525" s="26"/>
      <c r="D525" s="26"/>
      <c r="E525" s="26"/>
      <c r="F525" s="25"/>
      <c r="G525" s="25"/>
      <c r="H525" s="25"/>
      <c r="I525" s="25"/>
      <c r="J525" s="25"/>
      <c r="K525" s="25"/>
      <c r="L525" s="25"/>
      <c r="M525" s="25"/>
      <c r="N525" s="25"/>
      <c r="O525" s="4"/>
      <c r="P525" s="4"/>
      <c r="Q525" s="4"/>
      <c r="R525" s="4"/>
      <c r="S525" s="4"/>
    </row>
    <row r="526" spans="1:19" ht="15" customHeight="1" x14ac:dyDescent="0.2">
      <c r="A526" s="26"/>
      <c r="B526" s="26"/>
      <c r="C526" s="26"/>
      <c r="D526" s="26"/>
      <c r="E526" s="26"/>
      <c r="F526" s="25"/>
      <c r="G526" s="25"/>
      <c r="H526" s="25"/>
      <c r="I526" s="25"/>
      <c r="J526" s="25"/>
      <c r="K526" s="25"/>
      <c r="L526" s="25"/>
      <c r="M526" s="25"/>
      <c r="N526" s="25"/>
      <c r="O526" s="4"/>
      <c r="P526" s="4"/>
      <c r="Q526" s="4"/>
      <c r="R526" s="4"/>
      <c r="S526" s="4"/>
    </row>
    <row r="527" spans="1:19" ht="15" customHeight="1" x14ac:dyDescent="0.2">
      <c r="A527" s="26"/>
      <c r="B527" s="26"/>
      <c r="C527" s="26"/>
      <c r="D527" s="26"/>
      <c r="E527" s="26"/>
      <c r="F527" s="25"/>
      <c r="G527" s="25"/>
      <c r="H527" s="25"/>
      <c r="I527" s="25"/>
      <c r="J527" s="25"/>
      <c r="K527" s="25"/>
      <c r="L527" s="25"/>
      <c r="M527" s="25"/>
      <c r="N527" s="25"/>
      <c r="O527" s="4"/>
      <c r="P527" s="4"/>
      <c r="Q527" s="4"/>
      <c r="R527" s="4"/>
      <c r="S527" s="4"/>
    </row>
    <row r="528" spans="1:19" ht="15" customHeight="1" x14ac:dyDescent="0.2">
      <c r="A528" s="26"/>
      <c r="B528" s="26"/>
      <c r="C528" s="26"/>
      <c r="D528" s="26"/>
      <c r="E528" s="26"/>
      <c r="F528" s="25"/>
      <c r="G528" s="25"/>
      <c r="H528" s="25"/>
      <c r="I528" s="25"/>
      <c r="J528" s="25"/>
      <c r="K528" s="25"/>
      <c r="L528" s="25"/>
      <c r="M528" s="25"/>
      <c r="N528" s="25"/>
      <c r="O528" s="4"/>
      <c r="P528" s="4"/>
      <c r="Q528" s="4"/>
      <c r="R528" s="4"/>
      <c r="S528" s="4"/>
    </row>
    <row r="529" spans="1:19" ht="15" customHeight="1" x14ac:dyDescent="0.2">
      <c r="A529" s="26"/>
      <c r="B529" s="26"/>
      <c r="C529" s="26"/>
      <c r="D529" s="26"/>
      <c r="E529" s="26"/>
      <c r="F529" s="25"/>
      <c r="G529" s="25"/>
      <c r="H529" s="25"/>
      <c r="I529" s="25"/>
      <c r="J529" s="25"/>
      <c r="K529" s="25"/>
      <c r="L529" s="25"/>
      <c r="M529" s="25"/>
      <c r="N529" s="25"/>
      <c r="O529" s="4"/>
      <c r="P529" s="4"/>
      <c r="Q529" s="4"/>
      <c r="R529" s="4"/>
      <c r="S529" s="4"/>
    </row>
    <row r="530" spans="1:19" ht="15" customHeight="1" x14ac:dyDescent="0.2">
      <c r="A530" s="26"/>
      <c r="B530" s="26"/>
      <c r="C530" s="26"/>
      <c r="D530" s="26"/>
      <c r="E530" s="26"/>
      <c r="F530" s="25"/>
      <c r="G530" s="25"/>
      <c r="H530" s="25"/>
      <c r="I530" s="25"/>
      <c r="J530" s="25"/>
      <c r="K530" s="25"/>
      <c r="L530" s="25"/>
      <c r="M530" s="25"/>
      <c r="N530" s="25"/>
      <c r="O530" s="4"/>
      <c r="P530" s="4"/>
      <c r="Q530" s="4"/>
      <c r="R530" s="4"/>
      <c r="S530" s="4"/>
    </row>
    <row r="531" spans="1:19" ht="15" customHeight="1" x14ac:dyDescent="0.2">
      <c r="A531" s="26"/>
      <c r="B531" s="26"/>
      <c r="C531" s="26"/>
      <c r="D531" s="26"/>
      <c r="E531" s="26"/>
      <c r="F531" s="25"/>
      <c r="G531" s="25"/>
      <c r="H531" s="25"/>
      <c r="I531" s="25"/>
      <c r="J531" s="25"/>
      <c r="K531" s="25"/>
      <c r="L531" s="25"/>
      <c r="M531" s="25"/>
      <c r="N531" s="25"/>
      <c r="O531" s="4"/>
      <c r="P531" s="4"/>
      <c r="Q531" s="4"/>
      <c r="R531" s="4"/>
      <c r="S531" s="4"/>
    </row>
    <row r="532" spans="1:19" ht="15" customHeight="1" x14ac:dyDescent="0.2">
      <c r="A532" s="26"/>
      <c r="B532" s="26"/>
      <c r="C532" s="26"/>
      <c r="D532" s="26"/>
      <c r="E532" s="26"/>
      <c r="F532" s="25"/>
      <c r="G532" s="25"/>
      <c r="H532" s="25"/>
      <c r="I532" s="25"/>
      <c r="J532" s="25"/>
      <c r="K532" s="25"/>
      <c r="L532" s="25"/>
      <c r="M532" s="25"/>
      <c r="N532" s="25"/>
      <c r="O532" s="4"/>
      <c r="P532" s="4"/>
      <c r="Q532" s="4"/>
      <c r="R532" s="4"/>
      <c r="S532" s="4"/>
    </row>
    <row r="533" spans="1:19" ht="15" customHeight="1" x14ac:dyDescent="0.2">
      <c r="A533" s="26"/>
      <c r="B533" s="26"/>
      <c r="C533" s="26"/>
      <c r="D533" s="26"/>
      <c r="E533" s="26"/>
      <c r="F533" s="25"/>
      <c r="G533" s="25"/>
      <c r="H533" s="25"/>
      <c r="I533" s="25"/>
      <c r="J533" s="25"/>
      <c r="K533" s="25"/>
      <c r="L533" s="25"/>
      <c r="M533" s="25"/>
      <c r="N533" s="25"/>
      <c r="O533" s="4"/>
      <c r="P533" s="4"/>
      <c r="Q533" s="4"/>
      <c r="R533" s="4"/>
      <c r="S533" s="4"/>
    </row>
    <row r="534" spans="1:19" ht="15" customHeight="1" x14ac:dyDescent="0.2">
      <c r="A534" s="26"/>
      <c r="B534" s="26"/>
      <c r="C534" s="26"/>
      <c r="D534" s="26"/>
      <c r="E534" s="26"/>
      <c r="F534" s="25"/>
      <c r="G534" s="25"/>
      <c r="H534" s="25"/>
      <c r="I534" s="25"/>
      <c r="J534" s="25"/>
      <c r="K534" s="25"/>
      <c r="L534" s="25"/>
      <c r="M534" s="25"/>
      <c r="N534" s="25"/>
      <c r="O534" s="4"/>
      <c r="P534" s="4"/>
      <c r="Q534" s="4"/>
      <c r="R534" s="4"/>
      <c r="S534" s="4"/>
    </row>
    <row r="535" spans="1:19" ht="15" customHeight="1" x14ac:dyDescent="0.2">
      <c r="A535" s="26"/>
      <c r="B535" s="26"/>
      <c r="C535" s="26"/>
      <c r="D535" s="26"/>
      <c r="E535" s="26"/>
      <c r="F535" s="25"/>
      <c r="G535" s="25"/>
      <c r="H535" s="25"/>
      <c r="I535" s="25"/>
      <c r="J535" s="25"/>
      <c r="K535" s="25"/>
      <c r="L535" s="25"/>
      <c r="M535" s="25"/>
      <c r="N535" s="25"/>
      <c r="O535" s="4"/>
      <c r="P535" s="4"/>
      <c r="Q535" s="4"/>
      <c r="R535" s="4"/>
      <c r="S535" s="4"/>
    </row>
    <row r="536" spans="1:19" ht="15" customHeight="1" x14ac:dyDescent="0.2">
      <c r="A536" s="26"/>
      <c r="B536" s="26"/>
      <c r="C536" s="26"/>
      <c r="D536" s="26"/>
      <c r="E536" s="26"/>
      <c r="F536" s="25"/>
      <c r="G536" s="25"/>
      <c r="H536" s="25"/>
      <c r="I536" s="25"/>
      <c r="J536" s="25"/>
      <c r="K536" s="25"/>
      <c r="L536" s="25"/>
      <c r="M536" s="25"/>
      <c r="N536" s="25"/>
      <c r="O536" s="4"/>
      <c r="P536" s="4"/>
      <c r="Q536" s="4"/>
      <c r="R536" s="4"/>
      <c r="S536" s="4"/>
    </row>
    <row r="537" spans="1:19" ht="15" customHeight="1" x14ac:dyDescent="0.2">
      <c r="A537" s="26"/>
      <c r="B537" s="26"/>
      <c r="C537" s="26"/>
      <c r="D537" s="26"/>
      <c r="E537" s="26"/>
      <c r="F537" s="25"/>
      <c r="G537" s="25"/>
      <c r="H537" s="25"/>
      <c r="I537" s="25"/>
      <c r="J537" s="25"/>
      <c r="K537" s="25"/>
      <c r="L537" s="25"/>
      <c r="M537" s="25"/>
      <c r="N537" s="25"/>
      <c r="O537" s="4"/>
      <c r="P537" s="4"/>
      <c r="Q537" s="4"/>
      <c r="R537" s="4"/>
      <c r="S537" s="4"/>
    </row>
    <row r="538" spans="1:19" ht="15" customHeight="1" x14ac:dyDescent="0.2">
      <c r="A538" s="26"/>
      <c r="B538" s="26"/>
      <c r="C538" s="26"/>
      <c r="D538" s="26"/>
      <c r="E538" s="26"/>
      <c r="F538" s="25"/>
      <c r="G538" s="25"/>
      <c r="H538" s="25"/>
      <c r="I538" s="25"/>
      <c r="J538" s="25"/>
      <c r="K538" s="25"/>
      <c r="L538" s="25"/>
      <c r="M538" s="25"/>
      <c r="N538" s="25"/>
      <c r="O538" s="4"/>
      <c r="P538" s="4"/>
      <c r="Q538" s="4"/>
      <c r="R538" s="4"/>
      <c r="S538" s="4"/>
    </row>
    <row r="539" spans="1:19" ht="15" customHeight="1" x14ac:dyDescent="0.2">
      <c r="A539" s="26"/>
      <c r="B539" s="26"/>
      <c r="C539" s="26"/>
      <c r="D539" s="26"/>
      <c r="E539" s="26"/>
      <c r="F539" s="25"/>
      <c r="G539" s="25"/>
      <c r="H539" s="25"/>
      <c r="I539" s="25"/>
      <c r="J539" s="25"/>
      <c r="K539" s="25"/>
      <c r="L539" s="25"/>
      <c r="M539" s="25"/>
      <c r="N539" s="25"/>
      <c r="O539" s="4"/>
      <c r="P539" s="4"/>
      <c r="Q539" s="4"/>
      <c r="R539" s="4"/>
      <c r="S539" s="4"/>
    </row>
    <row r="540" spans="1:19" ht="15" customHeight="1" x14ac:dyDescent="0.2">
      <c r="A540" s="26"/>
      <c r="B540" s="26"/>
      <c r="C540" s="26"/>
      <c r="D540" s="26"/>
      <c r="E540" s="26"/>
      <c r="F540" s="25"/>
      <c r="G540" s="25"/>
      <c r="H540" s="25"/>
      <c r="I540" s="25"/>
      <c r="J540" s="25"/>
      <c r="K540" s="25"/>
      <c r="L540" s="25"/>
      <c r="M540" s="25"/>
      <c r="N540" s="25"/>
      <c r="O540" s="4"/>
      <c r="P540" s="4"/>
      <c r="Q540" s="4"/>
      <c r="R540" s="4"/>
      <c r="S540" s="4"/>
    </row>
    <row r="541" spans="1:19" ht="15" customHeight="1" x14ac:dyDescent="0.2">
      <c r="A541" s="26"/>
      <c r="B541" s="26"/>
      <c r="C541" s="26"/>
      <c r="D541" s="26"/>
      <c r="E541" s="26"/>
      <c r="F541" s="25"/>
      <c r="G541" s="25"/>
      <c r="H541" s="25"/>
      <c r="I541" s="25"/>
      <c r="J541" s="25"/>
      <c r="K541" s="25"/>
      <c r="L541" s="25"/>
      <c r="M541" s="25"/>
      <c r="N541" s="25"/>
      <c r="O541" s="4"/>
      <c r="P541" s="4"/>
      <c r="Q541" s="4"/>
      <c r="R541" s="4"/>
      <c r="S541" s="4"/>
    </row>
    <row r="542" spans="1:19" ht="15" customHeight="1" x14ac:dyDescent="0.2">
      <c r="A542" s="26"/>
      <c r="B542" s="26"/>
      <c r="C542" s="26"/>
      <c r="D542" s="26"/>
      <c r="E542" s="26"/>
      <c r="F542" s="25"/>
      <c r="G542" s="25"/>
      <c r="H542" s="25"/>
      <c r="I542" s="25"/>
      <c r="J542" s="25"/>
      <c r="K542" s="25"/>
      <c r="L542" s="25"/>
      <c r="M542" s="25"/>
      <c r="N542" s="25"/>
      <c r="O542" s="4"/>
      <c r="P542" s="4"/>
      <c r="Q542" s="4"/>
      <c r="R542" s="4"/>
      <c r="S542" s="4"/>
    </row>
    <row r="543" spans="1:19" ht="15" customHeight="1" x14ac:dyDescent="0.2">
      <c r="A543" s="26"/>
      <c r="B543" s="26"/>
      <c r="C543" s="26"/>
      <c r="D543" s="26"/>
      <c r="E543" s="26"/>
      <c r="F543" s="25"/>
      <c r="G543" s="25"/>
      <c r="H543" s="25"/>
      <c r="I543" s="25"/>
      <c r="J543" s="25"/>
      <c r="K543" s="25"/>
      <c r="L543" s="25"/>
      <c r="M543" s="25"/>
      <c r="N543" s="25"/>
      <c r="O543" s="4"/>
      <c r="P543" s="4"/>
      <c r="Q543" s="4"/>
      <c r="R543" s="4"/>
      <c r="S543" s="4"/>
    </row>
    <row r="544" spans="1:19" ht="15" customHeight="1" x14ac:dyDescent="0.2">
      <c r="A544" s="26"/>
      <c r="B544" s="26"/>
      <c r="C544" s="26"/>
      <c r="D544" s="26"/>
      <c r="E544" s="26"/>
      <c r="F544" s="25"/>
      <c r="G544" s="25"/>
      <c r="H544" s="25"/>
      <c r="I544" s="25"/>
      <c r="J544" s="25"/>
      <c r="K544" s="25"/>
      <c r="L544" s="25"/>
      <c r="M544" s="25"/>
      <c r="N544" s="25"/>
      <c r="O544" s="4"/>
      <c r="P544" s="4"/>
      <c r="Q544" s="4"/>
      <c r="R544" s="4"/>
      <c r="S544" s="4"/>
    </row>
    <row r="545" spans="1:19" ht="15" customHeight="1" x14ac:dyDescent="0.2">
      <c r="A545" s="26"/>
      <c r="B545" s="26"/>
      <c r="C545" s="26"/>
      <c r="D545" s="26"/>
      <c r="E545" s="26"/>
      <c r="F545" s="25"/>
      <c r="G545" s="25"/>
      <c r="H545" s="25"/>
      <c r="I545" s="25"/>
      <c r="J545" s="25"/>
      <c r="K545" s="25"/>
      <c r="L545" s="25"/>
      <c r="M545" s="25"/>
      <c r="N545" s="25"/>
      <c r="O545" s="4"/>
      <c r="P545" s="4"/>
      <c r="Q545" s="4"/>
      <c r="R545" s="4"/>
      <c r="S545" s="4"/>
    </row>
    <row r="546" spans="1:19" ht="15" customHeight="1" x14ac:dyDescent="0.2">
      <c r="A546" s="26"/>
      <c r="B546" s="26"/>
      <c r="C546" s="26"/>
      <c r="D546" s="26"/>
      <c r="E546" s="26"/>
      <c r="F546" s="25"/>
      <c r="G546" s="25"/>
      <c r="H546" s="25"/>
      <c r="I546" s="25"/>
      <c r="J546" s="25"/>
      <c r="K546" s="25"/>
      <c r="L546" s="25"/>
      <c r="M546" s="25"/>
      <c r="N546" s="25"/>
      <c r="O546" s="4"/>
      <c r="P546" s="4"/>
      <c r="Q546" s="4"/>
      <c r="R546" s="4"/>
      <c r="S546" s="4"/>
    </row>
    <row r="547" spans="1:19" ht="15" customHeight="1" x14ac:dyDescent="0.2">
      <c r="A547" s="26"/>
      <c r="B547" s="26"/>
      <c r="C547" s="26"/>
      <c r="D547" s="26"/>
      <c r="E547" s="26"/>
      <c r="F547" s="25"/>
      <c r="G547" s="25"/>
      <c r="H547" s="25"/>
      <c r="I547" s="25"/>
      <c r="J547" s="25"/>
      <c r="K547" s="25"/>
      <c r="L547" s="25"/>
      <c r="M547" s="25"/>
      <c r="N547" s="25"/>
      <c r="O547" s="4"/>
      <c r="P547" s="4"/>
      <c r="Q547" s="4"/>
      <c r="R547" s="4"/>
      <c r="S547" s="4"/>
    </row>
    <row r="548" spans="1:19" ht="15" customHeight="1" x14ac:dyDescent="0.2">
      <c r="A548" s="26"/>
      <c r="B548" s="26"/>
      <c r="C548" s="26"/>
      <c r="D548" s="26"/>
      <c r="E548" s="26"/>
      <c r="F548" s="25"/>
      <c r="G548" s="25"/>
      <c r="H548" s="25"/>
      <c r="I548" s="25"/>
      <c r="J548" s="25"/>
      <c r="K548" s="25"/>
      <c r="L548" s="25"/>
      <c r="M548" s="25"/>
      <c r="N548" s="25"/>
      <c r="O548" s="4"/>
      <c r="P548" s="4"/>
      <c r="Q548" s="4"/>
      <c r="R548" s="4"/>
      <c r="S548" s="4"/>
    </row>
    <row r="549" spans="1:19" ht="15" customHeight="1" x14ac:dyDescent="0.2">
      <c r="A549" s="26"/>
      <c r="B549" s="26"/>
      <c r="C549" s="26"/>
      <c r="D549" s="26"/>
      <c r="E549" s="26"/>
      <c r="F549" s="25"/>
      <c r="G549" s="25"/>
      <c r="H549" s="25"/>
      <c r="I549" s="25"/>
      <c r="J549" s="25"/>
      <c r="K549" s="25"/>
      <c r="L549" s="25"/>
      <c r="M549" s="25"/>
      <c r="N549" s="25"/>
      <c r="O549" s="4"/>
      <c r="P549" s="4"/>
      <c r="Q549" s="4"/>
      <c r="R549" s="4"/>
      <c r="S549" s="4"/>
    </row>
    <row r="550" spans="1:19" ht="15" customHeight="1" x14ac:dyDescent="0.2">
      <c r="A550" s="26"/>
      <c r="B550" s="26"/>
      <c r="C550" s="26"/>
      <c r="D550" s="26"/>
      <c r="E550" s="26"/>
      <c r="F550" s="25"/>
      <c r="G550" s="25"/>
      <c r="H550" s="25"/>
      <c r="I550" s="25"/>
      <c r="J550" s="25"/>
      <c r="K550" s="25"/>
      <c r="L550" s="25"/>
      <c r="M550" s="25"/>
      <c r="N550" s="25"/>
      <c r="O550" s="4"/>
      <c r="P550" s="4"/>
      <c r="Q550" s="4"/>
      <c r="R550" s="4"/>
      <c r="S550" s="4"/>
    </row>
    <row r="551" spans="1:19" ht="15" customHeight="1" x14ac:dyDescent="0.2">
      <c r="A551" s="26"/>
      <c r="B551" s="26"/>
      <c r="C551" s="26"/>
      <c r="D551" s="26"/>
      <c r="E551" s="26"/>
      <c r="F551" s="25"/>
      <c r="G551" s="25"/>
      <c r="H551" s="25"/>
      <c r="I551" s="25"/>
      <c r="J551" s="25"/>
      <c r="K551" s="25"/>
      <c r="L551" s="25"/>
      <c r="M551" s="25"/>
      <c r="N551" s="25"/>
      <c r="O551" s="4"/>
      <c r="P551" s="4"/>
      <c r="Q551" s="4"/>
      <c r="R551" s="4"/>
      <c r="S551" s="4"/>
    </row>
    <row r="552" spans="1:19" ht="15" customHeight="1" x14ac:dyDescent="0.2">
      <c r="A552" s="26"/>
      <c r="B552" s="26"/>
      <c r="C552" s="26"/>
      <c r="D552" s="26"/>
      <c r="E552" s="26"/>
      <c r="F552" s="25"/>
      <c r="G552" s="25"/>
      <c r="H552" s="25"/>
      <c r="I552" s="25"/>
      <c r="J552" s="25"/>
      <c r="K552" s="25"/>
      <c r="L552" s="25"/>
      <c r="M552" s="25"/>
      <c r="N552" s="25"/>
      <c r="O552" s="4"/>
      <c r="P552" s="4"/>
      <c r="Q552" s="4"/>
      <c r="R552" s="4"/>
      <c r="S552" s="4"/>
    </row>
    <row r="553" spans="1:19" ht="15" customHeight="1" x14ac:dyDescent="0.2">
      <c r="A553" s="26"/>
      <c r="B553" s="26"/>
      <c r="C553" s="26"/>
      <c r="D553" s="26"/>
      <c r="E553" s="26"/>
      <c r="F553" s="25"/>
      <c r="G553" s="25"/>
      <c r="H553" s="25"/>
      <c r="I553" s="25"/>
      <c r="J553" s="25"/>
      <c r="K553" s="25"/>
      <c r="L553" s="25"/>
      <c r="M553" s="25"/>
      <c r="N553" s="25"/>
      <c r="O553" s="4"/>
      <c r="P553" s="4"/>
      <c r="Q553" s="4"/>
      <c r="R553" s="4"/>
      <c r="S553" s="4"/>
    </row>
    <row r="554" spans="1:19" ht="15" customHeight="1" x14ac:dyDescent="0.2">
      <c r="A554" s="26"/>
      <c r="B554" s="26"/>
      <c r="C554" s="26"/>
      <c r="D554" s="26"/>
      <c r="E554" s="26"/>
      <c r="F554" s="25"/>
      <c r="G554" s="25"/>
      <c r="H554" s="25"/>
      <c r="I554" s="25"/>
      <c r="J554" s="25"/>
      <c r="K554" s="25"/>
      <c r="L554" s="25"/>
      <c r="M554" s="25"/>
      <c r="N554" s="25"/>
      <c r="O554" s="4"/>
      <c r="P554" s="4"/>
      <c r="Q554" s="4"/>
      <c r="R554" s="4"/>
      <c r="S554" s="4"/>
    </row>
    <row r="555" spans="1:19" ht="15" customHeight="1" x14ac:dyDescent="0.2">
      <c r="A555" s="26"/>
      <c r="B555" s="26"/>
      <c r="C555" s="26"/>
      <c r="D555" s="26"/>
      <c r="E555" s="26"/>
      <c r="F555" s="25"/>
      <c r="G555" s="25"/>
      <c r="H555" s="25"/>
      <c r="I555" s="25"/>
      <c r="J555" s="25"/>
      <c r="K555" s="25"/>
      <c r="L555" s="25"/>
      <c r="M555" s="25"/>
      <c r="N555" s="25"/>
      <c r="O555" s="4"/>
      <c r="P555" s="4"/>
      <c r="Q555" s="4"/>
      <c r="R555" s="4"/>
      <c r="S555" s="4"/>
    </row>
    <row r="556" spans="1:19" ht="15" customHeight="1" x14ac:dyDescent="0.2">
      <c r="A556" s="26"/>
      <c r="B556" s="26"/>
      <c r="C556" s="26"/>
      <c r="D556" s="26"/>
      <c r="E556" s="26"/>
      <c r="F556" s="25"/>
      <c r="G556" s="25"/>
      <c r="H556" s="25"/>
      <c r="I556" s="25"/>
      <c r="J556" s="25"/>
      <c r="K556" s="25"/>
      <c r="L556" s="25"/>
      <c r="M556" s="25"/>
      <c r="N556" s="25"/>
      <c r="O556" s="4"/>
      <c r="P556" s="4"/>
      <c r="Q556" s="4"/>
      <c r="R556" s="4"/>
      <c r="S556" s="4"/>
    </row>
    <row r="557" spans="1:19" ht="15" customHeight="1" x14ac:dyDescent="0.2">
      <c r="A557" s="26"/>
      <c r="B557" s="26"/>
      <c r="C557" s="26"/>
      <c r="D557" s="26"/>
      <c r="E557" s="26"/>
      <c r="F557" s="25"/>
      <c r="G557" s="25"/>
      <c r="H557" s="25"/>
      <c r="I557" s="25"/>
      <c r="J557" s="25"/>
      <c r="K557" s="25"/>
      <c r="L557" s="25"/>
      <c r="M557" s="25"/>
      <c r="N557" s="25"/>
      <c r="O557" s="4"/>
      <c r="P557" s="4"/>
      <c r="Q557" s="4"/>
      <c r="R557" s="4"/>
      <c r="S557" s="4"/>
    </row>
    <row r="558" spans="1:19" ht="15" customHeight="1" x14ac:dyDescent="0.2">
      <c r="A558" s="26"/>
      <c r="B558" s="26"/>
      <c r="C558" s="26"/>
      <c r="D558" s="26"/>
      <c r="E558" s="26"/>
      <c r="F558" s="25"/>
      <c r="G558" s="25"/>
      <c r="H558" s="25"/>
      <c r="I558" s="25"/>
      <c r="J558" s="25"/>
      <c r="K558" s="25"/>
      <c r="L558" s="25"/>
      <c r="M558" s="25"/>
      <c r="N558" s="25"/>
      <c r="O558" s="4"/>
      <c r="P558" s="4"/>
      <c r="Q558" s="4"/>
      <c r="R558" s="4"/>
      <c r="S558" s="4"/>
    </row>
    <row r="559" spans="1:19" ht="15" customHeight="1" x14ac:dyDescent="0.2">
      <c r="A559" s="26"/>
      <c r="B559" s="26"/>
      <c r="C559" s="26"/>
      <c r="D559" s="26"/>
      <c r="E559" s="26"/>
      <c r="F559" s="25"/>
      <c r="G559" s="25"/>
      <c r="H559" s="25"/>
      <c r="I559" s="25"/>
      <c r="J559" s="25"/>
      <c r="K559" s="25"/>
      <c r="L559" s="25"/>
      <c r="M559" s="25"/>
      <c r="N559" s="25"/>
      <c r="O559" s="4"/>
      <c r="P559" s="4"/>
      <c r="Q559" s="4"/>
      <c r="R559" s="4"/>
      <c r="S559" s="4"/>
    </row>
    <row r="560" spans="1:19" ht="15" customHeight="1" x14ac:dyDescent="0.2">
      <c r="A560" s="26"/>
      <c r="B560" s="26"/>
      <c r="C560" s="26"/>
      <c r="D560" s="26"/>
      <c r="E560" s="26"/>
      <c r="F560" s="25"/>
      <c r="G560" s="25"/>
      <c r="H560" s="25"/>
      <c r="I560" s="25"/>
      <c r="J560" s="25"/>
      <c r="K560" s="25"/>
      <c r="L560" s="25"/>
      <c r="M560" s="25"/>
      <c r="N560" s="25"/>
      <c r="O560" s="4"/>
      <c r="P560" s="4"/>
      <c r="Q560" s="4"/>
      <c r="R560" s="4"/>
      <c r="S560" s="4"/>
    </row>
    <row r="561" spans="1:19" ht="15" customHeight="1" x14ac:dyDescent="0.2">
      <c r="A561" s="26"/>
      <c r="B561" s="26"/>
      <c r="C561" s="26"/>
      <c r="D561" s="26"/>
      <c r="E561" s="26"/>
      <c r="F561" s="25"/>
      <c r="G561" s="25"/>
      <c r="H561" s="25"/>
      <c r="I561" s="25"/>
      <c r="J561" s="25"/>
      <c r="K561" s="25"/>
      <c r="L561" s="25"/>
      <c r="M561" s="25"/>
      <c r="N561" s="25"/>
      <c r="O561" s="4"/>
      <c r="P561" s="4"/>
      <c r="Q561" s="4"/>
      <c r="R561" s="4"/>
      <c r="S561" s="4"/>
    </row>
    <row r="562" spans="1:19" ht="15" customHeight="1" x14ac:dyDescent="0.2">
      <c r="A562" s="26"/>
      <c r="B562" s="26"/>
      <c r="C562" s="26"/>
      <c r="D562" s="26"/>
      <c r="E562" s="26"/>
      <c r="F562" s="25"/>
      <c r="G562" s="25"/>
      <c r="H562" s="25"/>
      <c r="I562" s="25"/>
      <c r="J562" s="25"/>
      <c r="K562" s="25"/>
      <c r="L562" s="25"/>
      <c r="M562" s="25"/>
      <c r="N562" s="25"/>
      <c r="O562" s="4"/>
      <c r="P562" s="4"/>
      <c r="Q562" s="4"/>
      <c r="R562" s="4"/>
      <c r="S562" s="4"/>
    </row>
    <row r="563" spans="1:19" ht="15" customHeight="1" x14ac:dyDescent="0.2">
      <c r="A563" s="26"/>
      <c r="B563" s="26"/>
      <c r="C563" s="26"/>
      <c r="D563" s="26"/>
      <c r="E563" s="26"/>
      <c r="F563" s="25"/>
      <c r="G563" s="25"/>
      <c r="H563" s="25"/>
      <c r="I563" s="25"/>
      <c r="J563" s="25"/>
      <c r="K563" s="25"/>
      <c r="L563" s="25"/>
      <c r="M563" s="25"/>
      <c r="N563" s="25"/>
      <c r="O563" s="4"/>
      <c r="P563" s="4"/>
      <c r="Q563" s="4"/>
      <c r="R563" s="4"/>
      <c r="S563" s="4"/>
    </row>
    <row r="564" spans="1:19" ht="15" customHeight="1" x14ac:dyDescent="0.2">
      <c r="A564" s="26"/>
      <c r="B564" s="26"/>
      <c r="C564" s="26"/>
      <c r="D564" s="26"/>
      <c r="E564" s="26"/>
      <c r="F564" s="25"/>
      <c r="G564" s="25"/>
      <c r="H564" s="25"/>
      <c r="I564" s="25"/>
      <c r="J564" s="25"/>
      <c r="K564" s="25"/>
      <c r="L564" s="25"/>
      <c r="M564" s="25"/>
      <c r="N564" s="25"/>
      <c r="O564" s="4"/>
      <c r="P564" s="4"/>
      <c r="Q564" s="4"/>
      <c r="R564" s="4"/>
      <c r="S564" s="4"/>
    </row>
    <row r="565" spans="1:19" ht="15" customHeight="1" x14ac:dyDescent="0.2">
      <c r="A565" s="26"/>
      <c r="B565" s="26"/>
      <c r="C565" s="26"/>
      <c r="D565" s="26"/>
      <c r="E565" s="26"/>
      <c r="F565" s="25"/>
      <c r="G565" s="25"/>
      <c r="H565" s="25"/>
      <c r="I565" s="25"/>
      <c r="J565" s="25"/>
      <c r="K565" s="25"/>
      <c r="L565" s="25"/>
      <c r="M565" s="25"/>
      <c r="N565" s="25"/>
      <c r="O565" s="4"/>
      <c r="P565" s="4"/>
      <c r="Q565" s="4"/>
      <c r="R565" s="4"/>
      <c r="S565" s="4"/>
    </row>
    <row r="566" spans="1:19" ht="15" customHeight="1" x14ac:dyDescent="0.2">
      <c r="A566" s="26"/>
      <c r="B566" s="26"/>
      <c r="C566" s="26"/>
      <c r="D566" s="26"/>
      <c r="E566" s="26"/>
      <c r="F566" s="25"/>
      <c r="G566" s="25"/>
      <c r="H566" s="25"/>
      <c r="I566" s="25"/>
      <c r="J566" s="25"/>
      <c r="K566" s="25"/>
      <c r="L566" s="25"/>
      <c r="M566" s="25"/>
      <c r="N566" s="25"/>
      <c r="O566" s="4"/>
      <c r="P566" s="4"/>
      <c r="Q566" s="4"/>
      <c r="R566" s="4"/>
      <c r="S566" s="4"/>
    </row>
    <row r="567" spans="1:19" ht="15" customHeight="1" x14ac:dyDescent="0.2">
      <c r="A567" s="26"/>
      <c r="B567" s="26"/>
      <c r="C567" s="26"/>
      <c r="D567" s="26"/>
      <c r="E567" s="26"/>
      <c r="F567" s="25"/>
      <c r="G567" s="25"/>
      <c r="H567" s="25"/>
      <c r="I567" s="25"/>
      <c r="J567" s="25"/>
      <c r="K567" s="25"/>
      <c r="L567" s="25"/>
      <c r="M567" s="25"/>
      <c r="N567" s="25"/>
      <c r="O567" s="4"/>
      <c r="P567" s="4"/>
      <c r="Q567" s="4"/>
      <c r="R567" s="4"/>
      <c r="S567" s="4"/>
    </row>
    <row r="568" spans="1:19" ht="15" customHeight="1" x14ac:dyDescent="0.2">
      <c r="A568" s="26"/>
      <c r="B568" s="26"/>
      <c r="C568" s="26"/>
      <c r="D568" s="26"/>
      <c r="E568" s="26"/>
      <c r="F568" s="25"/>
      <c r="G568" s="25"/>
      <c r="H568" s="25"/>
      <c r="I568" s="25"/>
      <c r="J568" s="25"/>
      <c r="K568" s="25"/>
      <c r="L568" s="25"/>
      <c r="M568" s="25"/>
      <c r="N568" s="25"/>
      <c r="O568" s="4"/>
      <c r="P568" s="4"/>
      <c r="Q568" s="4"/>
      <c r="R568" s="4"/>
      <c r="S568" s="4"/>
    </row>
    <row r="569" spans="1:19" ht="15" customHeight="1" x14ac:dyDescent="0.2">
      <c r="A569" s="26"/>
      <c r="B569" s="26"/>
      <c r="C569" s="26"/>
      <c r="D569" s="26"/>
      <c r="E569" s="26"/>
      <c r="F569" s="25"/>
      <c r="G569" s="25"/>
      <c r="H569" s="25"/>
      <c r="I569" s="25"/>
      <c r="J569" s="25"/>
      <c r="K569" s="25"/>
      <c r="L569" s="25"/>
      <c r="M569" s="25"/>
      <c r="N569" s="25"/>
      <c r="O569" s="4"/>
      <c r="P569" s="4"/>
      <c r="Q569" s="4"/>
      <c r="R569" s="4"/>
      <c r="S569" s="4"/>
    </row>
    <row r="570" spans="1:19" ht="15" customHeight="1" x14ac:dyDescent="0.2">
      <c r="A570" s="26"/>
      <c r="B570" s="26"/>
      <c r="C570" s="26"/>
      <c r="D570" s="26"/>
      <c r="E570" s="26"/>
      <c r="F570" s="25"/>
      <c r="G570" s="25"/>
      <c r="H570" s="25"/>
      <c r="I570" s="25"/>
      <c r="J570" s="25"/>
      <c r="K570" s="25"/>
      <c r="L570" s="25"/>
      <c r="M570" s="25"/>
      <c r="N570" s="25"/>
      <c r="O570" s="4"/>
      <c r="P570" s="4"/>
      <c r="Q570" s="4"/>
      <c r="R570" s="4"/>
      <c r="S570" s="4"/>
    </row>
    <row r="571" spans="1:19" ht="15" customHeight="1" x14ac:dyDescent="0.2">
      <c r="A571" s="26"/>
      <c r="B571" s="26"/>
      <c r="C571" s="26"/>
      <c r="D571" s="26"/>
      <c r="E571" s="26"/>
      <c r="F571" s="25"/>
      <c r="G571" s="25"/>
      <c r="H571" s="25"/>
      <c r="I571" s="25"/>
      <c r="J571" s="25"/>
      <c r="K571" s="25"/>
      <c r="L571" s="25"/>
      <c r="M571" s="25"/>
      <c r="N571" s="25"/>
      <c r="O571" s="4"/>
      <c r="P571" s="4"/>
      <c r="Q571" s="4"/>
      <c r="R571" s="4"/>
      <c r="S571" s="4"/>
    </row>
    <row r="572" spans="1:19" ht="15" customHeight="1" x14ac:dyDescent="0.2">
      <c r="A572" s="26"/>
      <c r="B572" s="26"/>
      <c r="C572" s="26"/>
      <c r="D572" s="26"/>
      <c r="E572" s="26"/>
      <c r="F572" s="25"/>
      <c r="G572" s="25"/>
      <c r="H572" s="25"/>
      <c r="I572" s="25"/>
      <c r="J572" s="25"/>
      <c r="K572" s="25"/>
      <c r="L572" s="25"/>
      <c r="M572" s="25"/>
      <c r="N572" s="25"/>
      <c r="O572" s="4"/>
      <c r="P572" s="4"/>
      <c r="Q572" s="4"/>
      <c r="R572" s="4"/>
      <c r="S572" s="4"/>
    </row>
    <row r="573" spans="1:19" ht="15" customHeight="1" x14ac:dyDescent="0.2">
      <c r="A573" s="26"/>
      <c r="B573" s="26"/>
      <c r="C573" s="26"/>
      <c r="D573" s="26"/>
      <c r="E573" s="26"/>
      <c r="F573" s="25"/>
      <c r="G573" s="25"/>
      <c r="H573" s="25"/>
      <c r="I573" s="25"/>
      <c r="J573" s="25"/>
      <c r="K573" s="25"/>
      <c r="L573" s="25"/>
      <c r="M573" s="25"/>
      <c r="N573" s="25"/>
      <c r="O573" s="4"/>
      <c r="P573" s="4"/>
      <c r="Q573" s="4"/>
      <c r="R573" s="4"/>
      <c r="S573" s="4"/>
    </row>
    <row r="574" spans="1:19" ht="15" customHeight="1" x14ac:dyDescent="0.2">
      <c r="A574" s="26"/>
      <c r="B574" s="26"/>
      <c r="C574" s="26"/>
      <c r="D574" s="26"/>
      <c r="E574" s="26"/>
      <c r="F574" s="25"/>
      <c r="G574" s="25"/>
      <c r="H574" s="25"/>
      <c r="I574" s="25"/>
      <c r="J574" s="25"/>
      <c r="K574" s="25"/>
      <c r="L574" s="25"/>
      <c r="M574" s="25"/>
      <c r="N574" s="25"/>
      <c r="O574" s="4"/>
      <c r="P574" s="4"/>
      <c r="Q574" s="4"/>
      <c r="R574" s="4"/>
      <c r="S574" s="4"/>
    </row>
    <row r="575" spans="1:19" ht="15" customHeight="1" x14ac:dyDescent="0.2">
      <c r="A575" s="26"/>
      <c r="B575" s="26"/>
      <c r="C575" s="26"/>
      <c r="D575" s="26"/>
      <c r="E575" s="26"/>
      <c r="F575" s="25"/>
      <c r="G575" s="25"/>
      <c r="H575" s="25"/>
      <c r="I575" s="25"/>
      <c r="J575" s="25"/>
      <c r="K575" s="25"/>
      <c r="L575" s="25"/>
      <c r="M575" s="25"/>
      <c r="N575" s="25"/>
      <c r="O575" s="4"/>
      <c r="P575" s="4"/>
      <c r="Q575" s="4"/>
      <c r="R575" s="4"/>
      <c r="S575" s="4"/>
    </row>
    <row r="576" spans="1:19" ht="15" customHeight="1" x14ac:dyDescent="0.2">
      <c r="A576" s="26"/>
      <c r="B576" s="26"/>
      <c r="C576" s="26"/>
      <c r="D576" s="26"/>
      <c r="E576" s="26"/>
      <c r="F576" s="25"/>
      <c r="G576" s="25"/>
      <c r="H576" s="25"/>
      <c r="I576" s="25"/>
      <c r="J576" s="25"/>
      <c r="K576" s="25"/>
      <c r="L576" s="25"/>
      <c r="M576" s="25"/>
      <c r="N576" s="25"/>
      <c r="O576" s="4"/>
      <c r="P576" s="4"/>
      <c r="Q576" s="4"/>
      <c r="R576" s="4"/>
      <c r="S576" s="4"/>
    </row>
    <row r="577" spans="1:19" ht="15" customHeight="1" x14ac:dyDescent="0.2">
      <c r="A577" s="26"/>
      <c r="B577" s="26"/>
      <c r="C577" s="26"/>
      <c r="D577" s="26"/>
      <c r="E577" s="26"/>
      <c r="F577" s="25"/>
      <c r="G577" s="25"/>
      <c r="H577" s="25"/>
      <c r="I577" s="25"/>
      <c r="J577" s="25"/>
      <c r="K577" s="25"/>
      <c r="L577" s="25"/>
      <c r="M577" s="25"/>
      <c r="N577" s="25"/>
      <c r="O577" s="4"/>
      <c r="P577" s="4"/>
      <c r="Q577" s="4"/>
      <c r="R577" s="4"/>
      <c r="S577" s="4"/>
    </row>
    <row r="578" spans="1:19" ht="15" customHeight="1" x14ac:dyDescent="0.2">
      <c r="A578" s="26"/>
      <c r="B578" s="26"/>
      <c r="C578" s="26"/>
      <c r="D578" s="26"/>
      <c r="E578" s="26"/>
      <c r="F578" s="25"/>
      <c r="G578" s="25"/>
      <c r="H578" s="25"/>
      <c r="I578" s="25"/>
      <c r="J578" s="25"/>
      <c r="K578" s="25"/>
      <c r="L578" s="25"/>
      <c r="M578" s="25"/>
      <c r="N578" s="25"/>
      <c r="O578" s="4"/>
      <c r="P578" s="4"/>
      <c r="Q578" s="4"/>
      <c r="R578" s="4"/>
      <c r="S578" s="4"/>
    </row>
    <row r="579" spans="1:19" ht="15" customHeight="1" x14ac:dyDescent="0.2">
      <c r="A579" s="26"/>
      <c r="B579" s="26"/>
      <c r="C579" s="26"/>
      <c r="D579" s="26"/>
      <c r="E579" s="26"/>
      <c r="F579" s="25"/>
      <c r="G579" s="25"/>
      <c r="H579" s="25"/>
      <c r="I579" s="25"/>
      <c r="J579" s="25"/>
      <c r="K579" s="25"/>
      <c r="L579" s="25"/>
      <c r="M579" s="25"/>
      <c r="N579" s="25"/>
      <c r="O579" s="4"/>
      <c r="P579" s="4"/>
      <c r="Q579" s="4"/>
      <c r="R579" s="4"/>
      <c r="S579" s="4"/>
    </row>
    <row r="580" spans="1:19" ht="15" customHeight="1" x14ac:dyDescent="0.2">
      <c r="A580" s="26"/>
      <c r="B580" s="26"/>
      <c r="C580" s="26"/>
      <c r="D580" s="26"/>
      <c r="E580" s="26"/>
      <c r="F580" s="25"/>
      <c r="G580" s="25"/>
      <c r="H580" s="25"/>
      <c r="I580" s="25"/>
      <c r="J580" s="25"/>
      <c r="K580" s="25"/>
      <c r="L580" s="25"/>
      <c r="M580" s="25"/>
      <c r="N580" s="25"/>
      <c r="O580" s="4"/>
      <c r="P580" s="4"/>
      <c r="Q580" s="4"/>
      <c r="R580" s="4"/>
      <c r="S580" s="4"/>
    </row>
    <row r="581" spans="1:19" ht="15" customHeight="1" x14ac:dyDescent="0.2">
      <c r="A581" s="26"/>
      <c r="B581" s="26"/>
      <c r="C581" s="26"/>
      <c r="D581" s="26"/>
      <c r="E581" s="26"/>
      <c r="F581" s="25"/>
      <c r="G581" s="25"/>
      <c r="H581" s="25"/>
      <c r="I581" s="25"/>
      <c r="J581" s="25"/>
      <c r="K581" s="25"/>
      <c r="L581" s="25"/>
      <c r="M581" s="25"/>
      <c r="N581" s="25"/>
      <c r="O581" s="4"/>
      <c r="P581" s="4"/>
      <c r="Q581" s="4"/>
      <c r="R581" s="4"/>
      <c r="S581" s="4"/>
    </row>
    <row r="582" spans="1:19" ht="15" customHeight="1" x14ac:dyDescent="0.2">
      <c r="A582" s="26"/>
      <c r="B582" s="26"/>
      <c r="C582" s="26"/>
      <c r="D582" s="26"/>
      <c r="E582" s="26"/>
      <c r="F582" s="25"/>
      <c r="G582" s="25"/>
      <c r="H582" s="25"/>
      <c r="I582" s="25"/>
      <c r="J582" s="25"/>
      <c r="K582" s="25"/>
      <c r="L582" s="25"/>
      <c r="M582" s="25"/>
      <c r="N582" s="25"/>
      <c r="O582" s="4"/>
      <c r="P582" s="4"/>
      <c r="Q582" s="4"/>
      <c r="R582" s="4"/>
      <c r="S582" s="4"/>
    </row>
    <row r="583" spans="1:19" ht="15" customHeight="1" x14ac:dyDescent="0.2">
      <c r="A583" s="26"/>
      <c r="B583" s="26"/>
      <c r="C583" s="26"/>
      <c r="D583" s="26"/>
      <c r="E583" s="26"/>
      <c r="F583" s="25"/>
      <c r="G583" s="25"/>
      <c r="H583" s="25"/>
      <c r="I583" s="25"/>
      <c r="J583" s="25"/>
      <c r="K583" s="25"/>
      <c r="L583" s="25"/>
      <c r="M583" s="25"/>
      <c r="N583" s="25"/>
      <c r="O583" s="4"/>
      <c r="P583" s="4"/>
      <c r="Q583" s="4"/>
      <c r="R583" s="4"/>
      <c r="S583" s="4"/>
    </row>
    <row r="584" spans="1:19" ht="15" customHeight="1" x14ac:dyDescent="0.2">
      <c r="A584" s="26"/>
      <c r="B584" s="26"/>
      <c r="C584" s="26"/>
      <c r="D584" s="26"/>
      <c r="E584" s="26"/>
      <c r="F584" s="25"/>
      <c r="G584" s="25"/>
      <c r="H584" s="25"/>
      <c r="I584" s="25"/>
      <c r="J584" s="25"/>
      <c r="K584" s="25"/>
      <c r="L584" s="25"/>
      <c r="M584" s="25"/>
      <c r="N584" s="25"/>
      <c r="O584" s="4"/>
      <c r="P584" s="4"/>
      <c r="Q584" s="4"/>
      <c r="R584" s="4"/>
      <c r="S584" s="4"/>
    </row>
    <row r="585" spans="1:19" ht="15" customHeight="1" x14ac:dyDescent="0.2">
      <c r="A585" s="26"/>
      <c r="B585" s="26"/>
      <c r="C585" s="26"/>
      <c r="D585" s="26"/>
      <c r="E585" s="26"/>
      <c r="F585" s="25"/>
      <c r="G585" s="25"/>
      <c r="H585" s="25"/>
      <c r="I585" s="25"/>
      <c r="J585" s="25"/>
      <c r="K585" s="25"/>
      <c r="L585" s="25"/>
      <c r="M585" s="25"/>
      <c r="N585" s="25"/>
      <c r="O585" s="4"/>
      <c r="P585" s="4"/>
      <c r="Q585" s="4"/>
      <c r="R585" s="4"/>
      <c r="S585" s="4"/>
    </row>
    <row r="586" spans="1:19" ht="15" customHeight="1" x14ac:dyDescent="0.2">
      <c r="A586" s="26"/>
      <c r="B586" s="26"/>
      <c r="C586" s="26"/>
      <c r="D586" s="26"/>
      <c r="E586" s="26"/>
      <c r="F586" s="25"/>
      <c r="G586" s="25"/>
      <c r="H586" s="25"/>
      <c r="I586" s="25"/>
      <c r="J586" s="25"/>
      <c r="K586" s="25"/>
      <c r="L586" s="25"/>
      <c r="M586" s="25"/>
      <c r="N586" s="25"/>
      <c r="O586" s="4"/>
      <c r="P586" s="4"/>
      <c r="Q586" s="4"/>
      <c r="R586" s="4"/>
      <c r="S586" s="4"/>
    </row>
    <row r="587" spans="1:19" ht="15" customHeight="1" x14ac:dyDescent="0.2">
      <c r="A587" s="26"/>
      <c r="B587" s="26"/>
      <c r="C587" s="26"/>
      <c r="D587" s="26"/>
      <c r="E587" s="26"/>
      <c r="F587" s="25"/>
      <c r="G587" s="25"/>
      <c r="H587" s="25"/>
      <c r="I587" s="25"/>
      <c r="J587" s="25"/>
      <c r="K587" s="25"/>
      <c r="L587" s="25"/>
      <c r="M587" s="25"/>
      <c r="N587" s="25"/>
      <c r="O587" s="4"/>
      <c r="P587" s="4"/>
      <c r="Q587" s="4"/>
      <c r="R587" s="4"/>
      <c r="S587" s="4"/>
    </row>
    <row r="588" spans="1:19" ht="15" customHeight="1" x14ac:dyDescent="0.2">
      <c r="A588" s="26"/>
      <c r="B588" s="26"/>
      <c r="C588" s="26"/>
      <c r="D588" s="26"/>
      <c r="E588" s="26"/>
      <c r="F588" s="25"/>
      <c r="G588" s="25"/>
      <c r="H588" s="25"/>
      <c r="I588" s="25"/>
      <c r="J588" s="25"/>
      <c r="K588" s="25"/>
      <c r="L588" s="25"/>
      <c r="M588" s="25"/>
      <c r="N588" s="25"/>
      <c r="O588" s="4"/>
      <c r="P588" s="4"/>
      <c r="Q588" s="4"/>
      <c r="R588" s="4"/>
      <c r="S588" s="4"/>
    </row>
    <row r="589" spans="1:19" ht="15" customHeight="1" x14ac:dyDescent="0.2">
      <c r="A589" s="26"/>
      <c r="B589" s="26"/>
      <c r="C589" s="26"/>
      <c r="D589" s="26"/>
      <c r="E589" s="26"/>
      <c r="F589" s="25"/>
      <c r="G589" s="25"/>
      <c r="H589" s="25"/>
      <c r="I589" s="25"/>
      <c r="J589" s="25"/>
      <c r="K589" s="25"/>
      <c r="L589" s="25"/>
      <c r="M589" s="25"/>
      <c r="N589" s="25"/>
      <c r="O589" s="4"/>
      <c r="P589" s="4"/>
      <c r="Q589" s="4"/>
      <c r="R589" s="4"/>
      <c r="S589" s="4"/>
    </row>
    <row r="590" spans="1:19" ht="15" customHeight="1" x14ac:dyDescent="0.2">
      <c r="A590" s="26"/>
      <c r="B590" s="26"/>
      <c r="C590" s="26"/>
      <c r="D590" s="26"/>
      <c r="E590" s="26"/>
      <c r="F590" s="25"/>
      <c r="G590" s="25"/>
      <c r="H590" s="25"/>
      <c r="I590" s="25"/>
      <c r="J590" s="25"/>
      <c r="K590" s="25"/>
      <c r="L590" s="25"/>
      <c r="M590" s="25"/>
      <c r="N590" s="25"/>
      <c r="O590" s="4"/>
      <c r="P590" s="4"/>
      <c r="Q590" s="4"/>
      <c r="R590" s="4"/>
      <c r="S590" s="4"/>
    </row>
    <row r="591" spans="1:19" ht="15" customHeight="1" x14ac:dyDescent="0.2">
      <c r="A591" s="26"/>
      <c r="B591" s="26"/>
      <c r="C591" s="26"/>
      <c r="D591" s="26"/>
      <c r="E591" s="26"/>
      <c r="F591" s="25"/>
      <c r="G591" s="25"/>
      <c r="H591" s="25"/>
      <c r="I591" s="25"/>
      <c r="J591" s="25"/>
      <c r="K591" s="25"/>
      <c r="L591" s="25"/>
      <c r="M591" s="25"/>
      <c r="N591" s="25"/>
      <c r="O591" s="4"/>
      <c r="P591" s="4"/>
      <c r="Q591" s="4"/>
      <c r="R591" s="4"/>
      <c r="S591" s="4"/>
    </row>
    <row r="592" spans="1:19" ht="15" customHeight="1" x14ac:dyDescent="0.2">
      <c r="A592" s="26"/>
      <c r="B592" s="26"/>
      <c r="C592" s="26"/>
      <c r="D592" s="26"/>
      <c r="E592" s="26"/>
      <c r="F592" s="25"/>
      <c r="G592" s="25"/>
      <c r="H592" s="25"/>
      <c r="I592" s="25"/>
      <c r="J592" s="25"/>
      <c r="K592" s="25"/>
      <c r="L592" s="25"/>
      <c r="M592" s="25"/>
      <c r="N592" s="25"/>
      <c r="O592" s="4"/>
      <c r="P592" s="4"/>
      <c r="Q592" s="4"/>
      <c r="R592" s="4"/>
      <c r="S592" s="4"/>
    </row>
    <row r="593" spans="1:19" ht="15" customHeight="1" x14ac:dyDescent="0.2">
      <c r="A593" s="26"/>
      <c r="B593" s="26"/>
      <c r="C593" s="26"/>
      <c r="D593" s="26"/>
      <c r="E593" s="26"/>
      <c r="F593" s="25"/>
      <c r="G593" s="25"/>
      <c r="H593" s="25"/>
      <c r="I593" s="25"/>
      <c r="J593" s="25"/>
      <c r="K593" s="25"/>
      <c r="L593" s="25"/>
      <c r="M593" s="25"/>
      <c r="N593" s="25"/>
      <c r="O593" s="4"/>
      <c r="P593" s="4"/>
      <c r="Q593" s="4"/>
      <c r="R593" s="4"/>
      <c r="S593" s="4"/>
    </row>
    <row r="594" spans="1:19" ht="15" customHeight="1" x14ac:dyDescent="0.2">
      <c r="A594" s="26"/>
      <c r="B594" s="26"/>
      <c r="C594" s="26"/>
      <c r="D594" s="26"/>
      <c r="E594" s="26"/>
      <c r="F594" s="25"/>
      <c r="G594" s="25"/>
      <c r="H594" s="25"/>
      <c r="I594" s="25"/>
      <c r="J594" s="25"/>
      <c r="K594" s="25"/>
      <c r="L594" s="25"/>
      <c r="M594" s="25"/>
      <c r="N594" s="25"/>
      <c r="O594" s="4"/>
      <c r="P594" s="4"/>
      <c r="Q594" s="4"/>
      <c r="R594" s="4"/>
      <c r="S594" s="4"/>
    </row>
    <row r="595" spans="1:19" ht="15" customHeight="1" x14ac:dyDescent="0.2">
      <c r="A595" s="26"/>
      <c r="B595" s="26"/>
      <c r="C595" s="26"/>
      <c r="D595" s="26"/>
      <c r="E595" s="26"/>
      <c r="F595" s="25"/>
      <c r="G595" s="25"/>
      <c r="H595" s="25"/>
      <c r="I595" s="25"/>
      <c r="J595" s="25"/>
      <c r="K595" s="25"/>
      <c r="L595" s="25"/>
      <c r="M595" s="25"/>
      <c r="N595" s="25"/>
      <c r="O595" s="4"/>
      <c r="P595" s="4"/>
      <c r="Q595" s="4"/>
      <c r="R595" s="4"/>
      <c r="S595" s="4"/>
    </row>
    <row r="596" spans="1:19" ht="15" customHeight="1" x14ac:dyDescent="0.2">
      <c r="A596" s="26"/>
      <c r="B596" s="26"/>
      <c r="C596" s="26"/>
      <c r="D596" s="26"/>
      <c r="E596" s="26"/>
      <c r="F596" s="25"/>
      <c r="G596" s="25"/>
      <c r="H596" s="25"/>
      <c r="I596" s="25"/>
      <c r="J596" s="25"/>
      <c r="K596" s="25"/>
      <c r="L596" s="25"/>
      <c r="M596" s="25"/>
      <c r="N596" s="25"/>
      <c r="O596" s="4"/>
      <c r="P596" s="4"/>
      <c r="Q596" s="4"/>
      <c r="R596" s="4"/>
      <c r="S596" s="4"/>
    </row>
    <row r="597" spans="1:19" ht="15" customHeight="1" x14ac:dyDescent="0.2">
      <c r="A597" s="26"/>
      <c r="B597" s="26"/>
      <c r="C597" s="26"/>
      <c r="D597" s="26"/>
      <c r="E597" s="26"/>
      <c r="F597" s="25"/>
      <c r="G597" s="25"/>
      <c r="H597" s="25"/>
      <c r="I597" s="25"/>
      <c r="J597" s="25"/>
      <c r="K597" s="25"/>
      <c r="L597" s="25"/>
      <c r="M597" s="25"/>
      <c r="N597" s="25"/>
      <c r="O597" s="4"/>
      <c r="P597" s="4"/>
      <c r="Q597" s="4"/>
      <c r="R597" s="4"/>
      <c r="S597" s="4"/>
    </row>
    <row r="598" spans="1:19" ht="15" customHeight="1" x14ac:dyDescent="0.2">
      <c r="A598" s="26"/>
      <c r="B598" s="26"/>
      <c r="C598" s="26"/>
      <c r="D598" s="26"/>
      <c r="E598" s="26"/>
      <c r="F598" s="25"/>
      <c r="G598" s="25"/>
      <c r="H598" s="25"/>
      <c r="I598" s="25"/>
      <c r="J598" s="25"/>
      <c r="K598" s="25"/>
      <c r="L598" s="25"/>
      <c r="M598" s="25"/>
      <c r="N598" s="25"/>
      <c r="O598" s="4"/>
      <c r="P598" s="4"/>
      <c r="Q598" s="4"/>
      <c r="R598" s="4"/>
      <c r="S598" s="4"/>
    </row>
    <row r="599" spans="1:19" ht="15" customHeight="1" x14ac:dyDescent="0.2">
      <c r="A599" s="26"/>
      <c r="B599" s="26"/>
      <c r="C599" s="26"/>
      <c r="D599" s="26"/>
      <c r="E599" s="26"/>
      <c r="F599" s="25"/>
      <c r="G599" s="25"/>
      <c r="H599" s="25"/>
      <c r="I599" s="25"/>
      <c r="J599" s="25"/>
      <c r="K599" s="25"/>
      <c r="L599" s="25"/>
      <c r="M599" s="25"/>
      <c r="N599" s="25"/>
      <c r="O599" s="4"/>
      <c r="P599" s="4"/>
      <c r="Q599" s="4"/>
      <c r="R599" s="4"/>
      <c r="S599" s="4"/>
    </row>
    <row r="600" spans="1:19" ht="15" customHeight="1" x14ac:dyDescent="0.2">
      <c r="A600" s="26"/>
      <c r="B600" s="26"/>
      <c r="C600" s="26"/>
      <c r="D600" s="26"/>
      <c r="E600" s="26"/>
      <c r="F600" s="25"/>
      <c r="G600" s="25"/>
      <c r="H600" s="25"/>
      <c r="I600" s="25"/>
      <c r="J600" s="25"/>
      <c r="K600" s="25"/>
      <c r="L600" s="25"/>
      <c r="M600" s="25"/>
      <c r="N600" s="25"/>
      <c r="O600" s="4"/>
      <c r="P600" s="4"/>
      <c r="Q600" s="4"/>
      <c r="R600" s="4"/>
      <c r="S600" s="4"/>
    </row>
    <row r="601" spans="1:19" ht="15" customHeight="1" x14ac:dyDescent="0.2">
      <c r="A601" s="26"/>
      <c r="B601" s="26"/>
      <c r="C601" s="26"/>
      <c r="D601" s="26"/>
      <c r="E601" s="26"/>
      <c r="F601" s="25"/>
      <c r="G601" s="25"/>
      <c r="H601" s="25"/>
      <c r="I601" s="25"/>
      <c r="J601" s="25"/>
      <c r="K601" s="25"/>
      <c r="L601" s="25"/>
      <c r="M601" s="25"/>
      <c r="N601" s="25"/>
      <c r="O601" s="4"/>
      <c r="P601" s="4"/>
      <c r="Q601" s="4"/>
      <c r="R601" s="4"/>
      <c r="S601" s="4"/>
    </row>
    <row r="602" spans="1:19" ht="15" customHeight="1" x14ac:dyDescent="0.2">
      <c r="A602" s="26"/>
      <c r="B602" s="26"/>
      <c r="C602" s="26"/>
      <c r="D602" s="26"/>
      <c r="E602" s="26"/>
      <c r="F602" s="25"/>
      <c r="G602" s="25"/>
      <c r="H602" s="25"/>
      <c r="I602" s="25"/>
      <c r="J602" s="25"/>
      <c r="K602" s="25"/>
      <c r="L602" s="25"/>
      <c r="M602" s="25"/>
      <c r="N602" s="25"/>
      <c r="O602" s="4"/>
      <c r="P602" s="4"/>
      <c r="Q602" s="4"/>
      <c r="R602" s="4"/>
      <c r="S602" s="4"/>
    </row>
    <row r="603" spans="1:19" ht="15" customHeight="1" x14ac:dyDescent="0.2">
      <c r="A603" s="26"/>
      <c r="B603" s="26"/>
      <c r="C603" s="26"/>
      <c r="D603" s="26"/>
      <c r="E603" s="26"/>
      <c r="F603" s="25"/>
      <c r="G603" s="25"/>
      <c r="H603" s="25"/>
      <c r="I603" s="25"/>
      <c r="J603" s="25"/>
      <c r="K603" s="25"/>
      <c r="L603" s="25"/>
      <c r="M603" s="25"/>
      <c r="N603" s="25"/>
      <c r="O603" s="4"/>
      <c r="P603" s="4"/>
      <c r="Q603" s="4"/>
      <c r="R603" s="4"/>
      <c r="S603" s="4"/>
    </row>
    <row r="604" spans="1:19" ht="15" customHeight="1" x14ac:dyDescent="0.2">
      <c r="A604" s="26"/>
      <c r="B604" s="26"/>
      <c r="C604" s="26"/>
      <c r="D604" s="26"/>
      <c r="E604" s="26"/>
      <c r="F604" s="25"/>
      <c r="G604" s="25"/>
      <c r="H604" s="25"/>
      <c r="I604" s="25"/>
      <c r="J604" s="25"/>
      <c r="K604" s="25"/>
      <c r="L604" s="25"/>
      <c r="M604" s="25"/>
      <c r="N604" s="25"/>
      <c r="O604" s="4"/>
      <c r="P604" s="4"/>
      <c r="Q604" s="4"/>
      <c r="R604" s="4"/>
      <c r="S604" s="4"/>
    </row>
    <row r="605" spans="1:19" ht="15" customHeight="1" x14ac:dyDescent="0.2">
      <c r="A605" s="26"/>
      <c r="B605" s="26"/>
      <c r="C605" s="26"/>
      <c r="D605" s="26"/>
      <c r="E605" s="26"/>
      <c r="F605" s="25"/>
      <c r="G605" s="25"/>
      <c r="H605" s="25"/>
      <c r="I605" s="25"/>
      <c r="J605" s="25"/>
      <c r="K605" s="25"/>
      <c r="L605" s="25"/>
      <c r="M605" s="25"/>
      <c r="N605" s="25"/>
      <c r="O605" s="4"/>
      <c r="P605" s="4"/>
      <c r="Q605" s="4"/>
      <c r="R605" s="4"/>
      <c r="S605" s="4"/>
    </row>
    <row r="606" spans="1:19" ht="15" customHeight="1" x14ac:dyDescent="0.2">
      <c r="A606" s="26"/>
      <c r="B606" s="26"/>
      <c r="C606" s="26"/>
      <c r="D606" s="26"/>
      <c r="E606" s="26"/>
      <c r="F606" s="25"/>
      <c r="G606" s="25"/>
      <c r="H606" s="25"/>
      <c r="I606" s="25"/>
      <c r="J606" s="25"/>
      <c r="K606" s="25"/>
      <c r="L606" s="25"/>
      <c r="M606" s="25"/>
      <c r="N606" s="25"/>
      <c r="O606" s="4"/>
      <c r="P606" s="4"/>
      <c r="Q606" s="4"/>
      <c r="R606" s="4"/>
      <c r="S606" s="4"/>
    </row>
    <row r="607" spans="1:19" ht="15" customHeight="1" x14ac:dyDescent="0.2">
      <c r="A607" s="26"/>
      <c r="B607" s="26"/>
      <c r="C607" s="26"/>
      <c r="D607" s="26"/>
      <c r="E607" s="26"/>
      <c r="F607" s="25"/>
      <c r="G607" s="25"/>
      <c r="H607" s="25"/>
      <c r="I607" s="25"/>
      <c r="J607" s="25"/>
      <c r="K607" s="25"/>
      <c r="L607" s="25"/>
      <c r="M607" s="25"/>
      <c r="N607" s="25"/>
      <c r="O607" s="4"/>
      <c r="P607" s="4"/>
      <c r="Q607" s="4"/>
      <c r="R607" s="4"/>
      <c r="S607" s="4"/>
    </row>
    <row r="608" spans="1:19" ht="15" customHeight="1" x14ac:dyDescent="0.2">
      <c r="A608" s="26"/>
      <c r="B608" s="26"/>
      <c r="C608" s="26"/>
      <c r="D608" s="26"/>
      <c r="E608" s="26"/>
      <c r="F608" s="25"/>
      <c r="G608" s="25"/>
      <c r="H608" s="25"/>
      <c r="I608" s="25"/>
      <c r="J608" s="25"/>
      <c r="K608" s="25"/>
      <c r="L608" s="25"/>
      <c r="M608" s="25"/>
      <c r="N608" s="25"/>
      <c r="O608" s="4"/>
      <c r="P608" s="4"/>
      <c r="Q608" s="4"/>
      <c r="R608" s="4"/>
      <c r="S608" s="4"/>
    </row>
    <row r="609" spans="1:19" ht="15" customHeight="1" x14ac:dyDescent="0.2">
      <c r="A609" s="26"/>
      <c r="B609" s="26"/>
      <c r="C609" s="26"/>
      <c r="D609" s="26"/>
      <c r="E609" s="26"/>
      <c r="F609" s="25"/>
      <c r="G609" s="25"/>
      <c r="H609" s="25"/>
      <c r="I609" s="25"/>
      <c r="J609" s="25"/>
      <c r="K609" s="25"/>
      <c r="L609" s="25"/>
      <c r="M609" s="25"/>
      <c r="N609" s="25"/>
      <c r="O609" s="4"/>
      <c r="P609" s="4"/>
      <c r="Q609" s="4"/>
      <c r="R609" s="4"/>
      <c r="S609" s="4"/>
    </row>
    <row r="610" spans="1:19" ht="15" customHeight="1" x14ac:dyDescent="0.2">
      <c r="A610" s="26"/>
      <c r="B610" s="26"/>
      <c r="C610" s="26"/>
      <c r="D610" s="26"/>
      <c r="E610" s="26"/>
      <c r="F610" s="25"/>
      <c r="G610" s="25"/>
      <c r="H610" s="25"/>
      <c r="I610" s="25"/>
      <c r="J610" s="25"/>
      <c r="K610" s="25"/>
      <c r="L610" s="25"/>
      <c r="M610" s="25"/>
      <c r="N610" s="25"/>
      <c r="O610" s="4"/>
      <c r="P610" s="4"/>
      <c r="Q610" s="4"/>
      <c r="R610" s="4"/>
      <c r="S610" s="4"/>
    </row>
    <row r="611" spans="1:19" ht="15" customHeight="1" x14ac:dyDescent="0.2">
      <c r="A611" s="26"/>
      <c r="B611" s="26"/>
      <c r="C611" s="26"/>
      <c r="D611" s="26"/>
      <c r="E611" s="26"/>
      <c r="F611" s="25"/>
      <c r="G611" s="25"/>
      <c r="H611" s="25"/>
      <c r="I611" s="25"/>
      <c r="J611" s="25"/>
      <c r="K611" s="25"/>
      <c r="L611" s="25"/>
      <c r="M611" s="25"/>
      <c r="N611" s="25"/>
      <c r="O611" s="4"/>
      <c r="P611" s="4"/>
      <c r="Q611" s="4"/>
      <c r="R611" s="4"/>
      <c r="S611" s="4"/>
    </row>
    <row r="612" spans="1:19" ht="15" customHeight="1" x14ac:dyDescent="0.2">
      <c r="A612" s="26"/>
      <c r="B612" s="26"/>
      <c r="C612" s="26"/>
      <c r="D612" s="26"/>
      <c r="E612" s="26"/>
      <c r="F612" s="25"/>
      <c r="G612" s="25"/>
      <c r="H612" s="25"/>
      <c r="I612" s="25"/>
      <c r="J612" s="25"/>
      <c r="K612" s="25"/>
      <c r="L612" s="25"/>
      <c r="M612" s="25"/>
      <c r="N612" s="25"/>
      <c r="O612" s="4"/>
      <c r="P612" s="4"/>
      <c r="Q612" s="4"/>
      <c r="R612" s="4"/>
      <c r="S612" s="4"/>
    </row>
    <row r="613" spans="1:19" ht="15" customHeight="1" x14ac:dyDescent="0.2">
      <c r="A613" s="26"/>
      <c r="B613" s="26"/>
      <c r="C613" s="26"/>
      <c r="D613" s="26"/>
      <c r="E613" s="26"/>
      <c r="F613" s="25"/>
      <c r="G613" s="25"/>
      <c r="H613" s="25"/>
      <c r="I613" s="25"/>
      <c r="J613" s="25"/>
      <c r="K613" s="25"/>
      <c r="L613" s="25"/>
      <c r="M613" s="25"/>
      <c r="N613" s="25"/>
      <c r="O613" s="4"/>
      <c r="P613" s="4"/>
      <c r="Q613" s="4"/>
      <c r="R613" s="4"/>
      <c r="S613" s="4"/>
    </row>
    <row r="614" spans="1:19" ht="15" customHeight="1" x14ac:dyDescent="0.2">
      <c r="A614" s="26"/>
      <c r="B614" s="26"/>
      <c r="C614" s="26"/>
      <c r="D614" s="26"/>
      <c r="E614" s="26"/>
      <c r="F614" s="25"/>
      <c r="G614" s="25"/>
      <c r="H614" s="25"/>
      <c r="I614" s="25"/>
      <c r="J614" s="25"/>
      <c r="K614" s="25"/>
      <c r="L614" s="25"/>
      <c r="M614" s="25"/>
      <c r="N614" s="25"/>
      <c r="O614" s="4"/>
      <c r="P614" s="4"/>
      <c r="Q614" s="4"/>
      <c r="R614" s="4"/>
      <c r="S614" s="4"/>
    </row>
    <row r="615" spans="1:19" ht="15" customHeight="1" x14ac:dyDescent="0.2">
      <c r="A615" s="26"/>
      <c r="B615" s="26"/>
      <c r="C615" s="26"/>
      <c r="D615" s="26"/>
      <c r="E615" s="26"/>
      <c r="F615" s="25"/>
      <c r="G615" s="25"/>
      <c r="H615" s="25"/>
      <c r="I615" s="25"/>
      <c r="J615" s="25"/>
      <c r="K615" s="25"/>
      <c r="L615" s="25"/>
      <c r="M615" s="25"/>
      <c r="N615" s="25"/>
      <c r="O615" s="4"/>
      <c r="P615" s="4"/>
      <c r="Q615" s="4"/>
      <c r="R615" s="4"/>
      <c r="S615" s="4"/>
    </row>
    <row r="616" spans="1:19" ht="15" customHeight="1" x14ac:dyDescent="0.2">
      <c r="A616" s="26"/>
      <c r="B616" s="26"/>
      <c r="C616" s="26"/>
      <c r="D616" s="26"/>
      <c r="E616" s="26"/>
      <c r="F616" s="25"/>
      <c r="G616" s="25"/>
      <c r="H616" s="25"/>
      <c r="I616" s="25"/>
      <c r="J616" s="25"/>
      <c r="K616" s="25"/>
      <c r="L616" s="25"/>
      <c r="M616" s="25"/>
      <c r="N616" s="25"/>
      <c r="O616" s="4"/>
      <c r="P616" s="4"/>
      <c r="Q616" s="4"/>
      <c r="R616" s="4"/>
      <c r="S616" s="4"/>
    </row>
    <row r="617" spans="1:19" ht="15" customHeight="1" x14ac:dyDescent="0.2">
      <c r="A617" s="26"/>
      <c r="B617" s="26"/>
      <c r="C617" s="26"/>
      <c r="D617" s="26"/>
      <c r="E617" s="26"/>
      <c r="F617" s="25"/>
      <c r="G617" s="25"/>
      <c r="H617" s="25"/>
      <c r="I617" s="25"/>
      <c r="J617" s="25"/>
      <c r="K617" s="25"/>
      <c r="L617" s="25"/>
      <c r="M617" s="25"/>
      <c r="N617" s="25"/>
      <c r="O617" s="4"/>
      <c r="P617" s="4"/>
      <c r="Q617" s="4"/>
      <c r="R617" s="4"/>
      <c r="S617" s="4"/>
    </row>
    <row r="618" spans="1:19" ht="15" customHeight="1" x14ac:dyDescent="0.2">
      <c r="A618" s="26"/>
      <c r="B618" s="26"/>
      <c r="C618" s="26"/>
      <c r="D618" s="26"/>
      <c r="E618" s="26"/>
      <c r="F618" s="25"/>
      <c r="G618" s="25"/>
      <c r="H618" s="25"/>
      <c r="I618" s="25"/>
      <c r="J618" s="25"/>
      <c r="K618" s="25"/>
      <c r="L618" s="25"/>
      <c r="M618" s="25"/>
      <c r="N618" s="25"/>
      <c r="O618" s="4"/>
      <c r="P618" s="4"/>
      <c r="Q618" s="4"/>
      <c r="R618" s="4"/>
      <c r="S618" s="4"/>
    </row>
    <row r="619" spans="1:19" ht="15" customHeight="1" x14ac:dyDescent="0.2">
      <c r="A619" s="26"/>
      <c r="B619" s="26"/>
      <c r="C619" s="26"/>
      <c r="D619" s="26"/>
      <c r="E619" s="26"/>
      <c r="F619" s="25"/>
      <c r="G619" s="25"/>
      <c r="H619" s="25"/>
      <c r="I619" s="25"/>
      <c r="J619" s="25"/>
      <c r="K619" s="25"/>
      <c r="L619" s="25"/>
      <c r="M619" s="25"/>
      <c r="N619" s="25"/>
      <c r="O619" s="4"/>
      <c r="P619" s="4"/>
      <c r="Q619" s="4"/>
      <c r="R619" s="4"/>
      <c r="S619" s="4"/>
    </row>
    <row r="620" spans="1:19" ht="15" customHeight="1" x14ac:dyDescent="0.2">
      <c r="A620" s="26"/>
      <c r="B620" s="26"/>
      <c r="C620" s="26"/>
      <c r="D620" s="26"/>
      <c r="E620" s="26"/>
      <c r="F620" s="25"/>
      <c r="G620" s="25"/>
      <c r="H620" s="25"/>
      <c r="I620" s="25"/>
      <c r="J620" s="25"/>
      <c r="K620" s="25"/>
      <c r="L620" s="25"/>
      <c r="M620" s="25"/>
      <c r="N620" s="25"/>
      <c r="O620" s="4"/>
      <c r="P620" s="4"/>
      <c r="Q620" s="4"/>
      <c r="R620" s="4"/>
      <c r="S620" s="4"/>
    </row>
    <row r="621" spans="1:19" ht="15" customHeight="1" x14ac:dyDescent="0.2">
      <c r="A621" s="26"/>
      <c r="B621" s="26"/>
      <c r="C621" s="26"/>
      <c r="D621" s="26"/>
      <c r="E621" s="26"/>
      <c r="F621" s="25"/>
      <c r="G621" s="25"/>
      <c r="H621" s="25"/>
      <c r="I621" s="25"/>
      <c r="J621" s="25"/>
      <c r="K621" s="25"/>
      <c r="L621" s="25"/>
      <c r="M621" s="25"/>
      <c r="N621" s="25"/>
      <c r="O621" s="4"/>
      <c r="P621" s="4"/>
      <c r="Q621" s="4"/>
      <c r="R621" s="4"/>
      <c r="S621" s="4"/>
    </row>
    <row r="622" spans="1:19" ht="15" customHeight="1" x14ac:dyDescent="0.2">
      <c r="A622" s="26"/>
      <c r="B622" s="26"/>
      <c r="C622" s="26"/>
      <c r="D622" s="26"/>
      <c r="E622" s="26"/>
      <c r="F622" s="25"/>
      <c r="G622" s="25"/>
      <c r="H622" s="25"/>
      <c r="I622" s="25"/>
      <c r="J622" s="25"/>
      <c r="K622" s="25"/>
      <c r="L622" s="25"/>
      <c r="M622" s="25"/>
      <c r="N622" s="25"/>
      <c r="O622" s="4"/>
      <c r="P622" s="4"/>
      <c r="Q622" s="4"/>
      <c r="R622" s="4"/>
      <c r="S622" s="4"/>
    </row>
    <row r="623" spans="1:19" ht="15" customHeight="1" x14ac:dyDescent="0.2">
      <c r="A623" s="26"/>
      <c r="B623" s="26"/>
      <c r="C623" s="26"/>
      <c r="D623" s="26"/>
      <c r="E623" s="26"/>
      <c r="F623" s="25"/>
      <c r="G623" s="25"/>
      <c r="H623" s="25"/>
      <c r="I623" s="25"/>
      <c r="J623" s="25"/>
      <c r="K623" s="25"/>
      <c r="L623" s="25"/>
      <c r="M623" s="25"/>
      <c r="N623" s="25"/>
      <c r="O623" s="4"/>
      <c r="P623" s="4"/>
      <c r="Q623" s="4"/>
      <c r="R623" s="4"/>
      <c r="S623" s="4"/>
    </row>
    <row r="624" spans="1:19" ht="15" customHeight="1" x14ac:dyDescent="0.2">
      <c r="A624" s="26"/>
      <c r="B624" s="26"/>
      <c r="C624" s="26"/>
      <c r="D624" s="26"/>
      <c r="E624" s="26"/>
      <c r="F624" s="25"/>
      <c r="G624" s="25"/>
      <c r="H624" s="25"/>
      <c r="I624" s="25"/>
      <c r="J624" s="25"/>
      <c r="K624" s="25"/>
      <c r="L624" s="25"/>
      <c r="M624" s="25"/>
      <c r="N624" s="25"/>
      <c r="O624" s="4"/>
      <c r="P624" s="4"/>
      <c r="Q624" s="4"/>
      <c r="R624" s="4"/>
      <c r="S624" s="4"/>
    </row>
    <row r="625" spans="1:19" ht="15" customHeight="1" x14ac:dyDescent="0.2">
      <c r="A625" s="26"/>
      <c r="B625" s="26"/>
      <c r="C625" s="26"/>
      <c r="D625" s="26"/>
      <c r="E625" s="26"/>
      <c r="F625" s="25"/>
      <c r="G625" s="25"/>
      <c r="H625" s="25"/>
      <c r="I625" s="25"/>
      <c r="J625" s="25"/>
      <c r="K625" s="25"/>
      <c r="L625" s="25"/>
      <c r="M625" s="25"/>
      <c r="N625" s="25"/>
      <c r="O625" s="4"/>
      <c r="P625" s="4"/>
      <c r="Q625" s="4"/>
      <c r="R625" s="4"/>
      <c r="S625" s="4"/>
    </row>
    <row r="626" spans="1:19" ht="15" customHeight="1" x14ac:dyDescent="0.2">
      <c r="A626" s="26"/>
      <c r="B626" s="26"/>
      <c r="C626" s="26"/>
      <c r="D626" s="26"/>
      <c r="E626" s="26"/>
      <c r="F626" s="25"/>
      <c r="G626" s="25"/>
      <c r="H626" s="25"/>
      <c r="I626" s="25"/>
      <c r="J626" s="25"/>
      <c r="K626" s="25"/>
      <c r="L626" s="25"/>
      <c r="M626" s="25"/>
      <c r="N626" s="25"/>
      <c r="O626" s="4"/>
      <c r="P626" s="4"/>
      <c r="Q626" s="4"/>
      <c r="R626" s="4"/>
      <c r="S626" s="4"/>
    </row>
    <row r="627" spans="1:19" ht="15" customHeight="1" x14ac:dyDescent="0.2">
      <c r="A627" s="26"/>
      <c r="B627" s="26"/>
      <c r="C627" s="26"/>
      <c r="D627" s="26"/>
      <c r="E627" s="26"/>
      <c r="F627" s="25"/>
      <c r="G627" s="25"/>
      <c r="H627" s="25"/>
      <c r="I627" s="25"/>
      <c r="J627" s="25"/>
      <c r="K627" s="25"/>
      <c r="L627" s="25"/>
      <c r="M627" s="25"/>
      <c r="N627" s="25"/>
      <c r="O627" s="4"/>
      <c r="P627" s="4"/>
      <c r="Q627" s="4"/>
      <c r="R627" s="4"/>
      <c r="S627" s="4"/>
    </row>
    <row r="628" spans="1:19" ht="15" customHeight="1" x14ac:dyDescent="0.2">
      <c r="A628" s="26"/>
      <c r="B628" s="26"/>
      <c r="C628" s="26"/>
      <c r="D628" s="26"/>
      <c r="E628" s="26"/>
      <c r="F628" s="25"/>
      <c r="G628" s="25"/>
      <c r="H628" s="25"/>
      <c r="I628" s="25"/>
      <c r="J628" s="25"/>
      <c r="K628" s="25"/>
      <c r="L628" s="25"/>
      <c r="M628" s="25"/>
      <c r="N628" s="25"/>
      <c r="O628" s="4"/>
      <c r="P628" s="4"/>
      <c r="Q628" s="4"/>
      <c r="R628" s="4"/>
      <c r="S628" s="4"/>
    </row>
    <row r="629" spans="1:19" ht="15" customHeight="1" x14ac:dyDescent="0.2">
      <c r="A629" s="26"/>
      <c r="B629" s="26"/>
      <c r="C629" s="26"/>
      <c r="D629" s="26"/>
      <c r="E629" s="26"/>
      <c r="F629" s="25"/>
      <c r="G629" s="25"/>
      <c r="H629" s="25"/>
      <c r="I629" s="25"/>
      <c r="J629" s="25"/>
      <c r="K629" s="25"/>
      <c r="L629" s="25"/>
      <c r="M629" s="25"/>
      <c r="N629" s="25"/>
      <c r="O629" s="4"/>
      <c r="P629" s="4"/>
      <c r="Q629" s="4"/>
      <c r="R629" s="4"/>
      <c r="S629" s="4"/>
    </row>
    <row r="630" spans="1:19" ht="15" customHeight="1" x14ac:dyDescent="0.2">
      <c r="A630" s="26"/>
      <c r="B630" s="26"/>
      <c r="C630" s="26"/>
      <c r="D630" s="26"/>
      <c r="E630" s="26"/>
      <c r="F630" s="25"/>
      <c r="G630" s="25"/>
      <c r="H630" s="25"/>
      <c r="I630" s="25"/>
      <c r="J630" s="25"/>
      <c r="K630" s="25"/>
      <c r="L630" s="25"/>
      <c r="M630" s="25"/>
      <c r="N630" s="25"/>
      <c r="O630" s="4"/>
      <c r="P630" s="4"/>
      <c r="Q630" s="4"/>
      <c r="R630" s="4"/>
      <c r="S630" s="4"/>
    </row>
    <row r="631" spans="1:19" ht="15" customHeight="1" x14ac:dyDescent="0.2">
      <c r="A631" s="26"/>
      <c r="B631" s="26"/>
      <c r="C631" s="26"/>
      <c r="D631" s="26"/>
      <c r="E631" s="26"/>
      <c r="F631" s="25"/>
      <c r="G631" s="25"/>
      <c r="H631" s="25"/>
      <c r="I631" s="25"/>
      <c r="J631" s="25"/>
      <c r="K631" s="25"/>
      <c r="L631" s="25"/>
      <c r="M631" s="25"/>
      <c r="N631" s="25"/>
      <c r="O631" s="4"/>
      <c r="P631" s="4"/>
      <c r="Q631" s="4"/>
      <c r="R631" s="4"/>
      <c r="S631" s="4"/>
    </row>
    <row r="632" spans="1:19" ht="15" customHeight="1" x14ac:dyDescent="0.2">
      <c r="A632" s="26"/>
      <c r="B632" s="26"/>
      <c r="C632" s="26"/>
      <c r="D632" s="26"/>
      <c r="E632" s="26"/>
      <c r="F632" s="25"/>
      <c r="G632" s="25"/>
      <c r="H632" s="25"/>
      <c r="I632" s="25"/>
      <c r="J632" s="25"/>
      <c r="K632" s="25"/>
      <c r="L632" s="25"/>
      <c r="M632" s="25"/>
      <c r="N632" s="25"/>
      <c r="O632" s="4"/>
      <c r="P632" s="4"/>
      <c r="Q632" s="4"/>
      <c r="R632" s="4"/>
      <c r="S632" s="4"/>
    </row>
    <row r="633" spans="1:19" ht="15" customHeight="1" x14ac:dyDescent="0.2">
      <c r="A633" s="26"/>
      <c r="B633" s="26"/>
      <c r="C633" s="26"/>
      <c r="D633" s="26"/>
      <c r="E633" s="26"/>
      <c r="F633" s="25"/>
      <c r="G633" s="25"/>
      <c r="H633" s="25"/>
      <c r="I633" s="25"/>
      <c r="J633" s="25"/>
      <c r="K633" s="25"/>
      <c r="L633" s="25"/>
      <c r="M633" s="25"/>
      <c r="N633" s="25"/>
      <c r="O633" s="4"/>
      <c r="P633" s="4"/>
      <c r="Q633" s="4"/>
      <c r="R633" s="4"/>
      <c r="S633" s="4"/>
    </row>
    <row r="634" spans="1:19" ht="15" customHeight="1" x14ac:dyDescent="0.2">
      <c r="A634" s="26"/>
      <c r="B634" s="26"/>
      <c r="C634" s="26"/>
      <c r="D634" s="26"/>
      <c r="E634" s="26"/>
      <c r="F634" s="25"/>
      <c r="G634" s="25"/>
      <c r="H634" s="25"/>
      <c r="I634" s="25"/>
      <c r="J634" s="25"/>
      <c r="K634" s="25"/>
      <c r="L634" s="25"/>
      <c r="M634" s="25"/>
      <c r="N634" s="25"/>
      <c r="O634" s="4"/>
      <c r="P634" s="4"/>
      <c r="Q634" s="4"/>
      <c r="R634" s="4"/>
      <c r="S634" s="4"/>
    </row>
    <row r="635" spans="1:19" ht="15" customHeight="1" x14ac:dyDescent="0.2">
      <c r="A635" s="26"/>
      <c r="B635" s="26"/>
      <c r="C635" s="26"/>
      <c r="D635" s="26"/>
      <c r="E635" s="26"/>
      <c r="F635" s="25"/>
      <c r="G635" s="25"/>
      <c r="H635" s="25"/>
      <c r="I635" s="25"/>
      <c r="J635" s="25"/>
      <c r="K635" s="25"/>
      <c r="L635" s="25"/>
      <c r="M635" s="25"/>
      <c r="N635" s="25"/>
      <c r="O635" s="4"/>
      <c r="P635" s="4"/>
      <c r="Q635" s="4"/>
      <c r="R635" s="4"/>
      <c r="S635" s="4"/>
    </row>
    <row r="636" spans="1:19" ht="15" customHeight="1" x14ac:dyDescent="0.2">
      <c r="A636" s="26"/>
      <c r="B636" s="26"/>
      <c r="C636" s="26"/>
      <c r="D636" s="26"/>
      <c r="E636" s="26"/>
      <c r="F636" s="25"/>
      <c r="G636" s="25"/>
      <c r="H636" s="25"/>
      <c r="I636" s="25"/>
      <c r="J636" s="25"/>
      <c r="K636" s="25"/>
      <c r="L636" s="25"/>
      <c r="M636" s="25"/>
      <c r="N636" s="25"/>
      <c r="O636" s="4"/>
      <c r="P636" s="4"/>
      <c r="Q636" s="4"/>
      <c r="R636" s="4"/>
      <c r="S636" s="4"/>
    </row>
    <row r="637" spans="1:19" ht="15" customHeight="1" x14ac:dyDescent="0.2">
      <c r="A637" s="26"/>
      <c r="B637" s="26"/>
      <c r="C637" s="26"/>
      <c r="D637" s="26"/>
      <c r="E637" s="26"/>
      <c r="F637" s="25"/>
      <c r="G637" s="25"/>
      <c r="H637" s="25"/>
      <c r="I637" s="25"/>
      <c r="J637" s="25"/>
      <c r="K637" s="25"/>
      <c r="L637" s="25"/>
      <c r="M637" s="25"/>
      <c r="N637" s="25"/>
      <c r="O637" s="4"/>
      <c r="P637" s="4"/>
      <c r="Q637" s="4"/>
      <c r="R637" s="4"/>
      <c r="S637" s="4"/>
    </row>
    <row r="638" spans="1:19" ht="15" customHeight="1" x14ac:dyDescent="0.2">
      <c r="A638" s="26"/>
      <c r="B638" s="26"/>
      <c r="C638" s="26"/>
      <c r="D638" s="26"/>
      <c r="E638" s="26"/>
      <c r="F638" s="25"/>
      <c r="G638" s="25"/>
      <c r="H638" s="25"/>
      <c r="I638" s="25"/>
      <c r="J638" s="25"/>
      <c r="K638" s="25"/>
      <c r="L638" s="25"/>
      <c r="M638" s="25"/>
      <c r="N638" s="25"/>
      <c r="O638" s="4"/>
      <c r="P638" s="4"/>
      <c r="Q638" s="4"/>
      <c r="R638" s="4"/>
      <c r="S638" s="4"/>
    </row>
    <row r="639" spans="1:19" ht="15" customHeight="1" x14ac:dyDescent="0.2">
      <c r="A639" s="26"/>
      <c r="B639" s="26"/>
      <c r="C639" s="26"/>
      <c r="D639" s="26"/>
      <c r="E639" s="26"/>
      <c r="F639" s="25"/>
      <c r="G639" s="25"/>
      <c r="H639" s="25"/>
      <c r="I639" s="25"/>
      <c r="J639" s="25"/>
      <c r="K639" s="25"/>
      <c r="L639" s="25"/>
      <c r="M639" s="25"/>
      <c r="N639" s="25"/>
      <c r="O639" s="4"/>
      <c r="P639" s="4"/>
      <c r="Q639" s="4"/>
      <c r="R639" s="4"/>
      <c r="S639" s="4"/>
    </row>
    <row r="640" spans="1:19" ht="15" customHeight="1" x14ac:dyDescent="0.2">
      <c r="A640" s="26"/>
      <c r="B640" s="26"/>
      <c r="C640" s="26"/>
      <c r="D640" s="26"/>
      <c r="E640" s="26"/>
      <c r="F640" s="25"/>
      <c r="G640" s="25"/>
      <c r="H640" s="25"/>
      <c r="I640" s="25"/>
      <c r="J640" s="25"/>
      <c r="K640" s="25"/>
      <c r="L640" s="25"/>
      <c r="M640" s="25"/>
      <c r="N640" s="25"/>
      <c r="O640" s="4"/>
      <c r="P640" s="4"/>
      <c r="Q640" s="4"/>
      <c r="R640" s="4"/>
      <c r="S640" s="4"/>
    </row>
    <row r="641" spans="1:19" ht="15" customHeight="1" x14ac:dyDescent="0.2">
      <c r="A641" s="26"/>
      <c r="B641" s="26"/>
      <c r="C641" s="26"/>
      <c r="D641" s="26"/>
      <c r="E641" s="26"/>
      <c r="F641" s="25"/>
      <c r="G641" s="25"/>
      <c r="H641" s="25"/>
      <c r="I641" s="25"/>
      <c r="J641" s="25"/>
      <c r="K641" s="25"/>
      <c r="L641" s="25"/>
      <c r="M641" s="25"/>
      <c r="N641" s="25"/>
      <c r="O641" s="4"/>
      <c r="P641" s="4"/>
      <c r="Q641" s="4"/>
      <c r="R641" s="4"/>
      <c r="S641" s="4"/>
    </row>
    <row r="642" spans="1:19" ht="15" customHeight="1" x14ac:dyDescent="0.2">
      <c r="A642" s="26"/>
      <c r="B642" s="26"/>
      <c r="C642" s="26"/>
      <c r="D642" s="26"/>
      <c r="E642" s="26"/>
      <c r="F642" s="25"/>
      <c r="G642" s="25"/>
      <c r="H642" s="25"/>
      <c r="I642" s="25"/>
      <c r="J642" s="25"/>
      <c r="K642" s="25"/>
      <c r="L642" s="25"/>
      <c r="M642" s="25"/>
      <c r="N642" s="25"/>
      <c r="O642" s="4"/>
      <c r="P642" s="4"/>
      <c r="Q642" s="4"/>
      <c r="R642" s="4"/>
      <c r="S642" s="4"/>
    </row>
    <row r="643" spans="1:19" ht="15" customHeight="1" x14ac:dyDescent="0.2">
      <c r="A643" s="26"/>
      <c r="B643" s="26"/>
      <c r="C643" s="26"/>
      <c r="D643" s="26"/>
      <c r="E643" s="26"/>
      <c r="F643" s="25"/>
      <c r="G643" s="25"/>
      <c r="H643" s="25"/>
      <c r="I643" s="25"/>
      <c r="J643" s="25"/>
      <c r="K643" s="25"/>
      <c r="L643" s="25"/>
      <c r="M643" s="25"/>
      <c r="N643" s="25"/>
      <c r="O643" s="4"/>
      <c r="P643" s="4"/>
      <c r="Q643" s="4"/>
      <c r="R643" s="4"/>
      <c r="S643" s="4"/>
    </row>
    <row r="644" spans="1:19" ht="15" customHeight="1" x14ac:dyDescent="0.2">
      <c r="A644" s="26"/>
      <c r="B644" s="26"/>
      <c r="C644" s="26"/>
      <c r="D644" s="26"/>
      <c r="E644" s="26"/>
      <c r="F644" s="25"/>
      <c r="G644" s="25"/>
      <c r="H644" s="25"/>
      <c r="I644" s="25"/>
      <c r="J644" s="25"/>
      <c r="K644" s="25"/>
      <c r="L644" s="25"/>
      <c r="M644" s="25"/>
      <c r="N644" s="25"/>
      <c r="O644" s="4"/>
      <c r="P644" s="4"/>
      <c r="Q644" s="4"/>
      <c r="R644" s="4"/>
      <c r="S644" s="4"/>
    </row>
    <row r="645" spans="1:19" ht="15" customHeight="1" x14ac:dyDescent="0.2">
      <c r="A645" s="26"/>
      <c r="B645" s="26"/>
      <c r="C645" s="26"/>
      <c r="D645" s="26"/>
      <c r="E645" s="26"/>
      <c r="F645" s="25"/>
      <c r="G645" s="25"/>
      <c r="H645" s="25"/>
      <c r="I645" s="25"/>
      <c r="J645" s="25"/>
      <c r="K645" s="25"/>
      <c r="L645" s="25"/>
      <c r="M645" s="25"/>
      <c r="N645" s="25"/>
      <c r="O645" s="4"/>
      <c r="P645" s="4"/>
      <c r="Q645" s="4"/>
      <c r="R645" s="4"/>
      <c r="S645" s="4"/>
    </row>
    <row r="646" spans="1:19" ht="15" customHeight="1" x14ac:dyDescent="0.2">
      <c r="A646" s="26"/>
      <c r="B646" s="26"/>
      <c r="C646" s="26"/>
      <c r="D646" s="26"/>
      <c r="E646" s="26"/>
      <c r="F646" s="25"/>
      <c r="G646" s="25"/>
      <c r="H646" s="25"/>
      <c r="I646" s="25"/>
      <c r="J646" s="25"/>
      <c r="K646" s="25"/>
      <c r="L646" s="25"/>
      <c r="M646" s="25"/>
      <c r="N646" s="25"/>
      <c r="O646" s="4"/>
      <c r="P646" s="4"/>
      <c r="Q646" s="4"/>
      <c r="R646" s="4"/>
      <c r="S646" s="4"/>
    </row>
    <row r="647" spans="1:19" ht="15" customHeight="1" x14ac:dyDescent="0.2">
      <c r="A647" s="26"/>
      <c r="B647" s="26"/>
      <c r="C647" s="26"/>
      <c r="D647" s="26"/>
      <c r="E647" s="26"/>
      <c r="F647" s="25"/>
      <c r="G647" s="25"/>
      <c r="H647" s="25"/>
      <c r="I647" s="25"/>
      <c r="J647" s="25"/>
      <c r="K647" s="25"/>
      <c r="L647" s="25"/>
      <c r="M647" s="25"/>
      <c r="N647" s="25"/>
      <c r="O647" s="4"/>
      <c r="P647" s="4"/>
      <c r="Q647" s="4"/>
      <c r="R647" s="4"/>
      <c r="S647" s="4"/>
    </row>
    <row r="648" spans="1:19" ht="15" customHeight="1" x14ac:dyDescent="0.2">
      <c r="A648" s="26"/>
      <c r="B648" s="26"/>
      <c r="C648" s="26"/>
      <c r="D648" s="26"/>
      <c r="E648" s="26"/>
      <c r="F648" s="25"/>
      <c r="G648" s="25"/>
      <c r="H648" s="25"/>
      <c r="I648" s="25"/>
      <c r="J648" s="25"/>
      <c r="K648" s="25"/>
      <c r="L648" s="25"/>
      <c r="M648" s="25"/>
      <c r="N648" s="25"/>
      <c r="O648" s="4"/>
      <c r="P648" s="4"/>
      <c r="Q648" s="4"/>
      <c r="R648" s="4"/>
      <c r="S648" s="4"/>
    </row>
    <row r="649" spans="1:19" ht="15" customHeight="1" x14ac:dyDescent="0.2">
      <c r="A649" s="26"/>
      <c r="B649" s="26"/>
      <c r="C649" s="26"/>
      <c r="D649" s="26"/>
      <c r="E649" s="26"/>
      <c r="F649" s="25"/>
      <c r="G649" s="25"/>
      <c r="H649" s="25"/>
      <c r="I649" s="25"/>
      <c r="J649" s="25"/>
      <c r="K649" s="25"/>
      <c r="L649" s="25"/>
      <c r="M649" s="25"/>
      <c r="N649" s="25"/>
      <c r="O649" s="4"/>
      <c r="P649" s="4"/>
      <c r="Q649" s="4"/>
      <c r="R649" s="4"/>
      <c r="S649" s="4"/>
    </row>
    <row r="650" spans="1:19" ht="15" customHeight="1" x14ac:dyDescent="0.2">
      <c r="A650" s="26"/>
      <c r="B650" s="26"/>
      <c r="C650" s="26"/>
      <c r="D650" s="26"/>
      <c r="E650" s="26"/>
      <c r="F650" s="25"/>
      <c r="G650" s="25"/>
      <c r="H650" s="25"/>
      <c r="I650" s="25"/>
      <c r="J650" s="25"/>
      <c r="K650" s="25"/>
      <c r="L650" s="25"/>
      <c r="M650" s="25"/>
      <c r="N650" s="25"/>
      <c r="O650" s="4"/>
      <c r="P650" s="4"/>
      <c r="Q650" s="4"/>
      <c r="R650" s="4"/>
      <c r="S650" s="4"/>
    </row>
    <row r="651" spans="1:19" ht="15" customHeight="1" x14ac:dyDescent="0.2">
      <c r="A651" s="26"/>
      <c r="B651" s="26"/>
      <c r="C651" s="26"/>
      <c r="D651" s="26"/>
      <c r="E651" s="26"/>
      <c r="F651" s="25"/>
      <c r="G651" s="25"/>
      <c r="H651" s="25"/>
      <c r="I651" s="25"/>
      <c r="J651" s="25"/>
      <c r="K651" s="25"/>
      <c r="L651" s="25"/>
      <c r="M651" s="25"/>
      <c r="N651" s="25"/>
      <c r="O651" s="4"/>
      <c r="P651" s="4"/>
      <c r="Q651" s="4"/>
      <c r="R651" s="4"/>
      <c r="S651" s="4"/>
    </row>
    <row r="652" spans="1:19" ht="15" customHeight="1" x14ac:dyDescent="0.2">
      <c r="A652" s="26"/>
      <c r="B652" s="26"/>
      <c r="C652" s="26"/>
      <c r="D652" s="26"/>
      <c r="E652" s="26"/>
      <c r="F652" s="25"/>
      <c r="G652" s="25"/>
      <c r="H652" s="25"/>
      <c r="I652" s="25"/>
      <c r="J652" s="25"/>
      <c r="K652" s="25"/>
      <c r="L652" s="25"/>
      <c r="M652" s="25"/>
      <c r="N652" s="25"/>
      <c r="O652" s="4"/>
      <c r="P652" s="4"/>
      <c r="Q652" s="4"/>
      <c r="R652" s="4"/>
      <c r="S652" s="4"/>
    </row>
    <row r="653" spans="1:19" ht="15" customHeight="1" x14ac:dyDescent="0.2">
      <c r="A653" s="26"/>
      <c r="B653" s="26"/>
      <c r="C653" s="26"/>
      <c r="D653" s="26"/>
      <c r="E653" s="26"/>
      <c r="F653" s="25"/>
      <c r="G653" s="25"/>
      <c r="H653" s="25"/>
      <c r="I653" s="25"/>
      <c r="J653" s="25"/>
      <c r="K653" s="25"/>
      <c r="L653" s="25"/>
      <c r="M653" s="25"/>
      <c r="N653" s="25"/>
      <c r="O653" s="4"/>
      <c r="P653" s="4"/>
      <c r="Q653" s="4"/>
      <c r="R653" s="4"/>
      <c r="S653" s="4"/>
    </row>
    <row r="654" spans="1:19" ht="15" customHeight="1" x14ac:dyDescent="0.2">
      <c r="A654" s="26"/>
      <c r="B654" s="26"/>
      <c r="C654" s="26"/>
      <c r="D654" s="26"/>
      <c r="E654" s="26"/>
      <c r="F654" s="25"/>
      <c r="G654" s="25"/>
      <c r="H654" s="25"/>
      <c r="I654" s="25"/>
      <c r="J654" s="25"/>
      <c r="K654" s="25"/>
      <c r="L654" s="25"/>
      <c r="M654" s="25"/>
      <c r="N654" s="25"/>
      <c r="O654" s="4"/>
      <c r="P654" s="4"/>
      <c r="Q654" s="4"/>
      <c r="R654" s="4"/>
      <c r="S654" s="4"/>
    </row>
    <row r="655" spans="1:19" ht="15" customHeight="1" x14ac:dyDescent="0.2">
      <c r="A655" s="26"/>
      <c r="B655" s="26"/>
      <c r="C655" s="26"/>
      <c r="D655" s="26"/>
      <c r="E655" s="26"/>
      <c r="F655" s="25"/>
      <c r="G655" s="25"/>
      <c r="H655" s="25"/>
      <c r="I655" s="25"/>
      <c r="J655" s="25"/>
      <c r="K655" s="25"/>
      <c r="L655" s="25"/>
      <c r="M655" s="25"/>
      <c r="N655" s="25"/>
      <c r="O655" s="4"/>
      <c r="P655" s="4"/>
      <c r="Q655" s="4"/>
      <c r="R655" s="4"/>
      <c r="S655" s="4"/>
    </row>
    <row r="656" spans="1:19" ht="15" customHeight="1" x14ac:dyDescent="0.2">
      <c r="A656" s="26"/>
      <c r="B656" s="26"/>
      <c r="C656" s="26"/>
      <c r="D656" s="26"/>
      <c r="E656" s="26"/>
      <c r="F656" s="25"/>
      <c r="G656" s="25"/>
      <c r="H656" s="25"/>
      <c r="I656" s="25"/>
      <c r="J656" s="25"/>
      <c r="K656" s="25"/>
      <c r="L656" s="25"/>
      <c r="M656" s="25"/>
      <c r="N656" s="25"/>
      <c r="O656" s="4"/>
      <c r="P656" s="4"/>
      <c r="Q656" s="4"/>
      <c r="R656" s="4"/>
      <c r="S656" s="4"/>
    </row>
    <row r="657" spans="1:19" ht="15" customHeight="1" x14ac:dyDescent="0.2">
      <c r="A657" s="26"/>
      <c r="B657" s="26"/>
      <c r="C657" s="26"/>
      <c r="D657" s="26"/>
      <c r="E657" s="26"/>
      <c r="F657" s="25"/>
      <c r="G657" s="25"/>
      <c r="H657" s="25"/>
      <c r="I657" s="25"/>
      <c r="J657" s="25"/>
      <c r="K657" s="25"/>
      <c r="L657" s="25"/>
      <c r="M657" s="25"/>
      <c r="N657" s="25"/>
      <c r="O657" s="4"/>
      <c r="P657" s="4"/>
      <c r="Q657" s="4"/>
      <c r="R657" s="4"/>
      <c r="S657" s="4"/>
    </row>
    <row r="658" spans="1:19" ht="15" customHeight="1" x14ac:dyDescent="0.2">
      <c r="A658" s="26"/>
      <c r="B658" s="26"/>
      <c r="C658" s="26"/>
      <c r="D658" s="26"/>
      <c r="E658" s="26"/>
      <c r="F658" s="25"/>
      <c r="G658" s="25"/>
      <c r="H658" s="25"/>
      <c r="I658" s="25"/>
      <c r="J658" s="25"/>
      <c r="K658" s="25"/>
      <c r="L658" s="25"/>
      <c r="M658" s="25"/>
      <c r="N658" s="25"/>
      <c r="O658" s="4"/>
      <c r="P658" s="4"/>
      <c r="Q658" s="4"/>
      <c r="R658" s="4"/>
      <c r="S658" s="4"/>
    </row>
    <row r="659" spans="1:19" ht="15" customHeight="1" x14ac:dyDescent="0.2">
      <c r="A659" s="26"/>
      <c r="B659" s="26"/>
      <c r="C659" s="26"/>
      <c r="D659" s="26"/>
      <c r="E659" s="26"/>
      <c r="F659" s="25"/>
      <c r="G659" s="25"/>
      <c r="H659" s="25"/>
      <c r="I659" s="25"/>
      <c r="J659" s="25"/>
      <c r="K659" s="25"/>
      <c r="L659" s="25"/>
      <c r="M659" s="25"/>
      <c r="N659" s="25"/>
      <c r="O659" s="4"/>
      <c r="P659" s="4"/>
      <c r="Q659" s="4"/>
      <c r="R659" s="4"/>
      <c r="S659" s="4"/>
    </row>
    <row r="660" spans="1:19" ht="15" customHeight="1" x14ac:dyDescent="0.2">
      <c r="A660" s="26"/>
      <c r="B660" s="26"/>
      <c r="C660" s="26"/>
      <c r="D660" s="26"/>
      <c r="E660" s="26"/>
      <c r="F660" s="25"/>
      <c r="G660" s="25"/>
      <c r="H660" s="25"/>
      <c r="I660" s="25"/>
      <c r="J660" s="25"/>
      <c r="K660" s="25"/>
      <c r="L660" s="25"/>
      <c r="M660" s="25"/>
      <c r="N660" s="25"/>
      <c r="O660" s="4"/>
      <c r="P660" s="4"/>
      <c r="Q660" s="4"/>
      <c r="R660" s="4"/>
      <c r="S660" s="4"/>
    </row>
    <row r="661" spans="1:19" ht="15" customHeight="1" x14ac:dyDescent="0.2">
      <c r="A661" s="26"/>
      <c r="B661" s="26"/>
      <c r="C661" s="26"/>
      <c r="D661" s="26"/>
      <c r="E661" s="26"/>
      <c r="F661" s="25"/>
      <c r="G661" s="25"/>
      <c r="H661" s="25"/>
      <c r="I661" s="25"/>
      <c r="J661" s="25"/>
      <c r="K661" s="25"/>
      <c r="L661" s="25"/>
      <c r="M661" s="25"/>
      <c r="N661" s="25"/>
      <c r="O661" s="4"/>
      <c r="P661" s="4"/>
      <c r="Q661" s="4"/>
      <c r="R661" s="4"/>
      <c r="S661" s="4"/>
    </row>
    <row r="662" spans="1:19" ht="15" customHeight="1" x14ac:dyDescent="0.2">
      <c r="A662" s="26"/>
      <c r="B662" s="26"/>
      <c r="C662" s="26"/>
      <c r="D662" s="26"/>
      <c r="E662" s="26"/>
      <c r="F662" s="25"/>
      <c r="G662" s="25"/>
      <c r="H662" s="25"/>
      <c r="I662" s="25"/>
      <c r="J662" s="25"/>
      <c r="K662" s="25"/>
      <c r="L662" s="25"/>
      <c r="M662" s="25"/>
      <c r="N662" s="25"/>
      <c r="O662" s="4"/>
      <c r="P662" s="4"/>
      <c r="Q662" s="4"/>
      <c r="R662" s="4"/>
      <c r="S662" s="4"/>
    </row>
    <row r="663" spans="1:19" ht="15" customHeight="1" x14ac:dyDescent="0.2">
      <c r="A663" s="26"/>
      <c r="B663" s="26"/>
      <c r="C663" s="26"/>
      <c r="D663" s="26"/>
      <c r="E663" s="26"/>
      <c r="F663" s="25"/>
      <c r="G663" s="25"/>
      <c r="H663" s="25"/>
      <c r="I663" s="25"/>
      <c r="J663" s="25"/>
      <c r="K663" s="25"/>
      <c r="L663" s="25"/>
      <c r="M663" s="25"/>
      <c r="N663" s="25"/>
      <c r="O663" s="4"/>
      <c r="P663" s="4"/>
      <c r="Q663" s="4"/>
      <c r="R663" s="4"/>
      <c r="S663" s="4"/>
    </row>
    <row r="664" spans="1:19" ht="15" customHeight="1" x14ac:dyDescent="0.2">
      <c r="A664" s="26"/>
      <c r="B664" s="26"/>
      <c r="C664" s="26"/>
      <c r="D664" s="26"/>
      <c r="E664" s="26"/>
      <c r="F664" s="25"/>
      <c r="G664" s="25"/>
      <c r="H664" s="25"/>
      <c r="I664" s="25"/>
      <c r="J664" s="25"/>
      <c r="K664" s="25"/>
      <c r="L664" s="25"/>
      <c r="M664" s="25"/>
      <c r="N664" s="25"/>
      <c r="O664" s="4"/>
      <c r="P664" s="4"/>
      <c r="Q664" s="4"/>
      <c r="R664" s="4"/>
      <c r="S664" s="4"/>
    </row>
    <row r="665" spans="1:19" ht="15" customHeight="1" x14ac:dyDescent="0.2">
      <c r="A665" s="26"/>
      <c r="B665" s="26"/>
      <c r="C665" s="26"/>
      <c r="D665" s="26"/>
      <c r="E665" s="26"/>
      <c r="F665" s="25"/>
      <c r="G665" s="25"/>
      <c r="H665" s="25"/>
      <c r="I665" s="25"/>
      <c r="J665" s="25"/>
      <c r="K665" s="25"/>
      <c r="L665" s="25"/>
      <c r="M665" s="25"/>
      <c r="N665" s="25"/>
      <c r="O665" s="4"/>
      <c r="P665" s="4"/>
      <c r="Q665" s="4"/>
      <c r="R665" s="4"/>
      <c r="S665" s="4"/>
    </row>
    <row r="666" spans="1:19" ht="15" customHeight="1" x14ac:dyDescent="0.2">
      <c r="A666" s="26"/>
      <c r="B666" s="26"/>
      <c r="C666" s="26"/>
      <c r="D666" s="26"/>
      <c r="E666" s="26"/>
      <c r="F666" s="25"/>
      <c r="G666" s="25"/>
      <c r="H666" s="25"/>
      <c r="I666" s="25"/>
      <c r="J666" s="25"/>
      <c r="K666" s="25"/>
      <c r="L666" s="25"/>
      <c r="M666" s="25"/>
      <c r="N666" s="25"/>
      <c r="O666" s="4"/>
      <c r="P666" s="4"/>
      <c r="Q666" s="4"/>
      <c r="R666" s="4"/>
      <c r="S666" s="4"/>
    </row>
    <row r="667" spans="1:19" ht="15" customHeight="1" x14ac:dyDescent="0.2">
      <c r="A667" s="26"/>
      <c r="B667" s="26"/>
      <c r="C667" s="26"/>
      <c r="D667" s="26"/>
      <c r="E667" s="26"/>
      <c r="F667" s="25"/>
      <c r="G667" s="25"/>
      <c r="H667" s="25"/>
      <c r="I667" s="25"/>
      <c r="J667" s="25"/>
      <c r="K667" s="25"/>
      <c r="L667" s="25"/>
      <c r="M667" s="25"/>
      <c r="N667" s="25"/>
      <c r="O667" s="4"/>
      <c r="P667" s="4"/>
      <c r="Q667" s="4"/>
      <c r="R667" s="4"/>
      <c r="S667" s="4"/>
    </row>
    <row r="668" spans="1:19" ht="15" customHeight="1" x14ac:dyDescent="0.2">
      <c r="A668" s="26"/>
      <c r="B668" s="26"/>
      <c r="C668" s="26"/>
      <c r="D668" s="26"/>
      <c r="E668" s="26"/>
      <c r="F668" s="25"/>
      <c r="G668" s="25"/>
      <c r="H668" s="25"/>
      <c r="I668" s="25"/>
      <c r="J668" s="25"/>
      <c r="K668" s="25"/>
      <c r="L668" s="25"/>
      <c r="M668" s="25"/>
      <c r="N668" s="25"/>
      <c r="O668" s="4"/>
      <c r="P668" s="4"/>
      <c r="Q668" s="4"/>
      <c r="R668" s="4"/>
      <c r="S668" s="4"/>
    </row>
    <row r="669" spans="1:19" ht="15" customHeight="1" x14ac:dyDescent="0.2">
      <c r="A669" s="26"/>
      <c r="B669" s="26"/>
      <c r="C669" s="26"/>
      <c r="D669" s="26"/>
      <c r="E669" s="26"/>
      <c r="F669" s="25"/>
      <c r="G669" s="25"/>
      <c r="H669" s="25"/>
      <c r="I669" s="25"/>
      <c r="J669" s="25"/>
      <c r="K669" s="25"/>
      <c r="L669" s="25"/>
      <c r="M669" s="25"/>
      <c r="N669" s="25"/>
      <c r="O669" s="4"/>
      <c r="P669" s="4"/>
      <c r="Q669" s="4"/>
      <c r="R669" s="4"/>
      <c r="S669" s="4"/>
    </row>
    <row r="670" spans="1:19" ht="15" customHeight="1" x14ac:dyDescent="0.2">
      <c r="A670" s="26"/>
      <c r="B670" s="26"/>
      <c r="C670" s="26"/>
      <c r="D670" s="26"/>
      <c r="E670" s="26"/>
      <c r="F670" s="25"/>
      <c r="G670" s="25"/>
      <c r="H670" s="25"/>
      <c r="I670" s="25"/>
      <c r="J670" s="25"/>
      <c r="K670" s="25"/>
      <c r="L670" s="25"/>
      <c r="M670" s="25"/>
      <c r="N670" s="25"/>
      <c r="O670" s="4"/>
      <c r="P670" s="4"/>
      <c r="Q670" s="4"/>
      <c r="R670" s="4"/>
      <c r="S670" s="4"/>
    </row>
    <row r="671" spans="1:19" ht="15" customHeight="1" x14ac:dyDescent="0.2">
      <c r="A671" s="26"/>
      <c r="B671" s="26"/>
      <c r="C671" s="26"/>
      <c r="D671" s="26"/>
      <c r="E671" s="26"/>
      <c r="F671" s="25"/>
      <c r="G671" s="25"/>
      <c r="H671" s="25"/>
      <c r="I671" s="25"/>
      <c r="J671" s="25"/>
      <c r="K671" s="25"/>
      <c r="L671" s="25"/>
      <c r="M671" s="25"/>
      <c r="N671" s="25"/>
      <c r="O671" s="4"/>
      <c r="P671" s="4"/>
      <c r="Q671" s="4"/>
      <c r="R671" s="4"/>
      <c r="S671" s="4"/>
    </row>
    <row r="672" spans="1:19" ht="15" customHeight="1" x14ac:dyDescent="0.2">
      <c r="A672" s="26"/>
      <c r="B672" s="26"/>
      <c r="C672" s="26"/>
      <c r="D672" s="26"/>
      <c r="E672" s="26"/>
      <c r="F672" s="25"/>
      <c r="G672" s="25"/>
      <c r="H672" s="25"/>
      <c r="I672" s="25"/>
      <c r="J672" s="25"/>
      <c r="K672" s="25"/>
      <c r="L672" s="25"/>
      <c r="M672" s="25"/>
      <c r="N672" s="25"/>
      <c r="O672" s="4"/>
      <c r="P672" s="4"/>
      <c r="Q672" s="4"/>
      <c r="R672" s="4"/>
      <c r="S672" s="4"/>
    </row>
    <row r="673" spans="1:19" ht="15" customHeight="1" x14ac:dyDescent="0.2">
      <c r="A673" s="26"/>
      <c r="B673" s="26"/>
      <c r="C673" s="26"/>
      <c r="D673" s="26"/>
      <c r="E673" s="26"/>
      <c r="F673" s="25"/>
      <c r="G673" s="25"/>
      <c r="H673" s="25"/>
      <c r="I673" s="25"/>
      <c r="J673" s="25"/>
      <c r="K673" s="25"/>
      <c r="L673" s="25"/>
      <c r="M673" s="25"/>
      <c r="N673" s="25"/>
      <c r="O673" s="4"/>
      <c r="P673" s="4"/>
      <c r="Q673" s="4"/>
      <c r="R673" s="4"/>
      <c r="S673" s="4"/>
    </row>
    <row r="674" spans="1:19" ht="15" customHeight="1" x14ac:dyDescent="0.2">
      <c r="A674" s="26"/>
      <c r="B674" s="26"/>
      <c r="C674" s="26"/>
      <c r="D674" s="26"/>
      <c r="E674" s="26"/>
      <c r="F674" s="25"/>
      <c r="G674" s="25"/>
      <c r="H674" s="25"/>
      <c r="I674" s="25"/>
      <c r="J674" s="25"/>
      <c r="K674" s="25"/>
      <c r="L674" s="25"/>
      <c r="M674" s="25"/>
      <c r="N674" s="25"/>
      <c r="O674" s="4"/>
      <c r="P674" s="4"/>
      <c r="Q674" s="4"/>
      <c r="R674" s="4"/>
      <c r="S674" s="4"/>
    </row>
    <row r="675" spans="1:19" ht="15" customHeight="1" x14ac:dyDescent="0.2">
      <c r="A675" s="26"/>
      <c r="B675" s="26"/>
      <c r="C675" s="26"/>
      <c r="D675" s="26"/>
      <c r="E675" s="26"/>
      <c r="F675" s="25"/>
      <c r="G675" s="25"/>
      <c r="H675" s="25"/>
      <c r="I675" s="25"/>
      <c r="J675" s="25"/>
      <c r="K675" s="25"/>
      <c r="L675" s="25"/>
      <c r="M675" s="25"/>
      <c r="N675" s="25"/>
      <c r="O675" s="4"/>
      <c r="P675" s="4"/>
      <c r="Q675" s="4"/>
      <c r="R675" s="4"/>
      <c r="S675" s="4"/>
    </row>
    <row r="676" spans="1:19" ht="15" customHeight="1" x14ac:dyDescent="0.2">
      <c r="A676" s="26"/>
      <c r="B676" s="26"/>
      <c r="C676" s="26"/>
      <c r="D676" s="26"/>
      <c r="E676" s="26"/>
      <c r="F676" s="25"/>
      <c r="G676" s="25"/>
      <c r="H676" s="25"/>
      <c r="I676" s="25"/>
      <c r="J676" s="25"/>
      <c r="K676" s="25"/>
      <c r="L676" s="25"/>
      <c r="M676" s="25"/>
      <c r="N676" s="25"/>
      <c r="O676" s="4"/>
      <c r="P676" s="4"/>
      <c r="Q676" s="4"/>
      <c r="R676" s="4"/>
      <c r="S676" s="4"/>
    </row>
    <row r="677" spans="1:19" ht="15" customHeight="1" x14ac:dyDescent="0.2">
      <c r="A677" s="26"/>
      <c r="B677" s="26"/>
      <c r="C677" s="26"/>
      <c r="D677" s="26"/>
      <c r="E677" s="26"/>
      <c r="F677" s="25"/>
      <c r="G677" s="25"/>
      <c r="H677" s="25"/>
      <c r="I677" s="25"/>
      <c r="J677" s="25"/>
      <c r="K677" s="25"/>
      <c r="L677" s="25"/>
      <c r="M677" s="25"/>
      <c r="N677" s="25"/>
      <c r="O677" s="4"/>
      <c r="P677" s="4"/>
      <c r="Q677" s="4"/>
      <c r="R677" s="4"/>
      <c r="S677" s="4"/>
    </row>
    <row r="678" spans="1:19" ht="15" customHeight="1" x14ac:dyDescent="0.2">
      <c r="A678" s="26"/>
      <c r="B678" s="26"/>
      <c r="C678" s="26"/>
      <c r="D678" s="26"/>
      <c r="E678" s="26"/>
      <c r="F678" s="25"/>
      <c r="G678" s="25"/>
      <c r="H678" s="25"/>
      <c r="I678" s="25"/>
      <c r="J678" s="25"/>
      <c r="K678" s="25"/>
      <c r="L678" s="25"/>
      <c r="M678" s="25"/>
      <c r="N678" s="25"/>
      <c r="O678" s="4"/>
      <c r="P678" s="4"/>
      <c r="Q678" s="4"/>
      <c r="R678" s="4"/>
      <c r="S678" s="4"/>
    </row>
    <row r="679" spans="1:19" ht="15" customHeight="1" x14ac:dyDescent="0.2">
      <c r="A679" s="26"/>
      <c r="B679" s="26"/>
      <c r="C679" s="26"/>
      <c r="D679" s="26"/>
      <c r="E679" s="26"/>
      <c r="F679" s="25"/>
      <c r="G679" s="25"/>
      <c r="H679" s="25"/>
      <c r="I679" s="25"/>
      <c r="J679" s="25"/>
      <c r="K679" s="25"/>
      <c r="L679" s="25"/>
      <c r="M679" s="25"/>
      <c r="N679" s="25"/>
      <c r="O679" s="4"/>
      <c r="P679" s="4"/>
      <c r="Q679" s="4"/>
      <c r="R679" s="4"/>
      <c r="S679" s="4"/>
    </row>
    <row r="680" spans="1:19" ht="15" customHeight="1" x14ac:dyDescent="0.2">
      <c r="A680" s="26"/>
      <c r="B680" s="26"/>
      <c r="C680" s="26"/>
      <c r="D680" s="26"/>
      <c r="E680" s="26"/>
      <c r="F680" s="25"/>
      <c r="G680" s="25"/>
      <c r="H680" s="25"/>
      <c r="I680" s="25"/>
      <c r="J680" s="25"/>
      <c r="K680" s="25"/>
      <c r="L680" s="25"/>
      <c r="M680" s="25"/>
      <c r="N680" s="25"/>
      <c r="O680" s="4"/>
      <c r="P680" s="4"/>
      <c r="Q680" s="4"/>
      <c r="R680" s="4"/>
      <c r="S680" s="4"/>
    </row>
    <row r="681" spans="1:19" ht="15" customHeight="1" x14ac:dyDescent="0.2">
      <c r="A681" s="26"/>
      <c r="B681" s="26"/>
      <c r="C681" s="26"/>
      <c r="D681" s="26"/>
      <c r="E681" s="26"/>
      <c r="F681" s="25"/>
      <c r="G681" s="25"/>
      <c r="H681" s="25"/>
      <c r="I681" s="25"/>
      <c r="J681" s="25"/>
      <c r="K681" s="25"/>
      <c r="L681" s="25"/>
      <c r="M681" s="25"/>
      <c r="N681" s="25"/>
      <c r="O681" s="4"/>
      <c r="P681" s="4"/>
      <c r="Q681" s="4"/>
      <c r="R681" s="4"/>
      <c r="S681" s="4"/>
    </row>
    <row r="682" spans="1:19" ht="15" customHeight="1" x14ac:dyDescent="0.2">
      <c r="A682" s="26"/>
      <c r="B682" s="26"/>
      <c r="C682" s="26"/>
      <c r="D682" s="26"/>
      <c r="E682" s="26"/>
      <c r="F682" s="25"/>
      <c r="G682" s="25"/>
      <c r="H682" s="25"/>
      <c r="I682" s="25"/>
      <c r="J682" s="25"/>
      <c r="K682" s="25"/>
      <c r="L682" s="25"/>
      <c r="M682" s="25"/>
      <c r="N682" s="25"/>
      <c r="O682" s="4"/>
      <c r="P682" s="4"/>
      <c r="Q682" s="4"/>
      <c r="R682" s="4"/>
      <c r="S682" s="4"/>
    </row>
    <row r="683" spans="1:19" ht="15" customHeight="1" x14ac:dyDescent="0.2">
      <c r="A683" s="26"/>
      <c r="B683" s="26"/>
      <c r="C683" s="26"/>
      <c r="D683" s="26"/>
      <c r="E683" s="26"/>
      <c r="F683" s="25"/>
      <c r="G683" s="25"/>
      <c r="H683" s="25"/>
      <c r="I683" s="25"/>
      <c r="J683" s="25"/>
      <c r="K683" s="25"/>
      <c r="L683" s="25"/>
      <c r="M683" s="25"/>
      <c r="N683" s="25"/>
      <c r="O683" s="4"/>
      <c r="P683" s="4"/>
      <c r="Q683" s="4"/>
      <c r="R683" s="4"/>
      <c r="S683" s="4"/>
    </row>
    <row r="684" spans="1:19" ht="15" customHeight="1" x14ac:dyDescent="0.2">
      <c r="A684" s="26"/>
      <c r="B684" s="26"/>
      <c r="C684" s="26"/>
      <c r="D684" s="26"/>
      <c r="E684" s="26"/>
      <c r="F684" s="25"/>
      <c r="G684" s="25"/>
      <c r="H684" s="25"/>
      <c r="I684" s="25"/>
      <c r="J684" s="25"/>
      <c r="K684" s="25"/>
      <c r="L684" s="25"/>
      <c r="M684" s="25"/>
      <c r="N684" s="25"/>
      <c r="O684" s="4"/>
      <c r="P684" s="4"/>
      <c r="Q684" s="4"/>
      <c r="R684" s="4"/>
      <c r="S684" s="4"/>
    </row>
    <row r="685" spans="1:19" ht="15" customHeight="1" x14ac:dyDescent="0.2">
      <c r="A685" s="26"/>
      <c r="B685" s="26"/>
      <c r="C685" s="26"/>
      <c r="D685" s="26"/>
      <c r="E685" s="26"/>
      <c r="F685" s="25"/>
      <c r="G685" s="25"/>
      <c r="H685" s="25"/>
      <c r="I685" s="25"/>
      <c r="J685" s="25"/>
      <c r="K685" s="25"/>
      <c r="L685" s="25"/>
      <c r="M685" s="25"/>
      <c r="N685" s="25"/>
      <c r="O685" s="4"/>
      <c r="P685" s="4"/>
      <c r="Q685" s="4"/>
      <c r="R685" s="4"/>
      <c r="S685" s="4"/>
    </row>
    <row r="686" spans="1:19" ht="15" customHeight="1" x14ac:dyDescent="0.2">
      <c r="A686" s="26"/>
      <c r="B686" s="26"/>
      <c r="C686" s="26"/>
      <c r="D686" s="26"/>
      <c r="E686" s="26"/>
      <c r="F686" s="25"/>
      <c r="G686" s="25"/>
      <c r="H686" s="25"/>
      <c r="I686" s="25"/>
      <c r="J686" s="25"/>
      <c r="K686" s="25"/>
      <c r="L686" s="25"/>
      <c r="M686" s="25"/>
      <c r="N686" s="25"/>
      <c r="O686" s="4"/>
      <c r="P686" s="4"/>
      <c r="Q686" s="4"/>
      <c r="R686" s="4"/>
      <c r="S686" s="4"/>
    </row>
    <row r="687" spans="1:19" ht="15" customHeight="1" x14ac:dyDescent="0.2">
      <c r="A687" s="26"/>
      <c r="B687" s="26"/>
      <c r="C687" s="26"/>
      <c r="D687" s="26"/>
      <c r="E687" s="26"/>
      <c r="F687" s="25"/>
      <c r="G687" s="25"/>
      <c r="H687" s="25"/>
      <c r="I687" s="25"/>
      <c r="J687" s="25"/>
      <c r="K687" s="25"/>
      <c r="L687" s="25"/>
      <c r="M687" s="25"/>
      <c r="N687" s="25"/>
      <c r="O687" s="4"/>
      <c r="P687" s="4"/>
      <c r="Q687" s="4"/>
      <c r="R687" s="4"/>
      <c r="S687" s="4"/>
    </row>
    <row r="688" spans="1:19" ht="15" customHeight="1" x14ac:dyDescent="0.2">
      <c r="A688" s="26"/>
      <c r="B688" s="26"/>
      <c r="C688" s="26"/>
      <c r="D688" s="26"/>
      <c r="E688" s="26"/>
      <c r="F688" s="25"/>
      <c r="G688" s="25"/>
      <c r="H688" s="25"/>
      <c r="I688" s="25"/>
      <c r="J688" s="25"/>
      <c r="K688" s="25"/>
      <c r="L688" s="25"/>
      <c r="M688" s="25"/>
      <c r="N688" s="25"/>
      <c r="O688" s="4"/>
      <c r="P688" s="4"/>
      <c r="Q688" s="4"/>
      <c r="R688" s="4"/>
      <c r="S688" s="4"/>
    </row>
    <row r="689" spans="1:19" ht="15" customHeight="1" x14ac:dyDescent="0.2">
      <c r="A689" s="26"/>
      <c r="B689" s="26"/>
      <c r="C689" s="26"/>
      <c r="D689" s="26"/>
      <c r="E689" s="26"/>
      <c r="F689" s="25"/>
      <c r="G689" s="25"/>
      <c r="H689" s="25"/>
      <c r="I689" s="25"/>
      <c r="J689" s="25"/>
      <c r="K689" s="25"/>
      <c r="L689" s="25"/>
      <c r="M689" s="25"/>
      <c r="N689" s="25"/>
      <c r="O689" s="4"/>
      <c r="P689" s="4"/>
      <c r="Q689" s="4"/>
      <c r="R689" s="4"/>
      <c r="S689" s="4"/>
    </row>
    <row r="690" spans="1:19" ht="15" customHeight="1" x14ac:dyDescent="0.2">
      <c r="A690" s="26"/>
      <c r="B690" s="26"/>
      <c r="C690" s="26"/>
      <c r="D690" s="26"/>
      <c r="E690" s="26"/>
      <c r="F690" s="25"/>
      <c r="G690" s="25"/>
      <c r="H690" s="25"/>
      <c r="I690" s="25"/>
      <c r="J690" s="25"/>
      <c r="K690" s="25"/>
      <c r="L690" s="25"/>
      <c r="M690" s="25"/>
      <c r="N690" s="25"/>
      <c r="O690" s="4"/>
      <c r="P690" s="4"/>
      <c r="Q690" s="4"/>
      <c r="R690" s="4"/>
      <c r="S690" s="4"/>
    </row>
    <row r="691" spans="1:19" ht="15" customHeight="1" x14ac:dyDescent="0.2">
      <c r="A691" s="26"/>
      <c r="B691" s="26"/>
      <c r="C691" s="26"/>
      <c r="D691" s="26"/>
      <c r="E691" s="26"/>
      <c r="F691" s="25"/>
      <c r="G691" s="25"/>
      <c r="H691" s="25"/>
      <c r="I691" s="25"/>
      <c r="J691" s="25"/>
      <c r="K691" s="25"/>
      <c r="L691" s="25"/>
      <c r="M691" s="25"/>
      <c r="N691" s="25"/>
      <c r="O691" s="4"/>
      <c r="P691" s="4"/>
      <c r="Q691" s="4"/>
      <c r="R691" s="4"/>
      <c r="S691" s="4"/>
    </row>
    <row r="692" spans="1:19" ht="15" customHeight="1" x14ac:dyDescent="0.2">
      <c r="A692" s="26"/>
      <c r="B692" s="26"/>
      <c r="C692" s="26"/>
      <c r="D692" s="26"/>
      <c r="E692" s="26"/>
      <c r="F692" s="25"/>
      <c r="G692" s="25"/>
      <c r="H692" s="25"/>
      <c r="I692" s="25"/>
      <c r="J692" s="25"/>
      <c r="K692" s="25"/>
      <c r="L692" s="25"/>
      <c r="M692" s="25"/>
      <c r="N692" s="25"/>
      <c r="O692" s="4"/>
      <c r="P692" s="4"/>
      <c r="Q692" s="4"/>
      <c r="R692" s="4"/>
      <c r="S692" s="4"/>
    </row>
    <row r="693" spans="1:19" ht="15" customHeight="1" x14ac:dyDescent="0.2">
      <c r="A693" s="26"/>
      <c r="B693" s="26"/>
      <c r="C693" s="26"/>
      <c r="D693" s="26"/>
      <c r="E693" s="26"/>
      <c r="F693" s="25"/>
      <c r="G693" s="25"/>
      <c r="H693" s="25"/>
      <c r="I693" s="25"/>
      <c r="J693" s="25"/>
      <c r="K693" s="25"/>
      <c r="L693" s="25"/>
      <c r="M693" s="25"/>
      <c r="N693" s="25"/>
      <c r="O693" s="4"/>
      <c r="P693" s="4"/>
      <c r="Q693" s="4"/>
      <c r="R693" s="4"/>
      <c r="S693" s="4"/>
    </row>
    <row r="694" spans="1:19" ht="15" customHeight="1" x14ac:dyDescent="0.2">
      <c r="A694" s="26"/>
      <c r="B694" s="26"/>
      <c r="C694" s="26"/>
      <c r="D694" s="26"/>
      <c r="E694" s="26"/>
      <c r="F694" s="25"/>
      <c r="G694" s="25"/>
      <c r="H694" s="25"/>
      <c r="I694" s="25"/>
      <c r="J694" s="25"/>
      <c r="K694" s="25"/>
      <c r="L694" s="25"/>
      <c r="M694" s="25"/>
      <c r="N694" s="25"/>
      <c r="O694" s="4"/>
      <c r="P694" s="4"/>
      <c r="Q694" s="4"/>
      <c r="R694" s="4"/>
      <c r="S694" s="4"/>
    </row>
    <row r="695" spans="1:19" ht="15" customHeight="1" x14ac:dyDescent="0.2">
      <c r="A695" s="26"/>
      <c r="B695" s="26"/>
      <c r="C695" s="26"/>
      <c r="D695" s="26"/>
      <c r="E695" s="26"/>
      <c r="F695" s="25"/>
      <c r="G695" s="25"/>
      <c r="H695" s="25"/>
      <c r="I695" s="25"/>
      <c r="J695" s="25"/>
      <c r="K695" s="25"/>
      <c r="L695" s="25"/>
      <c r="M695" s="25"/>
      <c r="N695" s="25"/>
      <c r="O695" s="4"/>
      <c r="P695" s="4"/>
      <c r="Q695" s="4"/>
      <c r="R695" s="4"/>
      <c r="S695" s="4"/>
    </row>
    <row r="696" spans="1:19" ht="15" customHeight="1" x14ac:dyDescent="0.2">
      <c r="A696" s="26"/>
      <c r="B696" s="26"/>
      <c r="C696" s="26"/>
      <c r="D696" s="26"/>
      <c r="E696" s="26"/>
      <c r="F696" s="25"/>
      <c r="G696" s="25"/>
      <c r="H696" s="25"/>
      <c r="I696" s="25"/>
      <c r="J696" s="25"/>
      <c r="K696" s="25"/>
      <c r="L696" s="25"/>
      <c r="M696" s="25"/>
      <c r="N696" s="25"/>
      <c r="O696" s="4"/>
      <c r="P696" s="4"/>
      <c r="Q696" s="4"/>
      <c r="R696" s="4"/>
      <c r="S696" s="4"/>
    </row>
    <row r="697" spans="1:19" ht="15" customHeight="1" x14ac:dyDescent="0.2">
      <c r="A697" s="26"/>
      <c r="B697" s="26"/>
      <c r="C697" s="26"/>
      <c r="D697" s="26"/>
      <c r="E697" s="26"/>
      <c r="F697" s="25"/>
      <c r="G697" s="25"/>
      <c r="H697" s="25"/>
      <c r="I697" s="25"/>
      <c r="J697" s="25"/>
      <c r="K697" s="25"/>
      <c r="L697" s="25"/>
      <c r="M697" s="25"/>
      <c r="N697" s="25"/>
      <c r="O697" s="4"/>
      <c r="P697" s="4"/>
      <c r="Q697" s="4"/>
      <c r="R697" s="4"/>
      <c r="S697" s="4"/>
    </row>
    <row r="698" spans="1:19" ht="15" customHeight="1" x14ac:dyDescent="0.2">
      <c r="A698" s="26"/>
      <c r="B698" s="26"/>
      <c r="C698" s="26"/>
      <c r="D698" s="26"/>
      <c r="E698" s="26"/>
      <c r="F698" s="25"/>
      <c r="G698" s="25"/>
      <c r="H698" s="25"/>
      <c r="I698" s="25"/>
      <c r="J698" s="25"/>
      <c r="K698" s="25"/>
      <c r="L698" s="25"/>
      <c r="M698" s="25"/>
      <c r="N698" s="25"/>
      <c r="O698" s="4"/>
      <c r="P698" s="4"/>
      <c r="Q698" s="4"/>
      <c r="R698" s="4"/>
      <c r="S698" s="4"/>
    </row>
    <row r="699" spans="1:19" ht="15" customHeight="1" x14ac:dyDescent="0.2">
      <c r="A699" s="26"/>
      <c r="B699" s="26"/>
      <c r="C699" s="26"/>
      <c r="D699" s="26"/>
      <c r="E699" s="26"/>
      <c r="F699" s="25"/>
      <c r="G699" s="25"/>
      <c r="H699" s="25"/>
      <c r="I699" s="25"/>
      <c r="J699" s="25"/>
      <c r="K699" s="25"/>
      <c r="L699" s="25"/>
      <c r="M699" s="25"/>
      <c r="N699" s="25"/>
      <c r="O699" s="4"/>
      <c r="P699" s="4"/>
      <c r="Q699" s="4"/>
      <c r="R699" s="4"/>
      <c r="S699" s="4"/>
    </row>
    <row r="700" spans="1:19" ht="15" customHeight="1" x14ac:dyDescent="0.2">
      <c r="A700" s="26"/>
      <c r="B700" s="26"/>
      <c r="C700" s="26"/>
      <c r="D700" s="26"/>
      <c r="E700" s="26"/>
      <c r="F700" s="25"/>
      <c r="G700" s="25"/>
      <c r="H700" s="25"/>
      <c r="I700" s="25"/>
      <c r="J700" s="25"/>
      <c r="K700" s="25"/>
      <c r="L700" s="25"/>
      <c r="M700" s="25"/>
      <c r="N700" s="25"/>
      <c r="O700" s="4"/>
      <c r="P700" s="4"/>
      <c r="Q700" s="4"/>
      <c r="R700" s="4"/>
      <c r="S700" s="4"/>
    </row>
    <row r="701" spans="1:19" ht="15" customHeight="1" x14ac:dyDescent="0.2">
      <c r="A701" s="26"/>
      <c r="B701" s="26"/>
      <c r="C701" s="26"/>
      <c r="D701" s="26"/>
      <c r="E701" s="26"/>
      <c r="F701" s="25"/>
      <c r="G701" s="25"/>
      <c r="H701" s="25"/>
      <c r="I701" s="25"/>
      <c r="J701" s="25"/>
      <c r="K701" s="25"/>
      <c r="L701" s="25"/>
      <c r="M701" s="25"/>
      <c r="N701" s="25"/>
      <c r="O701" s="4"/>
      <c r="P701" s="4"/>
      <c r="Q701" s="4"/>
      <c r="R701" s="4"/>
      <c r="S701" s="4"/>
    </row>
    <row r="702" spans="1:19" ht="15" customHeight="1" x14ac:dyDescent="0.2">
      <c r="A702" s="26"/>
      <c r="B702" s="26"/>
      <c r="C702" s="26"/>
      <c r="D702" s="26"/>
      <c r="E702" s="26"/>
      <c r="F702" s="25"/>
      <c r="G702" s="25"/>
      <c r="H702" s="25"/>
      <c r="I702" s="25"/>
      <c r="J702" s="25"/>
      <c r="K702" s="25"/>
      <c r="L702" s="25"/>
      <c r="M702" s="25"/>
      <c r="N702" s="25"/>
      <c r="O702" s="4"/>
      <c r="P702" s="4"/>
      <c r="Q702" s="4"/>
      <c r="R702" s="4"/>
      <c r="S702" s="4"/>
    </row>
    <row r="703" spans="1:19" ht="15" customHeight="1" x14ac:dyDescent="0.2">
      <c r="A703" s="26"/>
      <c r="B703" s="26"/>
      <c r="C703" s="26"/>
      <c r="D703" s="26"/>
      <c r="E703" s="26"/>
      <c r="F703" s="25"/>
      <c r="G703" s="25"/>
      <c r="H703" s="25"/>
      <c r="I703" s="25"/>
      <c r="J703" s="25"/>
      <c r="K703" s="25"/>
      <c r="L703" s="25"/>
      <c r="M703" s="25"/>
      <c r="N703" s="25"/>
      <c r="O703" s="4"/>
      <c r="P703" s="4"/>
      <c r="Q703" s="4"/>
      <c r="R703" s="4"/>
      <c r="S703" s="4"/>
    </row>
    <row r="704" spans="1:19" ht="15" customHeight="1" x14ac:dyDescent="0.2">
      <c r="A704" s="26"/>
      <c r="B704" s="26"/>
      <c r="C704" s="26"/>
      <c r="D704" s="26"/>
      <c r="E704" s="26"/>
      <c r="F704" s="25"/>
      <c r="G704" s="25"/>
      <c r="H704" s="25"/>
      <c r="I704" s="25"/>
      <c r="J704" s="25"/>
      <c r="K704" s="25"/>
      <c r="L704" s="25"/>
      <c r="M704" s="25"/>
      <c r="N704" s="25"/>
      <c r="O704" s="4"/>
      <c r="P704" s="4"/>
      <c r="Q704" s="4"/>
      <c r="R704" s="4"/>
      <c r="S704" s="4"/>
    </row>
    <row r="705" spans="1:19" ht="15" customHeight="1" x14ac:dyDescent="0.2">
      <c r="A705" s="26"/>
      <c r="B705" s="26"/>
      <c r="C705" s="26"/>
      <c r="D705" s="26"/>
      <c r="E705" s="26"/>
      <c r="F705" s="25"/>
      <c r="G705" s="25"/>
      <c r="H705" s="25"/>
      <c r="I705" s="25"/>
      <c r="J705" s="25"/>
      <c r="K705" s="25"/>
      <c r="L705" s="25"/>
      <c r="M705" s="25"/>
      <c r="N705" s="25"/>
      <c r="O705" s="4"/>
      <c r="P705" s="4"/>
      <c r="Q705" s="4"/>
      <c r="R705" s="4"/>
      <c r="S705" s="4"/>
    </row>
    <row r="706" spans="1:19" ht="15" customHeight="1" x14ac:dyDescent="0.2">
      <c r="A706" s="26"/>
      <c r="B706" s="26"/>
      <c r="C706" s="26"/>
      <c r="D706" s="26"/>
      <c r="E706" s="26"/>
      <c r="F706" s="25"/>
      <c r="G706" s="25"/>
      <c r="H706" s="25"/>
      <c r="I706" s="25"/>
      <c r="J706" s="25"/>
      <c r="K706" s="25"/>
      <c r="L706" s="25"/>
      <c r="M706" s="25"/>
      <c r="N706" s="25"/>
      <c r="O706" s="4"/>
      <c r="P706" s="4"/>
      <c r="Q706" s="4"/>
      <c r="R706" s="4"/>
      <c r="S706" s="4"/>
    </row>
    <row r="707" spans="1:19" ht="15" customHeight="1" x14ac:dyDescent="0.2">
      <c r="A707" s="26"/>
      <c r="B707" s="26"/>
      <c r="C707" s="26"/>
      <c r="D707" s="26"/>
      <c r="E707" s="26"/>
      <c r="F707" s="25"/>
      <c r="G707" s="25"/>
      <c r="H707" s="25"/>
      <c r="I707" s="25"/>
      <c r="J707" s="25"/>
      <c r="K707" s="25"/>
      <c r="L707" s="25"/>
      <c r="M707" s="25"/>
      <c r="N707" s="25"/>
      <c r="O707" s="4"/>
      <c r="P707" s="4"/>
      <c r="Q707" s="4"/>
      <c r="R707" s="4"/>
      <c r="S707" s="4"/>
    </row>
    <row r="708" spans="1:19" ht="15" customHeight="1" x14ac:dyDescent="0.2">
      <c r="A708" s="26"/>
      <c r="B708" s="26"/>
      <c r="C708" s="26"/>
      <c r="D708" s="26"/>
      <c r="E708" s="26"/>
      <c r="F708" s="25"/>
      <c r="G708" s="25"/>
      <c r="H708" s="25"/>
      <c r="I708" s="25"/>
      <c r="J708" s="25"/>
      <c r="K708" s="25"/>
      <c r="L708" s="25"/>
      <c r="M708" s="25"/>
      <c r="N708" s="25"/>
      <c r="O708" s="4"/>
      <c r="P708" s="4"/>
      <c r="Q708" s="4"/>
      <c r="R708" s="4"/>
      <c r="S708" s="4"/>
    </row>
    <row r="709" spans="1:19" ht="15" customHeight="1" x14ac:dyDescent="0.2">
      <c r="A709" s="26"/>
      <c r="B709" s="26"/>
      <c r="C709" s="26"/>
      <c r="D709" s="26"/>
      <c r="E709" s="26"/>
      <c r="F709" s="25"/>
      <c r="G709" s="25"/>
      <c r="H709" s="25"/>
      <c r="I709" s="25"/>
      <c r="J709" s="25"/>
      <c r="K709" s="25"/>
      <c r="L709" s="25"/>
      <c r="M709" s="25"/>
      <c r="N709" s="25"/>
      <c r="O709" s="4"/>
      <c r="P709" s="4"/>
      <c r="Q709" s="4"/>
      <c r="R709" s="4"/>
      <c r="S709" s="4"/>
    </row>
    <row r="710" spans="1:19" ht="15" customHeight="1" x14ac:dyDescent="0.2">
      <c r="A710" s="26"/>
      <c r="B710" s="26"/>
      <c r="C710" s="26"/>
      <c r="D710" s="26"/>
      <c r="E710" s="26"/>
      <c r="F710" s="25"/>
      <c r="G710" s="25"/>
      <c r="H710" s="25"/>
      <c r="I710" s="25"/>
      <c r="J710" s="25"/>
      <c r="K710" s="25"/>
      <c r="L710" s="25"/>
      <c r="M710" s="25"/>
      <c r="N710" s="25"/>
      <c r="O710" s="4"/>
      <c r="P710" s="4"/>
      <c r="Q710" s="4"/>
      <c r="R710" s="4"/>
      <c r="S710" s="4"/>
    </row>
    <row r="711" spans="1:19" ht="15" customHeight="1" x14ac:dyDescent="0.2">
      <c r="A711" s="26"/>
      <c r="B711" s="26"/>
      <c r="C711" s="26"/>
      <c r="D711" s="26"/>
      <c r="E711" s="26"/>
      <c r="F711" s="25"/>
      <c r="G711" s="25"/>
      <c r="H711" s="25"/>
      <c r="I711" s="25"/>
      <c r="J711" s="25"/>
      <c r="K711" s="25"/>
      <c r="L711" s="25"/>
      <c r="M711" s="25"/>
      <c r="N711" s="25"/>
      <c r="O711" s="4"/>
      <c r="P711" s="4"/>
      <c r="Q711" s="4"/>
      <c r="R711" s="4"/>
      <c r="S711" s="4"/>
    </row>
    <row r="712" spans="1:19" ht="15" customHeight="1" x14ac:dyDescent="0.2">
      <c r="A712" s="26"/>
      <c r="B712" s="26"/>
      <c r="C712" s="26"/>
      <c r="D712" s="26"/>
      <c r="E712" s="26"/>
      <c r="F712" s="25"/>
      <c r="G712" s="25"/>
      <c r="H712" s="25"/>
      <c r="I712" s="25"/>
      <c r="J712" s="25"/>
      <c r="K712" s="25"/>
      <c r="L712" s="25"/>
      <c r="M712" s="25"/>
      <c r="N712" s="25"/>
      <c r="O712" s="4"/>
      <c r="P712" s="4"/>
      <c r="Q712" s="4"/>
      <c r="R712" s="4"/>
      <c r="S712" s="4"/>
    </row>
    <row r="713" spans="1:19" ht="15" customHeight="1" x14ac:dyDescent="0.2">
      <c r="A713" s="26"/>
      <c r="B713" s="26"/>
      <c r="C713" s="26"/>
      <c r="D713" s="26"/>
      <c r="E713" s="26"/>
      <c r="F713" s="25"/>
      <c r="G713" s="25"/>
      <c r="H713" s="25"/>
      <c r="I713" s="25"/>
      <c r="J713" s="25"/>
      <c r="K713" s="25"/>
      <c r="L713" s="25"/>
      <c r="M713" s="25"/>
      <c r="N713" s="25"/>
      <c r="O713" s="4"/>
      <c r="P713" s="4"/>
      <c r="Q713" s="4"/>
      <c r="R713" s="4"/>
      <c r="S713" s="4"/>
    </row>
    <row r="714" spans="1:19" ht="15" customHeight="1" x14ac:dyDescent="0.2">
      <c r="A714" s="26"/>
      <c r="B714" s="26"/>
      <c r="C714" s="26"/>
      <c r="D714" s="26"/>
      <c r="E714" s="26"/>
      <c r="F714" s="25"/>
      <c r="G714" s="25"/>
      <c r="H714" s="25"/>
      <c r="I714" s="25"/>
      <c r="J714" s="25"/>
      <c r="K714" s="25"/>
      <c r="L714" s="25"/>
      <c r="M714" s="25"/>
      <c r="N714" s="25"/>
      <c r="O714" s="4"/>
      <c r="P714" s="4"/>
      <c r="Q714" s="4"/>
      <c r="R714" s="4"/>
      <c r="S714" s="4"/>
    </row>
    <row r="715" spans="1:19" ht="15" customHeight="1" x14ac:dyDescent="0.2">
      <c r="A715" s="26"/>
      <c r="B715" s="26"/>
      <c r="C715" s="26"/>
      <c r="D715" s="26"/>
      <c r="E715" s="26"/>
      <c r="F715" s="25"/>
      <c r="G715" s="25"/>
      <c r="H715" s="25"/>
      <c r="I715" s="25"/>
      <c r="J715" s="25"/>
      <c r="K715" s="25"/>
      <c r="L715" s="25"/>
      <c r="M715" s="25"/>
      <c r="N715" s="25"/>
      <c r="O715" s="4"/>
      <c r="P715" s="4"/>
      <c r="Q715" s="4"/>
      <c r="R715" s="4"/>
      <c r="S715" s="4"/>
    </row>
    <row r="716" spans="1:19" ht="15" customHeight="1" x14ac:dyDescent="0.2">
      <c r="A716" s="26"/>
      <c r="B716" s="26"/>
      <c r="C716" s="26"/>
      <c r="D716" s="26"/>
      <c r="E716" s="26"/>
      <c r="F716" s="25"/>
      <c r="G716" s="25"/>
      <c r="H716" s="25"/>
      <c r="I716" s="25"/>
      <c r="J716" s="25"/>
      <c r="K716" s="25"/>
      <c r="L716" s="25"/>
      <c r="M716" s="25"/>
      <c r="N716" s="25"/>
      <c r="O716" s="4"/>
      <c r="P716" s="4"/>
      <c r="Q716" s="4"/>
      <c r="R716" s="4"/>
      <c r="S716" s="4"/>
    </row>
    <row r="717" spans="1:19" ht="15" customHeight="1" x14ac:dyDescent="0.2">
      <c r="A717" s="26"/>
      <c r="B717" s="26"/>
      <c r="C717" s="26"/>
      <c r="D717" s="26"/>
      <c r="E717" s="26"/>
      <c r="F717" s="25"/>
      <c r="G717" s="25"/>
      <c r="H717" s="25"/>
      <c r="I717" s="25"/>
      <c r="J717" s="25"/>
      <c r="K717" s="25"/>
      <c r="L717" s="25"/>
      <c r="M717" s="25"/>
      <c r="N717" s="25"/>
      <c r="O717" s="4"/>
      <c r="P717" s="4"/>
      <c r="Q717" s="4"/>
      <c r="R717" s="4"/>
      <c r="S717" s="4"/>
    </row>
    <row r="718" spans="1:19" ht="15" customHeight="1" x14ac:dyDescent="0.2">
      <c r="A718" s="26"/>
      <c r="B718" s="26"/>
      <c r="C718" s="26"/>
      <c r="D718" s="26"/>
      <c r="E718" s="26"/>
      <c r="F718" s="25"/>
      <c r="G718" s="25"/>
      <c r="H718" s="25"/>
      <c r="I718" s="25"/>
      <c r="J718" s="25"/>
      <c r="K718" s="25"/>
      <c r="L718" s="25"/>
      <c r="M718" s="25"/>
      <c r="N718" s="25"/>
      <c r="O718" s="4"/>
      <c r="P718" s="4"/>
      <c r="Q718" s="4"/>
      <c r="R718" s="4"/>
      <c r="S718" s="4"/>
    </row>
    <row r="719" spans="1:19" ht="15" customHeight="1" x14ac:dyDescent="0.2">
      <c r="A719" s="26"/>
      <c r="B719" s="26"/>
      <c r="C719" s="26"/>
      <c r="D719" s="26"/>
      <c r="E719" s="26"/>
      <c r="F719" s="25"/>
      <c r="G719" s="25"/>
      <c r="H719" s="25"/>
      <c r="I719" s="25"/>
      <c r="J719" s="25"/>
      <c r="K719" s="25"/>
      <c r="L719" s="25"/>
      <c r="M719" s="25"/>
      <c r="N719" s="25"/>
      <c r="O719" s="4"/>
      <c r="P719" s="4"/>
      <c r="Q719" s="4"/>
      <c r="R719" s="4"/>
      <c r="S719" s="4"/>
    </row>
    <row r="720" spans="1:19" ht="15" customHeight="1" x14ac:dyDescent="0.2">
      <c r="A720" s="26"/>
      <c r="B720" s="26"/>
      <c r="C720" s="26"/>
      <c r="D720" s="26"/>
      <c r="E720" s="26"/>
      <c r="F720" s="25"/>
      <c r="G720" s="25"/>
      <c r="H720" s="25"/>
      <c r="I720" s="25"/>
      <c r="J720" s="25"/>
      <c r="K720" s="25"/>
      <c r="L720" s="25"/>
      <c r="M720" s="25"/>
      <c r="N720" s="25"/>
      <c r="O720" s="4"/>
      <c r="P720" s="4"/>
      <c r="Q720" s="4"/>
      <c r="R720" s="4"/>
      <c r="S720" s="4"/>
    </row>
    <row r="721" spans="1:19" ht="15" customHeight="1" x14ac:dyDescent="0.2">
      <c r="A721" s="26"/>
      <c r="B721" s="26"/>
      <c r="C721" s="26"/>
      <c r="D721" s="26"/>
      <c r="E721" s="26"/>
      <c r="F721" s="25"/>
      <c r="G721" s="25"/>
      <c r="H721" s="25"/>
      <c r="I721" s="25"/>
      <c r="J721" s="25"/>
      <c r="K721" s="25"/>
      <c r="L721" s="25"/>
      <c r="M721" s="25"/>
      <c r="N721" s="25"/>
      <c r="O721" s="4"/>
      <c r="P721" s="4"/>
      <c r="Q721" s="4"/>
      <c r="R721" s="4"/>
      <c r="S721" s="4"/>
    </row>
    <row r="722" spans="1:19" ht="15" customHeight="1" x14ac:dyDescent="0.2">
      <c r="A722" s="26"/>
      <c r="B722" s="26"/>
      <c r="C722" s="26"/>
      <c r="D722" s="26"/>
      <c r="E722" s="26"/>
      <c r="F722" s="25"/>
      <c r="G722" s="25"/>
      <c r="H722" s="25"/>
      <c r="I722" s="25"/>
      <c r="J722" s="25"/>
      <c r="K722" s="25"/>
      <c r="L722" s="25"/>
      <c r="M722" s="25"/>
      <c r="N722" s="25"/>
      <c r="O722" s="4"/>
      <c r="P722" s="4"/>
      <c r="Q722" s="4"/>
      <c r="R722" s="4"/>
      <c r="S722" s="4"/>
    </row>
    <row r="723" spans="1:19" ht="15" customHeight="1" x14ac:dyDescent="0.2">
      <c r="A723" s="26"/>
      <c r="B723" s="26"/>
      <c r="C723" s="26"/>
      <c r="D723" s="26"/>
      <c r="E723" s="26"/>
      <c r="F723" s="25"/>
      <c r="G723" s="25"/>
      <c r="H723" s="25"/>
      <c r="I723" s="25"/>
      <c r="J723" s="25"/>
      <c r="K723" s="25"/>
      <c r="L723" s="25"/>
      <c r="M723" s="25"/>
      <c r="N723" s="25"/>
      <c r="O723" s="4"/>
      <c r="P723" s="4"/>
      <c r="Q723" s="4"/>
      <c r="R723" s="4"/>
      <c r="S723" s="4"/>
    </row>
    <row r="724" spans="1:19" ht="15" customHeight="1" x14ac:dyDescent="0.2">
      <c r="A724" s="26"/>
      <c r="B724" s="26"/>
      <c r="C724" s="26"/>
      <c r="D724" s="26"/>
      <c r="E724" s="26"/>
      <c r="F724" s="25"/>
      <c r="G724" s="25"/>
      <c r="H724" s="25"/>
      <c r="I724" s="25"/>
      <c r="J724" s="25"/>
      <c r="K724" s="25"/>
      <c r="L724" s="25"/>
      <c r="M724" s="25"/>
      <c r="N724" s="25"/>
      <c r="O724" s="4"/>
      <c r="P724" s="4"/>
      <c r="Q724" s="4"/>
      <c r="R724" s="4"/>
      <c r="S724" s="4"/>
    </row>
    <row r="725" spans="1:19" ht="15" customHeight="1" x14ac:dyDescent="0.2">
      <c r="A725" s="26"/>
      <c r="B725" s="26"/>
      <c r="C725" s="26"/>
      <c r="D725" s="26"/>
      <c r="E725" s="26"/>
      <c r="F725" s="25"/>
      <c r="G725" s="25"/>
      <c r="H725" s="25"/>
      <c r="I725" s="25"/>
      <c r="J725" s="25"/>
      <c r="K725" s="25"/>
      <c r="L725" s="25"/>
      <c r="M725" s="25"/>
      <c r="N725" s="25"/>
      <c r="O725" s="4"/>
      <c r="P725" s="4"/>
      <c r="Q725" s="4"/>
      <c r="R725" s="4"/>
      <c r="S725" s="4"/>
    </row>
    <row r="726" spans="1:19" ht="15" customHeight="1" x14ac:dyDescent="0.2">
      <c r="A726" s="26"/>
      <c r="B726" s="26"/>
      <c r="C726" s="26"/>
      <c r="D726" s="26"/>
      <c r="E726" s="26"/>
      <c r="F726" s="25"/>
      <c r="G726" s="25"/>
      <c r="H726" s="25"/>
      <c r="I726" s="25"/>
      <c r="J726" s="25"/>
      <c r="K726" s="25"/>
      <c r="L726" s="25"/>
      <c r="M726" s="25"/>
      <c r="N726" s="25"/>
      <c r="O726" s="4"/>
      <c r="P726" s="4"/>
      <c r="Q726" s="4"/>
      <c r="R726" s="4"/>
      <c r="S726" s="4"/>
    </row>
    <row r="727" spans="1:19" ht="15" customHeight="1" x14ac:dyDescent="0.2">
      <c r="A727" s="26"/>
      <c r="B727" s="26"/>
      <c r="C727" s="26"/>
      <c r="D727" s="26"/>
      <c r="E727" s="26"/>
      <c r="F727" s="25"/>
      <c r="G727" s="25"/>
      <c r="H727" s="25"/>
      <c r="I727" s="25"/>
      <c r="J727" s="25"/>
      <c r="K727" s="25"/>
      <c r="L727" s="25"/>
      <c r="M727" s="25"/>
      <c r="N727" s="25"/>
      <c r="O727" s="4"/>
      <c r="P727" s="4"/>
      <c r="Q727" s="4"/>
      <c r="R727" s="4"/>
      <c r="S727" s="4"/>
    </row>
    <row r="728" spans="1:19" ht="15" customHeight="1" x14ac:dyDescent="0.2">
      <c r="A728" s="26"/>
      <c r="B728" s="26"/>
      <c r="C728" s="26"/>
      <c r="D728" s="26"/>
      <c r="E728" s="26"/>
      <c r="F728" s="25"/>
      <c r="G728" s="25"/>
      <c r="H728" s="25"/>
      <c r="I728" s="25"/>
      <c r="J728" s="25"/>
      <c r="K728" s="25"/>
      <c r="L728" s="25"/>
      <c r="M728" s="25"/>
      <c r="N728" s="25"/>
      <c r="O728" s="4"/>
      <c r="P728" s="4"/>
      <c r="Q728" s="4"/>
      <c r="R728" s="4"/>
      <c r="S728" s="4"/>
    </row>
    <row r="729" spans="1:19" ht="15" customHeight="1" x14ac:dyDescent="0.2">
      <c r="A729" s="26"/>
      <c r="B729" s="26"/>
      <c r="C729" s="26"/>
      <c r="D729" s="26"/>
      <c r="E729" s="26"/>
      <c r="F729" s="25"/>
      <c r="G729" s="25"/>
      <c r="H729" s="25"/>
      <c r="I729" s="25"/>
      <c r="J729" s="25"/>
      <c r="K729" s="25"/>
      <c r="L729" s="25"/>
      <c r="M729" s="25"/>
      <c r="N729" s="25"/>
      <c r="O729" s="4"/>
      <c r="P729" s="4"/>
      <c r="Q729" s="4"/>
      <c r="R729" s="4"/>
      <c r="S729" s="4"/>
    </row>
    <row r="730" spans="1:19" ht="15" customHeight="1" x14ac:dyDescent="0.2">
      <c r="A730" s="26"/>
      <c r="B730" s="26"/>
      <c r="C730" s="26"/>
      <c r="D730" s="26"/>
      <c r="E730" s="26"/>
      <c r="F730" s="25"/>
      <c r="G730" s="25"/>
      <c r="H730" s="25"/>
      <c r="I730" s="25"/>
      <c r="J730" s="25"/>
      <c r="K730" s="25"/>
      <c r="L730" s="25"/>
      <c r="M730" s="25"/>
      <c r="N730" s="25"/>
      <c r="O730" s="4"/>
      <c r="P730" s="4"/>
      <c r="Q730" s="4"/>
      <c r="R730" s="4"/>
      <c r="S730" s="4"/>
    </row>
    <row r="731" spans="1:19" ht="15" customHeight="1" x14ac:dyDescent="0.2">
      <c r="A731" s="26"/>
      <c r="B731" s="26"/>
      <c r="C731" s="26"/>
      <c r="D731" s="26"/>
      <c r="E731" s="26"/>
      <c r="F731" s="25"/>
      <c r="G731" s="25"/>
      <c r="H731" s="25"/>
      <c r="I731" s="25"/>
      <c r="J731" s="25"/>
      <c r="K731" s="25"/>
      <c r="L731" s="25"/>
      <c r="M731" s="25"/>
      <c r="N731" s="25"/>
      <c r="O731" s="4"/>
      <c r="P731" s="4"/>
      <c r="Q731" s="4"/>
      <c r="R731" s="4"/>
      <c r="S731" s="4"/>
    </row>
    <row r="732" spans="1:19" ht="15" customHeight="1" x14ac:dyDescent="0.2">
      <c r="A732" s="26"/>
      <c r="B732" s="26"/>
      <c r="C732" s="26"/>
      <c r="D732" s="26"/>
      <c r="E732" s="26"/>
      <c r="F732" s="25"/>
      <c r="G732" s="25"/>
      <c r="H732" s="25"/>
      <c r="I732" s="25"/>
      <c r="J732" s="25"/>
      <c r="K732" s="25"/>
      <c r="L732" s="25"/>
      <c r="M732" s="25"/>
      <c r="N732" s="25"/>
      <c r="O732" s="4"/>
      <c r="P732" s="4"/>
      <c r="Q732" s="4"/>
      <c r="R732" s="4"/>
      <c r="S732" s="4"/>
    </row>
    <row r="733" spans="1:19" ht="15" customHeight="1" x14ac:dyDescent="0.2">
      <c r="A733" s="26"/>
      <c r="B733" s="26"/>
      <c r="C733" s="26"/>
      <c r="D733" s="26"/>
      <c r="E733" s="26"/>
      <c r="F733" s="25"/>
      <c r="G733" s="25"/>
      <c r="H733" s="25"/>
      <c r="I733" s="25"/>
      <c r="J733" s="25"/>
      <c r="K733" s="25"/>
      <c r="L733" s="25"/>
      <c r="M733" s="25"/>
      <c r="N733" s="25"/>
      <c r="O733" s="4"/>
      <c r="P733" s="4"/>
      <c r="Q733" s="4"/>
      <c r="R733" s="4"/>
      <c r="S733" s="4"/>
    </row>
    <row r="734" spans="1:19" ht="15" customHeight="1" x14ac:dyDescent="0.2">
      <c r="A734" s="26"/>
      <c r="B734" s="26"/>
      <c r="C734" s="26"/>
      <c r="D734" s="26"/>
      <c r="E734" s="26"/>
      <c r="F734" s="25"/>
      <c r="G734" s="25"/>
      <c r="H734" s="25"/>
      <c r="I734" s="25"/>
      <c r="J734" s="25"/>
      <c r="K734" s="25"/>
      <c r="L734" s="25"/>
      <c r="M734" s="25"/>
      <c r="N734" s="25"/>
      <c r="O734" s="4"/>
      <c r="P734" s="4"/>
      <c r="Q734" s="4"/>
      <c r="R734" s="4"/>
      <c r="S734" s="4"/>
    </row>
    <row r="735" spans="1:19" ht="15" customHeight="1" x14ac:dyDescent="0.2">
      <c r="A735" s="26"/>
      <c r="B735" s="26"/>
      <c r="C735" s="26"/>
      <c r="D735" s="26"/>
      <c r="E735" s="26"/>
      <c r="F735" s="25"/>
      <c r="G735" s="25"/>
      <c r="H735" s="25"/>
      <c r="I735" s="25"/>
      <c r="J735" s="25"/>
      <c r="K735" s="25"/>
      <c r="L735" s="25"/>
      <c r="M735" s="25"/>
      <c r="N735" s="25"/>
      <c r="O735" s="4"/>
      <c r="P735" s="4"/>
      <c r="Q735" s="4"/>
      <c r="R735" s="4"/>
      <c r="S735" s="4"/>
    </row>
    <row r="736" spans="1:19" ht="15" customHeight="1" x14ac:dyDescent="0.2">
      <c r="A736" s="26"/>
      <c r="B736" s="26"/>
      <c r="C736" s="26"/>
      <c r="D736" s="26"/>
      <c r="E736" s="26"/>
      <c r="F736" s="25"/>
      <c r="G736" s="25"/>
      <c r="H736" s="25"/>
      <c r="I736" s="25"/>
      <c r="J736" s="25"/>
      <c r="K736" s="25"/>
      <c r="L736" s="25"/>
      <c r="M736" s="25"/>
      <c r="N736" s="25"/>
      <c r="O736" s="4"/>
      <c r="P736" s="4"/>
      <c r="Q736" s="4"/>
      <c r="R736" s="4"/>
      <c r="S736" s="4"/>
    </row>
    <row r="737" spans="1:19" ht="15" customHeight="1" x14ac:dyDescent="0.2">
      <c r="A737" s="26"/>
      <c r="B737" s="26"/>
      <c r="C737" s="26"/>
      <c r="D737" s="26"/>
      <c r="E737" s="26"/>
      <c r="F737" s="25"/>
      <c r="G737" s="25"/>
      <c r="H737" s="25"/>
      <c r="I737" s="25"/>
      <c r="J737" s="25"/>
      <c r="K737" s="25"/>
      <c r="L737" s="25"/>
      <c r="M737" s="25"/>
      <c r="N737" s="25"/>
      <c r="O737" s="4"/>
      <c r="P737" s="4"/>
      <c r="Q737" s="4"/>
      <c r="R737" s="4"/>
      <c r="S737" s="4"/>
    </row>
    <row r="738" spans="1:19" ht="15" customHeight="1" x14ac:dyDescent="0.2">
      <c r="A738" s="26"/>
      <c r="B738" s="26"/>
      <c r="C738" s="26"/>
      <c r="D738" s="26"/>
      <c r="E738" s="26"/>
      <c r="F738" s="25"/>
      <c r="G738" s="25"/>
      <c r="H738" s="25"/>
      <c r="I738" s="25"/>
      <c r="J738" s="25"/>
      <c r="K738" s="25"/>
      <c r="L738" s="25"/>
      <c r="M738" s="25"/>
      <c r="N738" s="25"/>
      <c r="O738" s="4"/>
      <c r="P738" s="4"/>
      <c r="Q738" s="4"/>
      <c r="R738" s="4"/>
      <c r="S738" s="4"/>
    </row>
    <row r="739" spans="1:19" ht="15" customHeight="1" x14ac:dyDescent="0.2">
      <c r="A739" s="26"/>
      <c r="B739" s="26"/>
      <c r="C739" s="26"/>
      <c r="D739" s="26"/>
      <c r="E739" s="26"/>
      <c r="F739" s="25"/>
      <c r="G739" s="25"/>
      <c r="H739" s="25"/>
      <c r="I739" s="25"/>
      <c r="J739" s="25"/>
      <c r="K739" s="25"/>
      <c r="L739" s="25"/>
      <c r="M739" s="25"/>
      <c r="N739" s="25"/>
      <c r="O739" s="4"/>
      <c r="P739" s="4"/>
      <c r="Q739" s="4"/>
      <c r="R739" s="4"/>
      <c r="S739" s="4"/>
    </row>
    <row r="740" spans="1:19" ht="15" customHeight="1" x14ac:dyDescent="0.2">
      <c r="A740" s="26"/>
      <c r="B740" s="26"/>
      <c r="C740" s="26"/>
      <c r="D740" s="26"/>
      <c r="E740" s="26"/>
      <c r="F740" s="25"/>
      <c r="G740" s="25"/>
      <c r="H740" s="25"/>
      <c r="I740" s="25"/>
      <c r="J740" s="25"/>
      <c r="K740" s="25"/>
      <c r="L740" s="25"/>
      <c r="M740" s="25"/>
      <c r="N740" s="25"/>
      <c r="O740" s="4"/>
      <c r="P740" s="4"/>
      <c r="Q740" s="4"/>
      <c r="R740" s="4"/>
      <c r="S740" s="4"/>
    </row>
    <row r="741" spans="1:19" ht="15" customHeight="1" x14ac:dyDescent="0.2">
      <c r="A741" s="26"/>
      <c r="B741" s="26"/>
      <c r="C741" s="26"/>
      <c r="D741" s="26"/>
      <c r="E741" s="26"/>
      <c r="F741" s="25"/>
      <c r="G741" s="25"/>
      <c r="H741" s="25"/>
      <c r="I741" s="25"/>
      <c r="J741" s="25"/>
      <c r="K741" s="25"/>
      <c r="L741" s="25"/>
      <c r="M741" s="25"/>
      <c r="N741" s="25"/>
      <c r="O741" s="4"/>
      <c r="P741" s="4"/>
      <c r="Q741" s="4"/>
      <c r="R741" s="4"/>
      <c r="S741" s="4"/>
    </row>
    <row r="742" spans="1:19" ht="15" customHeight="1" x14ac:dyDescent="0.2">
      <c r="A742" s="26"/>
      <c r="B742" s="26"/>
      <c r="C742" s="26"/>
      <c r="D742" s="26"/>
      <c r="E742" s="26"/>
      <c r="F742" s="25"/>
      <c r="G742" s="25"/>
      <c r="H742" s="25"/>
      <c r="I742" s="25"/>
      <c r="J742" s="25"/>
      <c r="K742" s="25"/>
      <c r="L742" s="25"/>
      <c r="M742" s="25"/>
      <c r="N742" s="25"/>
      <c r="O742" s="4"/>
      <c r="P742" s="4"/>
      <c r="Q742" s="4"/>
      <c r="R742" s="4"/>
      <c r="S742" s="4"/>
    </row>
    <row r="743" spans="1:19" ht="15" customHeight="1" x14ac:dyDescent="0.2">
      <c r="A743" s="26"/>
      <c r="B743" s="26"/>
      <c r="C743" s="26"/>
      <c r="D743" s="26"/>
      <c r="E743" s="26"/>
      <c r="F743" s="25"/>
      <c r="G743" s="25"/>
      <c r="H743" s="25"/>
      <c r="I743" s="25"/>
      <c r="J743" s="25"/>
      <c r="K743" s="25"/>
      <c r="L743" s="25"/>
      <c r="M743" s="25"/>
      <c r="N743" s="25"/>
      <c r="O743" s="4"/>
      <c r="P743" s="4"/>
      <c r="Q743" s="4"/>
      <c r="R743" s="4"/>
      <c r="S743" s="4"/>
    </row>
    <row r="744" spans="1:19" ht="15" customHeight="1" x14ac:dyDescent="0.2">
      <c r="A744" s="26"/>
      <c r="B744" s="26"/>
      <c r="C744" s="26"/>
      <c r="D744" s="26"/>
      <c r="E744" s="26"/>
      <c r="F744" s="25"/>
      <c r="G744" s="25"/>
      <c r="H744" s="25"/>
      <c r="I744" s="25"/>
      <c r="J744" s="25"/>
      <c r="K744" s="25"/>
      <c r="L744" s="25"/>
      <c r="M744" s="25"/>
      <c r="N744" s="25"/>
      <c r="O744" s="4"/>
      <c r="P744" s="4"/>
      <c r="Q744" s="4"/>
      <c r="R744" s="4"/>
      <c r="S744" s="4"/>
    </row>
    <row r="745" spans="1:19" ht="15" customHeight="1" x14ac:dyDescent="0.2">
      <c r="A745" s="26"/>
      <c r="B745" s="26"/>
      <c r="C745" s="26"/>
      <c r="D745" s="26"/>
      <c r="E745" s="26"/>
      <c r="F745" s="25"/>
      <c r="G745" s="25"/>
      <c r="H745" s="25"/>
      <c r="I745" s="25"/>
      <c r="J745" s="25"/>
      <c r="K745" s="25"/>
      <c r="L745" s="25"/>
      <c r="M745" s="25"/>
      <c r="N745" s="25"/>
      <c r="O745" s="4"/>
      <c r="P745" s="4"/>
      <c r="Q745" s="4"/>
      <c r="R745" s="4"/>
      <c r="S745" s="4"/>
    </row>
    <row r="746" spans="1:19" ht="15" customHeight="1" x14ac:dyDescent="0.2">
      <c r="A746" s="26"/>
      <c r="B746" s="26"/>
      <c r="C746" s="26"/>
      <c r="D746" s="26"/>
      <c r="E746" s="26"/>
      <c r="F746" s="25"/>
      <c r="G746" s="25"/>
      <c r="H746" s="25"/>
      <c r="I746" s="25"/>
      <c r="J746" s="25"/>
      <c r="K746" s="25"/>
      <c r="L746" s="25"/>
      <c r="M746" s="25"/>
      <c r="N746" s="25"/>
      <c r="O746" s="4"/>
      <c r="P746" s="4"/>
      <c r="Q746" s="4"/>
      <c r="R746" s="4"/>
      <c r="S746" s="4"/>
    </row>
    <row r="747" spans="1:19" ht="15" customHeight="1" x14ac:dyDescent="0.2">
      <c r="A747" s="26"/>
      <c r="B747" s="26"/>
      <c r="C747" s="26"/>
      <c r="D747" s="26"/>
      <c r="E747" s="26"/>
      <c r="F747" s="25"/>
      <c r="G747" s="25"/>
      <c r="H747" s="25"/>
      <c r="I747" s="25"/>
      <c r="J747" s="25"/>
      <c r="K747" s="25"/>
      <c r="L747" s="25"/>
      <c r="M747" s="25"/>
      <c r="N747" s="25"/>
      <c r="O747" s="4"/>
      <c r="P747" s="4"/>
      <c r="Q747" s="4"/>
      <c r="R747" s="4"/>
      <c r="S747" s="4"/>
    </row>
    <row r="748" spans="1:19" ht="15" customHeight="1" x14ac:dyDescent="0.2">
      <c r="A748" s="26"/>
      <c r="B748" s="26"/>
      <c r="C748" s="26"/>
      <c r="D748" s="26"/>
      <c r="E748" s="26"/>
      <c r="F748" s="25"/>
      <c r="G748" s="25"/>
      <c r="H748" s="25"/>
      <c r="I748" s="25"/>
      <c r="J748" s="25"/>
      <c r="K748" s="25"/>
      <c r="L748" s="25"/>
      <c r="M748" s="25"/>
      <c r="N748" s="25"/>
      <c r="O748" s="4"/>
      <c r="P748" s="4"/>
      <c r="Q748" s="4"/>
      <c r="R748" s="4"/>
      <c r="S748" s="4"/>
    </row>
    <row r="749" spans="1:19" ht="15" customHeight="1" x14ac:dyDescent="0.2">
      <c r="A749" s="26"/>
      <c r="B749" s="26"/>
      <c r="C749" s="26"/>
      <c r="D749" s="26"/>
      <c r="E749" s="26"/>
      <c r="F749" s="25"/>
      <c r="G749" s="25"/>
      <c r="H749" s="25"/>
      <c r="I749" s="25"/>
      <c r="J749" s="25"/>
      <c r="K749" s="25"/>
      <c r="L749" s="25"/>
      <c r="M749" s="25"/>
      <c r="N749" s="25"/>
      <c r="O749" s="4"/>
      <c r="P749" s="4"/>
      <c r="Q749" s="4"/>
      <c r="R749" s="4"/>
      <c r="S749" s="4"/>
    </row>
    <row r="750" spans="1:19" ht="15" customHeight="1" x14ac:dyDescent="0.2">
      <c r="A750" s="26"/>
      <c r="B750" s="26"/>
      <c r="C750" s="26"/>
      <c r="D750" s="26"/>
      <c r="E750" s="26"/>
      <c r="F750" s="25"/>
      <c r="G750" s="25"/>
      <c r="H750" s="25"/>
      <c r="I750" s="25"/>
      <c r="J750" s="25"/>
      <c r="K750" s="25"/>
      <c r="L750" s="25"/>
      <c r="M750" s="25"/>
      <c r="N750" s="25"/>
      <c r="O750" s="4"/>
      <c r="P750" s="4"/>
      <c r="Q750" s="4"/>
      <c r="R750" s="4"/>
      <c r="S750" s="4"/>
    </row>
    <row r="751" spans="1:19" ht="15" customHeight="1" x14ac:dyDescent="0.2">
      <c r="A751" s="26"/>
      <c r="B751" s="26"/>
      <c r="C751" s="26"/>
      <c r="D751" s="26"/>
      <c r="E751" s="26"/>
      <c r="F751" s="25"/>
      <c r="G751" s="25"/>
      <c r="H751" s="25"/>
      <c r="I751" s="25"/>
      <c r="J751" s="25"/>
      <c r="K751" s="25"/>
      <c r="L751" s="25"/>
      <c r="M751" s="25"/>
      <c r="N751" s="25"/>
      <c r="O751" s="4"/>
      <c r="P751" s="4"/>
      <c r="Q751" s="4"/>
      <c r="R751" s="4"/>
      <c r="S751" s="4"/>
    </row>
    <row r="752" spans="1:19" ht="15" customHeight="1" x14ac:dyDescent="0.2">
      <c r="A752" s="26"/>
      <c r="B752" s="26"/>
      <c r="C752" s="26"/>
      <c r="D752" s="26"/>
      <c r="E752" s="26"/>
      <c r="F752" s="25"/>
      <c r="G752" s="25"/>
      <c r="H752" s="25"/>
      <c r="I752" s="25"/>
      <c r="J752" s="25"/>
      <c r="K752" s="25"/>
      <c r="L752" s="25"/>
      <c r="M752" s="25"/>
      <c r="N752" s="25"/>
      <c r="O752" s="4"/>
      <c r="P752" s="4"/>
      <c r="Q752" s="4"/>
      <c r="R752" s="4"/>
      <c r="S752" s="4"/>
    </row>
    <row r="753" spans="1:19" ht="15" customHeight="1" x14ac:dyDescent="0.2">
      <c r="A753" s="26"/>
      <c r="B753" s="26"/>
      <c r="C753" s="26"/>
      <c r="D753" s="26"/>
      <c r="E753" s="26"/>
      <c r="F753" s="25"/>
      <c r="G753" s="25"/>
      <c r="H753" s="25"/>
      <c r="I753" s="25"/>
      <c r="J753" s="25"/>
      <c r="K753" s="25"/>
      <c r="L753" s="25"/>
      <c r="M753" s="25"/>
      <c r="N753" s="25"/>
      <c r="O753" s="4"/>
      <c r="P753" s="4"/>
      <c r="Q753" s="4"/>
      <c r="R753" s="4"/>
      <c r="S753" s="4"/>
    </row>
    <row r="754" spans="1:19" ht="15" customHeight="1" x14ac:dyDescent="0.2">
      <c r="A754" s="26"/>
      <c r="B754" s="26"/>
      <c r="C754" s="26"/>
      <c r="D754" s="26"/>
      <c r="E754" s="26"/>
      <c r="F754" s="25"/>
      <c r="G754" s="25"/>
      <c r="H754" s="25"/>
      <c r="I754" s="25"/>
      <c r="J754" s="25"/>
      <c r="K754" s="25"/>
      <c r="L754" s="25"/>
      <c r="M754" s="25"/>
      <c r="N754" s="25"/>
      <c r="O754" s="4"/>
      <c r="P754" s="4"/>
      <c r="Q754" s="4"/>
      <c r="R754" s="4"/>
      <c r="S754" s="4"/>
    </row>
    <row r="755" spans="1:19" ht="15" customHeight="1" x14ac:dyDescent="0.2">
      <c r="A755" s="26"/>
      <c r="B755" s="26"/>
      <c r="C755" s="26"/>
      <c r="D755" s="26"/>
      <c r="E755" s="26"/>
      <c r="F755" s="25"/>
      <c r="G755" s="25"/>
      <c r="H755" s="25"/>
      <c r="I755" s="25"/>
      <c r="J755" s="25"/>
      <c r="K755" s="25"/>
      <c r="L755" s="25"/>
      <c r="M755" s="25"/>
      <c r="N755" s="25"/>
      <c r="O755" s="4"/>
      <c r="P755" s="4"/>
      <c r="Q755" s="4"/>
      <c r="R755" s="4"/>
      <c r="S755" s="4"/>
    </row>
    <row r="756" spans="1:19" ht="15" customHeight="1" x14ac:dyDescent="0.2">
      <c r="A756" s="26"/>
      <c r="B756" s="26"/>
      <c r="C756" s="26"/>
      <c r="D756" s="26"/>
      <c r="E756" s="26"/>
      <c r="F756" s="25"/>
      <c r="G756" s="25"/>
      <c r="H756" s="25"/>
      <c r="I756" s="25"/>
      <c r="J756" s="25"/>
      <c r="K756" s="25"/>
      <c r="L756" s="25"/>
      <c r="M756" s="25"/>
      <c r="N756" s="25"/>
      <c r="O756" s="4"/>
      <c r="P756" s="4"/>
      <c r="Q756" s="4"/>
      <c r="R756" s="4"/>
      <c r="S756" s="4"/>
    </row>
    <row r="757" spans="1:19" ht="15" customHeight="1" x14ac:dyDescent="0.2">
      <c r="A757" s="26"/>
      <c r="B757" s="26"/>
      <c r="C757" s="26"/>
      <c r="D757" s="26"/>
      <c r="E757" s="26"/>
      <c r="F757" s="25"/>
      <c r="G757" s="25"/>
      <c r="H757" s="25"/>
      <c r="I757" s="25"/>
      <c r="J757" s="25"/>
      <c r="K757" s="25"/>
      <c r="L757" s="25"/>
      <c r="M757" s="25"/>
      <c r="N757" s="25"/>
      <c r="O757" s="4"/>
      <c r="P757" s="4"/>
      <c r="Q757" s="4"/>
      <c r="R757" s="4"/>
      <c r="S757" s="4"/>
    </row>
    <row r="758" spans="1:19" ht="15" customHeight="1" x14ac:dyDescent="0.2">
      <c r="A758" s="26"/>
      <c r="B758" s="26"/>
      <c r="C758" s="26"/>
      <c r="D758" s="26"/>
      <c r="E758" s="26"/>
      <c r="F758" s="25"/>
      <c r="G758" s="25"/>
      <c r="H758" s="25"/>
      <c r="I758" s="25"/>
      <c r="J758" s="25"/>
      <c r="K758" s="25"/>
      <c r="L758" s="25"/>
      <c r="M758" s="25"/>
      <c r="N758" s="25"/>
      <c r="O758" s="4"/>
      <c r="P758" s="4"/>
      <c r="Q758" s="4"/>
      <c r="R758" s="4"/>
      <c r="S758" s="4"/>
    </row>
    <row r="759" spans="1:19" ht="15" customHeight="1" x14ac:dyDescent="0.2">
      <c r="A759" s="26"/>
      <c r="B759" s="26"/>
      <c r="C759" s="26"/>
      <c r="D759" s="26"/>
      <c r="E759" s="26"/>
      <c r="F759" s="25"/>
      <c r="G759" s="25"/>
      <c r="H759" s="25"/>
      <c r="I759" s="25"/>
      <c r="J759" s="25"/>
      <c r="K759" s="25"/>
      <c r="L759" s="25"/>
      <c r="M759" s="25"/>
      <c r="N759" s="25"/>
      <c r="O759" s="4"/>
      <c r="P759" s="4"/>
      <c r="Q759" s="4"/>
      <c r="R759" s="4"/>
      <c r="S759" s="4"/>
    </row>
    <row r="760" spans="1:19" ht="15" customHeight="1" x14ac:dyDescent="0.2">
      <c r="A760" s="26"/>
      <c r="B760" s="26"/>
      <c r="C760" s="26"/>
      <c r="D760" s="26"/>
      <c r="E760" s="26"/>
      <c r="F760" s="25"/>
      <c r="G760" s="25"/>
      <c r="H760" s="25"/>
      <c r="I760" s="25"/>
      <c r="J760" s="25"/>
      <c r="K760" s="25"/>
      <c r="L760" s="25"/>
      <c r="M760" s="25"/>
      <c r="N760" s="25"/>
      <c r="O760" s="4"/>
      <c r="P760" s="4"/>
      <c r="Q760" s="4"/>
      <c r="R760" s="4"/>
      <c r="S760" s="4"/>
    </row>
    <row r="761" spans="1:19" ht="15" customHeight="1" x14ac:dyDescent="0.2">
      <c r="A761" s="26"/>
      <c r="B761" s="26"/>
      <c r="C761" s="26"/>
      <c r="D761" s="26"/>
      <c r="E761" s="26"/>
      <c r="F761" s="25"/>
      <c r="G761" s="25"/>
      <c r="H761" s="25"/>
      <c r="I761" s="25"/>
      <c r="J761" s="25"/>
      <c r="K761" s="25"/>
      <c r="L761" s="25"/>
      <c r="M761" s="25"/>
      <c r="N761" s="25"/>
      <c r="O761" s="4"/>
      <c r="P761" s="4"/>
      <c r="Q761" s="4"/>
      <c r="R761" s="4"/>
      <c r="S761" s="4"/>
    </row>
    <row r="762" spans="1:19" ht="15" customHeight="1" x14ac:dyDescent="0.2">
      <c r="A762" s="26"/>
      <c r="B762" s="26"/>
      <c r="C762" s="26"/>
      <c r="D762" s="26"/>
      <c r="E762" s="26"/>
      <c r="F762" s="25"/>
      <c r="G762" s="25"/>
      <c r="H762" s="25"/>
      <c r="I762" s="25"/>
      <c r="J762" s="25"/>
      <c r="K762" s="25"/>
      <c r="L762" s="25"/>
      <c r="M762" s="25"/>
      <c r="N762" s="25"/>
      <c r="O762" s="4"/>
      <c r="P762" s="4"/>
      <c r="Q762" s="4"/>
      <c r="R762" s="4"/>
      <c r="S762" s="4"/>
    </row>
    <row r="763" spans="1:19" ht="15" customHeight="1" x14ac:dyDescent="0.2">
      <c r="A763" s="26"/>
      <c r="B763" s="26"/>
      <c r="C763" s="26"/>
      <c r="D763" s="26"/>
      <c r="E763" s="26"/>
      <c r="F763" s="25"/>
      <c r="G763" s="25"/>
      <c r="H763" s="25"/>
      <c r="I763" s="25"/>
      <c r="J763" s="25"/>
      <c r="K763" s="25"/>
      <c r="L763" s="25"/>
      <c r="M763" s="25"/>
      <c r="N763" s="25"/>
      <c r="O763" s="4"/>
      <c r="P763" s="4"/>
      <c r="Q763" s="4"/>
      <c r="R763" s="4"/>
      <c r="S763" s="4"/>
    </row>
    <row r="764" spans="1:19" ht="15" customHeight="1" x14ac:dyDescent="0.2">
      <c r="A764" s="26"/>
      <c r="B764" s="26"/>
      <c r="C764" s="26"/>
      <c r="D764" s="26"/>
      <c r="E764" s="26"/>
      <c r="F764" s="25"/>
      <c r="G764" s="25"/>
      <c r="H764" s="25"/>
      <c r="I764" s="25"/>
      <c r="J764" s="25"/>
      <c r="K764" s="25"/>
      <c r="L764" s="25"/>
      <c r="M764" s="25"/>
      <c r="N764" s="25"/>
      <c r="O764" s="4"/>
      <c r="P764" s="4"/>
      <c r="Q764" s="4"/>
      <c r="R764" s="4"/>
      <c r="S764" s="4"/>
    </row>
    <row r="765" spans="1:19" ht="15" customHeight="1" x14ac:dyDescent="0.2">
      <c r="A765" s="26"/>
      <c r="B765" s="26"/>
      <c r="C765" s="26"/>
      <c r="D765" s="26"/>
      <c r="E765" s="26"/>
      <c r="F765" s="25"/>
      <c r="G765" s="25"/>
      <c r="H765" s="25"/>
      <c r="I765" s="25"/>
      <c r="J765" s="25"/>
      <c r="K765" s="25"/>
      <c r="L765" s="25"/>
      <c r="M765" s="25"/>
      <c r="N765" s="25"/>
      <c r="O765" s="4"/>
      <c r="P765" s="4"/>
      <c r="Q765" s="4"/>
      <c r="R765" s="4"/>
      <c r="S765" s="4"/>
    </row>
    <row r="766" spans="1:19" ht="15" customHeight="1" x14ac:dyDescent="0.2">
      <c r="A766" s="26"/>
      <c r="B766" s="26"/>
      <c r="C766" s="26"/>
      <c r="D766" s="26"/>
      <c r="E766" s="26"/>
      <c r="F766" s="25"/>
      <c r="G766" s="25"/>
      <c r="H766" s="25"/>
      <c r="I766" s="25"/>
      <c r="J766" s="25"/>
      <c r="K766" s="25"/>
      <c r="L766" s="25"/>
      <c r="M766" s="25"/>
      <c r="N766" s="25"/>
      <c r="O766" s="4"/>
      <c r="P766" s="4"/>
      <c r="Q766" s="4"/>
      <c r="R766" s="4"/>
      <c r="S766" s="4"/>
    </row>
    <row r="767" spans="1:19" ht="15" customHeight="1" x14ac:dyDescent="0.2">
      <c r="A767" s="26"/>
      <c r="B767" s="26"/>
      <c r="C767" s="26"/>
      <c r="D767" s="26"/>
      <c r="E767" s="26"/>
      <c r="F767" s="25"/>
      <c r="G767" s="25"/>
      <c r="H767" s="25"/>
      <c r="I767" s="25"/>
      <c r="J767" s="25"/>
      <c r="K767" s="25"/>
      <c r="L767" s="25"/>
      <c r="M767" s="25"/>
      <c r="N767" s="25"/>
      <c r="O767" s="4"/>
      <c r="P767" s="4"/>
      <c r="Q767" s="4"/>
      <c r="R767" s="4"/>
      <c r="S767" s="4"/>
    </row>
    <row r="768" spans="1:19" ht="15" customHeight="1" x14ac:dyDescent="0.2">
      <c r="A768" s="26"/>
      <c r="B768" s="26"/>
      <c r="C768" s="26"/>
      <c r="D768" s="26"/>
      <c r="E768" s="26"/>
      <c r="F768" s="25"/>
      <c r="G768" s="25"/>
      <c r="H768" s="25"/>
      <c r="I768" s="25"/>
      <c r="J768" s="25"/>
      <c r="K768" s="25"/>
      <c r="L768" s="25"/>
      <c r="M768" s="25"/>
      <c r="N768" s="25"/>
      <c r="O768" s="4"/>
      <c r="P768" s="4"/>
      <c r="Q768" s="4"/>
      <c r="R768" s="4"/>
      <c r="S768" s="4"/>
    </row>
    <row r="769" spans="1:19" ht="15" customHeight="1" x14ac:dyDescent="0.2">
      <c r="A769" s="26"/>
      <c r="B769" s="26"/>
      <c r="C769" s="26"/>
      <c r="D769" s="26"/>
      <c r="E769" s="26"/>
      <c r="F769" s="25"/>
      <c r="G769" s="25"/>
      <c r="H769" s="25"/>
      <c r="I769" s="25"/>
      <c r="J769" s="25"/>
      <c r="K769" s="25"/>
      <c r="L769" s="25"/>
      <c r="M769" s="25"/>
      <c r="N769" s="25"/>
      <c r="O769" s="4"/>
      <c r="P769" s="4"/>
      <c r="Q769" s="4"/>
      <c r="R769" s="4"/>
      <c r="S769" s="4"/>
    </row>
    <row r="770" spans="1:19" ht="15" customHeight="1" x14ac:dyDescent="0.2">
      <c r="A770" s="26"/>
      <c r="B770" s="26"/>
      <c r="C770" s="26"/>
      <c r="D770" s="26"/>
      <c r="E770" s="26"/>
      <c r="F770" s="25"/>
      <c r="G770" s="25"/>
      <c r="H770" s="25"/>
      <c r="I770" s="25"/>
      <c r="J770" s="25"/>
      <c r="K770" s="25"/>
      <c r="L770" s="25"/>
      <c r="M770" s="25"/>
      <c r="N770" s="25"/>
      <c r="O770" s="4"/>
      <c r="P770" s="4"/>
      <c r="Q770" s="4"/>
      <c r="R770" s="4"/>
      <c r="S770" s="4"/>
    </row>
    <row r="771" spans="1:19" ht="15" customHeight="1" x14ac:dyDescent="0.2">
      <c r="A771" s="26"/>
      <c r="B771" s="26"/>
      <c r="C771" s="26"/>
      <c r="D771" s="26"/>
      <c r="E771" s="26"/>
      <c r="F771" s="25"/>
      <c r="G771" s="25"/>
      <c r="H771" s="25"/>
      <c r="I771" s="25"/>
      <c r="J771" s="25"/>
      <c r="K771" s="25"/>
      <c r="L771" s="25"/>
      <c r="M771" s="25"/>
      <c r="N771" s="25"/>
      <c r="O771" s="4"/>
      <c r="P771" s="4"/>
      <c r="Q771" s="4"/>
      <c r="R771" s="4"/>
      <c r="S771" s="4"/>
    </row>
    <row r="772" spans="1:19" ht="15" customHeight="1" x14ac:dyDescent="0.2">
      <c r="A772" s="26"/>
      <c r="B772" s="26"/>
      <c r="C772" s="26"/>
      <c r="D772" s="26"/>
      <c r="E772" s="26"/>
      <c r="F772" s="25"/>
      <c r="G772" s="25"/>
      <c r="H772" s="25"/>
      <c r="I772" s="25"/>
      <c r="J772" s="25"/>
      <c r="K772" s="25"/>
      <c r="L772" s="25"/>
      <c r="M772" s="25"/>
      <c r="N772" s="25"/>
      <c r="O772" s="4"/>
      <c r="P772" s="4"/>
      <c r="Q772" s="4"/>
      <c r="R772" s="4"/>
      <c r="S772" s="4"/>
    </row>
    <row r="773" spans="1:19" ht="15" customHeight="1" x14ac:dyDescent="0.2">
      <c r="A773" s="26"/>
      <c r="B773" s="26"/>
      <c r="C773" s="26"/>
      <c r="D773" s="26"/>
      <c r="E773" s="26"/>
      <c r="F773" s="25"/>
      <c r="G773" s="25"/>
      <c r="H773" s="25"/>
      <c r="I773" s="25"/>
      <c r="J773" s="25"/>
      <c r="K773" s="25"/>
      <c r="L773" s="25"/>
      <c r="M773" s="25"/>
      <c r="N773" s="25"/>
      <c r="O773" s="4"/>
      <c r="P773" s="4"/>
      <c r="Q773" s="4"/>
      <c r="R773" s="4"/>
      <c r="S773" s="4"/>
    </row>
    <row r="774" spans="1:19" ht="15" customHeight="1" x14ac:dyDescent="0.2">
      <c r="A774" s="26"/>
      <c r="B774" s="26"/>
      <c r="C774" s="26"/>
      <c r="D774" s="26"/>
      <c r="E774" s="26"/>
      <c r="F774" s="25"/>
      <c r="G774" s="25"/>
      <c r="H774" s="25"/>
      <c r="I774" s="25"/>
      <c r="J774" s="25"/>
      <c r="K774" s="25"/>
      <c r="L774" s="25"/>
      <c r="M774" s="25"/>
      <c r="N774" s="25"/>
      <c r="O774" s="4"/>
      <c r="P774" s="4"/>
      <c r="Q774" s="4"/>
      <c r="R774" s="4"/>
      <c r="S774" s="4"/>
    </row>
    <row r="775" spans="1:19" ht="15" customHeight="1" x14ac:dyDescent="0.2">
      <c r="A775" s="26"/>
      <c r="B775" s="26"/>
      <c r="C775" s="26"/>
      <c r="D775" s="26"/>
      <c r="E775" s="26"/>
      <c r="F775" s="25"/>
      <c r="G775" s="25"/>
      <c r="H775" s="25"/>
      <c r="I775" s="25"/>
      <c r="J775" s="25"/>
      <c r="K775" s="25"/>
      <c r="L775" s="25"/>
      <c r="M775" s="25"/>
      <c r="N775" s="25"/>
      <c r="O775" s="4"/>
      <c r="P775" s="4"/>
      <c r="Q775" s="4"/>
      <c r="R775" s="4"/>
      <c r="S775" s="4"/>
    </row>
    <row r="776" spans="1:19" ht="15" customHeight="1" x14ac:dyDescent="0.2">
      <c r="A776" s="26"/>
      <c r="B776" s="26"/>
      <c r="C776" s="26"/>
      <c r="D776" s="26"/>
      <c r="E776" s="26"/>
      <c r="F776" s="25"/>
      <c r="G776" s="25"/>
      <c r="H776" s="25"/>
      <c r="I776" s="25"/>
      <c r="J776" s="25"/>
      <c r="K776" s="25"/>
      <c r="L776" s="25"/>
      <c r="M776" s="25"/>
      <c r="N776" s="25"/>
      <c r="O776" s="4"/>
      <c r="P776" s="4"/>
      <c r="Q776" s="4"/>
      <c r="R776" s="4"/>
      <c r="S776" s="4"/>
    </row>
    <row r="777" spans="1:19" ht="15" customHeight="1" x14ac:dyDescent="0.2">
      <c r="A777" s="26"/>
      <c r="B777" s="26"/>
      <c r="C777" s="26"/>
      <c r="D777" s="26"/>
      <c r="E777" s="26"/>
      <c r="F777" s="25"/>
      <c r="G777" s="25"/>
      <c r="H777" s="25"/>
      <c r="I777" s="25"/>
      <c r="J777" s="25"/>
      <c r="K777" s="25"/>
      <c r="L777" s="25"/>
      <c r="M777" s="25"/>
      <c r="N777" s="25"/>
      <c r="O777" s="4"/>
      <c r="P777" s="4"/>
      <c r="Q777" s="4"/>
      <c r="R777" s="4"/>
      <c r="S777" s="4"/>
    </row>
    <row r="778" spans="1:19" ht="15" customHeight="1" x14ac:dyDescent="0.2">
      <c r="A778" s="26"/>
      <c r="B778" s="26"/>
      <c r="C778" s="26"/>
      <c r="D778" s="26"/>
      <c r="E778" s="26"/>
      <c r="F778" s="25"/>
      <c r="G778" s="25"/>
      <c r="H778" s="25"/>
      <c r="I778" s="25"/>
      <c r="J778" s="25"/>
      <c r="K778" s="25"/>
      <c r="L778" s="25"/>
      <c r="M778" s="25"/>
      <c r="N778" s="25"/>
      <c r="O778" s="4"/>
      <c r="P778" s="4"/>
      <c r="Q778" s="4"/>
      <c r="R778" s="4"/>
      <c r="S778" s="4"/>
    </row>
    <row r="779" spans="1:19" ht="15" customHeight="1" x14ac:dyDescent="0.2">
      <c r="A779" s="26"/>
      <c r="B779" s="26"/>
      <c r="C779" s="26"/>
      <c r="D779" s="26"/>
      <c r="E779" s="26"/>
      <c r="F779" s="25"/>
      <c r="G779" s="25"/>
      <c r="H779" s="25"/>
      <c r="I779" s="25"/>
      <c r="J779" s="25"/>
      <c r="K779" s="25"/>
      <c r="L779" s="25"/>
      <c r="M779" s="25"/>
      <c r="N779" s="25"/>
      <c r="O779" s="4"/>
      <c r="P779" s="4"/>
      <c r="Q779" s="4"/>
      <c r="R779" s="4"/>
      <c r="S779" s="4"/>
    </row>
    <row r="780" spans="1:19" ht="15" customHeight="1" x14ac:dyDescent="0.2">
      <c r="A780" s="26"/>
      <c r="B780" s="26"/>
      <c r="C780" s="26"/>
      <c r="D780" s="26"/>
      <c r="E780" s="26"/>
      <c r="F780" s="25"/>
      <c r="G780" s="25"/>
      <c r="H780" s="25"/>
      <c r="I780" s="25"/>
      <c r="J780" s="25"/>
      <c r="K780" s="25"/>
      <c r="L780" s="25"/>
      <c r="M780" s="25"/>
      <c r="N780" s="25"/>
      <c r="O780" s="4"/>
      <c r="P780" s="4"/>
      <c r="Q780" s="4"/>
      <c r="R780" s="4"/>
      <c r="S780" s="4"/>
    </row>
    <row r="781" spans="1:19" ht="15" customHeight="1" x14ac:dyDescent="0.2">
      <c r="A781" s="26"/>
      <c r="B781" s="26"/>
      <c r="C781" s="26"/>
      <c r="D781" s="26"/>
      <c r="E781" s="26"/>
      <c r="F781" s="25"/>
      <c r="G781" s="25"/>
      <c r="H781" s="25"/>
      <c r="I781" s="25"/>
      <c r="J781" s="25"/>
      <c r="K781" s="25"/>
      <c r="L781" s="25"/>
      <c r="M781" s="25"/>
      <c r="N781" s="25"/>
      <c r="O781" s="4"/>
      <c r="P781" s="4"/>
      <c r="Q781" s="4"/>
      <c r="R781" s="4"/>
      <c r="S781" s="4"/>
    </row>
    <row r="782" spans="1:19" ht="15" customHeight="1" x14ac:dyDescent="0.2">
      <c r="A782" s="26"/>
      <c r="B782" s="26"/>
      <c r="C782" s="26"/>
      <c r="D782" s="26"/>
      <c r="E782" s="26"/>
      <c r="F782" s="25"/>
      <c r="G782" s="25"/>
      <c r="H782" s="25"/>
      <c r="I782" s="25"/>
      <c r="J782" s="25"/>
      <c r="K782" s="25"/>
      <c r="L782" s="25"/>
      <c r="M782" s="25"/>
      <c r="N782" s="25"/>
      <c r="O782" s="4"/>
      <c r="P782" s="4"/>
      <c r="Q782" s="4"/>
      <c r="R782" s="4"/>
      <c r="S782" s="4"/>
    </row>
    <row r="783" spans="1:19" ht="15" customHeight="1" x14ac:dyDescent="0.2">
      <c r="A783" s="26"/>
      <c r="B783" s="26"/>
      <c r="C783" s="26"/>
      <c r="D783" s="26"/>
      <c r="E783" s="26"/>
      <c r="F783" s="25"/>
      <c r="G783" s="25"/>
      <c r="H783" s="25"/>
      <c r="I783" s="25"/>
      <c r="J783" s="25"/>
      <c r="K783" s="25"/>
      <c r="L783" s="25"/>
      <c r="M783" s="25"/>
      <c r="N783" s="25"/>
      <c r="O783" s="4"/>
      <c r="P783" s="4"/>
      <c r="Q783" s="4"/>
      <c r="R783" s="4"/>
      <c r="S783" s="4"/>
    </row>
    <row r="784" spans="1:19" ht="15" customHeight="1" x14ac:dyDescent="0.2">
      <c r="A784" s="26"/>
      <c r="B784" s="26"/>
      <c r="C784" s="26"/>
      <c r="D784" s="26"/>
      <c r="E784" s="26"/>
      <c r="F784" s="25"/>
      <c r="G784" s="25"/>
      <c r="H784" s="25"/>
      <c r="I784" s="25"/>
      <c r="J784" s="25"/>
      <c r="K784" s="25"/>
      <c r="L784" s="25"/>
      <c r="M784" s="25"/>
      <c r="N784" s="25"/>
      <c r="O784" s="4"/>
      <c r="P784" s="4"/>
      <c r="Q784" s="4"/>
      <c r="R784" s="4"/>
      <c r="S784" s="4"/>
    </row>
    <row r="785" spans="1:19" ht="15" customHeight="1" x14ac:dyDescent="0.2">
      <c r="A785" s="26"/>
      <c r="B785" s="26"/>
      <c r="C785" s="26"/>
      <c r="D785" s="26"/>
      <c r="E785" s="26"/>
      <c r="F785" s="25"/>
      <c r="G785" s="25"/>
      <c r="H785" s="25"/>
      <c r="I785" s="25"/>
      <c r="J785" s="25"/>
      <c r="K785" s="25"/>
      <c r="L785" s="25"/>
      <c r="M785" s="25"/>
      <c r="N785" s="25"/>
      <c r="O785" s="4"/>
      <c r="P785" s="4"/>
      <c r="Q785" s="4"/>
      <c r="R785" s="4"/>
      <c r="S785" s="4"/>
    </row>
    <row r="786" spans="1:19" ht="15" customHeight="1" x14ac:dyDescent="0.2">
      <c r="A786" s="26"/>
      <c r="B786" s="26"/>
      <c r="C786" s="26"/>
      <c r="D786" s="26"/>
      <c r="E786" s="26"/>
      <c r="F786" s="25"/>
      <c r="G786" s="25"/>
      <c r="H786" s="25"/>
      <c r="I786" s="25"/>
      <c r="J786" s="25"/>
      <c r="K786" s="25"/>
      <c r="L786" s="25"/>
      <c r="M786" s="25"/>
      <c r="N786" s="25"/>
      <c r="O786" s="4"/>
      <c r="P786" s="4"/>
      <c r="Q786" s="4"/>
      <c r="R786" s="4"/>
      <c r="S786" s="4"/>
    </row>
    <row r="787" spans="1:19" ht="15" customHeight="1" x14ac:dyDescent="0.2">
      <c r="A787" s="26"/>
      <c r="B787" s="26"/>
      <c r="C787" s="26"/>
      <c r="D787" s="26"/>
      <c r="E787" s="26"/>
      <c r="F787" s="25"/>
      <c r="G787" s="25"/>
      <c r="H787" s="25"/>
      <c r="I787" s="25"/>
      <c r="J787" s="25"/>
      <c r="K787" s="25"/>
      <c r="L787" s="25"/>
      <c r="M787" s="25"/>
      <c r="N787" s="25"/>
      <c r="O787" s="4"/>
      <c r="P787" s="4"/>
      <c r="Q787" s="4"/>
      <c r="R787" s="4"/>
      <c r="S787" s="4"/>
    </row>
    <row r="788" spans="1:19" ht="15" customHeight="1" x14ac:dyDescent="0.2">
      <c r="A788" s="26"/>
      <c r="B788" s="26"/>
      <c r="C788" s="26"/>
      <c r="D788" s="26"/>
      <c r="E788" s="26"/>
      <c r="F788" s="25"/>
      <c r="G788" s="25"/>
      <c r="H788" s="25"/>
      <c r="I788" s="25"/>
      <c r="J788" s="25"/>
      <c r="K788" s="25"/>
      <c r="L788" s="25"/>
      <c r="M788" s="25"/>
      <c r="N788" s="25"/>
      <c r="O788" s="4"/>
      <c r="P788" s="4"/>
      <c r="Q788" s="4"/>
      <c r="R788" s="4"/>
      <c r="S788" s="4"/>
    </row>
    <row r="789" spans="1:19" ht="15" customHeight="1" x14ac:dyDescent="0.2">
      <c r="A789" s="26"/>
      <c r="B789" s="26"/>
      <c r="C789" s="26"/>
      <c r="D789" s="26"/>
      <c r="E789" s="26"/>
      <c r="F789" s="25"/>
      <c r="G789" s="25"/>
      <c r="H789" s="25"/>
      <c r="I789" s="25"/>
      <c r="J789" s="25"/>
      <c r="K789" s="25"/>
      <c r="L789" s="25"/>
      <c r="M789" s="25"/>
      <c r="N789" s="25"/>
      <c r="O789" s="4"/>
      <c r="P789" s="4"/>
      <c r="Q789" s="4"/>
      <c r="R789" s="4"/>
      <c r="S789" s="4"/>
    </row>
    <row r="790" spans="1:19" ht="15" customHeight="1" x14ac:dyDescent="0.2">
      <c r="A790" s="26"/>
      <c r="B790" s="26"/>
      <c r="C790" s="26"/>
      <c r="D790" s="26"/>
      <c r="E790" s="26"/>
      <c r="F790" s="25"/>
      <c r="G790" s="25"/>
      <c r="H790" s="25"/>
      <c r="I790" s="25"/>
      <c r="J790" s="25"/>
      <c r="K790" s="25"/>
      <c r="L790" s="25"/>
      <c r="M790" s="25"/>
      <c r="N790" s="25"/>
      <c r="O790" s="4"/>
      <c r="P790" s="4"/>
      <c r="Q790" s="4"/>
      <c r="R790" s="4"/>
      <c r="S790" s="4"/>
    </row>
    <row r="791" spans="1:19" ht="15" customHeight="1" x14ac:dyDescent="0.2">
      <c r="A791" s="26"/>
      <c r="B791" s="26"/>
      <c r="C791" s="26"/>
      <c r="D791" s="26"/>
      <c r="E791" s="26"/>
      <c r="F791" s="25"/>
      <c r="G791" s="25"/>
      <c r="H791" s="25"/>
      <c r="I791" s="25"/>
      <c r="J791" s="25"/>
      <c r="K791" s="25"/>
      <c r="L791" s="25"/>
      <c r="M791" s="25"/>
      <c r="N791" s="25"/>
      <c r="O791" s="4"/>
      <c r="P791" s="4"/>
      <c r="Q791" s="4"/>
      <c r="R791" s="4"/>
      <c r="S791" s="4"/>
    </row>
    <row r="792" spans="1:19" ht="15" customHeight="1" x14ac:dyDescent="0.2">
      <c r="A792" s="26"/>
      <c r="B792" s="26"/>
      <c r="C792" s="26"/>
      <c r="D792" s="26"/>
      <c r="E792" s="26"/>
      <c r="F792" s="25"/>
      <c r="G792" s="25"/>
      <c r="H792" s="25"/>
      <c r="I792" s="25"/>
      <c r="J792" s="25"/>
      <c r="K792" s="25"/>
      <c r="L792" s="25"/>
      <c r="M792" s="25"/>
      <c r="N792" s="25"/>
      <c r="O792" s="4"/>
      <c r="P792" s="4"/>
      <c r="Q792" s="4"/>
      <c r="R792" s="4"/>
      <c r="S792" s="4"/>
    </row>
    <row r="793" spans="1:19" ht="15" customHeight="1" x14ac:dyDescent="0.2">
      <c r="A793" s="26"/>
      <c r="B793" s="26"/>
      <c r="C793" s="26"/>
      <c r="D793" s="26"/>
      <c r="E793" s="26"/>
      <c r="F793" s="25"/>
      <c r="G793" s="25"/>
      <c r="H793" s="25"/>
      <c r="I793" s="25"/>
      <c r="J793" s="25"/>
      <c r="K793" s="25"/>
      <c r="L793" s="25"/>
      <c r="M793" s="25"/>
      <c r="N793" s="25"/>
      <c r="O793" s="4"/>
      <c r="P793" s="4"/>
      <c r="Q793" s="4"/>
      <c r="R793" s="4"/>
      <c r="S793" s="4"/>
    </row>
    <row r="794" spans="1:19" ht="15" customHeight="1" x14ac:dyDescent="0.2">
      <c r="A794" s="26"/>
      <c r="B794" s="26"/>
      <c r="C794" s="26"/>
      <c r="D794" s="26"/>
      <c r="E794" s="26"/>
      <c r="F794" s="25"/>
      <c r="G794" s="25"/>
      <c r="H794" s="25"/>
      <c r="I794" s="25"/>
      <c r="J794" s="25"/>
      <c r="K794" s="25"/>
      <c r="L794" s="25"/>
      <c r="M794" s="25"/>
      <c r="N794" s="25"/>
      <c r="O794" s="4"/>
      <c r="P794" s="4"/>
      <c r="Q794" s="4"/>
      <c r="R794" s="4"/>
      <c r="S794" s="4"/>
    </row>
    <row r="795" spans="1:19" ht="15" customHeight="1" x14ac:dyDescent="0.2">
      <c r="A795" s="26"/>
      <c r="B795" s="26"/>
      <c r="C795" s="26"/>
      <c r="D795" s="26"/>
      <c r="E795" s="26"/>
      <c r="F795" s="25"/>
      <c r="G795" s="25"/>
      <c r="H795" s="25"/>
      <c r="I795" s="25"/>
      <c r="J795" s="25"/>
      <c r="K795" s="25"/>
      <c r="L795" s="25"/>
      <c r="M795" s="25"/>
      <c r="N795" s="25"/>
      <c r="O795" s="4"/>
      <c r="P795" s="4"/>
      <c r="Q795" s="4"/>
      <c r="R795" s="4"/>
      <c r="S795" s="4"/>
    </row>
    <row r="796" spans="1:19" ht="15" customHeight="1" x14ac:dyDescent="0.2">
      <c r="A796" s="26"/>
      <c r="B796" s="26"/>
      <c r="C796" s="26"/>
      <c r="D796" s="26"/>
      <c r="E796" s="26"/>
      <c r="F796" s="25"/>
      <c r="G796" s="25"/>
      <c r="H796" s="25"/>
      <c r="I796" s="25"/>
      <c r="J796" s="25"/>
      <c r="K796" s="25"/>
      <c r="L796" s="25"/>
      <c r="M796" s="25"/>
      <c r="N796" s="25"/>
      <c r="O796" s="4"/>
      <c r="P796" s="4"/>
      <c r="Q796" s="4"/>
      <c r="R796" s="4"/>
      <c r="S796" s="4"/>
    </row>
    <row r="797" spans="1:19" ht="15" customHeight="1" x14ac:dyDescent="0.2">
      <c r="A797" s="26"/>
      <c r="B797" s="26"/>
      <c r="C797" s="26"/>
      <c r="D797" s="26"/>
      <c r="E797" s="26"/>
      <c r="F797" s="25"/>
      <c r="G797" s="25"/>
      <c r="H797" s="25"/>
      <c r="I797" s="25"/>
      <c r="J797" s="25"/>
      <c r="K797" s="25"/>
      <c r="L797" s="25"/>
      <c r="M797" s="25"/>
      <c r="N797" s="25"/>
      <c r="O797" s="4"/>
      <c r="P797" s="4"/>
      <c r="Q797" s="4"/>
      <c r="R797" s="4"/>
      <c r="S797" s="4"/>
    </row>
    <row r="798" spans="1:19" ht="15" customHeight="1" x14ac:dyDescent="0.2">
      <c r="A798" s="26"/>
      <c r="B798" s="26"/>
      <c r="C798" s="26"/>
      <c r="D798" s="26"/>
      <c r="E798" s="26"/>
      <c r="F798" s="25"/>
      <c r="G798" s="25"/>
      <c r="H798" s="25"/>
      <c r="I798" s="25"/>
      <c r="J798" s="25"/>
      <c r="K798" s="25"/>
      <c r="L798" s="25"/>
      <c r="M798" s="25"/>
      <c r="N798" s="25"/>
      <c r="O798" s="4"/>
      <c r="P798" s="4"/>
      <c r="Q798" s="4"/>
      <c r="R798" s="4"/>
      <c r="S798" s="4"/>
    </row>
    <row r="799" spans="1:19" ht="15" customHeight="1" x14ac:dyDescent="0.2">
      <c r="A799" s="26"/>
      <c r="B799" s="26"/>
      <c r="C799" s="26"/>
      <c r="D799" s="26"/>
      <c r="E799" s="26"/>
      <c r="F799" s="25"/>
      <c r="G799" s="25"/>
      <c r="H799" s="25"/>
      <c r="I799" s="25"/>
      <c r="J799" s="25"/>
      <c r="K799" s="25"/>
      <c r="L799" s="25"/>
      <c r="M799" s="25"/>
      <c r="N799" s="25"/>
      <c r="O799" s="4"/>
      <c r="P799" s="4"/>
      <c r="Q799" s="4"/>
      <c r="R799" s="4"/>
      <c r="S799" s="4"/>
    </row>
    <row r="800" spans="1:19" ht="15" customHeight="1" x14ac:dyDescent="0.2">
      <c r="A800" s="26"/>
      <c r="B800" s="26"/>
      <c r="C800" s="26"/>
      <c r="D800" s="26"/>
      <c r="E800" s="26"/>
      <c r="F800" s="25"/>
      <c r="G800" s="25"/>
      <c r="H800" s="25"/>
      <c r="I800" s="25"/>
      <c r="J800" s="25"/>
      <c r="K800" s="25"/>
      <c r="L800" s="25"/>
      <c r="M800" s="25"/>
      <c r="N800" s="25"/>
      <c r="O800" s="4"/>
      <c r="P800" s="4"/>
      <c r="Q800" s="4"/>
      <c r="R800" s="4"/>
      <c r="S800" s="4"/>
    </row>
    <row r="801" spans="1:19" ht="15" customHeight="1" x14ac:dyDescent="0.2">
      <c r="A801" s="26"/>
      <c r="B801" s="26"/>
      <c r="C801" s="26"/>
      <c r="D801" s="26"/>
      <c r="E801" s="26"/>
      <c r="F801" s="25"/>
      <c r="G801" s="25"/>
      <c r="H801" s="25"/>
      <c r="I801" s="25"/>
      <c r="J801" s="25"/>
      <c r="K801" s="25"/>
      <c r="L801" s="25"/>
      <c r="M801" s="25"/>
      <c r="N801" s="25"/>
      <c r="O801" s="4"/>
      <c r="P801" s="4"/>
      <c r="Q801" s="4"/>
      <c r="R801" s="4"/>
      <c r="S801" s="4"/>
    </row>
    <row r="802" spans="1:19" ht="15" customHeight="1" x14ac:dyDescent="0.2">
      <c r="A802" s="26"/>
      <c r="B802" s="26"/>
      <c r="C802" s="26"/>
      <c r="D802" s="26"/>
      <c r="E802" s="26"/>
      <c r="F802" s="25"/>
      <c r="G802" s="25"/>
      <c r="H802" s="25"/>
      <c r="I802" s="25"/>
      <c r="J802" s="25"/>
      <c r="K802" s="25"/>
      <c r="L802" s="25"/>
      <c r="M802" s="25"/>
      <c r="N802" s="25"/>
      <c r="O802" s="4"/>
      <c r="P802" s="4"/>
      <c r="Q802" s="4"/>
      <c r="R802" s="4"/>
      <c r="S802" s="4"/>
    </row>
    <row r="803" spans="1:19" ht="15" customHeight="1" x14ac:dyDescent="0.2">
      <c r="A803" s="26"/>
      <c r="B803" s="26"/>
      <c r="C803" s="26"/>
      <c r="D803" s="26"/>
      <c r="E803" s="26"/>
      <c r="F803" s="25"/>
      <c r="G803" s="25"/>
      <c r="H803" s="25"/>
      <c r="I803" s="25"/>
      <c r="J803" s="25"/>
      <c r="K803" s="25"/>
      <c r="L803" s="25"/>
      <c r="M803" s="25"/>
      <c r="N803" s="25"/>
      <c r="O803" s="4"/>
      <c r="P803" s="4"/>
      <c r="Q803" s="4"/>
      <c r="R803" s="4"/>
      <c r="S803" s="4"/>
    </row>
    <row r="804" spans="1:19" ht="15" customHeight="1" x14ac:dyDescent="0.2">
      <c r="A804" s="26"/>
      <c r="B804" s="26"/>
      <c r="C804" s="26"/>
      <c r="D804" s="26"/>
      <c r="E804" s="26"/>
      <c r="F804" s="25"/>
      <c r="G804" s="25"/>
      <c r="H804" s="25"/>
      <c r="I804" s="25"/>
      <c r="J804" s="25"/>
      <c r="K804" s="25"/>
      <c r="L804" s="25"/>
      <c r="M804" s="25"/>
      <c r="N804" s="25"/>
      <c r="O804" s="4"/>
      <c r="P804" s="4"/>
      <c r="Q804" s="4"/>
      <c r="R804" s="4"/>
      <c r="S804" s="4"/>
    </row>
    <row r="805" spans="1:19" ht="15" customHeight="1" x14ac:dyDescent="0.2">
      <c r="A805" s="26"/>
      <c r="B805" s="26"/>
      <c r="C805" s="26"/>
      <c r="D805" s="26"/>
      <c r="E805" s="26"/>
      <c r="F805" s="25"/>
      <c r="G805" s="25"/>
      <c r="H805" s="25"/>
      <c r="I805" s="25"/>
      <c r="J805" s="25"/>
      <c r="K805" s="25"/>
      <c r="L805" s="25"/>
      <c r="M805" s="25"/>
      <c r="N805" s="25"/>
      <c r="O805" s="4"/>
      <c r="P805" s="4"/>
      <c r="Q805" s="4"/>
      <c r="R805" s="4"/>
      <c r="S805" s="4"/>
    </row>
    <row r="806" spans="1:19" ht="15" customHeight="1" x14ac:dyDescent="0.2">
      <c r="A806" s="26"/>
      <c r="B806" s="26"/>
      <c r="C806" s="26"/>
      <c r="D806" s="26"/>
      <c r="E806" s="26"/>
      <c r="F806" s="25"/>
      <c r="G806" s="25"/>
      <c r="H806" s="25"/>
      <c r="I806" s="25"/>
      <c r="J806" s="25"/>
      <c r="K806" s="25"/>
      <c r="L806" s="25"/>
      <c r="M806" s="25"/>
      <c r="N806" s="25"/>
      <c r="O806" s="4"/>
      <c r="P806" s="4"/>
      <c r="Q806" s="4"/>
      <c r="R806" s="4"/>
      <c r="S806" s="4"/>
    </row>
    <row r="807" spans="1:19" ht="15" customHeight="1" x14ac:dyDescent="0.2">
      <c r="A807" s="26"/>
      <c r="B807" s="26"/>
      <c r="C807" s="26"/>
      <c r="D807" s="26"/>
      <c r="E807" s="26"/>
      <c r="F807" s="25"/>
      <c r="G807" s="25"/>
      <c r="H807" s="25"/>
      <c r="I807" s="25"/>
      <c r="J807" s="25"/>
      <c r="K807" s="25"/>
      <c r="L807" s="25"/>
      <c r="M807" s="25"/>
      <c r="N807" s="25"/>
      <c r="O807" s="4"/>
      <c r="P807" s="4"/>
      <c r="Q807" s="4"/>
      <c r="R807" s="4"/>
      <c r="S807" s="4"/>
    </row>
    <row r="808" spans="1:19" ht="15" customHeight="1" x14ac:dyDescent="0.2">
      <c r="A808" s="26"/>
      <c r="B808" s="26"/>
      <c r="C808" s="26"/>
      <c r="D808" s="26"/>
      <c r="E808" s="26"/>
      <c r="F808" s="25"/>
      <c r="G808" s="25"/>
      <c r="H808" s="25"/>
      <c r="I808" s="25"/>
      <c r="J808" s="25"/>
      <c r="K808" s="25"/>
      <c r="L808" s="25"/>
      <c r="M808" s="25"/>
      <c r="N808" s="25"/>
      <c r="O808" s="4"/>
      <c r="P808" s="4"/>
      <c r="Q808" s="4"/>
      <c r="R808" s="4"/>
      <c r="S808" s="4"/>
    </row>
    <row r="809" spans="1:19" ht="15" customHeight="1" x14ac:dyDescent="0.2">
      <c r="A809" s="26"/>
      <c r="B809" s="26"/>
      <c r="C809" s="26"/>
      <c r="D809" s="26"/>
      <c r="E809" s="26"/>
      <c r="F809" s="25"/>
      <c r="G809" s="25"/>
      <c r="H809" s="25"/>
      <c r="I809" s="25"/>
      <c r="J809" s="25"/>
      <c r="K809" s="25"/>
      <c r="L809" s="25"/>
      <c r="M809" s="25"/>
      <c r="N809" s="25"/>
      <c r="O809" s="4"/>
      <c r="P809" s="4"/>
      <c r="Q809" s="4"/>
      <c r="R809" s="4"/>
      <c r="S809" s="4"/>
    </row>
    <row r="810" spans="1:19" ht="15" customHeight="1" x14ac:dyDescent="0.2">
      <c r="A810" s="26"/>
      <c r="B810" s="26"/>
      <c r="C810" s="26"/>
      <c r="D810" s="26"/>
      <c r="E810" s="26"/>
      <c r="F810" s="25"/>
      <c r="G810" s="25"/>
      <c r="H810" s="25"/>
      <c r="I810" s="25"/>
      <c r="J810" s="25"/>
      <c r="K810" s="25"/>
      <c r="L810" s="25"/>
      <c r="M810" s="25"/>
      <c r="N810" s="25"/>
      <c r="O810" s="4"/>
      <c r="P810" s="4"/>
      <c r="Q810" s="4"/>
      <c r="R810" s="4"/>
      <c r="S810" s="4"/>
    </row>
    <row r="811" spans="1:19" ht="15" customHeight="1" x14ac:dyDescent="0.2">
      <c r="A811" s="26"/>
      <c r="B811" s="26"/>
      <c r="C811" s="26"/>
      <c r="D811" s="26"/>
      <c r="E811" s="26"/>
      <c r="F811" s="25"/>
      <c r="G811" s="25"/>
      <c r="H811" s="25"/>
      <c r="I811" s="25"/>
      <c r="J811" s="25"/>
      <c r="K811" s="25"/>
      <c r="L811" s="25"/>
      <c r="M811" s="25"/>
      <c r="N811" s="25"/>
      <c r="O811" s="4"/>
      <c r="P811" s="4"/>
      <c r="Q811" s="4"/>
      <c r="R811" s="4"/>
      <c r="S811" s="4"/>
    </row>
    <row r="812" spans="1:19" ht="15" customHeight="1" x14ac:dyDescent="0.2">
      <c r="A812" s="26"/>
      <c r="B812" s="26"/>
      <c r="C812" s="26"/>
      <c r="D812" s="26"/>
      <c r="E812" s="26"/>
      <c r="F812" s="25"/>
      <c r="G812" s="25"/>
      <c r="H812" s="25"/>
      <c r="I812" s="25"/>
      <c r="J812" s="25"/>
      <c r="K812" s="25"/>
      <c r="L812" s="25"/>
      <c r="M812" s="25"/>
      <c r="N812" s="25"/>
      <c r="O812" s="4"/>
      <c r="P812" s="4"/>
      <c r="Q812" s="4"/>
      <c r="R812" s="4"/>
      <c r="S812" s="4"/>
    </row>
    <row r="813" spans="1:19" ht="15" customHeight="1" x14ac:dyDescent="0.2">
      <c r="A813" s="26"/>
      <c r="B813" s="26"/>
      <c r="C813" s="26"/>
      <c r="D813" s="26"/>
      <c r="E813" s="26"/>
      <c r="F813" s="25"/>
      <c r="G813" s="25"/>
      <c r="H813" s="25"/>
      <c r="I813" s="25"/>
      <c r="J813" s="25"/>
      <c r="K813" s="25"/>
      <c r="L813" s="25"/>
      <c r="M813" s="25"/>
      <c r="N813" s="25"/>
      <c r="O813" s="4"/>
      <c r="P813" s="4"/>
      <c r="Q813" s="4"/>
      <c r="R813" s="4"/>
      <c r="S813" s="4"/>
    </row>
    <row r="814" spans="1:19" ht="15" customHeight="1" x14ac:dyDescent="0.2">
      <c r="A814" s="26"/>
      <c r="B814" s="26"/>
      <c r="C814" s="26"/>
      <c r="D814" s="26"/>
      <c r="E814" s="26"/>
      <c r="F814" s="25"/>
      <c r="G814" s="25"/>
      <c r="H814" s="25"/>
      <c r="I814" s="25"/>
      <c r="J814" s="25"/>
      <c r="K814" s="25"/>
      <c r="L814" s="25"/>
      <c r="M814" s="25"/>
      <c r="N814" s="25"/>
      <c r="O814" s="4"/>
      <c r="P814" s="4"/>
      <c r="Q814" s="4"/>
      <c r="R814" s="4"/>
      <c r="S814" s="4"/>
    </row>
    <row r="815" spans="1:19" ht="15" customHeight="1" x14ac:dyDescent="0.2">
      <c r="A815" s="26"/>
      <c r="B815" s="26"/>
      <c r="C815" s="26"/>
      <c r="D815" s="26"/>
      <c r="E815" s="26"/>
      <c r="F815" s="25"/>
      <c r="G815" s="25"/>
      <c r="H815" s="25"/>
      <c r="I815" s="25"/>
      <c r="J815" s="25"/>
      <c r="K815" s="25"/>
      <c r="L815" s="25"/>
      <c r="M815" s="25"/>
      <c r="N815" s="25"/>
      <c r="O815" s="4"/>
      <c r="P815" s="4"/>
      <c r="Q815" s="4"/>
      <c r="R815" s="4"/>
      <c r="S815" s="4"/>
    </row>
    <row r="816" spans="1:19" ht="15" customHeight="1" x14ac:dyDescent="0.2">
      <c r="A816" s="26"/>
      <c r="B816" s="26"/>
      <c r="C816" s="26"/>
      <c r="D816" s="26"/>
      <c r="E816" s="26"/>
      <c r="F816" s="25"/>
      <c r="G816" s="25"/>
      <c r="H816" s="25"/>
      <c r="I816" s="25"/>
      <c r="J816" s="25"/>
      <c r="K816" s="25"/>
      <c r="L816" s="25"/>
      <c r="M816" s="25"/>
      <c r="N816" s="25"/>
      <c r="O816" s="4"/>
      <c r="P816" s="4"/>
      <c r="Q816" s="4"/>
      <c r="R816" s="4"/>
      <c r="S816" s="4"/>
    </row>
    <row r="817" spans="1:19" ht="15" customHeight="1" x14ac:dyDescent="0.2">
      <c r="A817" s="26"/>
      <c r="B817" s="26"/>
      <c r="C817" s="26"/>
      <c r="D817" s="26"/>
      <c r="E817" s="26"/>
      <c r="F817" s="25"/>
      <c r="G817" s="25"/>
      <c r="H817" s="25"/>
      <c r="I817" s="25"/>
      <c r="J817" s="25"/>
      <c r="K817" s="25"/>
      <c r="L817" s="25"/>
      <c r="M817" s="25"/>
      <c r="N817" s="25"/>
      <c r="O817" s="4"/>
      <c r="P817" s="4"/>
      <c r="Q817" s="4"/>
      <c r="R817" s="4"/>
      <c r="S817" s="4"/>
    </row>
    <row r="818" spans="1:19" ht="15" customHeight="1" x14ac:dyDescent="0.2">
      <c r="A818" s="26"/>
      <c r="B818" s="26"/>
      <c r="C818" s="26"/>
      <c r="D818" s="26"/>
      <c r="E818" s="26"/>
      <c r="F818" s="25"/>
      <c r="G818" s="25"/>
      <c r="H818" s="25"/>
      <c r="I818" s="25"/>
      <c r="J818" s="25"/>
      <c r="K818" s="25"/>
      <c r="L818" s="25"/>
      <c r="M818" s="25"/>
      <c r="N818" s="25"/>
      <c r="O818" s="4"/>
      <c r="P818" s="4"/>
      <c r="Q818" s="4"/>
      <c r="R818" s="4"/>
      <c r="S818" s="4"/>
    </row>
    <row r="819" spans="1:19" ht="15" customHeight="1" x14ac:dyDescent="0.2">
      <c r="A819" s="26"/>
      <c r="B819" s="26"/>
      <c r="C819" s="26"/>
      <c r="D819" s="26"/>
      <c r="E819" s="26"/>
      <c r="F819" s="25"/>
      <c r="G819" s="25"/>
      <c r="H819" s="25"/>
      <c r="I819" s="25"/>
      <c r="J819" s="25"/>
      <c r="K819" s="25"/>
      <c r="L819" s="25"/>
      <c r="M819" s="25"/>
      <c r="N819" s="25"/>
      <c r="O819" s="4"/>
      <c r="P819" s="4"/>
      <c r="Q819" s="4"/>
      <c r="R819" s="4"/>
      <c r="S819" s="4"/>
    </row>
    <row r="820" spans="1:19" ht="15" customHeight="1" x14ac:dyDescent="0.2">
      <c r="A820" s="26"/>
      <c r="B820" s="26"/>
      <c r="C820" s="26"/>
      <c r="D820" s="26"/>
      <c r="E820" s="26"/>
      <c r="F820" s="25"/>
      <c r="G820" s="25"/>
      <c r="H820" s="25"/>
      <c r="I820" s="25"/>
      <c r="J820" s="25"/>
      <c r="K820" s="25"/>
      <c r="L820" s="25"/>
      <c r="M820" s="25"/>
      <c r="N820" s="25"/>
      <c r="O820" s="4"/>
      <c r="P820" s="4"/>
      <c r="Q820" s="4"/>
      <c r="R820" s="4"/>
      <c r="S820" s="4"/>
    </row>
    <row r="821" spans="1:19" ht="15" customHeight="1" x14ac:dyDescent="0.2">
      <c r="A821" s="26"/>
      <c r="B821" s="26"/>
      <c r="C821" s="26"/>
      <c r="D821" s="26"/>
      <c r="E821" s="26"/>
      <c r="F821" s="25"/>
      <c r="G821" s="25"/>
      <c r="H821" s="25"/>
      <c r="I821" s="25"/>
      <c r="J821" s="25"/>
      <c r="K821" s="25"/>
      <c r="L821" s="25"/>
      <c r="M821" s="25"/>
      <c r="N821" s="25"/>
      <c r="O821" s="4"/>
      <c r="P821" s="4"/>
      <c r="Q821" s="4"/>
      <c r="R821" s="4"/>
      <c r="S821" s="4"/>
    </row>
    <row r="822" spans="1:19" ht="15" customHeight="1" x14ac:dyDescent="0.2">
      <c r="A822" s="26"/>
      <c r="B822" s="26"/>
      <c r="C822" s="26"/>
      <c r="D822" s="26"/>
      <c r="E822" s="26"/>
      <c r="F822" s="25"/>
      <c r="G822" s="25"/>
      <c r="H822" s="25"/>
      <c r="I822" s="25"/>
      <c r="J822" s="25"/>
      <c r="K822" s="25"/>
      <c r="L822" s="25"/>
      <c r="M822" s="25"/>
      <c r="N822" s="25"/>
      <c r="O822" s="4"/>
      <c r="P822" s="4"/>
      <c r="Q822" s="4"/>
      <c r="R822" s="4"/>
      <c r="S822" s="4"/>
    </row>
    <row r="823" spans="1:19" ht="15" customHeight="1" x14ac:dyDescent="0.2">
      <c r="A823" s="26"/>
      <c r="B823" s="26"/>
      <c r="C823" s="26"/>
      <c r="D823" s="26"/>
      <c r="E823" s="26"/>
      <c r="F823" s="25"/>
      <c r="G823" s="25"/>
      <c r="H823" s="25"/>
      <c r="I823" s="25"/>
      <c r="J823" s="25"/>
      <c r="K823" s="25"/>
      <c r="L823" s="25"/>
      <c r="M823" s="25"/>
      <c r="N823" s="25"/>
      <c r="O823" s="4"/>
      <c r="P823" s="4"/>
      <c r="Q823" s="4"/>
      <c r="R823" s="4"/>
      <c r="S823" s="4"/>
    </row>
    <row r="824" spans="1:19" ht="15" customHeight="1" x14ac:dyDescent="0.2">
      <c r="A824" s="26"/>
      <c r="B824" s="26"/>
      <c r="C824" s="26"/>
      <c r="D824" s="26"/>
      <c r="E824" s="26"/>
      <c r="F824" s="25"/>
      <c r="G824" s="25"/>
      <c r="H824" s="25"/>
      <c r="I824" s="25"/>
      <c r="J824" s="25"/>
      <c r="K824" s="25"/>
      <c r="L824" s="25"/>
      <c r="M824" s="25"/>
      <c r="N824" s="25"/>
      <c r="O824" s="4"/>
      <c r="P824" s="4"/>
      <c r="Q824" s="4"/>
      <c r="R824" s="4"/>
      <c r="S824" s="4"/>
    </row>
    <row r="825" spans="1:19" ht="15" customHeight="1" x14ac:dyDescent="0.2">
      <c r="A825" s="26"/>
      <c r="B825" s="26"/>
      <c r="C825" s="26"/>
      <c r="D825" s="26"/>
      <c r="E825" s="26"/>
      <c r="F825" s="25"/>
      <c r="G825" s="25"/>
      <c r="H825" s="25"/>
      <c r="I825" s="25"/>
      <c r="J825" s="25"/>
      <c r="K825" s="25"/>
      <c r="L825" s="25"/>
      <c r="M825" s="25"/>
      <c r="N825" s="25"/>
      <c r="O825" s="4"/>
      <c r="P825" s="4"/>
      <c r="Q825" s="4"/>
      <c r="R825" s="4"/>
      <c r="S825" s="4"/>
    </row>
    <row r="826" spans="1:19" ht="15" customHeight="1" x14ac:dyDescent="0.2">
      <c r="A826" s="26"/>
      <c r="B826" s="26"/>
      <c r="C826" s="26"/>
      <c r="D826" s="26"/>
      <c r="E826" s="26"/>
      <c r="F826" s="25"/>
      <c r="G826" s="25"/>
      <c r="H826" s="25"/>
      <c r="I826" s="25"/>
      <c r="J826" s="25"/>
      <c r="K826" s="25"/>
      <c r="L826" s="25"/>
      <c r="M826" s="25"/>
      <c r="N826" s="25"/>
      <c r="O826" s="4"/>
      <c r="P826" s="4"/>
      <c r="Q826" s="4"/>
      <c r="R826" s="4"/>
      <c r="S826" s="4"/>
    </row>
    <row r="827" spans="1:19" ht="15" customHeight="1" x14ac:dyDescent="0.2">
      <c r="A827" s="26"/>
      <c r="B827" s="26"/>
      <c r="C827" s="26"/>
      <c r="D827" s="26"/>
      <c r="E827" s="26"/>
      <c r="F827" s="25"/>
      <c r="G827" s="25"/>
      <c r="H827" s="25"/>
      <c r="I827" s="25"/>
      <c r="J827" s="25"/>
      <c r="K827" s="25"/>
      <c r="L827" s="25"/>
      <c r="M827" s="25"/>
      <c r="N827" s="25"/>
      <c r="O827" s="4"/>
      <c r="P827" s="4"/>
      <c r="Q827" s="4"/>
      <c r="R827" s="4"/>
      <c r="S827" s="4"/>
    </row>
    <row r="828" spans="1:19" ht="15" customHeight="1" x14ac:dyDescent="0.2">
      <c r="A828" s="26"/>
      <c r="B828" s="26"/>
      <c r="C828" s="26"/>
      <c r="D828" s="26"/>
      <c r="E828" s="26"/>
      <c r="F828" s="25"/>
      <c r="G828" s="25"/>
      <c r="H828" s="25"/>
      <c r="I828" s="25"/>
      <c r="J828" s="25"/>
      <c r="K828" s="25"/>
      <c r="L828" s="25"/>
      <c r="M828" s="25"/>
      <c r="N828" s="25"/>
      <c r="O828" s="4"/>
      <c r="P828" s="4"/>
      <c r="Q828" s="4"/>
      <c r="R828" s="4"/>
      <c r="S828" s="4"/>
    </row>
    <row r="829" spans="1:19" ht="15" customHeight="1" x14ac:dyDescent="0.2">
      <c r="A829" s="26"/>
      <c r="B829" s="26"/>
      <c r="C829" s="26"/>
      <c r="D829" s="26"/>
      <c r="E829" s="26"/>
      <c r="F829" s="25"/>
      <c r="G829" s="25"/>
      <c r="H829" s="25"/>
      <c r="I829" s="25"/>
      <c r="J829" s="25"/>
      <c r="K829" s="25"/>
      <c r="L829" s="25"/>
      <c r="M829" s="25"/>
      <c r="N829" s="25"/>
      <c r="O829" s="4"/>
      <c r="P829" s="4"/>
      <c r="Q829" s="4"/>
      <c r="R829" s="4"/>
      <c r="S829" s="4"/>
    </row>
    <row r="830" spans="1:19" ht="15" customHeight="1" x14ac:dyDescent="0.2">
      <c r="A830" s="26"/>
      <c r="B830" s="26"/>
      <c r="C830" s="26"/>
      <c r="D830" s="26"/>
      <c r="E830" s="26"/>
      <c r="F830" s="25"/>
      <c r="G830" s="25"/>
      <c r="H830" s="25"/>
      <c r="I830" s="25"/>
      <c r="J830" s="25"/>
      <c r="K830" s="25"/>
      <c r="L830" s="25"/>
      <c r="M830" s="25"/>
      <c r="N830" s="25"/>
      <c r="O830" s="4"/>
      <c r="P830" s="4"/>
      <c r="Q830" s="4"/>
      <c r="R830" s="4"/>
      <c r="S830" s="4"/>
    </row>
    <row r="831" spans="1:19" ht="15" customHeight="1" x14ac:dyDescent="0.2">
      <c r="A831" s="26"/>
      <c r="B831" s="26"/>
      <c r="C831" s="26"/>
      <c r="D831" s="26"/>
      <c r="E831" s="26"/>
      <c r="F831" s="25"/>
      <c r="G831" s="25"/>
      <c r="H831" s="25"/>
      <c r="I831" s="25"/>
      <c r="J831" s="25"/>
      <c r="K831" s="25"/>
      <c r="L831" s="25"/>
      <c r="M831" s="25"/>
      <c r="N831" s="25"/>
      <c r="O831" s="4"/>
      <c r="P831" s="4"/>
      <c r="Q831" s="4"/>
      <c r="R831" s="4"/>
      <c r="S831" s="4"/>
    </row>
    <row r="832" spans="1:19" ht="15" customHeight="1" x14ac:dyDescent="0.2">
      <c r="A832" s="26"/>
      <c r="B832" s="26"/>
      <c r="C832" s="26"/>
      <c r="D832" s="26"/>
      <c r="E832" s="26"/>
      <c r="F832" s="25"/>
      <c r="G832" s="25"/>
      <c r="H832" s="25"/>
      <c r="I832" s="25"/>
      <c r="J832" s="25"/>
      <c r="K832" s="25"/>
      <c r="L832" s="25"/>
      <c r="M832" s="25"/>
      <c r="N832" s="25"/>
      <c r="O832" s="4"/>
      <c r="P832" s="4"/>
      <c r="Q832" s="4"/>
      <c r="R832" s="4"/>
      <c r="S832" s="4"/>
    </row>
    <row r="833" spans="1:19" ht="15" customHeight="1" x14ac:dyDescent="0.2">
      <c r="A833" s="26"/>
      <c r="B833" s="26"/>
      <c r="C833" s="26"/>
      <c r="D833" s="26"/>
      <c r="E833" s="26"/>
      <c r="F833" s="25"/>
      <c r="G833" s="25"/>
      <c r="H833" s="25"/>
      <c r="I833" s="25"/>
      <c r="J833" s="25"/>
      <c r="K833" s="25"/>
      <c r="L833" s="25"/>
      <c r="M833" s="25"/>
      <c r="N833" s="25"/>
      <c r="O833" s="4"/>
      <c r="P833" s="4"/>
      <c r="Q833" s="4"/>
      <c r="R833" s="4"/>
      <c r="S833" s="4"/>
    </row>
    <row r="834" spans="1:19" ht="15" customHeight="1" x14ac:dyDescent="0.2">
      <c r="A834" s="26"/>
      <c r="B834" s="26"/>
      <c r="C834" s="26"/>
      <c r="D834" s="26"/>
      <c r="E834" s="26"/>
      <c r="F834" s="25"/>
      <c r="G834" s="25"/>
      <c r="H834" s="25"/>
      <c r="I834" s="25"/>
      <c r="J834" s="25"/>
      <c r="K834" s="25"/>
      <c r="L834" s="25"/>
      <c r="M834" s="25"/>
      <c r="N834" s="25"/>
      <c r="O834" s="4"/>
      <c r="P834" s="4"/>
      <c r="Q834" s="4"/>
      <c r="R834" s="4"/>
      <c r="S834" s="4"/>
    </row>
    <row r="835" spans="1:19" ht="15" customHeight="1" x14ac:dyDescent="0.2">
      <c r="A835" s="26"/>
      <c r="B835" s="26"/>
      <c r="C835" s="26"/>
      <c r="D835" s="26"/>
      <c r="E835" s="26"/>
      <c r="F835" s="25"/>
      <c r="G835" s="25"/>
      <c r="H835" s="25"/>
      <c r="I835" s="25"/>
      <c r="J835" s="25"/>
      <c r="K835" s="25"/>
      <c r="L835" s="25"/>
      <c r="M835" s="25"/>
      <c r="N835" s="25"/>
      <c r="O835" s="4"/>
      <c r="P835" s="4"/>
      <c r="Q835" s="4"/>
      <c r="R835" s="4"/>
      <c r="S835" s="4"/>
    </row>
    <row r="836" spans="1:19" ht="15" customHeight="1" x14ac:dyDescent="0.2">
      <c r="A836" s="26"/>
      <c r="B836" s="26"/>
      <c r="C836" s="26"/>
      <c r="D836" s="26"/>
      <c r="E836" s="26"/>
      <c r="F836" s="25"/>
      <c r="G836" s="25"/>
      <c r="H836" s="25"/>
      <c r="I836" s="25"/>
      <c r="J836" s="25"/>
      <c r="K836" s="25"/>
      <c r="L836" s="25"/>
      <c r="M836" s="25"/>
      <c r="N836" s="25"/>
      <c r="O836" s="4"/>
      <c r="P836" s="4"/>
      <c r="Q836" s="4"/>
      <c r="R836" s="4"/>
      <c r="S836" s="4"/>
    </row>
    <row r="837" spans="1:19" ht="15" customHeight="1" x14ac:dyDescent="0.2">
      <c r="A837" s="26"/>
      <c r="B837" s="26"/>
      <c r="C837" s="26"/>
      <c r="D837" s="26"/>
      <c r="E837" s="26"/>
      <c r="F837" s="25"/>
      <c r="G837" s="25"/>
      <c r="H837" s="25"/>
      <c r="I837" s="25"/>
      <c r="J837" s="25"/>
      <c r="K837" s="25"/>
      <c r="L837" s="25"/>
      <c r="M837" s="25"/>
      <c r="N837" s="25"/>
      <c r="O837" s="4"/>
      <c r="P837" s="4"/>
      <c r="Q837" s="4"/>
      <c r="R837" s="4"/>
      <c r="S837" s="4"/>
    </row>
    <row r="838" spans="1:19" ht="15" customHeight="1" x14ac:dyDescent="0.2">
      <c r="A838" s="26"/>
      <c r="B838" s="26"/>
      <c r="C838" s="26"/>
      <c r="D838" s="26"/>
      <c r="E838" s="26"/>
      <c r="F838" s="25"/>
      <c r="G838" s="25"/>
      <c r="H838" s="25"/>
      <c r="I838" s="25"/>
      <c r="J838" s="25"/>
      <c r="K838" s="25"/>
      <c r="L838" s="25"/>
      <c r="M838" s="25"/>
      <c r="N838" s="25"/>
      <c r="O838" s="4"/>
      <c r="P838" s="4"/>
      <c r="Q838" s="4"/>
      <c r="R838" s="4"/>
      <c r="S838" s="4"/>
    </row>
    <row r="839" spans="1:19" ht="15" customHeight="1" x14ac:dyDescent="0.2">
      <c r="A839" s="26"/>
      <c r="B839" s="26"/>
      <c r="C839" s="26"/>
      <c r="D839" s="26"/>
      <c r="E839" s="26"/>
      <c r="F839" s="25"/>
      <c r="G839" s="25"/>
      <c r="H839" s="25"/>
      <c r="I839" s="25"/>
      <c r="J839" s="25"/>
      <c r="K839" s="25"/>
      <c r="L839" s="25"/>
      <c r="M839" s="25"/>
      <c r="N839" s="25"/>
      <c r="O839" s="4"/>
      <c r="P839" s="4"/>
      <c r="Q839" s="4"/>
      <c r="R839" s="4"/>
      <c r="S839" s="4"/>
    </row>
    <row r="840" spans="1:19" ht="15" customHeight="1" x14ac:dyDescent="0.2">
      <c r="A840" s="26"/>
      <c r="B840" s="26"/>
      <c r="C840" s="26"/>
      <c r="D840" s="26"/>
      <c r="E840" s="26"/>
      <c r="F840" s="25"/>
      <c r="G840" s="25"/>
      <c r="H840" s="25"/>
      <c r="I840" s="25"/>
      <c r="J840" s="25"/>
      <c r="K840" s="25"/>
      <c r="L840" s="25"/>
      <c r="M840" s="25"/>
      <c r="N840" s="25"/>
      <c r="O840" s="4"/>
      <c r="P840" s="4"/>
      <c r="Q840" s="4"/>
      <c r="R840" s="4"/>
      <c r="S840" s="4"/>
    </row>
    <row r="841" spans="1:19" ht="15" customHeight="1" x14ac:dyDescent="0.2">
      <c r="A841" s="26"/>
      <c r="B841" s="26"/>
      <c r="C841" s="26"/>
      <c r="D841" s="26"/>
      <c r="E841" s="26"/>
      <c r="F841" s="25"/>
      <c r="G841" s="25"/>
      <c r="H841" s="25"/>
      <c r="I841" s="25"/>
      <c r="J841" s="25"/>
      <c r="K841" s="25"/>
      <c r="L841" s="25"/>
      <c r="M841" s="25"/>
      <c r="N841" s="25"/>
      <c r="O841" s="4"/>
      <c r="P841" s="4"/>
      <c r="Q841" s="4"/>
      <c r="R841" s="4"/>
      <c r="S841" s="4"/>
    </row>
    <row r="842" spans="1:19" ht="15" customHeight="1" x14ac:dyDescent="0.2">
      <c r="A842" s="26"/>
      <c r="B842" s="26"/>
      <c r="C842" s="26"/>
      <c r="D842" s="26"/>
      <c r="E842" s="26"/>
      <c r="F842" s="25"/>
      <c r="G842" s="25"/>
      <c r="H842" s="25"/>
      <c r="I842" s="25"/>
      <c r="J842" s="25"/>
      <c r="K842" s="25"/>
      <c r="L842" s="25"/>
      <c r="M842" s="25"/>
      <c r="N842" s="25"/>
      <c r="O842" s="4"/>
      <c r="P842" s="4"/>
      <c r="Q842" s="4"/>
      <c r="R842" s="4"/>
      <c r="S842" s="4"/>
    </row>
    <row r="843" spans="1:19" ht="15" customHeight="1" x14ac:dyDescent="0.2">
      <c r="A843" s="26"/>
      <c r="B843" s="26"/>
      <c r="C843" s="26"/>
      <c r="D843" s="26"/>
      <c r="E843" s="26"/>
      <c r="F843" s="25"/>
      <c r="G843" s="25"/>
      <c r="H843" s="25"/>
      <c r="I843" s="25"/>
      <c r="J843" s="25"/>
      <c r="K843" s="25"/>
      <c r="L843" s="25"/>
      <c r="M843" s="25"/>
      <c r="N843" s="25"/>
      <c r="O843" s="4"/>
      <c r="P843" s="4"/>
      <c r="Q843" s="4"/>
      <c r="R843" s="4"/>
      <c r="S843" s="4"/>
    </row>
    <row r="844" spans="1:19" ht="15" customHeight="1" x14ac:dyDescent="0.2">
      <c r="A844" s="26"/>
      <c r="B844" s="26"/>
      <c r="C844" s="26"/>
      <c r="D844" s="26"/>
      <c r="E844" s="26"/>
      <c r="F844" s="25"/>
      <c r="G844" s="25"/>
      <c r="H844" s="25"/>
      <c r="I844" s="25"/>
      <c r="J844" s="25"/>
      <c r="K844" s="25"/>
      <c r="L844" s="25"/>
      <c r="M844" s="25"/>
      <c r="N844" s="25"/>
      <c r="O844" s="4"/>
      <c r="P844" s="4"/>
      <c r="Q844" s="4"/>
      <c r="R844" s="4"/>
      <c r="S844" s="4"/>
    </row>
    <row r="845" spans="1:19" ht="15" customHeight="1" x14ac:dyDescent="0.2">
      <c r="A845" s="26"/>
      <c r="B845" s="26"/>
      <c r="C845" s="26"/>
      <c r="D845" s="26"/>
      <c r="E845" s="26"/>
      <c r="F845" s="25"/>
      <c r="G845" s="25"/>
      <c r="H845" s="25"/>
      <c r="I845" s="25"/>
      <c r="J845" s="25"/>
      <c r="K845" s="25"/>
      <c r="L845" s="25"/>
      <c r="M845" s="25"/>
      <c r="N845" s="25"/>
      <c r="O845" s="4"/>
      <c r="P845" s="4"/>
      <c r="Q845" s="4"/>
      <c r="R845" s="4"/>
      <c r="S845" s="4"/>
    </row>
    <row r="846" spans="1:19" ht="15" customHeight="1" x14ac:dyDescent="0.2">
      <c r="A846" s="26"/>
      <c r="B846" s="26"/>
      <c r="C846" s="26"/>
      <c r="D846" s="26"/>
      <c r="E846" s="26"/>
      <c r="F846" s="25"/>
      <c r="G846" s="25"/>
      <c r="H846" s="25"/>
      <c r="I846" s="25"/>
      <c r="J846" s="25"/>
      <c r="K846" s="25"/>
      <c r="L846" s="25"/>
      <c r="M846" s="25"/>
      <c r="N846" s="25"/>
      <c r="O846" s="4"/>
      <c r="P846" s="4"/>
      <c r="Q846" s="4"/>
      <c r="R846" s="4"/>
      <c r="S846" s="4"/>
    </row>
    <row r="847" spans="1:19" ht="15" customHeight="1" x14ac:dyDescent="0.2">
      <c r="A847" s="26"/>
      <c r="B847" s="26"/>
      <c r="C847" s="26"/>
      <c r="D847" s="26"/>
      <c r="E847" s="26"/>
      <c r="F847" s="25"/>
      <c r="G847" s="25"/>
      <c r="H847" s="25"/>
      <c r="I847" s="25"/>
      <c r="J847" s="25"/>
      <c r="K847" s="25"/>
      <c r="L847" s="25"/>
      <c r="M847" s="25"/>
      <c r="N847" s="25"/>
      <c r="O847" s="4"/>
      <c r="P847" s="4"/>
      <c r="Q847" s="4"/>
      <c r="R847" s="4"/>
      <c r="S847" s="4"/>
    </row>
    <row r="848" spans="1:19" ht="15" customHeight="1" x14ac:dyDescent="0.2">
      <c r="A848" s="26"/>
      <c r="B848" s="26"/>
      <c r="C848" s="26"/>
      <c r="D848" s="26"/>
      <c r="E848" s="26"/>
      <c r="F848" s="25"/>
      <c r="G848" s="25"/>
      <c r="H848" s="25"/>
      <c r="I848" s="25"/>
      <c r="J848" s="25"/>
      <c r="K848" s="25"/>
      <c r="L848" s="25"/>
      <c r="M848" s="25"/>
      <c r="N848" s="25"/>
      <c r="O848" s="4"/>
      <c r="P848" s="4"/>
      <c r="Q848" s="4"/>
      <c r="R848" s="4"/>
      <c r="S848" s="4"/>
    </row>
    <row r="849" spans="1:19" ht="15" customHeight="1" x14ac:dyDescent="0.2">
      <c r="A849" s="26"/>
      <c r="B849" s="26"/>
      <c r="C849" s="26"/>
      <c r="D849" s="26"/>
      <c r="E849" s="26"/>
      <c r="F849" s="25"/>
      <c r="G849" s="25"/>
      <c r="H849" s="25"/>
      <c r="I849" s="25"/>
      <c r="J849" s="25"/>
      <c r="K849" s="25"/>
      <c r="L849" s="25"/>
      <c r="M849" s="25"/>
      <c r="N849" s="25"/>
      <c r="O849" s="4"/>
      <c r="P849" s="4"/>
      <c r="Q849" s="4"/>
      <c r="R849" s="4"/>
      <c r="S849" s="4"/>
    </row>
    <row r="850" spans="1:19" ht="15" customHeight="1" x14ac:dyDescent="0.2">
      <c r="A850" s="26"/>
      <c r="B850" s="26"/>
      <c r="C850" s="26"/>
      <c r="D850" s="26"/>
      <c r="E850" s="26"/>
      <c r="F850" s="25"/>
      <c r="G850" s="25"/>
      <c r="H850" s="25"/>
      <c r="I850" s="25"/>
      <c r="J850" s="25"/>
      <c r="K850" s="25"/>
      <c r="L850" s="25"/>
      <c r="M850" s="25"/>
      <c r="N850" s="25"/>
      <c r="O850" s="4"/>
      <c r="P850" s="4"/>
      <c r="Q850" s="4"/>
      <c r="R850" s="4"/>
      <c r="S850" s="4"/>
    </row>
    <row r="851" spans="1:19" ht="15" customHeight="1" x14ac:dyDescent="0.2">
      <c r="A851" s="26"/>
      <c r="B851" s="26"/>
      <c r="C851" s="26"/>
      <c r="D851" s="26"/>
      <c r="E851" s="26"/>
      <c r="F851" s="25"/>
      <c r="G851" s="25"/>
      <c r="H851" s="25"/>
      <c r="I851" s="25"/>
      <c r="J851" s="25"/>
      <c r="K851" s="25"/>
      <c r="L851" s="25"/>
      <c r="M851" s="25"/>
      <c r="N851" s="25"/>
      <c r="O851" s="4"/>
      <c r="P851" s="4"/>
      <c r="Q851" s="4"/>
      <c r="R851" s="4"/>
      <c r="S851" s="4"/>
    </row>
    <row r="852" spans="1:19" ht="15" customHeight="1" x14ac:dyDescent="0.2">
      <c r="A852" s="26"/>
      <c r="B852" s="26"/>
      <c r="C852" s="26"/>
      <c r="D852" s="26"/>
      <c r="E852" s="26"/>
      <c r="F852" s="25"/>
      <c r="G852" s="25"/>
      <c r="H852" s="25"/>
      <c r="I852" s="25"/>
      <c r="J852" s="25"/>
      <c r="K852" s="25"/>
      <c r="L852" s="25"/>
      <c r="M852" s="25"/>
      <c r="N852" s="25"/>
      <c r="O852" s="4"/>
      <c r="P852" s="4"/>
      <c r="Q852" s="4"/>
      <c r="R852" s="4"/>
      <c r="S852" s="4"/>
    </row>
    <row r="853" spans="1:19" ht="15" customHeight="1" x14ac:dyDescent="0.2">
      <c r="A853" s="26"/>
      <c r="B853" s="26"/>
      <c r="C853" s="26"/>
      <c r="D853" s="26"/>
      <c r="E853" s="26"/>
      <c r="F853" s="25"/>
      <c r="G853" s="25"/>
      <c r="H853" s="25"/>
      <c r="I853" s="25"/>
      <c r="J853" s="25"/>
      <c r="K853" s="25"/>
      <c r="L853" s="25"/>
      <c r="M853" s="25"/>
      <c r="N853" s="25"/>
      <c r="O853" s="4"/>
      <c r="P853" s="4"/>
      <c r="Q853" s="4"/>
      <c r="R853" s="4"/>
      <c r="S853" s="4"/>
    </row>
    <row r="854" spans="1:19" ht="15" customHeight="1" x14ac:dyDescent="0.2">
      <c r="A854" s="26"/>
      <c r="B854" s="26"/>
      <c r="C854" s="26"/>
      <c r="D854" s="26"/>
      <c r="E854" s="26"/>
      <c r="F854" s="25"/>
      <c r="G854" s="25"/>
      <c r="H854" s="25"/>
      <c r="I854" s="25"/>
      <c r="J854" s="25"/>
      <c r="K854" s="25"/>
      <c r="L854" s="25"/>
      <c r="M854" s="25"/>
      <c r="N854" s="25"/>
      <c r="O854" s="4"/>
      <c r="P854" s="4"/>
      <c r="Q854" s="4"/>
      <c r="R854" s="4"/>
      <c r="S854" s="4"/>
    </row>
    <row r="855" spans="1:19" ht="15" customHeight="1" x14ac:dyDescent="0.2">
      <c r="A855" s="26"/>
      <c r="B855" s="26"/>
      <c r="C855" s="26"/>
      <c r="D855" s="26"/>
      <c r="E855" s="26"/>
      <c r="F855" s="25"/>
      <c r="G855" s="25"/>
      <c r="H855" s="25"/>
      <c r="I855" s="25"/>
      <c r="J855" s="25"/>
      <c r="K855" s="25"/>
      <c r="L855" s="25"/>
      <c r="M855" s="25"/>
      <c r="N855" s="25"/>
      <c r="O855" s="4"/>
      <c r="P855" s="4"/>
      <c r="Q855" s="4"/>
      <c r="R855" s="4"/>
      <c r="S855" s="4"/>
    </row>
    <row r="856" spans="1:19" ht="15" customHeight="1" x14ac:dyDescent="0.2">
      <c r="A856" s="26"/>
      <c r="B856" s="26"/>
      <c r="C856" s="26"/>
      <c r="D856" s="26"/>
      <c r="E856" s="26"/>
      <c r="F856" s="25"/>
      <c r="G856" s="25"/>
      <c r="H856" s="25"/>
      <c r="I856" s="25"/>
      <c r="J856" s="25"/>
      <c r="K856" s="25"/>
      <c r="L856" s="25"/>
      <c r="M856" s="25"/>
      <c r="N856" s="25"/>
      <c r="O856" s="4"/>
      <c r="P856" s="4"/>
      <c r="Q856" s="4"/>
      <c r="R856" s="4"/>
      <c r="S856" s="4"/>
    </row>
    <row r="857" spans="1:19" ht="15" customHeight="1" x14ac:dyDescent="0.2">
      <c r="A857" s="26"/>
      <c r="B857" s="26"/>
      <c r="C857" s="26"/>
      <c r="D857" s="26"/>
      <c r="E857" s="26"/>
      <c r="F857" s="25"/>
      <c r="G857" s="25"/>
      <c r="H857" s="25"/>
      <c r="I857" s="25"/>
      <c r="J857" s="25"/>
      <c r="K857" s="25"/>
      <c r="L857" s="25"/>
      <c r="M857" s="25"/>
      <c r="N857" s="25"/>
      <c r="O857" s="4"/>
      <c r="P857" s="4"/>
      <c r="Q857" s="4"/>
      <c r="R857" s="4"/>
      <c r="S857" s="4"/>
    </row>
    <row r="858" spans="1:19" ht="15" customHeight="1" x14ac:dyDescent="0.2">
      <c r="A858" s="26"/>
      <c r="B858" s="26"/>
      <c r="C858" s="26"/>
      <c r="D858" s="26"/>
      <c r="E858" s="26"/>
      <c r="F858" s="25"/>
      <c r="G858" s="25"/>
      <c r="H858" s="25"/>
      <c r="I858" s="25"/>
      <c r="J858" s="25"/>
      <c r="K858" s="25"/>
      <c r="L858" s="25"/>
      <c r="M858" s="25"/>
      <c r="N858" s="25"/>
      <c r="O858" s="4"/>
      <c r="P858" s="4"/>
      <c r="Q858" s="4"/>
      <c r="R858" s="4"/>
      <c r="S858" s="4"/>
    </row>
    <row r="859" spans="1:19" ht="15" customHeight="1" x14ac:dyDescent="0.2">
      <c r="A859" s="26"/>
      <c r="B859" s="26"/>
      <c r="C859" s="26"/>
      <c r="D859" s="26"/>
      <c r="E859" s="26"/>
      <c r="F859" s="25"/>
      <c r="G859" s="25"/>
      <c r="H859" s="25"/>
      <c r="I859" s="25"/>
      <c r="J859" s="25"/>
      <c r="K859" s="25"/>
      <c r="L859" s="25"/>
      <c r="M859" s="25"/>
      <c r="N859" s="25"/>
      <c r="O859" s="4"/>
      <c r="P859" s="4"/>
      <c r="Q859" s="4"/>
      <c r="R859" s="4"/>
      <c r="S859" s="4"/>
    </row>
    <row r="860" spans="1:19" ht="15" customHeight="1" x14ac:dyDescent="0.2">
      <c r="A860" s="26"/>
      <c r="B860" s="26"/>
      <c r="C860" s="26"/>
      <c r="D860" s="26"/>
      <c r="E860" s="26"/>
      <c r="F860" s="25"/>
      <c r="G860" s="25"/>
      <c r="H860" s="25"/>
      <c r="I860" s="25"/>
      <c r="J860" s="25"/>
      <c r="K860" s="25"/>
      <c r="L860" s="25"/>
      <c r="M860" s="25"/>
      <c r="N860" s="25"/>
      <c r="O860" s="4"/>
      <c r="P860" s="4"/>
      <c r="Q860" s="4"/>
      <c r="R860" s="4"/>
      <c r="S860" s="4"/>
    </row>
    <row r="861" spans="1:19" ht="15" customHeight="1" x14ac:dyDescent="0.2">
      <c r="A861" s="26"/>
      <c r="B861" s="26"/>
      <c r="C861" s="26"/>
      <c r="D861" s="26"/>
      <c r="E861" s="26"/>
      <c r="F861" s="25"/>
      <c r="G861" s="25"/>
      <c r="H861" s="25"/>
      <c r="I861" s="25"/>
      <c r="J861" s="25"/>
      <c r="K861" s="25"/>
      <c r="L861" s="25"/>
      <c r="M861" s="25"/>
      <c r="N861" s="25"/>
      <c r="O861" s="4"/>
      <c r="P861" s="4"/>
      <c r="Q861" s="4"/>
      <c r="R861" s="4"/>
      <c r="S861" s="4"/>
    </row>
    <row r="862" spans="1:19" ht="15" customHeight="1" x14ac:dyDescent="0.2">
      <c r="A862" s="26"/>
      <c r="B862" s="26"/>
      <c r="C862" s="26"/>
      <c r="D862" s="26"/>
      <c r="E862" s="26"/>
      <c r="F862" s="25"/>
      <c r="G862" s="25"/>
      <c r="H862" s="25"/>
      <c r="I862" s="25"/>
      <c r="J862" s="25"/>
      <c r="K862" s="25"/>
      <c r="L862" s="25"/>
      <c r="M862" s="25"/>
      <c r="N862" s="25"/>
      <c r="O862" s="4"/>
      <c r="P862" s="4"/>
      <c r="Q862" s="4"/>
      <c r="R862" s="4"/>
      <c r="S862" s="4"/>
    </row>
    <row r="863" spans="1:19" ht="15" customHeight="1" x14ac:dyDescent="0.2">
      <c r="A863" s="26"/>
      <c r="B863" s="26"/>
      <c r="C863" s="26"/>
      <c r="D863" s="26"/>
      <c r="E863" s="26"/>
      <c r="F863" s="25"/>
      <c r="G863" s="25"/>
      <c r="H863" s="25"/>
      <c r="I863" s="25"/>
      <c r="J863" s="25"/>
      <c r="K863" s="25"/>
      <c r="L863" s="25"/>
      <c r="M863" s="25"/>
      <c r="N863" s="25"/>
      <c r="O863" s="4"/>
      <c r="P863" s="4"/>
      <c r="Q863" s="4"/>
      <c r="R863" s="4"/>
      <c r="S863" s="4"/>
    </row>
    <row r="864" spans="1:19" ht="15" customHeight="1" x14ac:dyDescent="0.2">
      <c r="A864" s="26"/>
      <c r="B864" s="26"/>
      <c r="C864" s="26"/>
      <c r="D864" s="26"/>
      <c r="E864" s="26"/>
      <c r="F864" s="25"/>
      <c r="G864" s="25"/>
      <c r="H864" s="25"/>
      <c r="I864" s="25"/>
      <c r="J864" s="25"/>
      <c r="K864" s="25"/>
      <c r="L864" s="25"/>
      <c r="M864" s="25"/>
      <c r="N864" s="25"/>
      <c r="O864" s="4"/>
      <c r="P864" s="4"/>
      <c r="Q864" s="4"/>
      <c r="R864" s="4"/>
      <c r="S864" s="4"/>
    </row>
    <row r="865" spans="1:19" ht="15" customHeight="1" x14ac:dyDescent="0.2">
      <c r="A865" s="26"/>
      <c r="B865" s="26"/>
      <c r="C865" s="26"/>
      <c r="D865" s="26"/>
      <c r="E865" s="26"/>
      <c r="F865" s="25"/>
      <c r="G865" s="25"/>
      <c r="H865" s="25"/>
      <c r="I865" s="25"/>
      <c r="J865" s="25"/>
      <c r="K865" s="25"/>
      <c r="L865" s="25"/>
      <c r="M865" s="25"/>
      <c r="N865" s="25"/>
      <c r="O865" s="4"/>
      <c r="P865" s="4"/>
      <c r="Q865" s="4"/>
      <c r="R865" s="4"/>
      <c r="S865" s="4"/>
    </row>
    <row r="866" spans="1:19" ht="15" customHeight="1" x14ac:dyDescent="0.2">
      <c r="A866" s="26"/>
      <c r="B866" s="26"/>
      <c r="C866" s="26"/>
      <c r="D866" s="26"/>
      <c r="E866" s="26"/>
      <c r="F866" s="25"/>
      <c r="G866" s="25"/>
      <c r="H866" s="25"/>
      <c r="I866" s="25"/>
      <c r="J866" s="25"/>
      <c r="K866" s="25"/>
      <c r="L866" s="25"/>
      <c r="M866" s="25"/>
      <c r="N866" s="25"/>
      <c r="O866" s="4"/>
      <c r="P866" s="4"/>
      <c r="Q866" s="4"/>
      <c r="R866" s="4"/>
      <c r="S866" s="4"/>
    </row>
    <row r="867" spans="1:19" ht="15" customHeight="1" x14ac:dyDescent="0.2">
      <c r="A867" s="26"/>
      <c r="B867" s="26"/>
      <c r="C867" s="26"/>
      <c r="D867" s="26"/>
      <c r="E867" s="26"/>
      <c r="F867" s="25"/>
      <c r="G867" s="25"/>
      <c r="H867" s="25"/>
      <c r="I867" s="25"/>
      <c r="J867" s="25"/>
      <c r="K867" s="25"/>
      <c r="L867" s="25"/>
      <c r="M867" s="25"/>
      <c r="N867" s="25"/>
      <c r="O867" s="4"/>
      <c r="P867" s="4"/>
      <c r="Q867" s="4"/>
      <c r="R867" s="4"/>
      <c r="S867" s="4"/>
    </row>
    <row r="868" spans="1:19" ht="15" customHeight="1" x14ac:dyDescent="0.2">
      <c r="A868" s="26"/>
      <c r="B868" s="26"/>
      <c r="C868" s="26"/>
      <c r="D868" s="26"/>
      <c r="E868" s="26"/>
      <c r="F868" s="25"/>
      <c r="G868" s="25"/>
      <c r="H868" s="25"/>
      <c r="I868" s="25"/>
      <c r="J868" s="25"/>
      <c r="K868" s="25"/>
      <c r="L868" s="25"/>
      <c r="M868" s="25"/>
      <c r="N868" s="25"/>
      <c r="O868" s="4"/>
      <c r="P868" s="4"/>
      <c r="Q868" s="4"/>
      <c r="R868" s="4"/>
      <c r="S868" s="4"/>
    </row>
    <row r="869" spans="1:19" ht="15" customHeight="1" x14ac:dyDescent="0.2">
      <c r="A869" s="26"/>
      <c r="B869" s="26"/>
      <c r="C869" s="26"/>
      <c r="D869" s="26"/>
      <c r="E869" s="26"/>
      <c r="F869" s="25"/>
      <c r="G869" s="25"/>
      <c r="H869" s="25"/>
      <c r="I869" s="25"/>
      <c r="J869" s="25"/>
      <c r="K869" s="25"/>
      <c r="L869" s="25"/>
      <c r="M869" s="25"/>
      <c r="N869" s="25"/>
      <c r="O869" s="4"/>
      <c r="P869" s="4"/>
      <c r="Q869" s="4"/>
      <c r="R869" s="4"/>
      <c r="S869" s="4"/>
    </row>
    <row r="870" spans="1:19" ht="15" customHeight="1" x14ac:dyDescent="0.2">
      <c r="A870" s="26"/>
      <c r="B870" s="26"/>
      <c r="C870" s="26"/>
      <c r="D870" s="26"/>
      <c r="E870" s="26"/>
      <c r="F870" s="25"/>
      <c r="G870" s="25"/>
      <c r="H870" s="25"/>
      <c r="I870" s="25"/>
      <c r="J870" s="25"/>
      <c r="K870" s="25"/>
      <c r="L870" s="25"/>
      <c r="M870" s="25"/>
      <c r="N870" s="25"/>
      <c r="O870" s="4"/>
      <c r="P870" s="4"/>
      <c r="Q870" s="4"/>
      <c r="R870" s="4"/>
      <c r="S870" s="4"/>
    </row>
    <row r="871" spans="1:19" ht="15" customHeight="1" x14ac:dyDescent="0.2">
      <c r="A871" s="26"/>
      <c r="B871" s="26"/>
      <c r="C871" s="26"/>
      <c r="D871" s="26"/>
      <c r="E871" s="26"/>
      <c r="F871" s="25"/>
      <c r="G871" s="25"/>
      <c r="H871" s="25"/>
      <c r="I871" s="25"/>
      <c r="J871" s="25"/>
      <c r="K871" s="25"/>
      <c r="L871" s="25"/>
      <c r="M871" s="25"/>
      <c r="N871" s="25"/>
      <c r="O871" s="4"/>
      <c r="P871" s="4"/>
      <c r="Q871" s="4"/>
      <c r="R871" s="4"/>
      <c r="S871" s="4"/>
    </row>
    <row r="872" spans="1:19" ht="15" customHeight="1" x14ac:dyDescent="0.2">
      <c r="A872" s="26"/>
      <c r="B872" s="26"/>
      <c r="C872" s="26"/>
      <c r="D872" s="26"/>
      <c r="E872" s="26"/>
      <c r="F872" s="25"/>
      <c r="G872" s="25"/>
      <c r="H872" s="25"/>
      <c r="I872" s="25"/>
      <c r="J872" s="25"/>
      <c r="K872" s="25"/>
      <c r="L872" s="25"/>
      <c r="M872" s="25"/>
      <c r="N872" s="25"/>
      <c r="O872" s="4"/>
      <c r="P872" s="4"/>
      <c r="Q872" s="4"/>
      <c r="R872" s="4"/>
      <c r="S872" s="4"/>
    </row>
    <row r="873" spans="1:19" ht="15" customHeight="1" x14ac:dyDescent="0.2">
      <c r="A873" s="26"/>
      <c r="B873" s="26"/>
      <c r="C873" s="26"/>
      <c r="D873" s="26"/>
      <c r="E873" s="26"/>
      <c r="F873" s="25"/>
      <c r="G873" s="25"/>
      <c r="H873" s="25"/>
      <c r="I873" s="25"/>
      <c r="J873" s="25"/>
      <c r="K873" s="25"/>
      <c r="L873" s="25"/>
      <c r="M873" s="25"/>
      <c r="N873" s="25"/>
      <c r="O873" s="4"/>
      <c r="P873" s="4"/>
      <c r="Q873" s="4"/>
      <c r="R873" s="4"/>
      <c r="S873" s="4"/>
    </row>
    <row r="874" spans="1:19" ht="15" customHeight="1" x14ac:dyDescent="0.2">
      <c r="A874" s="26"/>
      <c r="B874" s="26"/>
      <c r="C874" s="26"/>
      <c r="D874" s="26"/>
      <c r="E874" s="26"/>
      <c r="F874" s="25"/>
      <c r="G874" s="25"/>
      <c r="H874" s="25"/>
      <c r="I874" s="25"/>
      <c r="J874" s="25"/>
      <c r="K874" s="25"/>
      <c r="L874" s="25"/>
      <c r="M874" s="25"/>
      <c r="N874" s="25"/>
      <c r="O874" s="4"/>
      <c r="P874" s="4"/>
      <c r="Q874" s="4"/>
      <c r="R874" s="4"/>
      <c r="S874" s="4"/>
    </row>
    <row r="875" spans="1:19" ht="15" customHeight="1" x14ac:dyDescent="0.2">
      <c r="A875" s="26"/>
      <c r="B875" s="26"/>
      <c r="C875" s="26"/>
      <c r="D875" s="26"/>
      <c r="E875" s="26"/>
      <c r="F875" s="25"/>
      <c r="G875" s="25"/>
      <c r="H875" s="25"/>
      <c r="I875" s="25"/>
      <c r="J875" s="25"/>
      <c r="K875" s="25"/>
      <c r="L875" s="25"/>
      <c r="M875" s="25"/>
      <c r="N875" s="25"/>
      <c r="O875" s="4"/>
      <c r="P875" s="4"/>
      <c r="Q875" s="4"/>
      <c r="R875" s="4"/>
      <c r="S875" s="4"/>
    </row>
    <row r="876" spans="1:19" ht="15" customHeight="1" x14ac:dyDescent="0.2">
      <c r="A876" s="26"/>
      <c r="B876" s="26"/>
      <c r="C876" s="26"/>
      <c r="D876" s="26"/>
      <c r="E876" s="26"/>
      <c r="F876" s="25"/>
      <c r="G876" s="25"/>
      <c r="H876" s="25"/>
      <c r="I876" s="25"/>
      <c r="J876" s="25"/>
      <c r="K876" s="25"/>
      <c r="L876" s="25"/>
      <c r="M876" s="25"/>
      <c r="N876" s="25"/>
      <c r="O876" s="4"/>
      <c r="P876" s="4"/>
      <c r="Q876" s="4"/>
      <c r="R876" s="4"/>
      <c r="S876" s="4"/>
    </row>
    <row r="877" spans="1:19" ht="15" customHeight="1" x14ac:dyDescent="0.2">
      <c r="A877" s="26"/>
      <c r="B877" s="26"/>
      <c r="C877" s="26"/>
      <c r="D877" s="26"/>
      <c r="E877" s="26"/>
      <c r="F877" s="25"/>
      <c r="G877" s="25"/>
      <c r="H877" s="25"/>
      <c r="I877" s="25"/>
      <c r="J877" s="25"/>
      <c r="K877" s="25"/>
      <c r="L877" s="25"/>
      <c r="M877" s="25"/>
      <c r="N877" s="25"/>
      <c r="O877" s="4"/>
      <c r="P877" s="4"/>
      <c r="Q877" s="4"/>
      <c r="R877" s="4"/>
      <c r="S877" s="4"/>
    </row>
    <row r="878" spans="1:19" ht="15" customHeight="1" x14ac:dyDescent="0.2">
      <c r="A878" s="26"/>
      <c r="B878" s="26"/>
      <c r="C878" s="26"/>
      <c r="D878" s="26"/>
      <c r="E878" s="26"/>
      <c r="F878" s="25"/>
      <c r="G878" s="25"/>
      <c r="H878" s="25"/>
      <c r="I878" s="25"/>
      <c r="J878" s="25"/>
      <c r="K878" s="25"/>
      <c r="L878" s="25"/>
      <c r="M878" s="25"/>
      <c r="N878" s="25"/>
      <c r="O878" s="4"/>
      <c r="P878" s="4"/>
      <c r="Q878" s="4"/>
      <c r="R878" s="4"/>
      <c r="S878" s="4"/>
    </row>
    <row r="879" spans="1:19" ht="15" customHeight="1" x14ac:dyDescent="0.2">
      <c r="A879" s="26"/>
      <c r="B879" s="26"/>
      <c r="C879" s="26"/>
      <c r="D879" s="26"/>
      <c r="E879" s="26"/>
      <c r="F879" s="25"/>
      <c r="G879" s="25"/>
      <c r="H879" s="25"/>
      <c r="I879" s="25"/>
      <c r="J879" s="25"/>
      <c r="K879" s="25"/>
      <c r="L879" s="25"/>
      <c r="M879" s="25"/>
      <c r="N879" s="25"/>
      <c r="O879" s="4"/>
      <c r="P879" s="4"/>
      <c r="Q879" s="4"/>
      <c r="R879" s="4"/>
      <c r="S879" s="4"/>
    </row>
    <row r="880" spans="1:19" ht="15" customHeight="1" x14ac:dyDescent="0.2">
      <c r="A880" s="26"/>
      <c r="B880" s="26"/>
      <c r="C880" s="26"/>
      <c r="D880" s="26"/>
      <c r="E880" s="26"/>
      <c r="F880" s="25"/>
      <c r="G880" s="25"/>
      <c r="H880" s="25"/>
      <c r="I880" s="25"/>
      <c r="J880" s="25"/>
      <c r="K880" s="25"/>
      <c r="L880" s="25"/>
      <c r="M880" s="25"/>
      <c r="N880" s="25"/>
      <c r="O880" s="4"/>
      <c r="P880" s="4"/>
      <c r="Q880" s="4"/>
      <c r="R880" s="4"/>
      <c r="S880" s="4"/>
    </row>
    <row r="881" spans="1:19" ht="15" customHeight="1" x14ac:dyDescent="0.2">
      <c r="A881" s="26"/>
      <c r="B881" s="26"/>
      <c r="C881" s="26"/>
      <c r="D881" s="26"/>
      <c r="E881" s="26"/>
      <c r="F881" s="25"/>
      <c r="G881" s="25"/>
      <c r="H881" s="25"/>
      <c r="I881" s="25"/>
      <c r="J881" s="25"/>
      <c r="K881" s="25"/>
      <c r="L881" s="25"/>
      <c r="M881" s="25"/>
      <c r="N881" s="25"/>
      <c r="O881" s="4"/>
      <c r="P881" s="4"/>
      <c r="Q881" s="4"/>
      <c r="R881" s="4"/>
      <c r="S881" s="4"/>
    </row>
    <row r="882" spans="1:19" ht="15" customHeight="1" x14ac:dyDescent="0.2">
      <c r="A882" s="26"/>
      <c r="B882" s="26"/>
      <c r="C882" s="26"/>
      <c r="D882" s="26"/>
      <c r="E882" s="26"/>
      <c r="F882" s="25"/>
      <c r="G882" s="25"/>
      <c r="H882" s="25"/>
      <c r="I882" s="25"/>
      <c r="J882" s="25"/>
      <c r="K882" s="25"/>
      <c r="L882" s="25"/>
      <c r="M882" s="25"/>
      <c r="N882" s="25"/>
      <c r="O882" s="4"/>
      <c r="P882" s="4"/>
      <c r="Q882" s="4"/>
      <c r="R882" s="4"/>
      <c r="S882" s="4"/>
    </row>
    <row r="883" spans="1:19" ht="15" customHeight="1" x14ac:dyDescent="0.2">
      <c r="A883" s="26"/>
      <c r="B883" s="26"/>
      <c r="C883" s="26"/>
      <c r="D883" s="26"/>
      <c r="E883" s="26"/>
      <c r="F883" s="25"/>
      <c r="G883" s="25"/>
      <c r="H883" s="25"/>
      <c r="I883" s="25"/>
      <c r="J883" s="25"/>
      <c r="K883" s="25"/>
      <c r="L883" s="25"/>
      <c r="M883" s="25"/>
      <c r="N883" s="25"/>
      <c r="O883" s="4"/>
      <c r="P883" s="4"/>
      <c r="Q883" s="4"/>
      <c r="R883" s="4"/>
      <c r="S883" s="4"/>
    </row>
    <row r="884" spans="1:19" ht="15" customHeight="1" x14ac:dyDescent="0.2">
      <c r="A884" s="26"/>
      <c r="B884" s="26"/>
      <c r="C884" s="26"/>
      <c r="D884" s="26"/>
      <c r="E884" s="26"/>
      <c r="F884" s="25"/>
      <c r="G884" s="25"/>
      <c r="H884" s="25"/>
      <c r="I884" s="25"/>
      <c r="J884" s="25"/>
      <c r="K884" s="25"/>
      <c r="L884" s="25"/>
      <c r="M884" s="25"/>
      <c r="N884" s="25"/>
      <c r="O884" s="4"/>
      <c r="P884" s="4"/>
      <c r="Q884" s="4"/>
      <c r="R884" s="4"/>
      <c r="S884" s="4"/>
    </row>
    <row r="885" spans="1:19" ht="15" customHeight="1" x14ac:dyDescent="0.2">
      <c r="A885" s="26"/>
      <c r="B885" s="26"/>
      <c r="C885" s="26"/>
      <c r="D885" s="26"/>
      <c r="E885" s="26"/>
      <c r="F885" s="25"/>
      <c r="G885" s="25"/>
      <c r="H885" s="25"/>
      <c r="I885" s="25"/>
      <c r="J885" s="25"/>
      <c r="K885" s="25"/>
      <c r="L885" s="25"/>
      <c r="M885" s="25"/>
      <c r="N885" s="25"/>
      <c r="O885" s="4"/>
      <c r="P885" s="4"/>
      <c r="Q885" s="4"/>
      <c r="R885" s="4"/>
      <c r="S885" s="4"/>
    </row>
    <row r="886" spans="1:19" ht="15" customHeight="1" x14ac:dyDescent="0.2">
      <c r="A886" s="26"/>
      <c r="B886" s="26"/>
      <c r="C886" s="26"/>
      <c r="D886" s="26"/>
      <c r="E886" s="26"/>
      <c r="F886" s="25"/>
      <c r="G886" s="25"/>
      <c r="H886" s="25"/>
      <c r="I886" s="25"/>
      <c r="J886" s="25"/>
      <c r="K886" s="25"/>
      <c r="L886" s="25"/>
      <c r="M886" s="25"/>
      <c r="N886" s="25"/>
      <c r="O886" s="4"/>
      <c r="P886" s="4"/>
      <c r="Q886" s="4"/>
      <c r="R886" s="4"/>
      <c r="S886" s="4"/>
    </row>
    <row r="887" spans="1:19" ht="15" customHeight="1" x14ac:dyDescent="0.2">
      <c r="A887" s="26"/>
      <c r="B887" s="26"/>
      <c r="C887" s="26"/>
      <c r="D887" s="26"/>
      <c r="E887" s="26"/>
      <c r="F887" s="25"/>
      <c r="G887" s="25"/>
      <c r="H887" s="25"/>
      <c r="I887" s="25"/>
      <c r="J887" s="25"/>
      <c r="K887" s="25"/>
      <c r="L887" s="25"/>
      <c r="M887" s="25"/>
      <c r="N887" s="25"/>
      <c r="O887" s="4"/>
      <c r="P887" s="4"/>
      <c r="Q887" s="4"/>
      <c r="R887" s="4"/>
      <c r="S887" s="4"/>
    </row>
    <row r="888" spans="1:19" ht="15" customHeight="1" x14ac:dyDescent="0.2">
      <c r="A888" s="26"/>
      <c r="B888" s="26"/>
      <c r="C888" s="26"/>
      <c r="D888" s="26"/>
      <c r="E888" s="26"/>
      <c r="F888" s="25"/>
      <c r="G888" s="25"/>
      <c r="H888" s="25"/>
      <c r="I888" s="25"/>
      <c r="J888" s="25"/>
      <c r="K888" s="25"/>
      <c r="L888" s="25"/>
      <c r="M888" s="25"/>
      <c r="N888" s="25"/>
      <c r="O888" s="4"/>
      <c r="P888" s="4"/>
      <c r="Q888" s="4"/>
      <c r="R888" s="4"/>
      <c r="S888" s="4"/>
    </row>
    <row r="889" spans="1:19" ht="15" customHeight="1" x14ac:dyDescent="0.2">
      <c r="A889" s="26"/>
      <c r="B889" s="26"/>
      <c r="C889" s="26"/>
      <c r="D889" s="26"/>
      <c r="E889" s="26"/>
      <c r="F889" s="25"/>
      <c r="G889" s="25"/>
      <c r="H889" s="25"/>
      <c r="I889" s="25"/>
      <c r="J889" s="25"/>
      <c r="K889" s="25"/>
      <c r="L889" s="25"/>
      <c r="M889" s="25"/>
      <c r="N889" s="25"/>
      <c r="O889" s="4"/>
      <c r="P889" s="4"/>
      <c r="Q889" s="4"/>
      <c r="R889" s="4"/>
      <c r="S889" s="4"/>
    </row>
    <row r="890" spans="1:19" ht="15" customHeight="1" x14ac:dyDescent="0.2">
      <c r="A890" s="26"/>
      <c r="B890" s="26"/>
      <c r="C890" s="26"/>
      <c r="D890" s="26"/>
      <c r="E890" s="26"/>
      <c r="F890" s="25"/>
      <c r="G890" s="25"/>
      <c r="H890" s="25"/>
      <c r="I890" s="25"/>
      <c r="J890" s="25"/>
      <c r="K890" s="25"/>
      <c r="L890" s="25"/>
      <c r="M890" s="25"/>
      <c r="N890" s="25"/>
      <c r="O890" s="4"/>
      <c r="P890" s="4"/>
      <c r="Q890" s="4"/>
      <c r="R890" s="4"/>
      <c r="S890" s="4"/>
    </row>
    <row r="891" spans="1:19" ht="15" customHeight="1" x14ac:dyDescent="0.2">
      <c r="A891" s="26"/>
      <c r="B891" s="26"/>
      <c r="C891" s="26"/>
      <c r="D891" s="26"/>
      <c r="E891" s="26"/>
      <c r="F891" s="25"/>
      <c r="G891" s="25"/>
      <c r="H891" s="25"/>
      <c r="I891" s="25"/>
      <c r="J891" s="25"/>
      <c r="K891" s="25"/>
      <c r="L891" s="25"/>
      <c r="M891" s="25"/>
      <c r="N891" s="25"/>
      <c r="O891" s="4"/>
      <c r="P891" s="4"/>
      <c r="Q891" s="4"/>
      <c r="R891" s="4"/>
      <c r="S891" s="4"/>
    </row>
    <row r="892" spans="1:19" ht="15" customHeight="1" x14ac:dyDescent="0.2">
      <c r="A892" s="26"/>
      <c r="B892" s="26"/>
      <c r="C892" s="26"/>
      <c r="D892" s="26"/>
      <c r="E892" s="26"/>
      <c r="F892" s="25"/>
      <c r="G892" s="25"/>
      <c r="H892" s="25"/>
      <c r="I892" s="25"/>
      <c r="J892" s="25"/>
      <c r="K892" s="25"/>
      <c r="L892" s="25"/>
      <c r="M892" s="25"/>
      <c r="N892" s="25"/>
      <c r="O892" s="4"/>
      <c r="P892" s="4"/>
      <c r="Q892" s="4"/>
      <c r="R892" s="4"/>
      <c r="S892" s="4"/>
    </row>
    <row r="893" spans="1:19" ht="15" customHeight="1" x14ac:dyDescent="0.2">
      <c r="A893" s="26"/>
      <c r="B893" s="26"/>
      <c r="C893" s="26"/>
      <c r="D893" s="26"/>
      <c r="E893" s="26"/>
      <c r="F893" s="25"/>
      <c r="G893" s="25"/>
      <c r="H893" s="25"/>
      <c r="I893" s="25"/>
      <c r="J893" s="25"/>
      <c r="K893" s="25"/>
      <c r="L893" s="25"/>
      <c r="M893" s="25"/>
      <c r="N893" s="25"/>
      <c r="O893" s="4"/>
      <c r="P893" s="4"/>
      <c r="Q893" s="4"/>
      <c r="R893" s="4"/>
      <c r="S893" s="4"/>
    </row>
    <row r="894" spans="1:19" ht="15" customHeight="1" x14ac:dyDescent="0.2">
      <c r="A894" s="26"/>
      <c r="B894" s="26"/>
      <c r="C894" s="26"/>
      <c r="D894" s="26"/>
      <c r="E894" s="26"/>
      <c r="F894" s="25"/>
      <c r="G894" s="25"/>
      <c r="H894" s="25"/>
      <c r="I894" s="25"/>
      <c r="J894" s="25"/>
      <c r="K894" s="25"/>
      <c r="L894" s="25"/>
      <c r="M894" s="25"/>
      <c r="N894" s="25"/>
      <c r="O894" s="4"/>
      <c r="P894" s="4"/>
      <c r="Q894" s="4"/>
      <c r="R894" s="4"/>
      <c r="S894" s="4"/>
    </row>
    <row r="895" spans="1:19" ht="15" customHeight="1" x14ac:dyDescent="0.2">
      <c r="A895" s="26"/>
      <c r="B895" s="26"/>
      <c r="C895" s="26"/>
      <c r="D895" s="26"/>
      <c r="E895" s="26"/>
      <c r="F895" s="25"/>
      <c r="G895" s="25"/>
      <c r="H895" s="25"/>
      <c r="I895" s="25"/>
      <c r="J895" s="25"/>
      <c r="K895" s="25"/>
      <c r="L895" s="25"/>
      <c r="M895" s="25"/>
      <c r="N895" s="25"/>
      <c r="O895" s="4"/>
      <c r="P895" s="4"/>
      <c r="Q895" s="4"/>
      <c r="R895" s="4"/>
      <c r="S895" s="4"/>
    </row>
    <row r="896" spans="1:19" ht="15" customHeight="1" x14ac:dyDescent="0.2">
      <c r="A896" s="26"/>
      <c r="B896" s="26"/>
      <c r="C896" s="26"/>
      <c r="D896" s="26"/>
      <c r="E896" s="26"/>
      <c r="F896" s="25"/>
      <c r="G896" s="25"/>
      <c r="H896" s="25"/>
      <c r="I896" s="25"/>
      <c r="J896" s="25"/>
      <c r="K896" s="25"/>
      <c r="L896" s="25"/>
      <c r="M896" s="25"/>
      <c r="N896" s="25"/>
      <c r="O896" s="4"/>
      <c r="P896" s="4"/>
      <c r="Q896" s="4"/>
      <c r="R896" s="4"/>
      <c r="S896" s="4"/>
    </row>
    <row r="897" spans="1:19" ht="15" customHeight="1" x14ac:dyDescent="0.2">
      <c r="A897" s="26"/>
      <c r="B897" s="26"/>
      <c r="C897" s="26"/>
      <c r="D897" s="26"/>
      <c r="E897" s="26"/>
      <c r="F897" s="25"/>
      <c r="G897" s="25"/>
      <c r="H897" s="25"/>
      <c r="I897" s="25"/>
      <c r="J897" s="25"/>
      <c r="K897" s="25"/>
      <c r="L897" s="25"/>
      <c r="M897" s="25"/>
      <c r="N897" s="25"/>
      <c r="O897" s="4"/>
      <c r="P897" s="4"/>
      <c r="Q897" s="4"/>
      <c r="R897" s="4"/>
      <c r="S897" s="4"/>
    </row>
    <row r="898" spans="1:19" ht="15" customHeight="1" x14ac:dyDescent="0.2">
      <c r="A898" s="26"/>
      <c r="B898" s="26"/>
      <c r="C898" s="26"/>
      <c r="D898" s="26"/>
      <c r="E898" s="26"/>
      <c r="F898" s="25"/>
      <c r="G898" s="25"/>
      <c r="H898" s="25"/>
      <c r="I898" s="25"/>
      <c r="J898" s="25"/>
      <c r="K898" s="25"/>
      <c r="L898" s="25"/>
      <c r="M898" s="25"/>
      <c r="N898" s="25"/>
      <c r="O898" s="4"/>
      <c r="P898" s="4"/>
      <c r="Q898" s="4"/>
      <c r="R898" s="4"/>
      <c r="S898" s="4"/>
    </row>
    <row r="899" spans="1:19" ht="15" customHeight="1" x14ac:dyDescent="0.2">
      <c r="A899" s="26"/>
      <c r="B899" s="26"/>
      <c r="C899" s="26"/>
      <c r="D899" s="26"/>
      <c r="E899" s="26"/>
      <c r="F899" s="25"/>
      <c r="G899" s="25"/>
      <c r="H899" s="25"/>
      <c r="I899" s="25"/>
      <c r="J899" s="25"/>
      <c r="K899" s="25"/>
      <c r="L899" s="25"/>
      <c r="M899" s="25"/>
      <c r="N899" s="25"/>
      <c r="O899" s="4"/>
      <c r="P899" s="4"/>
      <c r="Q899" s="4"/>
      <c r="R899" s="4"/>
      <c r="S899" s="4"/>
    </row>
    <row r="900" spans="1:19" ht="15" customHeight="1" x14ac:dyDescent="0.2">
      <c r="A900" s="26"/>
      <c r="B900" s="26"/>
      <c r="C900" s="26"/>
      <c r="D900" s="26"/>
      <c r="E900" s="26"/>
      <c r="F900" s="25"/>
      <c r="G900" s="25"/>
      <c r="H900" s="25"/>
      <c r="I900" s="25"/>
      <c r="J900" s="25"/>
      <c r="K900" s="25"/>
      <c r="L900" s="25"/>
      <c r="M900" s="25"/>
      <c r="N900" s="25"/>
      <c r="O900" s="4"/>
      <c r="P900" s="4"/>
      <c r="Q900" s="4"/>
      <c r="R900" s="4"/>
      <c r="S900" s="4"/>
    </row>
    <row r="901" spans="1:19" ht="15" customHeight="1" x14ac:dyDescent="0.2">
      <c r="A901" s="26"/>
      <c r="B901" s="26"/>
      <c r="C901" s="26"/>
      <c r="D901" s="26"/>
      <c r="E901" s="26"/>
      <c r="F901" s="25"/>
      <c r="G901" s="25"/>
      <c r="H901" s="25"/>
      <c r="I901" s="25"/>
      <c r="J901" s="25"/>
      <c r="K901" s="25"/>
      <c r="L901" s="25"/>
      <c r="M901" s="25"/>
      <c r="N901" s="25"/>
      <c r="O901" s="4"/>
      <c r="P901" s="4"/>
      <c r="Q901" s="4"/>
      <c r="R901" s="4"/>
      <c r="S901" s="4"/>
    </row>
    <row r="902" spans="1:19" ht="15" customHeight="1" x14ac:dyDescent="0.2">
      <c r="A902" s="26"/>
      <c r="B902" s="26"/>
      <c r="C902" s="26"/>
      <c r="D902" s="26"/>
      <c r="E902" s="26"/>
      <c r="F902" s="25"/>
      <c r="G902" s="25"/>
      <c r="H902" s="25"/>
      <c r="I902" s="25"/>
      <c r="J902" s="25"/>
      <c r="K902" s="25"/>
      <c r="L902" s="25"/>
      <c r="M902" s="25"/>
      <c r="N902" s="25"/>
      <c r="O902" s="4"/>
      <c r="P902" s="4"/>
      <c r="Q902" s="4"/>
      <c r="R902" s="4"/>
      <c r="S902" s="4"/>
    </row>
    <row r="903" spans="1:19" ht="15" customHeight="1" x14ac:dyDescent="0.2">
      <c r="A903" s="26"/>
      <c r="B903" s="26"/>
      <c r="C903" s="26"/>
      <c r="D903" s="26"/>
      <c r="E903" s="26"/>
      <c r="F903" s="25"/>
      <c r="G903" s="25"/>
      <c r="H903" s="25"/>
      <c r="I903" s="25"/>
      <c r="J903" s="25"/>
      <c r="K903" s="25"/>
      <c r="L903" s="25"/>
      <c r="M903" s="25"/>
      <c r="N903" s="25"/>
      <c r="O903" s="4"/>
      <c r="P903" s="4"/>
      <c r="Q903" s="4"/>
      <c r="R903" s="4"/>
      <c r="S903" s="4"/>
    </row>
    <row r="904" spans="1:19" ht="15" customHeight="1" x14ac:dyDescent="0.2">
      <c r="A904" s="26"/>
      <c r="B904" s="26"/>
      <c r="C904" s="26"/>
      <c r="D904" s="26"/>
      <c r="E904" s="26"/>
      <c r="F904" s="25"/>
      <c r="G904" s="25"/>
      <c r="H904" s="25"/>
      <c r="I904" s="25"/>
      <c r="J904" s="25"/>
      <c r="K904" s="25"/>
      <c r="L904" s="25"/>
      <c r="M904" s="25"/>
      <c r="N904" s="25"/>
      <c r="O904" s="4"/>
      <c r="P904" s="4"/>
      <c r="Q904" s="4"/>
      <c r="R904" s="4"/>
      <c r="S904" s="4"/>
    </row>
    <row r="905" spans="1:19" ht="15" customHeight="1" x14ac:dyDescent="0.2">
      <c r="A905" s="26"/>
      <c r="B905" s="26"/>
      <c r="C905" s="26"/>
      <c r="D905" s="26"/>
      <c r="E905" s="26"/>
      <c r="F905" s="25"/>
      <c r="G905" s="25"/>
      <c r="H905" s="25"/>
      <c r="I905" s="25"/>
      <c r="J905" s="25"/>
      <c r="K905" s="25"/>
      <c r="L905" s="25"/>
      <c r="M905" s="25"/>
      <c r="N905" s="25"/>
      <c r="O905" s="4"/>
      <c r="P905" s="4"/>
      <c r="Q905" s="4"/>
      <c r="R905" s="4"/>
      <c r="S905" s="4"/>
    </row>
    <row r="906" spans="1:19" ht="15" customHeight="1" x14ac:dyDescent="0.2">
      <c r="A906" s="26"/>
      <c r="B906" s="26"/>
      <c r="C906" s="26"/>
      <c r="D906" s="26"/>
      <c r="E906" s="26"/>
      <c r="F906" s="25"/>
      <c r="G906" s="25"/>
      <c r="H906" s="25"/>
      <c r="I906" s="25"/>
      <c r="J906" s="25"/>
      <c r="K906" s="25"/>
      <c r="L906" s="25"/>
      <c r="M906" s="25"/>
      <c r="N906" s="25"/>
      <c r="O906" s="4"/>
      <c r="P906" s="4"/>
      <c r="Q906" s="4"/>
      <c r="R906" s="4"/>
      <c r="S906" s="4"/>
    </row>
    <row r="907" spans="1:19" ht="15" customHeight="1" x14ac:dyDescent="0.2">
      <c r="A907" s="26"/>
      <c r="B907" s="26"/>
      <c r="C907" s="26"/>
      <c r="D907" s="26"/>
      <c r="E907" s="26"/>
      <c r="F907" s="25"/>
      <c r="G907" s="25"/>
      <c r="H907" s="25"/>
      <c r="I907" s="25"/>
      <c r="J907" s="25"/>
      <c r="K907" s="25"/>
      <c r="L907" s="25"/>
      <c r="M907" s="25"/>
      <c r="N907" s="25"/>
      <c r="O907" s="4"/>
      <c r="P907" s="4"/>
      <c r="Q907" s="4"/>
      <c r="R907" s="4"/>
      <c r="S907" s="4"/>
    </row>
    <row r="908" spans="1:19" ht="15" customHeight="1" x14ac:dyDescent="0.2">
      <c r="A908" s="26"/>
      <c r="B908" s="26"/>
      <c r="C908" s="26"/>
      <c r="D908" s="26"/>
      <c r="E908" s="26"/>
      <c r="F908" s="25"/>
      <c r="G908" s="25"/>
      <c r="H908" s="25"/>
      <c r="I908" s="25"/>
      <c r="J908" s="25"/>
      <c r="K908" s="25"/>
      <c r="L908" s="25"/>
      <c r="M908" s="25"/>
      <c r="N908" s="25"/>
      <c r="O908" s="4"/>
      <c r="P908" s="4"/>
      <c r="Q908" s="4"/>
      <c r="R908" s="4"/>
      <c r="S908" s="4"/>
    </row>
    <row r="909" spans="1:19" ht="15" customHeight="1" x14ac:dyDescent="0.2">
      <c r="A909" s="26"/>
      <c r="B909" s="26"/>
      <c r="C909" s="26"/>
      <c r="D909" s="26"/>
      <c r="E909" s="26"/>
      <c r="F909" s="25"/>
      <c r="G909" s="25"/>
      <c r="H909" s="25"/>
      <c r="I909" s="25"/>
      <c r="J909" s="25"/>
      <c r="K909" s="25"/>
      <c r="L909" s="25"/>
      <c r="M909" s="25"/>
      <c r="N909" s="25"/>
      <c r="O909" s="4"/>
      <c r="P909" s="4"/>
      <c r="Q909" s="4"/>
      <c r="R909" s="4"/>
      <c r="S909" s="4"/>
    </row>
    <row r="910" spans="1:19" ht="15" customHeight="1" x14ac:dyDescent="0.2">
      <c r="A910" s="26"/>
      <c r="B910" s="26"/>
      <c r="C910" s="26"/>
      <c r="D910" s="26"/>
      <c r="E910" s="26"/>
      <c r="F910" s="25"/>
      <c r="G910" s="25"/>
      <c r="H910" s="25"/>
      <c r="I910" s="25"/>
      <c r="J910" s="25"/>
      <c r="K910" s="25"/>
      <c r="L910" s="25"/>
      <c r="M910" s="25"/>
      <c r="N910" s="25"/>
      <c r="O910" s="4"/>
      <c r="P910" s="4"/>
      <c r="Q910" s="4"/>
      <c r="R910" s="4"/>
      <c r="S910" s="4"/>
    </row>
    <row r="911" spans="1:19" ht="15" customHeight="1" x14ac:dyDescent="0.2">
      <c r="A911" s="26"/>
      <c r="B911" s="26"/>
      <c r="C911" s="26"/>
      <c r="D911" s="26"/>
      <c r="E911" s="26"/>
      <c r="F911" s="25"/>
      <c r="G911" s="25"/>
      <c r="H911" s="25"/>
      <c r="I911" s="25"/>
      <c r="J911" s="25"/>
      <c r="K911" s="25"/>
      <c r="L911" s="25"/>
      <c r="M911" s="25"/>
      <c r="N911" s="25"/>
      <c r="O911" s="4"/>
      <c r="P911" s="4"/>
      <c r="Q911" s="4"/>
      <c r="R911" s="4"/>
      <c r="S911" s="4"/>
    </row>
    <row r="912" spans="1:19" ht="15" customHeight="1" x14ac:dyDescent="0.2">
      <c r="A912" s="26"/>
      <c r="B912" s="26"/>
      <c r="C912" s="26"/>
      <c r="D912" s="26"/>
      <c r="E912" s="26"/>
      <c r="F912" s="25"/>
      <c r="G912" s="25"/>
      <c r="H912" s="25"/>
      <c r="I912" s="25"/>
      <c r="J912" s="25"/>
      <c r="K912" s="25"/>
      <c r="L912" s="25"/>
      <c r="M912" s="25"/>
      <c r="N912" s="25"/>
      <c r="O912" s="4"/>
      <c r="P912" s="4"/>
      <c r="Q912" s="4"/>
      <c r="R912" s="4"/>
      <c r="S912" s="4"/>
    </row>
    <row r="913" spans="1:19" ht="15" customHeight="1" x14ac:dyDescent="0.2">
      <c r="A913" s="26"/>
      <c r="B913" s="26"/>
      <c r="C913" s="26"/>
      <c r="D913" s="26"/>
      <c r="E913" s="26"/>
      <c r="F913" s="25"/>
      <c r="G913" s="25"/>
      <c r="H913" s="25"/>
      <c r="I913" s="25"/>
      <c r="J913" s="25"/>
      <c r="K913" s="25"/>
      <c r="L913" s="25"/>
      <c r="M913" s="25"/>
      <c r="N913" s="25"/>
      <c r="O913" s="4"/>
      <c r="P913" s="4"/>
      <c r="Q913" s="4"/>
      <c r="R913" s="4"/>
      <c r="S913" s="4"/>
    </row>
    <row r="914" spans="1:19" ht="15" customHeight="1" x14ac:dyDescent="0.2">
      <c r="A914" s="26"/>
      <c r="B914" s="26"/>
      <c r="C914" s="26"/>
      <c r="D914" s="26"/>
      <c r="E914" s="26"/>
      <c r="F914" s="25"/>
      <c r="G914" s="25"/>
      <c r="H914" s="25"/>
      <c r="I914" s="25"/>
      <c r="J914" s="25"/>
      <c r="K914" s="25"/>
      <c r="L914" s="25"/>
      <c r="M914" s="25"/>
      <c r="N914" s="25"/>
      <c r="O914" s="4"/>
      <c r="P914" s="4"/>
      <c r="Q914" s="4"/>
      <c r="R914" s="4"/>
      <c r="S914" s="4"/>
    </row>
    <row r="915" spans="1:19" ht="15" customHeight="1" x14ac:dyDescent="0.2">
      <c r="A915" s="26"/>
      <c r="B915" s="26"/>
      <c r="C915" s="26"/>
      <c r="D915" s="26"/>
      <c r="E915" s="26"/>
      <c r="F915" s="25"/>
      <c r="G915" s="25"/>
      <c r="H915" s="25"/>
      <c r="I915" s="25"/>
      <c r="J915" s="25"/>
      <c r="K915" s="25"/>
      <c r="L915" s="25"/>
      <c r="M915" s="25"/>
      <c r="N915" s="25"/>
      <c r="O915" s="4"/>
      <c r="P915" s="4"/>
      <c r="Q915" s="4"/>
      <c r="R915" s="4"/>
      <c r="S915" s="4"/>
    </row>
    <row r="916" spans="1:19" ht="15" customHeight="1" x14ac:dyDescent="0.2">
      <c r="A916" s="26"/>
      <c r="B916" s="26"/>
      <c r="C916" s="26"/>
      <c r="D916" s="26"/>
      <c r="E916" s="26"/>
      <c r="F916" s="25"/>
      <c r="G916" s="25"/>
      <c r="H916" s="25"/>
      <c r="I916" s="25"/>
      <c r="J916" s="25"/>
      <c r="K916" s="25"/>
      <c r="L916" s="25"/>
      <c r="M916" s="25"/>
      <c r="N916" s="25"/>
      <c r="O916" s="4"/>
      <c r="P916" s="4"/>
      <c r="Q916" s="4"/>
      <c r="R916" s="4"/>
      <c r="S916" s="4"/>
    </row>
    <row r="917" spans="1:19" ht="15" customHeight="1" x14ac:dyDescent="0.2">
      <c r="A917" s="26"/>
      <c r="B917" s="26"/>
      <c r="C917" s="26"/>
      <c r="D917" s="26"/>
      <c r="E917" s="26"/>
      <c r="F917" s="25"/>
      <c r="G917" s="25"/>
      <c r="H917" s="25"/>
      <c r="I917" s="25"/>
      <c r="J917" s="25"/>
      <c r="K917" s="25"/>
      <c r="L917" s="25"/>
      <c r="M917" s="25"/>
      <c r="N917" s="25"/>
      <c r="O917" s="4"/>
      <c r="P917" s="4"/>
      <c r="Q917" s="4"/>
      <c r="R917" s="4"/>
      <c r="S917" s="4"/>
    </row>
    <row r="918" spans="1:19" ht="15" customHeight="1" x14ac:dyDescent="0.2">
      <c r="A918" s="26"/>
      <c r="B918" s="26"/>
      <c r="C918" s="26"/>
      <c r="D918" s="26"/>
      <c r="E918" s="26"/>
      <c r="F918" s="25"/>
      <c r="G918" s="25"/>
      <c r="H918" s="25"/>
      <c r="I918" s="25"/>
      <c r="J918" s="25"/>
      <c r="K918" s="25"/>
      <c r="L918" s="25"/>
      <c r="M918" s="25"/>
      <c r="N918" s="25"/>
      <c r="O918" s="4"/>
      <c r="P918" s="4"/>
      <c r="Q918" s="4"/>
      <c r="R918" s="4"/>
      <c r="S918" s="4"/>
    </row>
    <row r="919" spans="1:19" ht="15" customHeight="1" x14ac:dyDescent="0.2">
      <c r="A919" s="26"/>
      <c r="B919" s="26"/>
      <c r="C919" s="26"/>
      <c r="D919" s="26"/>
      <c r="E919" s="26"/>
      <c r="F919" s="25"/>
      <c r="G919" s="25"/>
      <c r="H919" s="25"/>
      <c r="I919" s="25"/>
      <c r="J919" s="25"/>
      <c r="K919" s="25"/>
      <c r="L919" s="25"/>
      <c r="M919" s="25"/>
      <c r="N919" s="25"/>
      <c r="O919" s="4"/>
      <c r="P919" s="4"/>
      <c r="Q919" s="4"/>
      <c r="R919" s="4"/>
      <c r="S919" s="4"/>
    </row>
  </sheetData>
  <autoFilter ref="A2:M25" xr:uid="{00000000-0009-0000-0000-000008000000}">
    <sortState xmlns:xlrd2="http://schemas.microsoft.com/office/spreadsheetml/2017/richdata2" ref="A2:M25">
      <sortCondition ref="F2:F25"/>
      <sortCondition ref="I2:I25"/>
      <sortCondition ref="J2:J25"/>
    </sortState>
  </autoFilter>
  <conditionalFormatting sqref="A3:B87 E3:E87 D3:D9 C3:C77 D11:D77">
    <cfRule type="expression" dxfId="2" priority="4">
      <formula>#REF!&gt;1</formula>
    </cfRule>
  </conditionalFormatting>
  <conditionalFormatting sqref="J3:J9 N3:N27 I3:I77 K3:K77 H3:H80 F3:G87 L3:M87 D10 J11:J77 E64:E87 A80 I80 H82:H87 I86:J87">
    <cfRule type="cellIs" dxfId="1" priority="1" operator="greaterThan">
      <formula>0</formula>
    </cfRule>
    <cfRule type="cellIs" dxfId="0" priority="2" operator="lessThan">
      <formula>0</formula>
    </cfRule>
    <cfRule type="containsBlanks" priority="3">
      <formula>LEN(TRIM(F3))=0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outlinePr summaryBelow="0" summaryRight="0"/>
  </sheetPr>
  <dimension ref="A1:J19"/>
  <sheetViews>
    <sheetView workbookViewId="0"/>
  </sheetViews>
  <sheetFormatPr baseColWidth="10" defaultColWidth="12.6640625" defaultRowHeight="15.75" customHeight="1" x14ac:dyDescent="0.15"/>
  <sheetData>
    <row r="1" spans="1:10" ht="15.75" customHeight="1" x14ac:dyDescent="0.15">
      <c r="A1" s="28" t="s">
        <v>1679</v>
      </c>
      <c r="B1" s="28" t="s">
        <v>340</v>
      </c>
      <c r="C1" s="28" t="s">
        <v>1680</v>
      </c>
      <c r="D1" s="28" t="s">
        <v>1681</v>
      </c>
      <c r="E1" s="28" t="s">
        <v>1682</v>
      </c>
      <c r="F1" s="28" t="s">
        <v>1683</v>
      </c>
      <c r="G1" s="28" t="s">
        <v>1684</v>
      </c>
      <c r="H1" s="28" t="s">
        <v>1685</v>
      </c>
      <c r="I1" s="28" t="s">
        <v>1686</v>
      </c>
      <c r="J1" s="28" t="s">
        <v>1687</v>
      </c>
    </row>
    <row r="2" spans="1:10" ht="15.75" customHeight="1" x14ac:dyDescent="0.15">
      <c r="A2" s="28" t="s">
        <v>1688</v>
      </c>
      <c r="B2" s="28" t="s">
        <v>1689</v>
      </c>
      <c r="C2" s="28" t="s">
        <v>1690</v>
      </c>
      <c r="D2" s="28">
        <v>120</v>
      </c>
      <c r="E2" s="28">
        <v>6.25</v>
      </c>
      <c r="F2" s="29">
        <f>(6.25-5)/5/3</f>
        <v>8.3333333333333329E-2</v>
      </c>
      <c r="G2" s="28" t="s">
        <v>1691</v>
      </c>
      <c r="H2" s="30" t="s">
        <v>1692</v>
      </c>
      <c r="I2" s="28">
        <f>D2/E2</f>
        <v>19.2</v>
      </c>
    </row>
    <row r="3" spans="1:10" ht="15.75" customHeight="1" x14ac:dyDescent="0.15">
      <c r="A3" s="28" t="s">
        <v>1688</v>
      </c>
      <c r="B3" s="28" t="s">
        <v>1693</v>
      </c>
      <c r="C3" s="28" t="s">
        <v>918</v>
      </c>
      <c r="D3" s="28">
        <v>51</v>
      </c>
      <c r="E3" s="28">
        <v>3.1</v>
      </c>
      <c r="F3" s="29">
        <f>(4.6-2.8)/12</f>
        <v>0.15</v>
      </c>
      <c r="G3" s="28" t="s">
        <v>1694</v>
      </c>
      <c r="H3" s="30" t="s">
        <v>1695</v>
      </c>
      <c r="I3" s="28">
        <f>D3/E3</f>
        <v>16.451612903225804</v>
      </c>
      <c r="J3" s="28">
        <f>4.6/20</f>
        <v>0.22999999999999998</v>
      </c>
    </row>
    <row r="4" spans="1:10" ht="15.75" customHeight="1" x14ac:dyDescent="0.15">
      <c r="A4" s="28" t="s">
        <v>1696</v>
      </c>
      <c r="B4" s="28" t="s">
        <v>1697</v>
      </c>
      <c r="C4" s="28" t="s">
        <v>1698</v>
      </c>
      <c r="D4" s="28">
        <v>43</v>
      </c>
      <c r="E4" s="28">
        <v>6</v>
      </c>
      <c r="F4" s="29">
        <f>(6-4.5)/12</f>
        <v>0.125</v>
      </c>
      <c r="G4" s="28" t="s">
        <v>1699</v>
      </c>
      <c r="H4" s="30" t="s">
        <v>1700</v>
      </c>
      <c r="I4" s="28">
        <f>D4/E4</f>
        <v>7.166666666666667</v>
      </c>
      <c r="J4" s="28">
        <f>E4/3</f>
        <v>2</v>
      </c>
    </row>
    <row r="5" spans="1:10" ht="15.75" customHeight="1" x14ac:dyDescent="0.15">
      <c r="A5" s="28" t="s">
        <v>1688</v>
      </c>
      <c r="B5" s="28" t="s">
        <v>1701</v>
      </c>
      <c r="C5" s="28" t="s">
        <v>1702</v>
      </c>
      <c r="D5" s="28">
        <v>21</v>
      </c>
      <c r="E5" s="28">
        <v>0.76</v>
      </c>
      <c r="F5" s="29">
        <f>260/1200</f>
        <v>0.21666666666666667</v>
      </c>
      <c r="G5" s="28" t="s">
        <v>1703</v>
      </c>
      <c r="H5" s="30" t="s">
        <v>1704</v>
      </c>
      <c r="I5" s="28">
        <f>D5/E5</f>
        <v>27.631578947368421</v>
      </c>
    </row>
    <row r="6" spans="1:10" ht="15.75" customHeight="1" x14ac:dyDescent="0.15">
      <c r="A6" s="28" t="s">
        <v>1696</v>
      </c>
      <c r="B6" s="28" t="s">
        <v>1705</v>
      </c>
      <c r="C6" s="28" t="s">
        <v>1690</v>
      </c>
      <c r="D6" s="28">
        <v>110</v>
      </c>
      <c r="E6" s="28">
        <v>8.1999999999999993</v>
      </c>
      <c r="F6" s="29">
        <f>(8.2-3)/12</f>
        <v>0.43333333333333329</v>
      </c>
      <c r="G6" s="28" t="s">
        <v>995</v>
      </c>
      <c r="H6" s="30" t="s">
        <v>1706</v>
      </c>
      <c r="I6" s="28">
        <f>D6/E6</f>
        <v>13.414634146341465</v>
      </c>
      <c r="J6" s="28">
        <f>E6/28</f>
        <v>0.29285714285714282</v>
      </c>
    </row>
    <row r="7" spans="1:10" ht="15.75" customHeight="1" x14ac:dyDescent="0.15">
      <c r="B7" s="28" t="s">
        <v>1707</v>
      </c>
      <c r="C7" s="28" t="s">
        <v>1708</v>
      </c>
    </row>
    <row r="8" spans="1:10" ht="15.75" customHeight="1" x14ac:dyDescent="0.15">
      <c r="A8" s="28">
        <v>735</v>
      </c>
      <c r="B8" s="28">
        <v>5</v>
      </c>
      <c r="C8" s="28">
        <v>9.6000000000000002E-2</v>
      </c>
    </row>
    <row r="9" spans="1:10" ht="15.75" customHeight="1" x14ac:dyDescent="0.15">
      <c r="A9" s="28">
        <f t="shared" ref="A9:A19" si="0">A8*(1+C8)</f>
        <v>805.56000000000006</v>
      </c>
      <c r="B9" s="28">
        <v>6</v>
      </c>
      <c r="C9" s="28">
        <v>9.6000000000000002E-2</v>
      </c>
    </row>
    <row r="10" spans="1:10" ht="15.75" customHeight="1" x14ac:dyDescent="0.15">
      <c r="A10" s="28">
        <f t="shared" si="0"/>
        <v>882.89376000000016</v>
      </c>
      <c r="B10" s="28">
        <v>7</v>
      </c>
      <c r="C10" s="28">
        <v>9.6000000000000002E-2</v>
      </c>
    </row>
    <row r="11" spans="1:10" ht="15.75" customHeight="1" x14ac:dyDescent="0.15">
      <c r="A11" s="28">
        <f t="shared" si="0"/>
        <v>967.65156096000021</v>
      </c>
      <c r="B11" s="28">
        <v>8</v>
      </c>
      <c r="C11" s="28">
        <v>9.6000000000000002E-2</v>
      </c>
    </row>
    <row r="12" spans="1:10" ht="15.75" customHeight="1" x14ac:dyDescent="0.15">
      <c r="A12" s="28">
        <f t="shared" si="0"/>
        <v>1060.5461108121604</v>
      </c>
      <c r="B12" s="28">
        <v>9</v>
      </c>
      <c r="C12" s="28">
        <v>9.6000000000000002E-2</v>
      </c>
    </row>
    <row r="13" spans="1:10" ht="15.75" customHeight="1" x14ac:dyDescent="0.15">
      <c r="A13" s="28">
        <f t="shared" si="0"/>
        <v>1162.3585374501279</v>
      </c>
      <c r="B13" s="28">
        <v>10</v>
      </c>
      <c r="C13" s="28">
        <v>9.6000000000000002E-2</v>
      </c>
    </row>
    <row r="14" spans="1:10" ht="15.75" customHeight="1" x14ac:dyDescent="0.15">
      <c r="A14" s="28">
        <f t="shared" si="0"/>
        <v>1273.9449570453403</v>
      </c>
      <c r="B14" s="28">
        <v>11</v>
      </c>
      <c r="C14" s="28">
        <v>9.6000000000000002E-2</v>
      </c>
    </row>
    <row r="15" spans="1:10" ht="15.75" customHeight="1" x14ac:dyDescent="0.15">
      <c r="A15" s="28">
        <f t="shared" si="0"/>
        <v>1396.2436729216931</v>
      </c>
      <c r="B15" s="28">
        <v>12</v>
      </c>
      <c r="C15" s="28">
        <v>9.6000000000000002E-2</v>
      </c>
    </row>
    <row r="16" spans="1:10" ht="15.75" customHeight="1" x14ac:dyDescent="0.15">
      <c r="A16" s="28">
        <f t="shared" si="0"/>
        <v>1530.2830655221758</v>
      </c>
      <c r="B16" s="28">
        <v>13</v>
      </c>
      <c r="C16" s="28">
        <v>9.6000000000000002E-2</v>
      </c>
    </row>
    <row r="17" spans="1:3" ht="15.75" customHeight="1" x14ac:dyDescent="0.15">
      <c r="A17" s="28">
        <f t="shared" si="0"/>
        <v>1677.1902398123048</v>
      </c>
      <c r="B17" s="28">
        <v>14</v>
      </c>
      <c r="C17" s="28">
        <v>9.6000000000000002E-2</v>
      </c>
    </row>
    <row r="18" spans="1:3" ht="15.75" customHeight="1" x14ac:dyDescent="0.15">
      <c r="A18" s="28">
        <f t="shared" si="0"/>
        <v>1838.2005028342862</v>
      </c>
      <c r="B18" s="28">
        <v>15</v>
      </c>
      <c r="C18" s="28">
        <v>9.6000000000000002E-2</v>
      </c>
    </row>
    <row r="19" spans="1:3" ht="15.75" customHeight="1" x14ac:dyDescent="0.15">
      <c r="A19" s="31">
        <f t="shared" si="0"/>
        <v>2014.6677511063779</v>
      </c>
      <c r="B19" s="28">
        <v>16</v>
      </c>
    </row>
  </sheetData>
  <hyperlinks>
    <hyperlink ref="H2" r:id="rId1" xr:uid="{00000000-0004-0000-0900-000000000000}"/>
    <hyperlink ref="H3" r:id="rId2" xr:uid="{00000000-0004-0000-0900-000001000000}"/>
    <hyperlink ref="H4" r:id="rId3" xr:uid="{00000000-0004-0000-0900-000002000000}"/>
    <hyperlink ref="H5" r:id="rId4" xr:uid="{00000000-0004-0000-0900-000003000000}"/>
    <hyperlink ref="H6" r:id="rId5" xr:uid="{00000000-0004-0000-0900-000004000000}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outlinePr summaryBelow="0" summaryRight="0"/>
  </sheetPr>
  <dimension ref="A1:H37"/>
  <sheetViews>
    <sheetView workbookViewId="0"/>
  </sheetViews>
  <sheetFormatPr baseColWidth="10" defaultColWidth="12.6640625" defaultRowHeight="15.75" customHeight="1" x14ac:dyDescent="0.15"/>
  <sheetData>
    <row r="1" spans="1:8" ht="15.75" customHeight="1" x14ac:dyDescent="0.15">
      <c r="A1" s="28" t="s">
        <v>1709</v>
      </c>
    </row>
    <row r="2" spans="1:8" ht="15.75" customHeight="1" x14ac:dyDescent="0.15">
      <c r="F2" s="28">
        <v>33.58</v>
      </c>
      <c r="G2" s="28">
        <v>107.71</v>
      </c>
      <c r="H2" s="28">
        <f>F2*G2</f>
        <v>3616.9017999999996</v>
      </c>
    </row>
    <row r="3" spans="1:8" ht="15.75" customHeight="1" x14ac:dyDescent="0.15">
      <c r="F3" s="28">
        <v>33.520000000000003</v>
      </c>
      <c r="G3" s="28">
        <v>99.6</v>
      </c>
      <c r="H3" s="28">
        <f>F3*G3</f>
        <v>3338.5920000000001</v>
      </c>
    </row>
    <row r="4" spans="1:8" ht="15.75" customHeight="1" x14ac:dyDescent="0.15">
      <c r="F4" s="28">
        <v>33.49</v>
      </c>
      <c r="G4" s="28">
        <f>(H2-H3)/F4</f>
        <v>8.3102358913108247</v>
      </c>
      <c r="H4" s="28">
        <f>28.06-G4</f>
        <v>19.749764108689174</v>
      </c>
    </row>
    <row r="6" spans="1:8" ht="15.75" customHeight="1" x14ac:dyDescent="0.15">
      <c r="F6" s="28">
        <f>(1+((2923-2880)/2880)*1.2)*303.74</f>
        <v>309.18200833333333</v>
      </c>
    </row>
    <row r="28" spans="1:3" ht="15.75" customHeight="1" x14ac:dyDescent="0.15">
      <c r="B28" s="28" t="s">
        <v>1710</v>
      </c>
    </row>
    <row r="29" spans="1:3" ht="15.75" customHeight="1" x14ac:dyDescent="0.15">
      <c r="A29" s="28" t="s">
        <v>1711</v>
      </c>
      <c r="B29" s="28">
        <f>25/0.549</f>
        <v>45.537340619307827</v>
      </c>
      <c r="C29" s="28" t="s">
        <v>1712</v>
      </c>
    </row>
    <row r="30" spans="1:3" ht="15.75" customHeight="1" x14ac:dyDescent="0.15">
      <c r="A30" s="28" t="s">
        <v>1624</v>
      </c>
      <c r="B30" s="28">
        <f>5.4/0.678</f>
        <v>7.9646017699115044</v>
      </c>
      <c r="C30" s="28" t="s">
        <v>1712</v>
      </c>
    </row>
    <row r="32" spans="1:3" ht="15.75" customHeight="1" x14ac:dyDescent="0.15">
      <c r="A32" s="28">
        <v>721</v>
      </c>
      <c r="B32" s="28" t="s">
        <v>1713</v>
      </c>
      <c r="C32" s="28" t="str">
        <f ca="1">IFERROR(__xludf.DUMMYFUNCTION("AI(""What is the country"",B32)"),"=AI(""What is the country"",B32)")</f>
        <v>=AI("What is the country",B32)</v>
      </c>
    </row>
    <row r="33" spans="1:3" ht="15.75" customHeight="1" x14ac:dyDescent="0.15">
      <c r="A33" s="28">
        <v>1158</v>
      </c>
      <c r="B33" s="28" t="s">
        <v>1714</v>
      </c>
      <c r="C33" s="28" t="str">
        <f ca="1">IFERROR(__xludf.DUMMYFUNCTION("AI(""What is the country"",B33)"),"=AI(""What is the country"",B33)")</f>
        <v>=AI("What is the country",B33)</v>
      </c>
    </row>
    <row r="34" spans="1:3" ht="15.75" customHeight="1" x14ac:dyDescent="0.15">
      <c r="A34" s="28">
        <v>587</v>
      </c>
    </row>
    <row r="35" spans="1:3" ht="15.75" customHeight="1" x14ac:dyDescent="0.15">
      <c r="A35" s="28">
        <v>401</v>
      </c>
    </row>
    <row r="36" spans="1:3" ht="15.75" customHeight="1" x14ac:dyDescent="0.15">
      <c r="A36" s="28">
        <v>930</v>
      </c>
    </row>
    <row r="37" spans="1:3" ht="15.75" customHeight="1" x14ac:dyDescent="0.15">
      <c r="A37" s="28">
        <f>SUM(A32:A36)</f>
        <v>3797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outlinePr summaryBelow="0" summaryRight="0"/>
  </sheetPr>
  <dimension ref="A1:B7"/>
  <sheetViews>
    <sheetView workbookViewId="0"/>
  </sheetViews>
  <sheetFormatPr baseColWidth="10" defaultColWidth="12.6640625" defaultRowHeight="15.75" customHeight="1" x14ac:dyDescent="0.15"/>
  <sheetData>
    <row r="1" spans="1:2" ht="15.75" customHeight="1" x14ac:dyDescent="0.15">
      <c r="A1" s="28" t="s">
        <v>1715</v>
      </c>
      <c r="B1" s="28" t="s">
        <v>1716</v>
      </c>
    </row>
    <row r="2" spans="1:2" ht="15.75" customHeight="1" x14ac:dyDescent="0.15">
      <c r="A2" s="28" t="s">
        <v>1717</v>
      </c>
      <c r="B2" s="28" t="s">
        <v>1718</v>
      </c>
    </row>
    <row r="3" spans="1:2" ht="15.75" customHeight="1" x14ac:dyDescent="0.15">
      <c r="A3" s="28" t="s">
        <v>1719</v>
      </c>
      <c r="B3" s="28" t="s">
        <v>1720</v>
      </c>
    </row>
    <row r="4" spans="1:2" ht="15.75" customHeight="1" x14ac:dyDescent="0.15">
      <c r="A4" s="28" t="s">
        <v>1721</v>
      </c>
      <c r="B4" s="28" t="s">
        <v>1722</v>
      </c>
    </row>
    <row r="5" spans="1:2" ht="15.75" customHeight="1" x14ac:dyDescent="0.15">
      <c r="A5" s="28" t="s">
        <v>1723</v>
      </c>
      <c r="B5" s="28" t="s">
        <v>1724</v>
      </c>
    </row>
    <row r="6" spans="1:2" ht="15.75" customHeight="1" x14ac:dyDescent="0.15">
      <c r="A6" s="28" t="s">
        <v>1725</v>
      </c>
      <c r="B6" s="28" t="s">
        <v>1720</v>
      </c>
    </row>
    <row r="7" spans="1:2" ht="15.75" customHeight="1" x14ac:dyDescent="0.15">
      <c r="A7" s="28" t="s">
        <v>1726</v>
      </c>
      <c r="B7" s="28" t="s">
        <v>1727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filterMode="1">
    <outlinePr summaryBelow="0" summaryRight="0"/>
  </sheetPr>
  <dimension ref="A1:U1000"/>
  <sheetViews>
    <sheetView showGridLines="0" workbookViewId="0"/>
  </sheetViews>
  <sheetFormatPr baseColWidth="10" defaultColWidth="12.6640625" defaultRowHeight="15.75" customHeight="1" x14ac:dyDescent="0.15"/>
  <cols>
    <col min="1" max="1" width="8.33203125" customWidth="1"/>
    <col min="3" max="3" width="25.6640625" customWidth="1"/>
    <col min="4" max="4" width="25.5" customWidth="1"/>
  </cols>
  <sheetData>
    <row r="1" spans="1:21" ht="13" customHeight="1" x14ac:dyDescent="0.15">
      <c r="B1" s="32"/>
      <c r="C1" s="32"/>
      <c r="D1" s="33"/>
      <c r="E1" s="34"/>
      <c r="F1" s="34"/>
      <c r="G1" s="34"/>
      <c r="H1" s="34"/>
      <c r="I1" s="34"/>
      <c r="J1" s="34"/>
      <c r="K1" s="34"/>
      <c r="L1" s="34"/>
    </row>
    <row r="2" spans="1:21" ht="16" customHeight="1" x14ac:dyDescent="0.15">
      <c r="B2" s="224"/>
      <c r="C2" s="35" t="str">
        <f>HYPERLINK("https://theassets.ru","The Assets")</f>
        <v>The Assets</v>
      </c>
      <c r="D2" s="33"/>
      <c r="E2" s="34"/>
      <c r="F2" s="34"/>
      <c r="G2" s="34"/>
      <c r="H2" s="34"/>
      <c r="I2" s="34"/>
      <c r="J2" s="34"/>
      <c r="K2" s="34"/>
      <c r="L2" s="34"/>
    </row>
    <row r="3" spans="1:21" ht="16" customHeight="1" x14ac:dyDescent="0.2">
      <c r="B3" s="215"/>
      <c r="C3" s="36" t="s">
        <v>1728</v>
      </c>
    </row>
    <row r="4" spans="1:21" ht="16" customHeight="1" x14ac:dyDescent="0.15">
      <c r="B4" s="215"/>
      <c r="C4" s="37"/>
      <c r="D4" s="33"/>
      <c r="E4" s="34"/>
      <c r="F4" s="34"/>
      <c r="G4" s="34"/>
      <c r="H4" s="34"/>
      <c r="I4" s="34"/>
      <c r="J4" s="34"/>
      <c r="K4" s="34"/>
      <c r="L4" s="34"/>
    </row>
    <row r="5" spans="1:21" ht="13" customHeight="1" x14ac:dyDescent="0.15">
      <c r="B5" s="32"/>
      <c r="C5" s="32"/>
      <c r="D5" s="33"/>
      <c r="E5" s="34"/>
      <c r="F5" s="34"/>
      <c r="G5" s="34"/>
      <c r="H5" s="34"/>
      <c r="I5" s="34"/>
      <c r="J5" s="34"/>
      <c r="K5" s="34"/>
      <c r="L5" s="34"/>
    </row>
    <row r="6" spans="1:21" ht="28" customHeight="1" x14ac:dyDescent="0.15">
      <c r="A6" s="32"/>
      <c r="B6" s="38" t="s">
        <v>3</v>
      </c>
      <c r="C6" s="38" t="s">
        <v>340</v>
      </c>
      <c r="D6" s="39" t="s">
        <v>426</v>
      </c>
      <c r="E6" s="40" t="s">
        <v>1729</v>
      </c>
      <c r="F6" s="40" t="s">
        <v>1730</v>
      </c>
      <c r="G6" s="40" t="s">
        <v>1731</v>
      </c>
      <c r="H6" s="40" t="s">
        <v>1732</v>
      </c>
      <c r="I6" s="40" t="s">
        <v>1733</v>
      </c>
      <c r="J6" s="40" t="s">
        <v>1734</v>
      </c>
      <c r="K6" s="40" t="s">
        <v>1735</v>
      </c>
      <c r="L6" s="40" t="s">
        <v>1736</v>
      </c>
      <c r="M6" s="32"/>
      <c r="N6" s="32"/>
      <c r="O6" s="32"/>
      <c r="P6" s="32"/>
      <c r="Q6" s="32"/>
      <c r="R6" s="32"/>
      <c r="S6" s="32"/>
      <c r="T6" s="32"/>
      <c r="U6" s="32"/>
    </row>
    <row r="7" spans="1:21" ht="14" hidden="1" customHeight="1" x14ac:dyDescent="0.15">
      <c r="A7" s="28"/>
      <c r="B7" s="41" t="s">
        <v>441</v>
      </c>
      <c r="C7" s="41" t="s">
        <v>442</v>
      </c>
      <c r="D7" s="42" t="s">
        <v>443</v>
      </c>
      <c r="E7" s="43">
        <v>2.4</v>
      </c>
      <c r="F7" s="43" t="s">
        <v>1737</v>
      </c>
      <c r="G7" s="43" t="s">
        <v>1737</v>
      </c>
      <c r="H7" s="44">
        <v>0</v>
      </c>
      <c r="I7" s="44">
        <v>0.28999999999999998</v>
      </c>
      <c r="J7" s="44">
        <v>0.23200000000000001</v>
      </c>
      <c r="K7" s="44">
        <v>0.99299999999999999</v>
      </c>
      <c r="L7" s="44">
        <v>4.2779999999999996</v>
      </c>
    </row>
    <row r="8" spans="1:21" ht="14" hidden="1" customHeight="1" x14ac:dyDescent="0.15">
      <c r="A8" s="28"/>
      <c r="B8" s="41" t="s">
        <v>1738</v>
      </c>
      <c r="C8" s="41" t="s">
        <v>1739</v>
      </c>
      <c r="D8" s="42" t="s">
        <v>443</v>
      </c>
      <c r="E8" s="43">
        <v>0.2</v>
      </c>
      <c r="F8" s="43" t="s">
        <v>1737</v>
      </c>
      <c r="G8" s="43" t="s">
        <v>1737</v>
      </c>
      <c r="H8" s="44">
        <v>0</v>
      </c>
      <c r="I8" s="44">
        <v>0.44700000000000001</v>
      </c>
      <c r="J8" s="44">
        <v>0.33</v>
      </c>
      <c r="K8" s="44">
        <v>0.94399999999999995</v>
      </c>
      <c r="L8" s="44">
        <v>2.8570000000000002</v>
      </c>
    </row>
    <row r="9" spans="1:21" ht="14" hidden="1" customHeight="1" x14ac:dyDescent="0.15">
      <c r="A9" s="28"/>
      <c r="B9" s="41" t="s">
        <v>444</v>
      </c>
      <c r="C9" s="41" t="s">
        <v>445</v>
      </c>
      <c r="D9" s="42" t="s">
        <v>443</v>
      </c>
      <c r="E9" s="43">
        <v>0.3</v>
      </c>
      <c r="F9" s="43" t="s">
        <v>1737</v>
      </c>
      <c r="G9" s="43" t="s">
        <v>1737</v>
      </c>
      <c r="H9" s="44">
        <v>0</v>
      </c>
      <c r="I9" s="44">
        <v>0.45200000000000001</v>
      </c>
      <c r="J9" s="44">
        <v>0.34499999999999997</v>
      </c>
      <c r="K9" s="44">
        <v>0.82399999999999995</v>
      </c>
      <c r="L9" s="44">
        <v>2.3860000000000001</v>
      </c>
    </row>
    <row r="10" spans="1:21" ht="14" hidden="1" customHeight="1" x14ac:dyDescent="0.15">
      <c r="A10" s="28"/>
      <c r="B10" s="41" t="s">
        <v>446</v>
      </c>
      <c r="C10" s="41" t="s">
        <v>447</v>
      </c>
      <c r="D10" s="42" t="s">
        <v>448</v>
      </c>
      <c r="E10" s="43">
        <v>0.8</v>
      </c>
      <c r="F10" s="43">
        <v>2</v>
      </c>
      <c r="G10" s="43">
        <v>2</v>
      </c>
      <c r="H10" s="44">
        <v>0.94099999999999995</v>
      </c>
      <c r="I10" s="44">
        <v>0.498</v>
      </c>
      <c r="J10" s="44">
        <v>0.29199999999999998</v>
      </c>
      <c r="K10" s="44">
        <v>0.71799999999999997</v>
      </c>
      <c r="L10" s="44">
        <v>2.4550000000000001</v>
      </c>
    </row>
    <row r="11" spans="1:21" ht="14" hidden="1" customHeight="1" x14ac:dyDescent="0.15">
      <c r="A11" s="28"/>
      <c r="B11" s="41" t="s">
        <v>449</v>
      </c>
      <c r="C11" s="41" t="s">
        <v>450</v>
      </c>
      <c r="D11" s="42" t="s">
        <v>451</v>
      </c>
      <c r="E11" s="43">
        <v>0.6</v>
      </c>
      <c r="F11" s="43">
        <v>2.6</v>
      </c>
      <c r="G11" s="43">
        <v>2.6</v>
      </c>
      <c r="H11" s="44">
        <v>0.72399999999999998</v>
      </c>
      <c r="I11" s="44">
        <v>0.29799999999999999</v>
      </c>
      <c r="J11" s="44">
        <v>0.47299999999999998</v>
      </c>
      <c r="K11" s="44">
        <v>0.68</v>
      </c>
      <c r="L11" s="44">
        <v>1.44</v>
      </c>
    </row>
    <row r="12" spans="1:21" ht="14" hidden="1" customHeight="1" x14ac:dyDescent="0.15">
      <c r="A12" s="28"/>
      <c r="B12" s="41" t="s">
        <v>452</v>
      </c>
      <c r="C12" s="41" t="s">
        <v>453</v>
      </c>
      <c r="D12" s="42" t="s">
        <v>454</v>
      </c>
      <c r="E12" s="43">
        <v>1</v>
      </c>
      <c r="F12" s="43" t="s">
        <v>1737</v>
      </c>
      <c r="G12" s="43" t="s">
        <v>1737</v>
      </c>
      <c r="H12" s="44">
        <v>0</v>
      </c>
      <c r="I12" s="44">
        <v>0.39800000000000002</v>
      </c>
      <c r="J12" s="44">
        <v>0.3</v>
      </c>
      <c r="K12" s="44">
        <v>0.67700000000000005</v>
      </c>
      <c r="L12" s="44">
        <v>2.254</v>
      </c>
    </row>
    <row r="13" spans="1:21" ht="14" hidden="1" customHeight="1" x14ac:dyDescent="0.15">
      <c r="A13" s="28"/>
      <c r="B13" s="41" t="s">
        <v>458</v>
      </c>
      <c r="C13" s="41" t="s">
        <v>459</v>
      </c>
      <c r="D13" s="42" t="s">
        <v>460</v>
      </c>
      <c r="E13" s="43" t="s">
        <v>1737</v>
      </c>
      <c r="F13" s="43">
        <v>1.3</v>
      </c>
      <c r="G13" s="43">
        <v>1.3</v>
      </c>
      <c r="H13" s="44">
        <v>0.85399999999999998</v>
      </c>
      <c r="I13" s="44">
        <v>0.65500000000000003</v>
      </c>
      <c r="J13" s="44">
        <v>0.497</v>
      </c>
      <c r="K13" s="44">
        <v>0.57899999999999996</v>
      </c>
      <c r="L13" s="44">
        <v>1.1659999999999999</v>
      </c>
    </row>
    <row r="14" spans="1:21" ht="14" hidden="1" customHeight="1" x14ac:dyDescent="0.15">
      <c r="A14" s="28"/>
      <c r="B14" s="41" t="s">
        <v>463</v>
      </c>
      <c r="C14" s="41" t="s">
        <v>464</v>
      </c>
      <c r="D14" s="42" t="s">
        <v>465</v>
      </c>
      <c r="E14" s="43">
        <v>1</v>
      </c>
      <c r="F14" s="43" t="s">
        <v>1737</v>
      </c>
      <c r="G14" s="43" t="s">
        <v>1737</v>
      </c>
      <c r="H14" s="44">
        <v>0</v>
      </c>
      <c r="I14" s="44">
        <v>0.48499999999999999</v>
      </c>
      <c r="J14" s="44">
        <v>0.19900000000000001</v>
      </c>
      <c r="K14" s="44">
        <v>0.56499999999999995</v>
      </c>
      <c r="L14" s="44">
        <v>2.835</v>
      </c>
    </row>
    <row r="15" spans="1:21" ht="14" hidden="1" customHeight="1" x14ac:dyDescent="0.15">
      <c r="A15" s="28"/>
      <c r="B15" s="41" t="s">
        <v>467</v>
      </c>
      <c r="C15" s="41" t="s">
        <v>468</v>
      </c>
      <c r="D15" s="42" t="s">
        <v>469</v>
      </c>
      <c r="E15" s="43">
        <v>1</v>
      </c>
      <c r="F15" s="43">
        <v>0.8</v>
      </c>
      <c r="G15" s="43">
        <v>0.8</v>
      </c>
      <c r="H15" s="44">
        <v>0.70499999999999996</v>
      </c>
      <c r="I15" s="44">
        <v>0.33700000000000002</v>
      </c>
      <c r="J15" s="44">
        <v>0.30099999999999999</v>
      </c>
      <c r="K15" s="44">
        <v>0.55900000000000005</v>
      </c>
      <c r="L15" s="44">
        <v>1.859</v>
      </c>
    </row>
    <row r="16" spans="1:21" ht="14" hidden="1" customHeight="1" x14ac:dyDescent="0.15">
      <c r="A16" s="28"/>
      <c r="B16" s="41" t="s">
        <v>470</v>
      </c>
      <c r="C16" s="41" t="s">
        <v>471</v>
      </c>
      <c r="D16" s="42" t="s">
        <v>448</v>
      </c>
      <c r="E16" s="43">
        <v>0.7</v>
      </c>
      <c r="F16" s="43">
        <v>0.8</v>
      </c>
      <c r="G16" s="43">
        <v>0.8</v>
      </c>
      <c r="H16" s="44">
        <v>0.73</v>
      </c>
      <c r="I16" s="44">
        <v>0.32700000000000001</v>
      </c>
      <c r="J16" s="44">
        <v>0.21</v>
      </c>
      <c r="K16" s="44">
        <v>0.54900000000000004</v>
      </c>
      <c r="L16" s="44">
        <v>2.6139999999999999</v>
      </c>
    </row>
    <row r="17" spans="1:12" ht="14" hidden="1" customHeight="1" x14ac:dyDescent="0.15">
      <c r="A17" s="28"/>
      <c r="B17" s="41" t="s">
        <v>472</v>
      </c>
      <c r="C17" s="41" t="s">
        <v>473</v>
      </c>
      <c r="D17" s="42" t="s">
        <v>465</v>
      </c>
      <c r="E17" s="43">
        <v>0.5</v>
      </c>
      <c r="F17" s="43">
        <v>1.3</v>
      </c>
      <c r="G17" s="43">
        <v>1.3</v>
      </c>
      <c r="H17" s="44">
        <v>0.81499999999999995</v>
      </c>
      <c r="I17" s="44">
        <v>0.66700000000000004</v>
      </c>
      <c r="J17" s="44">
        <v>0.52600000000000002</v>
      </c>
      <c r="K17" s="44">
        <v>0.53700000000000003</v>
      </c>
      <c r="L17" s="44">
        <v>1.02</v>
      </c>
    </row>
    <row r="18" spans="1:12" ht="14" hidden="1" customHeight="1" x14ac:dyDescent="0.15">
      <c r="A18" s="28"/>
      <c r="B18" s="41" t="s">
        <v>477</v>
      </c>
      <c r="C18" s="41" t="s">
        <v>478</v>
      </c>
      <c r="D18" s="42" t="s">
        <v>451</v>
      </c>
      <c r="E18" s="43">
        <v>2.1</v>
      </c>
      <c r="F18" s="43">
        <v>0.5</v>
      </c>
      <c r="G18" s="43">
        <v>0.5</v>
      </c>
      <c r="H18" s="44">
        <v>0.72099999999999997</v>
      </c>
      <c r="I18" s="44">
        <v>0.48399999999999999</v>
      </c>
      <c r="J18" s="44">
        <v>0.32100000000000001</v>
      </c>
      <c r="K18" s="44">
        <v>0.53500000000000003</v>
      </c>
      <c r="L18" s="44">
        <v>1.6659999999999999</v>
      </c>
    </row>
    <row r="19" spans="1:12" ht="14" hidden="1" customHeight="1" x14ac:dyDescent="0.15">
      <c r="A19" s="28"/>
      <c r="B19" s="41" t="s">
        <v>479</v>
      </c>
      <c r="C19" s="41" t="s">
        <v>480</v>
      </c>
      <c r="D19" s="42" t="s">
        <v>443</v>
      </c>
      <c r="E19" s="43">
        <v>3.1</v>
      </c>
      <c r="F19" s="43" t="s">
        <v>1737</v>
      </c>
      <c r="G19" s="43" t="s">
        <v>1737</v>
      </c>
      <c r="H19" s="44">
        <v>0</v>
      </c>
      <c r="I19" s="44">
        <v>0.35</v>
      </c>
      <c r="J19" s="44">
        <v>0.254</v>
      </c>
      <c r="K19" s="44">
        <v>0.53100000000000003</v>
      </c>
      <c r="L19" s="44">
        <v>2.0910000000000002</v>
      </c>
    </row>
    <row r="20" spans="1:12" ht="14" hidden="1" customHeight="1" x14ac:dyDescent="0.15">
      <c r="A20" s="28"/>
      <c r="B20" s="41" t="s">
        <v>481</v>
      </c>
      <c r="C20" s="41" t="s">
        <v>482</v>
      </c>
      <c r="D20" s="42" t="s">
        <v>465</v>
      </c>
      <c r="E20" s="43">
        <v>1.3</v>
      </c>
      <c r="F20" s="43" t="s">
        <v>1737</v>
      </c>
      <c r="G20" s="43" t="s">
        <v>1737</v>
      </c>
      <c r="H20" s="44">
        <v>0</v>
      </c>
      <c r="I20" s="44">
        <v>0.753</v>
      </c>
      <c r="J20" s="44">
        <v>0.218</v>
      </c>
      <c r="K20" s="44">
        <v>0.52400000000000002</v>
      </c>
      <c r="L20" s="44">
        <v>2.4039999999999999</v>
      </c>
    </row>
    <row r="21" spans="1:12" ht="14" hidden="1" customHeight="1" x14ac:dyDescent="0.15">
      <c r="A21" s="28"/>
      <c r="B21" s="41" t="s">
        <v>1740</v>
      </c>
      <c r="C21" s="41" t="s">
        <v>1741</v>
      </c>
      <c r="D21" s="42" t="s">
        <v>465</v>
      </c>
      <c r="E21" s="43">
        <v>2.2000000000000002</v>
      </c>
      <c r="F21" s="43" t="s">
        <v>1737</v>
      </c>
      <c r="G21" s="43" t="s">
        <v>1737</v>
      </c>
      <c r="H21" s="44">
        <v>0</v>
      </c>
      <c r="I21" s="44">
        <v>0.625</v>
      </c>
      <c r="J21" s="44">
        <v>0.25800000000000001</v>
      </c>
      <c r="K21" s="44">
        <v>0.51300000000000001</v>
      </c>
      <c r="L21" s="44">
        <v>1.9870000000000001</v>
      </c>
    </row>
    <row r="22" spans="1:12" ht="14" hidden="1" customHeight="1" x14ac:dyDescent="0.15">
      <c r="A22" s="28"/>
      <c r="B22" s="41" t="s">
        <v>483</v>
      </c>
      <c r="C22" s="41" t="s">
        <v>484</v>
      </c>
      <c r="D22" s="42" t="s">
        <v>448</v>
      </c>
      <c r="E22" s="43">
        <v>9.8000000000000007</v>
      </c>
      <c r="F22" s="43">
        <v>0.5</v>
      </c>
      <c r="G22" s="43">
        <v>0.5</v>
      </c>
      <c r="H22" s="44">
        <v>0.82299999999999995</v>
      </c>
      <c r="I22" s="44">
        <v>0.50600000000000001</v>
      </c>
      <c r="J22" s="44">
        <v>0.36499999999999999</v>
      </c>
      <c r="K22" s="44">
        <v>0.51</v>
      </c>
      <c r="L22" s="44">
        <v>1.3979999999999999</v>
      </c>
    </row>
    <row r="23" spans="1:12" ht="14" hidden="1" customHeight="1" x14ac:dyDescent="0.15">
      <c r="A23" s="28"/>
      <c r="B23" s="41" t="s">
        <v>485</v>
      </c>
      <c r="C23" s="41" t="s">
        <v>486</v>
      </c>
      <c r="D23" s="42" t="s">
        <v>469</v>
      </c>
      <c r="E23" s="43">
        <v>0.7</v>
      </c>
      <c r="F23" s="43">
        <v>0.5</v>
      </c>
      <c r="G23" s="43">
        <v>0.5</v>
      </c>
      <c r="H23" s="44">
        <v>0.67</v>
      </c>
      <c r="I23" s="44">
        <v>0.35899999999999999</v>
      </c>
      <c r="J23" s="44">
        <v>0.33900000000000002</v>
      </c>
      <c r="K23" s="44">
        <v>0.50700000000000001</v>
      </c>
      <c r="L23" s="44">
        <v>1.498</v>
      </c>
    </row>
    <row r="24" spans="1:12" ht="14" hidden="1" customHeight="1" x14ac:dyDescent="0.15">
      <c r="A24" s="28"/>
      <c r="B24" s="41" t="s">
        <v>487</v>
      </c>
      <c r="C24" s="41" t="s">
        <v>488</v>
      </c>
      <c r="D24" s="42" t="s">
        <v>451</v>
      </c>
      <c r="E24" s="43">
        <v>0.2</v>
      </c>
      <c r="F24" s="43">
        <v>1.1000000000000001</v>
      </c>
      <c r="G24" s="43">
        <v>1.1000000000000001</v>
      </c>
      <c r="H24" s="44">
        <v>0.72</v>
      </c>
      <c r="I24" s="44">
        <v>0.51500000000000001</v>
      </c>
      <c r="J24" s="44">
        <v>0.53400000000000003</v>
      </c>
      <c r="K24" s="44">
        <v>0.50700000000000001</v>
      </c>
      <c r="L24" s="44">
        <v>0.94799999999999995</v>
      </c>
    </row>
    <row r="25" spans="1:12" ht="14" hidden="1" customHeight="1" x14ac:dyDescent="0.15">
      <c r="A25" s="28"/>
      <c r="B25" s="41" t="s">
        <v>489</v>
      </c>
      <c r="C25" s="41" t="s">
        <v>490</v>
      </c>
      <c r="D25" s="42" t="s">
        <v>448</v>
      </c>
      <c r="E25" s="43">
        <v>1.1000000000000001</v>
      </c>
      <c r="F25" s="43">
        <v>1.2</v>
      </c>
      <c r="G25" s="43">
        <v>1.2</v>
      </c>
      <c r="H25" s="44">
        <v>0.71899999999999997</v>
      </c>
      <c r="I25" s="44">
        <v>0.38600000000000001</v>
      </c>
      <c r="J25" s="44">
        <v>0.35399999999999998</v>
      </c>
      <c r="K25" s="44">
        <v>0.503</v>
      </c>
      <c r="L25" s="44">
        <v>1.423</v>
      </c>
    </row>
    <row r="26" spans="1:12" ht="28" hidden="1" customHeight="1" x14ac:dyDescent="0.15">
      <c r="A26" s="28"/>
      <c r="B26" s="41" t="s">
        <v>491</v>
      </c>
      <c r="C26" s="41" t="s">
        <v>492</v>
      </c>
      <c r="D26" s="42" t="s">
        <v>493</v>
      </c>
      <c r="E26" s="43">
        <v>0.1</v>
      </c>
      <c r="F26" s="43">
        <v>1</v>
      </c>
      <c r="G26" s="43">
        <v>1</v>
      </c>
      <c r="H26" s="44">
        <v>0.73799999999999999</v>
      </c>
      <c r="I26" s="44">
        <v>0.53200000000000003</v>
      </c>
      <c r="J26" s="44">
        <v>0.435</v>
      </c>
      <c r="K26" s="44">
        <v>0.498</v>
      </c>
      <c r="L26" s="44">
        <v>1.1459999999999999</v>
      </c>
    </row>
    <row r="27" spans="1:12" ht="14" hidden="1" customHeight="1" x14ac:dyDescent="0.15">
      <c r="A27" s="28"/>
      <c r="B27" s="41" t="s">
        <v>494</v>
      </c>
      <c r="C27" s="41" t="s">
        <v>495</v>
      </c>
      <c r="D27" s="42" t="s">
        <v>469</v>
      </c>
      <c r="E27" s="43">
        <v>0.7</v>
      </c>
      <c r="F27" s="43">
        <v>0.2</v>
      </c>
      <c r="G27" s="43">
        <v>0.2</v>
      </c>
      <c r="H27" s="44">
        <v>0.627</v>
      </c>
      <c r="I27" s="44">
        <v>0.26200000000000001</v>
      </c>
      <c r="J27" s="44">
        <v>0.216</v>
      </c>
      <c r="K27" s="44">
        <v>0.47699999999999998</v>
      </c>
      <c r="L27" s="44">
        <v>2.2069999999999999</v>
      </c>
    </row>
    <row r="28" spans="1:12" ht="14" hidden="1" customHeight="1" x14ac:dyDescent="0.15">
      <c r="A28" s="28"/>
      <c r="B28" s="41" t="s">
        <v>496</v>
      </c>
      <c r="C28" s="41" t="s">
        <v>497</v>
      </c>
      <c r="D28" s="42" t="s">
        <v>498</v>
      </c>
      <c r="E28" s="43">
        <v>0.6</v>
      </c>
      <c r="F28" s="43" t="s">
        <v>1737</v>
      </c>
      <c r="G28" s="43" t="s">
        <v>1737</v>
      </c>
      <c r="H28" s="44">
        <v>0</v>
      </c>
      <c r="I28" s="44">
        <v>0.26900000000000002</v>
      </c>
      <c r="J28" s="44">
        <v>0.21099999999999999</v>
      </c>
      <c r="K28" s="44">
        <v>0.47499999999999998</v>
      </c>
      <c r="L28" s="44">
        <v>2.2480000000000002</v>
      </c>
    </row>
    <row r="29" spans="1:12" ht="14" hidden="1" customHeight="1" x14ac:dyDescent="0.15">
      <c r="A29" s="28"/>
      <c r="B29" s="41" t="s">
        <v>499</v>
      </c>
      <c r="C29" s="41" t="s">
        <v>500</v>
      </c>
      <c r="D29" s="42" t="s">
        <v>501</v>
      </c>
      <c r="E29" s="43">
        <v>1.1000000000000001</v>
      </c>
      <c r="F29" s="43">
        <v>0.5</v>
      </c>
      <c r="G29" s="43">
        <v>0.5</v>
      </c>
      <c r="H29" s="44">
        <v>0.628</v>
      </c>
      <c r="I29" s="44">
        <v>0.19600000000000001</v>
      </c>
      <c r="J29" s="44">
        <v>0.18099999999999999</v>
      </c>
      <c r="K29" s="44">
        <v>0.47199999999999998</v>
      </c>
      <c r="L29" s="44">
        <v>2.6080000000000001</v>
      </c>
    </row>
    <row r="30" spans="1:12" ht="14" hidden="1" customHeight="1" x14ac:dyDescent="0.15">
      <c r="A30" s="28"/>
      <c r="B30" s="41" t="s">
        <v>502</v>
      </c>
      <c r="C30" s="41" t="s">
        <v>503</v>
      </c>
      <c r="D30" s="42" t="s">
        <v>469</v>
      </c>
      <c r="E30" s="43">
        <v>0.9</v>
      </c>
      <c r="F30" s="43">
        <v>0.3</v>
      </c>
      <c r="G30" s="43">
        <v>0.3</v>
      </c>
      <c r="H30" s="44">
        <v>0.66400000000000003</v>
      </c>
      <c r="I30" s="44">
        <v>0.33700000000000002</v>
      </c>
      <c r="J30" s="44">
        <v>0.36199999999999999</v>
      </c>
      <c r="K30" s="44">
        <v>0.47099999999999997</v>
      </c>
      <c r="L30" s="44">
        <v>1.3029999999999999</v>
      </c>
    </row>
    <row r="31" spans="1:12" ht="14" hidden="1" customHeight="1" x14ac:dyDescent="0.15">
      <c r="A31" s="28"/>
      <c r="B31" s="41" t="s">
        <v>504</v>
      </c>
      <c r="C31" s="41" t="s">
        <v>505</v>
      </c>
      <c r="D31" s="42" t="s">
        <v>506</v>
      </c>
      <c r="E31" s="43">
        <v>0.8</v>
      </c>
      <c r="F31" s="43" t="s">
        <v>1737</v>
      </c>
      <c r="G31" s="43" t="s">
        <v>1737</v>
      </c>
      <c r="H31" s="44">
        <v>0</v>
      </c>
      <c r="I31" s="44">
        <v>0.39900000000000002</v>
      </c>
      <c r="J31" s="44">
        <v>0.27800000000000002</v>
      </c>
      <c r="K31" s="44">
        <v>0.45700000000000002</v>
      </c>
      <c r="L31" s="44">
        <v>1.6459999999999999</v>
      </c>
    </row>
    <row r="32" spans="1:12" ht="14" hidden="1" customHeight="1" x14ac:dyDescent="0.15">
      <c r="A32" s="28"/>
      <c r="B32" s="41" t="s">
        <v>507</v>
      </c>
      <c r="C32" s="41" t="s">
        <v>508</v>
      </c>
      <c r="D32" s="42" t="s">
        <v>443</v>
      </c>
      <c r="E32" s="43">
        <v>0.1</v>
      </c>
      <c r="F32" s="43">
        <v>4.4000000000000004</v>
      </c>
      <c r="G32" s="43">
        <v>4.3</v>
      </c>
      <c r="H32" s="44">
        <v>0</v>
      </c>
      <c r="I32" s="44">
        <v>0.49</v>
      </c>
      <c r="J32" s="44">
        <v>0.40100000000000002</v>
      </c>
      <c r="K32" s="44">
        <v>0.45400000000000001</v>
      </c>
      <c r="L32" s="44">
        <v>1.1339999999999999</v>
      </c>
    </row>
    <row r="33" spans="1:12" ht="14" hidden="1" customHeight="1" x14ac:dyDescent="0.15">
      <c r="A33" s="28"/>
      <c r="B33" s="41" t="s">
        <v>509</v>
      </c>
      <c r="C33" s="41" t="s">
        <v>510</v>
      </c>
      <c r="D33" s="42" t="s">
        <v>501</v>
      </c>
      <c r="E33" s="43">
        <v>0.8</v>
      </c>
      <c r="F33" s="43">
        <v>0.4</v>
      </c>
      <c r="G33" s="43">
        <v>0.4</v>
      </c>
      <c r="H33" s="44">
        <v>0.70899999999999996</v>
      </c>
      <c r="I33" s="44">
        <v>0.28199999999999997</v>
      </c>
      <c r="J33" s="44">
        <v>0.23599999999999999</v>
      </c>
      <c r="K33" s="44">
        <v>0.44700000000000001</v>
      </c>
      <c r="L33" s="44">
        <v>1.8959999999999999</v>
      </c>
    </row>
    <row r="34" spans="1:12" ht="14" hidden="1" customHeight="1" x14ac:dyDescent="0.15">
      <c r="A34" s="28"/>
      <c r="B34" s="41" t="s">
        <v>511</v>
      </c>
      <c r="C34" s="41" t="s">
        <v>512</v>
      </c>
      <c r="D34" s="42" t="s">
        <v>513</v>
      </c>
      <c r="E34" s="43">
        <v>0.5</v>
      </c>
      <c r="F34" s="43">
        <v>1.7</v>
      </c>
      <c r="G34" s="43">
        <v>1.6</v>
      </c>
      <c r="H34" s="44">
        <v>0.86399999999999999</v>
      </c>
      <c r="I34" s="44">
        <v>0.49</v>
      </c>
      <c r="J34" s="44">
        <v>0.41</v>
      </c>
      <c r="K34" s="44">
        <v>0.44700000000000001</v>
      </c>
      <c r="L34" s="44">
        <v>1.0900000000000001</v>
      </c>
    </row>
    <row r="35" spans="1:12" ht="14" hidden="1" customHeight="1" x14ac:dyDescent="0.15">
      <c r="A35" s="28"/>
      <c r="B35" s="41" t="s">
        <v>514</v>
      </c>
      <c r="C35" s="41" t="s">
        <v>515</v>
      </c>
      <c r="D35" s="42" t="s">
        <v>465</v>
      </c>
      <c r="E35" s="43">
        <v>1.5</v>
      </c>
      <c r="F35" s="43">
        <v>1.4</v>
      </c>
      <c r="G35" s="43">
        <v>1.4</v>
      </c>
      <c r="H35" s="44">
        <v>0</v>
      </c>
      <c r="I35" s="44">
        <v>0.57399999999999995</v>
      </c>
      <c r="J35" s="44">
        <v>0.48099999999999998</v>
      </c>
      <c r="K35" s="44">
        <v>0.443</v>
      </c>
      <c r="L35" s="44">
        <v>0.92100000000000004</v>
      </c>
    </row>
    <row r="36" spans="1:12" ht="14" hidden="1" customHeight="1" x14ac:dyDescent="0.15">
      <c r="A36" s="28"/>
      <c r="B36" s="41" t="s">
        <v>517</v>
      </c>
      <c r="C36" s="41" t="s">
        <v>518</v>
      </c>
      <c r="D36" s="42" t="s">
        <v>506</v>
      </c>
      <c r="E36" s="43">
        <v>0.6</v>
      </c>
      <c r="F36" s="43" t="s">
        <v>1737</v>
      </c>
      <c r="G36" s="43" t="s">
        <v>1737</v>
      </c>
      <c r="H36" s="44">
        <v>0</v>
      </c>
      <c r="I36" s="44">
        <v>0.41499999999999998</v>
      </c>
      <c r="J36" s="44">
        <v>0.27100000000000002</v>
      </c>
      <c r="K36" s="44">
        <v>0.439</v>
      </c>
      <c r="L36" s="44">
        <v>1.6180000000000001</v>
      </c>
    </row>
    <row r="37" spans="1:12" ht="14" hidden="1" customHeight="1" x14ac:dyDescent="0.15">
      <c r="A37" s="28"/>
      <c r="B37" s="41" t="s">
        <v>1742</v>
      </c>
      <c r="C37" s="41" t="s">
        <v>1743</v>
      </c>
      <c r="D37" s="42" t="s">
        <v>513</v>
      </c>
      <c r="E37" s="43">
        <v>0.4</v>
      </c>
      <c r="F37" s="43">
        <v>1</v>
      </c>
      <c r="G37" s="43">
        <v>0.9</v>
      </c>
      <c r="H37" s="44">
        <v>0.84499999999999997</v>
      </c>
      <c r="I37" s="44">
        <v>-1E-3</v>
      </c>
      <c r="J37" s="44">
        <v>-0.32400000000000001</v>
      </c>
      <c r="K37" s="44">
        <v>0.42399999999999999</v>
      </c>
      <c r="L37" s="43" t="s">
        <v>1737</v>
      </c>
    </row>
    <row r="38" spans="1:12" ht="14" hidden="1" customHeight="1" x14ac:dyDescent="0.15">
      <c r="A38" s="28"/>
      <c r="B38" s="41" t="s">
        <v>1744</v>
      </c>
      <c r="C38" s="41" t="s">
        <v>1745</v>
      </c>
      <c r="D38" s="42" t="s">
        <v>590</v>
      </c>
      <c r="E38" s="43">
        <v>1.1000000000000001</v>
      </c>
      <c r="F38" s="43">
        <v>1.9</v>
      </c>
      <c r="G38" s="43">
        <v>1.9</v>
      </c>
      <c r="H38" s="44">
        <v>0.55900000000000005</v>
      </c>
      <c r="I38" s="44">
        <v>0.17799999999999999</v>
      </c>
      <c r="J38" s="44">
        <v>2.1999999999999999E-2</v>
      </c>
      <c r="K38" s="44">
        <v>0.42399999999999999</v>
      </c>
      <c r="L38" s="44">
        <v>19.591999999999999</v>
      </c>
    </row>
    <row r="39" spans="1:12" ht="28" hidden="1" customHeight="1" x14ac:dyDescent="0.15">
      <c r="A39" s="28"/>
      <c r="B39" s="41" t="s">
        <v>519</v>
      </c>
      <c r="C39" s="41" t="s">
        <v>519</v>
      </c>
      <c r="D39" s="42" t="s">
        <v>493</v>
      </c>
      <c r="E39" s="43" t="s">
        <v>1737</v>
      </c>
      <c r="F39" s="43">
        <v>2.2999999999999998</v>
      </c>
      <c r="G39" s="43">
        <v>2.2999999999999998</v>
      </c>
      <c r="H39" s="44">
        <v>0.81100000000000005</v>
      </c>
      <c r="I39" s="44">
        <v>0.48599999999999999</v>
      </c>
      <c r="J39" s="44">
        <v>0.36099999999999999</v>
      </c>
      <c r="K39" s="44">
        <v>0.42299999999999999</v>
      </c>
      <c r="L39" s="44">
        <v>1.1739999999999999</v>
      </c>
    </row>
    <row r="40" spans="1:12" ht="14" hidden="1" customHeight="1" x14ac:dyDescent="0.15">
      <c r="A40" s="28"/>
      <c r="B40" s="41" t="s">
        <v>1511</v>
      </c>
      <c r="C40" s="41" t="s">
        <v>1746</v>
      </c>
      <c r="D40" s="42" t="s">
        <v>587</v>
      </c>
      <c r="E40" s="43" t="s">
        <v>1737</v>
      </c>
      <c r="F40" s="43">
        <v>0.8</v>
      </c>
      <c r="G40" s="43">
        <v>0.8</v>
      </c>
      <c r="H40" s="44">
        <v>0.90100000000000002</v>
      </c>
      <c r="I40" s="44">
        <v>0.105</v>
      </c>
      <c r="J40" s="44">
        <v>6.6000000000000003E-2</v>
      </c>
      <c r="K40" s="44">
        <v>0.41699999999999998</v>
      </c>
      <c r="L40" s="44">
        <v>6.2939999999999996</v>
      </c>
    </row>
    <row r="41" spans="1:12" ht="14" hidden="1" customHeight="1" x14ac:dyDescent="0.15">
      <c r="A41" s="28"/>
      <c r="B41" s="41" t="s">
        <v>520</v>
      </c>
      <c r="C41" s="41" t="s">
        <v>521</v>
      </c>
      <c r="D41" s="42" t="s">
        <v>522</v>
      </c>
      <c r="E41" s="43">
        <v>1.8</v>
      </c>
      <c r="F41" s="43">
        <v>1.6</v>
      </c>
      <c r="G41" s="43">
        <v>1.4</v>
      </c>
      <c r="H41" s="44">
        <v>0.55300000000000005</v>
      </c>
      <c r="I41" s="44">
        <v>0.16900000000000001</v>
      </c>
      <c r="J41" s="44">
        <v>0.11600000000000001</v>
      </c>
      <c r="K41" s="44">
        <v>0.41599999999999998</v>
      </c>
      <c r="L41" s="44">
        <v>3.58</v>
      </c>
    </row>
    <row r="42" spans="1:12" ht="14" hidden="1" customHeight="1" x14ac:dyDescent="0.15">
      <c r="A42" s="28"/>
      <c r="B42" s="41" t="s">
        <v>523</v>
      </c>
      <c r="C42" s="41" t="s">
        <v>524</v>
      </c>
      <c r="D42" s="42" t="s">
        <v>506</v>
      </c>
      <c r="E42" s="43">
        <v>1.1000000000000001</v>
      </c>
      <c r="F42" s="43" t="s">
        <v>1737</v>
      </c>
      <c r="G42" s="43" t="s">
        <v>1737</v>
      </c>
      <c r="H42" s="44">
        <v>0</v>
      </c>
      <c r="I42" s="44">
        <v>0.40699999999999997</v>
      </c>
      <c r="J42" s="44">
        <v>0.30099999999999999</v>
      </c>
      <c r="K42" s="44">
        <v>0.41399999999999998</v>
      </c>
      <c r="L42" s="44">
        <v>1.3740000000000001</v>
      </c>
    </row>
    <row r="43" spans="1:12" ht="28" hidden="1" customHeight="1" x14ac:dyDescent="0.15">
      <c r="A43" s="28"/>
      <c r="B43" s="41" t="s">
        <v>1747</v>
      </c>
      <c r="C43" s="41" t="s">
        <v>1748</v>
      </c>
      <c r="D43" s="42" t="s">
        <v>793</v>
      </c>
      <c r="E43" s="43">
        <v>1.4</v>
      </c>
      <c r="F43" s="43">
        <v>1</v>
      </c>
      <c r="G43" s="43">
        <v>1</v>
      </c>
      <c r="H43" s="44">
        <v>0.8</v>
      </c>
      <c r="I43" s="44">
        <v>0.46500000000000002</v>
      </c>
      <c r="J43" s="44">
        <v>0.33900000000000002</v>
      </c>
      <c r="K43" s="44">
        <v>0.41</v>
      </c>
      <c r="L43" s="44">
        <v>1.2110000000000001</v>
      </c>
    </row>
    <row r="44" spans="1:12" ht="14" hidden="1" customHeight="1" x14ac:dyDescent="0.15">
      <c r="A44" s="28"/>
      <c r="B44" s="41" t="s">
        <v>525</v>
      </c>
      <c r="C44" s="41" t="s">
        <v>526</v>
      </c>
      <c r="D44" s="42" t="s">
        <v>527</v>
      </c>
      <c r="E44" s="43" t="s">
        <v>1737</v>
      </c>
      <c r="F44" s="43">
        <v>0.3</v>
      </c>
      <c r="G44" s="43">
        <v>0.3</v>
      </c>
      <c r="H44" s="44">
        <v>0.755</v>
      </c>
      <c r="I44" s="44">
        <v>0.314</v>
      </c>
      <c r="J44" s="44">
        <v>7.2999999999999995E-2</v>
      </c>
      <c r="K44" s="44">
        <v>0.40500000000000003</v>
      </c>
      <c r="L44" s="44">
        <v>5.5369999999999999</v>
      </c>
    </row>
    <row r="45" spans="1:12" ht="14" hidden="1" customHeight="1" x14ac:dyDescent="0.15">
      <c r="A45" s="28"/>
      <c r="B45" s="41" t="s">
        <v>528</v>
      </c>
      <c r="C45" s="41" t="s">
        <v>529</v>
      </c>
      <c r="D45" s="42" t="s">
        <v>522</v>
      </c>
      <c r="E45" s="43">
        <v>0.7</v>
      </c>
      <c r="F45" s="43">
        <v>4.0999999999999996</v>
      </c>
      <c r="G45" s="43">
        <v>3.2</v>
      </c>
      <c r="H45" s="44">
        <v>0.63700000000000001</v>
      </c>
      <c r="I45" s="44">
        <v>0.41599999999999998</v>
      </c>
      <c r="J45" s="44">
        <v>0.34899999999999998</v>
      </c>
      <c r="K45" s="44">
        <v>0.40500000000000003</v>
      </c>
      <c r="L45" s="44">
        <v>1.161</v>
      </c>
    </row>
    <row r="46" spans="1:12" ht="14" hidden="1" customHeight="1" x14ac:dyDescent="0.15">
      <c r="A46" s="28"/>
      <c r="B46" s="41" t="s">
        <v>530</v>
      </c>
      <c r="C46" s="41" t="s">
        <v>531</v>
      </c>
      <c r="D46" s="42" t="s">
        <v>501</v>
      </c>
      <c r="E46" s="43">
        <v>2.2000000000000002</v>
      </c>
      <c r="F46" s="43">
        <v>3.1</v>
      </c>
      <c r="G46" s="43">
        <v>3.1</v>
      </c>
      <c r="H46" s="44">
        <v>0.63</v>
      </c>
      <c r="I46" s="44">
        <v>0.35399999999999998</v>
      </c>
      <c r="J46" s="44">
        <v>0.17699999999999999</v>
      </c>
      <c r="K46" s="44">
        <v>0.4</v>
      </c>
      <c r="L46" s="44">
        <v>2.2669999999999999</v>
      </c>
    </row>
    <row r="47" spans="1:12" ht="28" hidden="1" customHeight="1" x14ac:dyDescent="0.15">
      <c r="A47" s="28"/>
      <c r="B47" s="41" t="s">
        <v>532</v>
      </c>
      <c r="C47" s="41" t="s">
        <v>533</v>
      </c>
      <c r="D47" s="42" t="s">
        <v>493</v>
      </c>
      <c r="E47" s="43">
        <v>9.8000000000000007</v>
      </c>
      <c r="F47" s="43">
        <v>1.5</v>
      </c>
      <c r="G47" s="43">
        <v>1.5</v>
      </c>
      <c r="H47" s="44">
        <v>0.73299999999999998</v>
      </c>
      <c r="I47" s="44">
        <v>0.47499999999999998</v>
      </c>
      <c r="J47" s="44">
        <v>0.318</v>
      </c>
      <c r="K47" s="44">
        <v>0.4</v>
      </c>
      <c r="L47" s="44">
        <v>1.258</v>
      </c>
    </row>
    <row r="48" spans="1:12" ht="14" hidden="1" customHeight="1" x14ac:dyDescent="0.15">
      <c r="A48" s="28"/>
      <c r="B48" s="41" t="s">
        <v>1517</v>
      </c>
      <c r="C48" s="41" t="s">
        <v>1518</v>
      </c>
      <c r="D48" s="42" t="s">
        <v>760</v>
      </c>
      <c r="E48" s="43">
        <v>0</v>
      </c>
      <c r="F48" s="43">
        <v>5.8</v>
      </c>
      <c r="G48" s="43">
        <v>5.4</v>
      </c>
      <c r="H48" s="44">
        <v>0.64100000000000001</v>
      </c>
      <c r="I48" s="44">
        <v>0.33400000000000002</v>
      </c>
      <c r="J48" s="44">
        <v>0.35699999999999998</v>
      </c>
      <c r="K48" s="44">
        <v>0.39400000000000002</v>
      </c>
      <c r="L48" s="44">
        <v>1.105</v>
      </c>
    </row>
    <row r="49" spans="1:12" ht="14" hidden="1" customHeight="1" x14ac:dyDescent="0.15">
      <c r="A49" s="28"/>
      <c r="B49" s="41" t="s">
        <v>27</v>
      </c>
      <c r="C49" s="41" t="s">
        <v>534</v>
      </c>
      <c r="D49" s="42" t="s">
        <v>522</v>
      </c>
      <c r="E49" s="43">
        <v>0.2</v>
      </c>
      <c r="F49" s="43">
        <v>7.7</v>
      </c>
      <c r="G49" s="43">
        <v>7.1</v>
      </c>
      <c r="H49" s="44">
        <v>0.62</v>
      </c>
      <c r="I49" s="44">
        <v>0.26100000000000001</v>
      </c>
      <c r="J49" s="44">
        <v>0.25700000000000001</v>
      </c>
      <c r="K49" s="44">
        <v>0.39200000000000002</v>
      </c>
      <c r="L49" s="44">
        <v>1.528</v>
      </c>
    </row>
    <row r="50" spans="1:12" ht="14" hidden="1" customHeight="1" x14ac:dyDescent="0.15">
      <c r="A50" s="28"/>
      <c r="B50" s="41" t="s">
        <v>535</v>
      </c>
      <c r="C50" s="41" t="s">
        <v>535</v>
      </c>
      <c r="D50" s="42" t="s">
        <v>469</v>
      </c>
      <c r="E50" s="43">
        <v>1.5</v>
      </c>
      <c r="F50" s="43">
        <v>0.3</v>
      </c>
      <c r="G50" s="43">
        <v>0.3</v>
      </c>
      <c r="H50" s="44">
        <v>0.68500000000000005</v>
      </c>
      <c r="I50" s="44">
        <v>0.188</v>
      </c>
      <c r="J50" s="44">
        <v>0.161</v>
      </c>
      <c r="K50" s="44">
        <v>0.38800000000000001</v>
      </c>
      <c r="L50" s="44">
        <v>2.403</v>
      </c>
    </row>
    <row r="51" spans="1:12" ht="14" hidden="1" customHeight="1" x14ac:dyDescent="0.15">
      <c r="A51" s="28"/>
      <c r="B51" s="41" t="s">
        <v>536</v>
      </c>
      <c r="C51" s="41" t="s">
        <v>537</v>
      </c>
      <c r="D51" s="42" t="s">
        <v>513</v>
      </c>
      <c r="E51" s="43" t="s">
        <v>1737</v>
      </c>
      <c r="F51" s="43">
        <v>3.2</v>
      </c>
      <c r="G51" s="43">
        <v>3.1</v>
      </c>
      <c r="H51" s="44">
        <v>0.77600000000000002</v>
      </c>
      <c r="I51" s="44">
        <v>0.40200000000000002</v>
      </c>
      <c r="J51" s="44">
        <v>0.23599999999999999</v>
      </c>
      <c r="K51" s="44">
        <v>0.38400000000000001</v>
      </c>
      <c r="L51" s="44">
        <v>1.6259999999999999</v>
      </c>
    </row>
    <row r="52" spans="1:12" ht="14" hidden="1" customHeight="1" x14ac:dyDescent="0.15">
      <c r="A52" s="28"/>
      <c r="B52" s="41" t="s">
        <v>1749</v>
      </c>
      <c r="C52" s="41" t="s">
        <v>1750</v>
      </c>
      <c r="D52" s="42" t="s">
        <v>558</v>
      </c>
      <c r="E52" s="43">
        <v>0.2</v>
      </c>
      <c r="F52" s="43">
        <v>4.3</v>
      </c>
      <c r="G52" s="43">
        <v>3.7</v>
      </c>
      <c r="H52" s="44">
        <v>0.92100000000000004</v>
      </c>
      <c r="I52" s="44">
        <v>0.42899999999999999</v>
      </c>
      <c r="J52" s="44">
        <v>0.48099999999999998</v>
      </c>
      <c r="K52" s="44">
        <v>0.38400000000000001</v>
      </c>
      <c r="L52" s="44">
        <v>0.79800000000000004</v>
      </c>
    </row>
    <row r="53" spans="1:12" ht="14" hidden="1" customHeight="1" x14ac:dyDescent="0.15">
      <c r="A53" s="28"/>
      <c r="B53" s="41" t="s">
        <v>538</v>
      </c>
      <c r="C53" s="41" t="s">
        <v>539</v>
      </c>
      <c r="D53" s="42" t="s">
        <v>540</v>
      </c>
      <c r="E53" s="43">
        <v>4.5</v>
      </c>
      <c r="F53" s="43">
        <v>0.6</v>
      </c>
      <c r="G53" s="43">
        <v>0.3</v>
      </c>
      <c r="H53" s="44">
        <v>0.64200000000000002</v>
      </c>
      <c r="I53" s="44">
        <v>0.53</v>
      </c>
      <c r="J53" s="44">
        <v>-6.8000000000000005E-2</v>
      </c>
      <c r="K53" s="44">
        <v>0.38200000000000001</v>
      </c>
      <c r="L53" s="43" t="s">
        <v>1737</v>
      </c>
    </row>
    <row r="54" spans="1:12" ht="14" hidden="1" customHeight="1" x14ac:dyDescent="0.15">
      <c r="A54" s="28"/>
      <c r="B54" s="41" t="s">
        <v>541</v>
      </c>
      <c r="C54" s="41" t="s">
        <v>542</v>
      </c>
      <c r="D54" s="42" t="s">
        <v>465</v>
      </c>
      <c r="E54" s="43">
        <v>2.8</v>
      </c>
      <c r="F54" s="43" t="s">
        <v>1737</v>
      </c>
      <c r="G54" s="43" t="s">
        <v>1737</v>
      </c>
      <c r="H54" s="44">
        <v>0</v>
      </c>
      <c r="I54" s="44">
        <v>0.38900000000000001</v>
      </c>
      <c r="J54" s="44">
        <v>0.219</v>
      </c>
      <c r="K54" s="44">
        <v>0.38</v>
      </c>
      <c r="L54" s="44">
        <v>1.738</v>
      </c>
    </row>
    <row r="55" spans="1:12" ht="14" hidden="1" customHeight="1" x14ac:dyDescent="0.15">
      <c r="A55" s="28"/>
      <c r="B55" s="41" t="s">
        <v>544</v>
      </c>
      <c r="C55" s="41" t="s">
        <v>545</v>
      </c>
      <c r="D55" s="42" t="s">
        <v>498</v>
      </c>
      <c r="E55" s="43">
        <v>1</v>
      </c>
      <c r="F55" s="43" t="s">
        <v>1737</v>
      </c>
      <c r="G55" s="43" t="s">
        <v>1737</v>
      </c>
      <c r="H55" s="44">
        <v>0</v>
      </c>
      <c r="I55" s="44">
        <v>0.36399999999999999</v>
      </c>
      <c r="J55" s="44">
        <v>0.28199999999999997</v>
      </c>
      <c r="K55" s="44">
        <v>0.378</v>
      </c>
      <c r="L55" s="44">
        <v>1.343</v>
      </c>
    </row>
    <row r="56" spans="1:12" ht="14" hidden="1" customHeight="1" x14ac:dyDescent="0.15">
      <c r="A56" s="28"/>
      <c r="B56" s="41" t="s">
        <v>546</v>
      </c>
      <c r="C56" s="41" t="s">
        <v>547</v>
      </c>
      <c r="D56" s="42" t="s">
        <v>513</v>
      </c>
      <c r="E56" s="43">
        <v>1.1000000000000001</v>
      </c>
      <c r="F56" s="43">
        <v>3.1</v>
      </c>
      <c r="G56" s="43">
        <v>3</v>
      </c>
      <c r="H56" s="44">
        <v>0.79200000000000004</v>
      </c>
      <c r="I56" s="44">
        <v>0.189</v>
      </c>
      <c r="J56" s="44">
        <v>0.23899999999999999</v>
      </c>
      <c r="K56" s="44">
        <v>0.372</v>
      </c>
      <c r="L56" s="44">
        <v>1.56</v>
      </c>
    </row>
    <row r="57" spans="1:12" ht="14" hidden="1" customHeight="1" x14ac:dyDescent="0.15">
      <c r="A57" s="28"/>
      <c r="B57" s="41" t="s">
        <v>548</v>
      </c>
      <c r="C57" s="41" t="s">
        <v>549</v>
      </c>
      <c r="D57" s="42" t="s">
        <v>460</v>
      </c>
      <c r="E57" s="43">
        <v>0.5</v>
      </c>
      <c r="F57" s="43">
        <v>1.2</v>
      </c>
      <c r="G57" s="43">
        <v>1.2</v>
      </c>
      <c r="H57" s="44">
        <v>0.85199999999999998</v>
      </c>
      <c r="I57" s="44">
        <v>0.30099999999999999</v>
      </c>
      <c r="J57" s="44">
        <v>0.27700000000000002</v>
      </c>
      <c r="K57" s="44">
        <v>0.37</v>
      </c>
      <c r="L57" s="44">
        <v>1.3340000000000001</v>
      </c>
    </row>
    <row r="58" spans="1:12" ht="14" hidden="1" customHeight="1" x14ac:dyDescent="0.15">
      <c r="A58" s="28"/>
      <c r="B58" s="41" t="s">
        <v>550</v>
      </c>
      <c r="C58" s="41" t="s">
        <v>551</v>
      </c>
      <c r="D58" s="42" t="s">
        <v>513</v>
      </c>
      <c r="E58" s="43">
        <v>3.1</v>
      </c>
      <c r="F58" s="43">
        <v>1.4</v>
      </c>
      <c r="G58" s="43">
        <v>1.2</v>
      </c>
      <c r="H58" s="44">
        <v>0.81399999999999995</v>
      </c>
      <c r="I58" s="44">
        <v>0.41399999999999998</v>
      </c>
      <c r="J58" s="44">
        <v>0.33500000000000002</v>
      </c>
      <c r="K58" s="44">
        <v>0.36599999999999999</v>
      </c>
      <c r="L58" s="44">
        <v>1.091</v>
      </c>
    </row>
    <row r="59" spans="1:12" ht="14" hidden="1" customHeight="1" x14ac:dyDescent="0.15">
      <c r="A59" s="28"/>
      <c r="B59" s="41" t="s">
        <v>552</v>
      </c>
      <c r="C59" s="41" t="s">
        <v>553</v>
      </c>
      <c r="D59" s="42" t="s">
        <v>527</v>
      </c>
      <c r="E59" s="43">
        <v>6.1</v>
      </c>
      <c r="F59" s="43">
        <v>0.5</v>
      </c>
      <c r="G59" s="43">
        <v>0.5</v>
      </c>
      <c r="H59" s="44">
        <v>0.70799999999999996</v>
      </c>
      <c r="I59" s="44">
        <v>0.35499999999999998</v>
      </c>
      <c r="J59" s="44">
        <v>0.249</v>
      </c>
      <c r="K59" s="44">
        <v>0.36499999999999999</v>
      </c>
      <c r="L59" s="44">
        <v>1.4630000000000001</v>
      </c>
    </row>
    <row r="60" spans="1:12" ht="28" hidden="1" customHeight="1" x14ac:dyDescent="0.15">
      <c r="A60" s="28"/>
      <c r="B60" s="41" t="s">
        <v>554</v>
      </c>
      <c r="C60" s="41" t="s">
        <v>555</v>
      </c>
      <c r="D60" s="42" t="s">
        <v>493</v>
      </c>
      <c r="E60" s="43">
        <v>0.5</v>
      </c>
      <c r="F60" s="43">
        <v>1</v>
      </c>
      <c r="G60" s="43">
        <v>1</v>
      </c>
      <c r="H60" s="44">
        <v>0.79500000000000004</v>
      </c>
      <c r="I60" s="44">
        <v>0.40899999999999997</v>
      </c>
      <c r="J60" s="44">
        <v>0.29499999999999998</v>
      </c>
      <c r="K60" s="44">
        <v>0.35899999999999999</v>
      </c>
      <c r="L60" s="44">
        <v>1.218</v>
      </c>
    </row>
    <row r="61" spans="1:12" ht="14" hidden="1" customHeight="1" x14ac:dyDescent="0.15">
      <c r="A61" s="28"/>
      <c r="B61" s="41" t="s">
        <v>556</v>
      </c>
      <c r="C61" s="41" t="s">
        <v>557</v>
      </c>
      <c r="D61" s="42" t="s">
        <v>558</v>
      </c>
      <c r="E61" s="43">
        <v>0.1</v>
      </c>
      <c r="F61" s="43">
        <v>3.6</v>
      </c>
      <c r="G61" s="43">
        <v>3.4</v>
      </c>
      <c r="H61" s="44">
        <v>0.86799999999999999</v>
      </c>
      <c r="I61" s="44">
        <v>0.28799999999999998</v>
      </c>
      <c r="J61" s="44">
        <v>0.28199999999999997</v>
      </c>
      <c r="K61" s="44">
        <v>0.35899999999999999</v>
      </c>
      <c r="L61" s="44">
        <v>1.2709999999999999</v>
      </c>
    </row>
    <row r="62" spans="1:12" ht="14" hidden="1" customHeight="1" x14ac:dyDescent="0.15">
      <c r="A62" s="28"/>
      <c r="B62" s="41" t="s">
        <v>559</v>
      </c>
      <c r="C62" s="41" t="s">
        <v>560</v>
      </c>
      <c r="D62" s="42" t="s">
        <v>506</v>
      </c>
      <c r="E62" s="43">
        <v>0.4</v>
      </c>
      <c r="F62" s="43" t="s">
        <v>1737</v>
      </c>
      <c r="G62" s="43" t="s">
        <v>1737</v>
      </c>
      <c r="H62" s="44">
        <v>0</v>
      </c>
      <c r="I62" s="44">
        <v>0.44</v>
      </c>
      <c r="J62" s="44">
        <v>0.312</v>
      </c>
      <c r="K62" s="44">
        <v>0.35299999999999998</v>
      </c>
      <c r="L62" s="44">
        <v>1.1339999999999999</v>
      </c>
    </row>
    <row r="63" spans="1:12" ht="14" hidden="1" customHeight="1" x14ac:dyDescent="0.15">
      <c r="A63" s="28"/>
      <c r="B63" s="41" t="s">
        <v>1751</v>
      </c>
      <c r="C63" s="41" t="s">
        <v>1752</v>
      </c>
      <c r="D63" s="42" t="s">
        <v>501</v>
      </c>
      <c r="E63" s="43">
        <v>1.2</v>
      </c>
      <c r="F63" s="43">
        <v>3.4</v>
      </c>
      <c r="G63" s="43">
        <v>3.4</v>
      </c>
      <c r="H63" s="44">
        <v>0.52300000000000002</v>
      </c>
      <c r="I63" s="44">
        <v>0.217</v>
      </c>
      <c r="J63" s="44">
        <v>1.651</v>
      </c>
      <c r="K63" s="44">
        <v>0.34699999999999998</v>
      </c>
      <c r="L63" s="44">
        <v>0.21</v>
      </c>
    </row>
    <row r="64" spans="1:12" ht="14" hidden="1" customHeight="1" x14ac:dyDescent="0.15">
      <c r="A64" s="28"/>
      <c r="B64" s="41" t="s">
        <v>561</v>
      </c>
      <c r="C64" s="41" t="s">
        <v>562</v>
      </c>
      <c r="D64" s="42" t="s">
        <v>522</v>
      </c>
      <c r="E64" s="43">
        <v>0.5</v>
      </c>
      <c r="F64" s="43">
        <v>1.1000000000000001</v>
      </c>
      <c r="G64" s="43">
        <v>0.8</v>
      </c>
      <c r="H64" s="44">
        <v>0.66400000000000003</v>
      </c>
      <c r="I64" s="44">
        <v>0.28000000000000003</v>
      </c>
      <c r="J64" s="44">
        <v>0.21</v>
      </c>
      <c r="K64" s="44">
        <v>0.34599999999999997</v>
      </c>
      <c r="L64" s="44">
        <v>1.6439999999999999</v>
      </c>
    </row>
    <row r="65" spans="1:12" ht="14" hidden="1" customHeight="1" x14ac:dyDescent="0.15">
      <c r="A65" s="28"/>
      <c r="B65" s="41" t="s">
        <v>1753</v>
      </c>
      <c r="C65" s="41" t="s">
        <v>1754</v>
      </c>
      <c r="D65" s="42" t="s">
        <v>522</v>
      </c>
      <c r="E65" s="43">
        <v>0.6</v>
      </c>
      <c r="F65" s="43">
        <v>6.6</v>
      </c>
      <c r="G65" s="43">
        <v>6</v>
      </c>
      <c r="H65" s="44">
        <v>0.64200000000000002</v>
      </c>
      <c r="I65" s="44">
        <v>0.30399999999999999</v>
      </c>
      <c r="J65" s="44">
        <v>0.36099999999999999</v>
      </c>
      <c r="K65" s="44">
        <v>0.33800000000000002</v>
      </c>
      <c r="L65" s="44">
        <v>0.93600000000000005</v>
      </c>
    </row>
    <row r="66" spans="1:12" ht="14" hidden="1" customHeight="1" x14ac:dyDescent="0.15">
      <c r="A66" s="28"/>
      <c r="B66" s="41" t="s">
        <v>1755</v>
      </c>
      <c r="C66" s="41" t="s">
        <v>1756</v>
      </c>
      <c r="D66" s="42" t="s">
        <v>506</v>
      </c>
      <c r="E66" s="43">
        <v>0.1</v>
      </c>
      <c r="F66" s="43" t="s">
        <v>1737</v>
      </c>
      <c r="G66" s="43" t="s">
        <v>1737</v>
      </c>
      <c r="H66" s="44">
        <v>0</v>
      </c>
      <c r="I66" s="44">
        <v>0.52900000000000003</v>
      </c>
      <c r="J66" s="44">
        <v>0.34899999999999998</v>
      </c>
      <c r="K66" s="44">
        <v>0.33600000000000002</v>
      </c>
      <c r="L66" s="44">
        <v>0.96399999999999997</v>
      </c>
    </row>
    <row r="67" spans="1:12" ht="28" hidden="1" customHeight="1" x14ac:dyDescent="0.15">
      <c r="A67" s="28"/>
      <c r="B67" s="41" t="s">
        <v>563</v>
      </c>
      <c r="C67" s="41" t="s">
        <v>564</v>
      </c>
      <c r="D67" s="42" t="s">
        <v>493</v>
      </c>
      <c r="E67" s="43">
        <v>10.1</v>
      </c>
      <c r="F67" s="43">
        <v>1.9</v>
      </c>
      <c r="G67" s="43">
        <v>1.9</v>
      </c>
      <c r="H67" s="44">
        <v>0.71299999999999997</v>
      </c>
      <c r="I67" s="44">
        <v>0.43</v>
      </c>
      <c r="J67" s="44">
        <v>0.29399999999999998</v>
      </c>
      <c r="K67" s="44">
        <v>0.33300000000000002</v>
      </c>
      <c r="L67" s="44">
        <v>1.1319999999999999</v>
      </c>
    </row>
    <row r="68" spans="1:12" ht="14" hidden="1" customHeight="1" x14ac:dyDescent="0.15">
      <c r="A68" s="28"/>
      <c r="B68" s="41" t="s">
        <v>566</v>
      </c>
      <c r="C68" s="41" t="s">
        <v>567</v>
      </c>
      <c r="D68" s="42" t="s">
        <v>460</v>
      </c>
      <c r="E68" s="43">
        <v>0</v>
      </c>
      <c r="F68" s="43">
        <v>1.9</v>
      </c>
      <c r="G68" s="43">
        <v>1.8</v>
      </c>
      <c r="H68" s="44">
        <v>0.76500000000000001</v>
      </c>
      <c r="I68" s="44">
        <v>0.16</v>
      </c>
      <c r="J68" s="44">
        <v>0.152</v>
      </c>
      <c r="K68" s="44">
        <v>0.33100000000000002</v>
      </c>
      <c r="L68" s="44">
        <v>2.1840000000000002</v>
      </c>
    </row>
    <row r="69" spans="1:12" ht="14" hidden="1" customHeight="1" x14ac:dyDescent="0.15">
      <c r="A69" s="28"/>
      <c r="B69" s="41" t="s">
        <v>1545</v>
      </c>
      <c r="C69" s="41" t="s">
        <v>1546</v>
      </c>
      <c r="D69" s="42" t="s">
        <v>1236</v>
      </c>
      <c r="E69" s="43">
        <v>0.3</v>
      </c>
      <c r="F69" s="43" t="s">
        <v>1737</v>
      </c>
      <c r="G69" s="43" t="s">
        <v>1737</v>
      </c>
      <c r="H69" s="44">
        <v>0</v>
      </c>
      <c r="I69" s="44">
        <v>0</v>
      </c>
      <c r="J69" s="44">
        <v>8.5999999999999993E-2</v>
      </c>
      <c r="K69" s="44">
        <v>0.33100000000000002</v>
      </c>
      <c r="L69" s="44">
        <v>3.8610000000000002</v>
      </c>
    </row>
    <row r="70" spans="1:12" ht="28" hidden="1" customHeight="1" x14ac:dyDescent="0.15">
      <c r="A70" s="28"/>
      <c r="B70" s="41" t="s">
        <v>568</v>
      </c>
      <c r="C70" s="41" t="s">
        <v>569</v>
      </c>
      <c r="D70" s="42" t="s">
        <v>570</v>
      </c>
      <c r="E70" s="43">
        <v>0.2</v>
      </c>
      <c r="F70" s="43">
        <v>2.8</v>
      </c>
      <c r="G70" s="43">
        <v>2.8</v>
      </c>
      <c r="H70" s="44">
        <v>0.74399999999999999</v>
      </c>
      <c r="I70" s="44">
        <v>0.23400000000000001</v>
      </c>
      <c r="J70" s="44">
        <v>0.52900000000000003</v>
      </c>
      <c r="K70" s="44">
        <v>0.32600000000000001</v>
      </c>
      <c r="L70" s="44">
        <v>0.61599999999999999</v>
      </c>
    </row>
    <row r="71" spans="1:12" ht="14" hidden="1" customHeight="1" x14ac:dyDescent="0.15">
      <c r="A71" s="28"/>
      <c r="B71" s="41" t="s">
        <v>1757</v>
      </c>
      <c r="C71" s="41" t="s">
        <v>1758</v>
      </c>
      <c r="D71" s="42" t="s">
        <v>838</v>
      </c>
      <c r="E71" s="43">
        <v>0.6</v>
      </c>
      <c r="F71" s="43">
        <v>1.7</v>
      </c>
      <c r="G71" s="43">
        <v>1.5</v>
      </c>
      <c r="H71" s="44">
        <v>0.48699999999999999</v>
      </c>
      <c r="I71" s="44">
        <v>0.42299999999999999</v>
      </c>
      <c r="J71" s="44">
        <v>0.32900000000000001</v>
      </c>
      <c r="K71" s="44">
        <v>0.314</v>
      </c>
      <c r="L71" s="44">
        <v>0.95599999999999996</v>
      </c>
    </row>
    <row r="72" spans="1:12" ht="14" hidden="1" customHeight="1" x14ac:dyDescent="0.15">
      <c r="A72" s="28"/>
      <c r="B72" s="41" t="s">
        <v>571</v>
      </c>
      <c r="C72" s="41" t="s">
        <v>572</v>
      </c>
      <c r="D72" s="42" t="s">
        <v>506</v>
      </c>
      <c r="E72" s="43">
        <v>1</v>
      </c>
      <c r="F72" s="43" t="s">
        <v>1737</v>
      </c>
      <c r="G72" s="43" t="s">
        <v>1737</v>
      </c>
      <c r="H72" s="44">
        <v>0</v>
      </c>
      <c r="I72" s="44">
        <v>0.41699999999999998</v>
      </c>
      <c r="J72" s="44">
        <v>0.30199999999999999</v>
      </c>
      <c r="K72" s="44">
        <v>0.313</v>
      </c>
      <c r="L72" s="44">
        <v>1.0369999999999999</v>
      </c>
    </row>
    <row r="73" spans="1:12" ht="14" hidden="1" customHeight="1" x14ac:dyDescent="0.15">
      <c r="A73" s="28"/>
      <c r="B73" s="41" t="s">
        <v>573</v>
      </c>
      <c r="C73" s="41" t="s">
        <v>574</v>
      </c>
      <c r="D73" s="42" t="s">
        <v>460</v>
      </c>
      <c r="E73" s="43">
        <v>3.6</v>
      </c>
      <c r="F73" s="43">
        <v>2.1</v>
      </c>
      <c r="G73" s="43">
        <v>2.1</v>
      </c>
      <c r="H73" s="44">
        <v>0.79800000000000004</v>
      </c>
      <c r="I73" s="44">
        <v>0.35799999999999998</v>
      </c>
      <c r="J73" s="44">
        <v>0.27100000000000002</v>
      </c>
      <c r="K73" s="44">
        <v>0.312</v>
      </c>
      <c r="L73" s="44">
        <v>1.153</v>
      </c>
    </row>
    <row r="74" spans="1:12" ht="14" hidden="1" customHeight="1" x14ac:dyDescent="0.15">
      <c r="A74" s="28"/>
      <c r="B74" s="41" t="s">
        <v>575</v>
      </c>
      <c r="C74" s="41" t="s">
        <v>576</v>
      </c>
      <c r="D74" s="42" t="s">
        <v>540</v>
      </c>
      <c r="E74" s="43" t="s">
        <v>1737</v>
      </c>
      <c r="F74" s="43">
        <v>1.1000000000000001</v>
      </c>
      <c r="G74" s="43">
        <v>0.6</v>
      </c>
      <c r="H74" s="44">
        <v>0.64700000000000002</v>
      </c>
      <c r="I74" s="44">
        <v>0.35099999999999998</v>
      </c>
      <c r="J74" s="44">
        <v>0.24199999999999999</v>
      </c>
      <c r="K74" s="44">
        <v>0.312</v>
      </c>
      <c r="L74" s="44">
        <v>1.2909999999999999</v>
      </c>
    </row>
    <row r="75" spans="1:12" ht="14" hidden="1" customHeight="1" x14ac:dyDescent="0.15">
      <c r="A75" s="28"/>
      <c r="B75" s="41" t="s">
        <v>1630</v>
      </c>
      <c r="C75" s="41" t="s">
        <v>1759</v>
      </c>
      <c r="D75" s="42" t="s">
        <v>522</v>
      </c>
      <c r="E75" s="43">
        <v>0.5</v>
      </c>
      <c r="F75" s="43">
        <v>6.1</v>
      </c>
      <c r="G75" s="43">
        <v>5.4</v>
      </c>
      <c r="H75" s="44">
        <v>0.66300000000000003</v>
      </c>
      <c r="I75" s="44">
        <v>0.26700000000000002</v>
      </c>
      <c r="J75" s="44">
        <v>0.27</v>
      </c>
      <c r="K75" s="44">
        <v>0.312</v>
      </c>
      <c r="L75" s="44">
        <v>1.153</v>
      </c>
    </row>
    <row r="76" spans="1:12" ht="14" hidden="1" customHeight="1" x14ac:dyDescent="0.15">
      <c r="A76" s="28"/>
      <c r="B76" s="41" t="s">
        <v>1760</v>
      </c>
      <c r="C76" s="41" t="s">
        <v>1761</v>
      </c>
      <c r="D76" s="42" t="s">
        <v>451</v>
      </c>
      <c r="E76" s="43">
        <v>0.6</v>
      </c>
      <c r="F76" s="43">
        <v>4.2</v>
      </c>
      <c r="G76" s="43">
        <v>4.2</v>
      </c>
      <c r="H76" s="44">
        <v>0.67600000000000005</v>
      </c>
      <c r="I76" s="44">
        <v>0.25900000000000001</v>
      </c>
      <c r="J76" s="44">
        <v>0.44400000000000001</v>
      </c>
      <c r="K76" s="44">
        <v>0.30599999999999999</v>
      </c>
      <c r="L76" s="44">
        <v>0.68899999999999995</v>
      </c>
    </row>
    <row r="77" spans="1:12" ht="14" hidden="1" customHeight="1" x14ac:dyDescent="0.15">
      <c r="A77" s="28"/>
      <c r="B77" s="41" t="s">
        <v>1762</v>
      </c>
      <c r="C77" s="41" t="s">
        <v>1763</v>
      </c>
      <c r="D77" s="42" t="s">
        <v>631</v>
      </c>
      <c r="E77" s="43">
        <v>0</v>
      </c>
      <c r="F77" s="43">
        <v>5</v>
      </c>
      <c r="G77" s="43">
        <v>4.2</v>
      </c>
      <c r="H77" s="44">
        <v>0.82599999999999996</v>
      </c>
      <c r="I77" s="44">
        <v>0.30499999999999999</v>
      </c>
      <c r="J77" s="44">
        <v>0.29099999999999998</v>
      </c>
      <c r="K77" s="44">
        <v>0.30499999999999999</v>
      </c>
      <c r="L77" s="44">
        <v>1.05</v>
      </c>
    </row>
    <row r="78" spans="1:12" ht="14" hidden="1" customHeight="1" x14ac:dyDescent="0.15">
      <c r="A78" s="28"/>
      <c r="B78" s="41" t="s">
        <v>1764</v>
      </c>
      <c r="C78" s="41" t="s">
        <v>1765</v>
      </c>
      <c r="D78" s="42" t="s">
        <v>501</v>
      </c>
      <c r="E78" s="43">
        <v>1</v>
      </c>
      <c r="F78" s="43">
        <v>3.7</v>
      </c>
      <c r="G78" s="43">
        <v>3.7</v>
      </c>
      <c r="H78" s="44">
        <v>0.63</v>
      </c>
      <c r="I78" s="44">
        <v>0.32300000000000001</v>
      </c>
      <c r="J78" s="44">
        <v>0.22800000000000001</v>
      </c>
      <c r="K78" s="44">
        <v>0.30499999999999999</v>
      </c>
      <c r="L78" s="44">
        <v>1.339</v>
      </c>
    </row>
    <row r="79" spans="1:12" ht="14" hidden="1" customHeight="1" x14ac:dyDescent="0.15">
      <c r="A79" s="28"/>
      <c r="B79" s="41" t="s">
        <v>577</v>
      </c>
      <c r="C79" s="41" t="s">
        <v>578</v>
      </c>
      <c r="D79" s="42" t="s">
        <v>579</v>
      </c>
      <c r="E79" s="43">
        <v>0.4</v>
      </c>
      <c r="F79" s="43" t="s">
        <v>1737</v>
      </c>
      <c r="G79" s="43" t="s">
        <v>1737</v>
      </c>
      <c r="H79" s="44">
        <v>0</v>
      </c>
      <c r="I79" s="44">
        <v>0</v>
      </c>
      <c r="J79" s="44">
        <v>6.5000000000000002E-2</v>
      </c>
      <c r="K79" s="44">
        <v>0.30399999999999999</v>
      </c>
      <c r="L79" s="44">
        <v>4.702</v>
      </c>
    </row>
    <row r="80" spans="1:12" ht="14" hidden="1" customHeight="1" x14ac:dyDescent="0.15">
      <c r="A80" s="28"/>
      <c r="B80" s="41" t="s">
        <v>1766</v>
      </c>
      <c r="C80" s="41" t="s">
        <v>1767</v>
      </c>
      <c r="D80" s="42" t="s">
        <v>506</v>
      </c>
      <c r="E80" s="43">
        <v>1</v>
      </c>
      <c r="F80" s="43" t="s">
        <v>1737</v>
      </c>
      <c r="G80" s="43" t="s">
        <v>1737</v>
      </c>
      <c r="H80" s="44">
        <v>0</v>
      </c>
      <c r="I80" s="44">
        <v>0.47899999999999998</v>
      </c>
      <c r="J80" s="44">
        <v>0.35799999999999998</v>
      </c>
      <c r="K80" s="44">
        <v>0.30299999999999999</v>
      </c>
      <c r="L80" s="44">
        <v>0.84799999999999998</v>
      </c>
    </row>
    <row r="81" spans="1:12" ht="14" hidden="1" customHeight="1" x14ac:dyDescent="0.15">
      <c r="A81" s="28"/>
      <c r="B81" s="41" t="s">
        <v>580</v>
      </c>
      <c r="C81" s="41" t="s">
        <v>581</v>
      </c>
      <c r="D81" s="42" t="s">
        <v>460</v>
      </c>
      <c r="E81" s="43">
        <v>0.7</v>
      </c>
      <c r="F81" s="43">
        <v>2.8</v>
      </c>
      <c r="G81" s="43">
        <v>2.8</v>
      </c>
      <c r="H81" s="44">
        <v>0.67700000000000005</v>
      </c>
      <c r="I81" s="44">
        <v>0.36799999999999999</v>
      </c>
      <c r="J81" s="44">
        <v>0.33100000000000002</v>
      </c>
      <c r="K81" s="44">
        <v>0.30199999999999999</v>
      </c>
      <c r="L81" s="44">
        <v>0.91300000000000003</v>
      </c>
    </row>
    <row r="82" spans="1:12" ht="14" hidden="1" customHeight="1" x14ac:dyDescent="0.15">
      <c r="A82" s="28"/>
      <c r="B82" s="41" t="s">
        <v>582</v>
      </c>
      <c r="C82" s="41" t="s">
        <v>583</v>
      </c>
      <c r="D82" s="42" t="s">
        <v>584</v>
      </c>
      <c r="E82" s="43">
        <v>1.5</v>
      </c>
      <c r="F82" s="43">
        <v>1.8</v>
      </c>
      <c r="G82" s="43">
        <v>1.8</v>
      </c>
      <c r="H82" s="44">
        <v>0</v>
      </c>
      <c r="I82" s="44">
        <v>0.35599999999999998</v>
      </c>
      <c r="J82" s="44">
        <v>0.32300000000000001</v>
      </c>
      <c r="K82" s="44">
        <v>0.30099999999999999</v>
      </c>
      <c r="L82" s="44">
        <v>0.93</v>
      </c>
    </row>
    <row r="83" spans="1:12" ht="14" hidden="1" customHeight="1" x14ac:dyDescent="0.15">
      <c r="A83" s="28"/>
      <c r="B83" s="41" t="s">
        <v>1768</v>
      </c>
      <c r="C83" s="41" t="s">
        <v>1769</v>
      </c>
      <c r="D83" s="42" t="s">
        <v>587</v>
      </c>
      <c r="E83" s="43">
        <v>0.2</v>
      </c>
      <c r="F83" s="43">
        <v>2.2000000000000002</v>
      </c>
      <c r="G83" s="43">
        <v>2.2000000000000002</v>
      </c>
      <c r="H83" s="44">
        <v>0.89</v>
      </c>
      <c r="I83" s="44">
        <v>0.34</v>
      </c>
      <c r="J83" s="44">
        <v>0.29799999999999999</v>
      </c>
      <c r="K83" s="44">
        <v>0.29899999999999999</v>
      </c>
      <c r="L83" s="44">
        <v>1.0029999999999999</v>
      </c>
    </row>
    <row r="84" spans="1:12" ht="14" hidden="1" customHeight="1" x14ac:dyDescent="0.15">
      <c r="A84" s="28"/>
      <c r="B84" s="41" t="s">
        <v>1770</v>
      </c>
      <c r="C84" s="41" t="s">
        <v>1771</v>
      </c>
      <c r="D84" s="42" t="s">
        <v>744</v>
      </c>
      <c r="E84" s="43">
        <v>0.1</v>
      </c>
      <c r="F84" s="43">
        <v>4.4000000000000004</v>
      </c>
      <c r="G84" s="43">
        <v>4.4000000000000004</v>
      </c>
      <c r="H84" s="44">
        <v>0.81899999999999995</v>
      </c>
      <c r="I84" s="44">
        <v>0.34</v>
      </c>
      <c r="J84" s="44">
        <v>0.26200000000000001</v>
      </c>
      <c r="K84" s="44">
        <v>0.29899999999999999</v>
      </c>
      <c r="L84" s="44">
        <v>1.141</v>
      </c>
    </row>
    <row r="85" spans="1:12" ht="14" hidden="1" customHeight="1" x14ac:dyDescent="0.15">
      <c r="A85" s="28"/>
      <c r="B85" s="41" t="s">
        <v>585</v>
      </c>
      <c r="C85" s="41" t="s">
        <v>586</v>
      </c>
      <c r="D85" s="42" t="s">
        <v>587</v>
      </c>
      <c r="E85" s="43">
        <v>0.2</v>
      </c>
      <c r="F85" s="43">
        <v>1.7</v>
      </c>
      <c r="G85" s="43">
        <v>1.7</v>
      </c>
      <c r="H85" s="44">
        <v>0.82099999999999995</v>
      </c>
      <c r="I85" s="44">
        <v>0.26400000000000001</v>
      </c>
      <c r="J85" s="44">
        <v>0.22600000000000001</v>
      </c>
      <c r="K85" s="44">
        <v>0.29899999999999999</v>
      </c>
      <c r="L85" s="44">
        <v>1.325</v>
      </c>
    </row>
    <row r="86" spans="1:12" ht="14" hidden="1" customHeight="1" x14ac:dyDescent="0.15">
      <c r="A86" s="28"/>
      <c r="B86" s="41" t="s">
        <v>588</v>
      </c>
      <c r="C86" s="41" t="s">
        <v>589</v>
      </c>
      <c r="D86" s="42" t="s">
        <v>590</v>
      </c>
      <c r="E86" s="43">
        <v>1</v>
      </c>
      <c r="F86" s="43">
        <v>1.9</v>
      </c>
      <c r="G86" s="43">
        <v>1.9</v>
      </c>
      <c r="H86" s="44">
        <v>0.36399999999999999</v>
      </c>
      <c r="I86" s="44">
        <v>0.13400000000000001</v>
      </c>
      <c r="J86" s="44">
        <v>0.24199999999999999</v>
      </c>
      <c r="K86" s="44">
        <v>0.29899999999999999</v>
      </c>
      <c r="L86" s="44">
        <v>1.234</v>
      </c>
    </row>
    <row r="87" spans="1:12" ht="14" hidden="1" customHeight="1" x14ac:dyDescent="0.15">
      <c r="A87" s="28"/>
      <c r="B87" s="41" t="s">
        <v>591</v>
      </c>
      <c r="C87" s="41" t="s">
        <v>592</v>
      </c>
      <c r="D87" s="42" t="s">
        <v>558</v>
      </c>
      <c r="E87" s="43">
        <v>0</v>
      </c>
      <c r="F87" s="43">
        <v>4.8</v>
      </c>
      <c r="G87" s="43">
        <v>4.8</v>
      </c>
      <c r="H87" s="44">
        <v>0.94699999999999995</v>
      </c>
      <c r="I87" s="44">
        <v>0.19600000000000001</v>
      </c>
      <c r="J87" s="44">
        <v>0.20699999999999999</v>
      </c>
      <c r="K87" s="44">
        <v>0.29299999999999998</v>
      </c>
      <c r="L87" s="44">
        <v>1.4159999999999999</v>
      </c>
    </row>
    <row r="88" spans="1:12" ht="14" hidden="1" customHeight="1" x14ac:dyDescent="0.15">
      <c r="A88" s="28"/>
      <c r="B88" s="41" t="s">
        <v>593</v>
      </c>
      <c r="C88" s="41" t="s">
        <v>594</v>
      </c>
      <c r="D88" s="42" t="s">
        <v>579</v>
      </c>
      <c r="E88" s="43">
        <v>0.2</v>
      </c>
      <c r="F88" s="43" t="s">
        <v>1737</v>
      </c>
      <c r="G88" s="43" t="s">
        <v>1737</v>
      </c>
      <c r="H88" s="44">
        <v>0</v>
      </c>
      <c r="I88" s="44">
        <v>0</v>
      </c>
      <c r="J88" s="44">
        <v>0.16800000000000001</v>
      </c>
      <c r="K88" s="44">
        <v>0.29099999999999998</v>
      </c>
      <c r="L88" s="44">
        <v>1.732</v>
      </c>
    </row>
    <row r="89" spans="1:12" ht="14" hidden="1" customHeight="1" x14ac:dyDescent="0.15">
      <c r="A89" s="28"/>
      <c r="B89" s="41" t="s">
        <v>595</v>
      </c>
      <c r="C89" s="41" t="s">
        <v>596</v>
      </c>
      <c r="D89" s="42" t="s">
        <v>597</v>
      </c>
      <c r="E89" s="43">
        <v>0.5</v>
      </c>
      <c r="F89" s="43">
        <v>1.8</v>
      </c>
      <c r="G89" s="43">
        <v>1.8</v>
      </c>
      <c r="H89" s="44">
        <v>0.64</v>
      </c>
      <c r="I89" s="44">
        <v>0.28000000000000003</v>
      </c>
      <c r="J89" s="44">
        <v>0.214</v>
      </c>
      <c r="K89" s="44">
        <v>0.28799999999999998</v>
      </c>
      <c r="L89" s="44">
        <v>1.3420000000000001</v>
      </c>
    </row>
    <row r="90" spans="1:12" ht="14" hidden="1" customHeight="1" x14ac:dyDescent="0.15">
      <c r="A90" s="28"/>
      <c r="B90" s="41" t="s">
        <v>598</v>
      </c>
      <c r="C90" s="41" t="s">
        <v>599</v>
      </c>
      <c r="D90" s="42" t="s">
        <v>522</v>
      </c>
      <c r="E90" s="43">
        <v>3.5</v>
      </c>
      <c r="F90" s="43">
        <v>1.8</v>
      </c>
      <c r="G90" s="43">
        <v>1.6</v>
      </c>
      <c r="H90" s="44">
        <v>0.65300000000000002</v>
      </c>
      <c r="I90" s="44">
        <v>0.32700000000000001</v>
      </c>
      <c r="J90" s="44">
        <v>0.17399999999999999</v>
      </c>
      <c r="K90" s="44">
        <v>0.28799999999999998</v>
      </c>
      <c r="L90" s="44">
        <v>1.659</v>
      </c>
    </row>
    <row r="91" spans="1:12" ht="28" hidden="1" customHeight="1" x14ac:dyDescent="0.15">
      <c r="A91" s="28"/>
      <c r="B91" s="41" t="s">
        <v>600</v>
      </c>
      <c r="C91" s="41" t="s">
        <v>601</v>
      </c>
      <c r="D91" s="42" t="s">
        <v>570</v>
      </c>
      <c r="E91" s="43">
        <v>0.1</v>
      </c>
      <c r="F91" s="43">
        <v>1.6</v>
      </c>
      <c r="G91" s="43">
        <v>1.6</v>
      </c>
      <c r="H91" s="44">
        <v>0.51</v>
      </c>
      <c r="I91" s="44">
        <v>0.127</v>
      </c>
      <c r="J91" s="44">
        <v>0.11799999999999999</v>
      </c>
      <c r="K91" s="44">
        <v>0.28699999999999998</v>
      </c>
      <c r="L91" s="44">
        <v>2.4289999999999998</v>
      </c>
    </row>
    <row r="92" spans="1:12" ht="28" hidden="1" customHeight="1" x14ac:dyDescent="0.15">
      <c r="A92" s="28"/>
      <c r="B92" s="41" t="s">
        <v>602</v>
      </c>
      <c r="C92" s="41" t="s">
        <v>603</v>
      </c>
      <c r="D92" s="42" t="s">
        <v>604</v>
      </c>
      <c r="E92" s="43">
        <v>0.4</v>
      </c>
      <c r="F92" s="43">
        <v>1.2</v>
      </c>
      <c r="G92" s="43">
        <v>1.2</v>
      </c>
      <c r="H92" s="44">
        <v>0.68100000000000005</v>
      </c>
      <c r="I92" s="44">
        <v>0.35899999999999999</v>
      </c>
      <c r="J92" s="44">
        <v>0.27</v>
      </c>
      <c r="K92" s="44">
        <v>0.28599999999999998</v>
      </c>
      <c r="L92" s="44">
        <v>1.06</v>
      </c>
    </row>
    <row r="93" spans="1:12" ht="14" hidden="1" customHeight="1" x14ac:dyDescent="0.15">
      <c r="A93" s="28"/>
      <c r="B93" s="41" t="s">
        <v>605</v>
      </c>
      <c r="C93" s="41" t="s">
        <v>606</v>
      </c>
      <c r="D93" s="42" t="s">
        <v>522</v>
      </c>
      <c r="E93" s="43">
        <v>1.7</v>
      </c>
      <c r="F93" s="43">
        <v>0.9</v>
      </c>
      <c r="G93" s="43">
        <v>0.6</v>
      </c>
      <c r="H93" s="44">
        <v>0.61599999999999999</v>
      </c>
      <c r="I93" s="44">
        <v>0.14699999999999999</v>
      </c>
      <c r="J93" s="44">
        <v>0.122</v>
      </c>
      <c r="K93" s="44">
        <v>0.28100000000000003</v>
      </c>
      <c r="L93" s="44">
        <v>2.2949999999999999</v>
      </c>
    </row>
    <row r="94" spans="1:12" ht="14" hidden="1" customHeight="1" x14ac:dyDescent="0.15">
      <c r="A94" s="28"/>
      <c r="B94" s="41" t="s">
        <v>607</v>
      </c>
      <c r="C94" s="41" t="s">
        <v>608</v>
      </c>
      <c r="D94" s="42" t="s">
        <v>609</v>
      </c>
      <c r="E94" s="43">
        <v>1.5</v>
      </c>
      <c r="F94" s="43">
        <v>0.5</v>
      </c>
      <c r="G94" s="43">
        <v>0.5</v>
      </c>
      <c r="H94" s="44">
        <v>0.625</v>
      </c>
      <c r="I94" s="44">
        <v>0.26700000000000002</v>
      </c>
      <c r="J94" s="44">
        <v>0.17199999999999999</v>
      </c>
      <c r="K94" s="44">
        <v>0.28100000000000003</v>
      </c>
      <c r="L94" s="44">
        <v>1.6339999999999999</v>
      </c>
    </row>
    <row r="95" spans="1:12" ht="14" hidden="1" customHeight="1" x14ac:dyDescent="0.15">
      <c r="A95" s="28"/>
      <c r="B95" s="41" t="s">
        <v>610</v>
      </c>
      <c r="C95" s="41" t="s">
        <v>611</v>
      </c>
      <c r="D95" s="42" t="s">
        <v>587</v>
      </c>
      <c r="E95" s="43">
        <v>0.2</v>
      </c>
      <c r="F95" s="43">
        <v>1.7</v>
      </c>
      <c r="G95" s="43">
        <v>1.7</v>
      </c>
      <c r="H95" s="44">
        <v>0.88600000000000001</v>
      </c>
      <c r="I95" s="44">
        <v>0.214</v>
      </c>
      <c r="J95" s="44">
        <v>0.42599999999999999</v>
      </c>
      <c r="K95" s="44">
        <v>0.28000000000000003</v>
      </c>
      <c r="L95" s="44">
        <v>0.65800000000000003</v>
      </c>
    </row>
    <row r="96" spans="1:12" ht="14" hidden="1" customHeight="1" x14ac:dyDescent="0.15">
      <c r="A96" s="28"/>
      <c r="B96" s="41" t="s">
        <v>1772</v>
      </c>
      <c r="C96" s="41" t="s">
        <v>1773</v>
      </c>
      <c r="D96" s="42" t="s">
        <v>898</v>
      </c>
      <c r="E96" s="43">
        <v>1.6</v>
      </c>
      <c r="F96" s="43">
        <v>1.6</v>
      </c>
      <c r="G96" s="43">
        <v>1.6</v>
      </c>
      <c r="H96" s="44">
        <v>0.65700000000000003</v>
      </c>
      <c r="I96" s="44">
        <v>0.28599999999999998</v>
      </c>
      <c r="J96" s="44">
        <v>0.186</v>
      </c>
      <c r="K96" s="44">
        <v>0.28000000000000003</v>
      </c>
      <c r="L96" s="44">
        <v>1.5049999999999999</v>
      </c>
    </row>
    <row r="97" spans="1:12" ht="14" hidden="1" customHeight="1" x14ac:dyDescent="0.15">
      <c r="A97" s="28"/>
      <c r="B97" s="41" t="s">
        <v>1774</v>
      </c>
      <c r="C97" s="41" t="s">
        <v>1773</v>
      </c>
      <c r="D97" s="42" t="s">
        <v>898</v>
      </c>
      <c r="E97" s="43">
        <v>1.6</v>
      </c>
      <c r="F97" s="43">
        <v>1.6</v>
      </c>
      <c r="G97" s="43">
        <v>1.6</v>
      </c>
      <c r="H97" s="44">
        <v>0.65700000000000003</v>
      </c>
      <c r="I97" s="44">
        <v>0.28599999999999998</v>
      </c>
      <c r="J97" s="44">
        <v>0.186</v>
      </c>
      <c r="K97" s="44">
        <v>0.28000000000000003</v>
      </c>
      <c r="L97" s="44">
        <v>1.5049999999999999</v>
      </c>
    </row>
    <row r="98" spans="1:12" ht="14" hidden="1" customHeight="1" x14ac:dyDescent="0.15">
      <c r="A98" s="28"/>
      <c r="B98" s="41" t="s">
        <v>612</v>
      </c>
      <c r="C98" s="41" t="s">
        <v>613</v>
      </c>
      <c r="D98" s="42" t="s">
        <v>513</v>
      </c>
      <c r="E98" s="43">
        <v>0.9</v>
      </c>
      <c r="F98" s="43">
        <v>1.6</v>
      </c>
      <c r="G98" s="43">
        <v>1.4</v>
      </c>
      <c r="H98" s="44">
        <v>0.69099999999999995</v>
      </c>
      <c r="I98" s="44">
        <v>0.22600000000000001</v>
      </c>
      <c r="J98" s="44">
        <v>0.13</v>
      </c>
      <c r="K98" s="44">
        <v>0.27700000000000002</v>
      </c>
      <c r="L98" s="44">
        <v>2.1339999999999999</v>
      </c>
    </row>
    <row r="99" spans="1:12" ht="14" hidden="1" customHeight="1" x14ac:dyDescent="0.15">
      <c r="A99" s="28"/>
      <c r="B99" s="41" t="s">
        <v>365</v>
      </c>
      <c r="C99" s="41" t="s">
        <v>364</v>
      </c>
      <c r="D99" s="42" t="s">
        <v>614</v>
      </c>
      <c r="E99" s="43" t="s">
        <v>1737</v>
      </c>
      <c r="F99" s="43">
        <v>1</v>
      </c>
      <c r="G99" s="43">
        <v>1</v>
      </c>
      <c r="H99" s="44">
        <v>0.52800000000000002</v>
      </c>
      <c r="I99" s="44">
        <v>0.42199999999999999</v>
      </c>
      <c r="J99" s="44">
        <v>0.28599999999999998</v>
      </c>
      <c r="K99" s="44">
        <v>0.27200000000000002</v>
      </c>
      <c r="L99" s="44">
        <v>0.94899999999999995</v>
      </c>
    </row>
    <row r="100" spans="1:12" ht="14" hidden="1" customHeight="1" x14ac:dyDescent="0.15">
      <c r="A100" s="28"/>
      <c r="B100" s="41" t="s">
        <v>615</v>
      </c>
      <c r="C100" s="41" t="s">
        <v>615</v>
      </c>
      <c r="D100" s="42" t="s">
        <v>616</v>
      </c>
      <c r="E100" s="43">
        <v>1.4</v>
      </c>
      <c r="F100" s="43">
        <v>1.5</v>
      </c>
      <c r="G100" s="43">
        <v>1.4</v>
      </c>
      <c r="H100" s="44">
        <v>0.40799999999999997</v>
      </c>
      <c r="I100" s="44">
        <v>0.40799999999999997</v>
      </c>
      <c r="J100" s="44">
        <v>0.27900000000000003</v>
      </c>
      <c r="K100" s="44">
        <v>0.26700000000000002</v>
      </c>
      <c r="L100" s="44">
        <v>0.95799999999999996</v>
      </c>
    </row>
    <row r="101" spans="1:12" ht="28" hidden="1" customHeight="1" x14ac:dyDescent="0.15">
      <c r="A101" s="28"/>
      <c r="B101" s="41" t="s">
        <v>1775</v>
      </c>
      <c r="C101" s="41" t="s">
        <v>1776</v>
      </c>
      <c r="D101" s="42" t="s">
        <v>570</v>
      </c>
      <c r="E101" s="43">
        <v>0.2</v>
      </c>
      <c r="F101" s="43">
        <v>2.5</v>
      </c>
      <c r="G101" s="43">
        <v>2.5</v>
      </c>
      <c r="H101" s="44">
        <v>0.67700000000000005</v>
      </c>
      <c r="I101" s="44">
        <v>0.26700000000000002</v>
      </c>
      <c r="J101" s="44">
        <v>0.23200000000000001</v>
      </c>
      <c r="K101" s="44">
        <v>0.26500000000000001</v>
      </c>
      <c r="L101" s="44">
        <v>1.143</v>
      </c>
    </row>
    <row r="102" spans="1:12" ht="28" hidden="1" customHeight="1" x14ac:dyDescent="0.15">
      <c r="A102" s="28"/>
      <c r="B102" s="41" t="s">
        <v>617</v>
      </c>
      <c r="C102" s="41" t="s">
        <v>618</v>
      </c>
      <c r="D102" s="42" t="s">
        <v>619</v>
      </c>
      <c r="E102" s="43">
        <v>0</v>
      </c>
      <c r="F102" s="43">
        <v>4.5</v>
      </c>
      <c r="G102" s="43">
        <v>4</v>
      </c>
      <c r="H102" s="44">
        <v>0.69499999999999995</v>
      </c>
      <c r="I102" s="44">
        <v>0.307</v>
      </c>
      <c r="J102" s="44">
        <v>0.308</v>
      </c>
      <c r="K102" s="44">
        <v>0.26200000000000001</v>
      </c>
      <c r="L102" s="44">
        <v>0.85199999999999998</v>
      </c>
    </row>
    <row r="103" spans="1:12" ht="14" hidden="1" customHeight="1" x14ac:dyDescent="0.15">
      <c r="A103" s="28"/>
      <c r="B103" s="41" t="s">
        <v>620</v>
      </c>
      <c r="C103" s="41" t="s">
        <v>621</v>
      </c>
      <c r="D103" s="42" t="s">
        <v>622</v>
      </c>
      <c r="E103" s="43">
        <v>0.6</v>
      </c>
      <c r="F103" s="43">
        <v>0.8</v>
      </c>
      <c r="G103" s="43">
        <v>0.8</v>
      </c>
      <c r="H103" s="44">
        <v>0.63900000000000001</v>
      </c>
      <c r="I103" s="44">
        <v>0.27900000000000003</v>
      </c>
      <c r="J103" s="44">
        <v>0.33</v>
      </c>
      <c r="K103" s="44">
        <v>0.26100000000000001</v>
      </c>
      <c r="L103" s="44">
        <v>0.79200000000000004</v>
      </c>
    </row>
    <row r="104" spans="1:12" ht="14" hidden="1" customHeight="1" x14ac:dyDescent="0.15">
      <c r="A104" s="28"/>
      <c r="B104" s="41" t="s">
        <v>623</v>
      </c>
      <c r="C104" s="41" t="s">
        <v>624</v>
      </c>
      <c r="D104" s="42" t="s">
        <v>460</v>
      </c>
      <c r="E104" s="43">
        <v>0.2</v>
      </c>
      <c r="F104" s="43">
        <v>1.5</v>
      </c>
      <c r="G104" s="43">
        <v>1.5</v>
      </c>
      <c r="H104" s="44">
        <v>0.84199999999999997</v>
      </c>
      <c r="I104" s="44">
        <v>0.216</v>
      </c>
      <c r="J104" s="44">
        <v>0.17399999999999999</v>
      </c>
      <c r="K104" s="44">
        <v>0.25900000000000001</v>
      </c>
      <c r="L104" s="44">
        <v>1.4910000000000001</v>
      </c>
    </row>
    <row r="105" spans="1:12" ht="14" hidden="1" customHeight="1" x14ac:dyDescent="0.15">
      <c r="A105" s="28"/>
      <c r="B105" s="41" t="s">
        <v>625</v>
      </c>
      <c r="C105" s="41" t="s">
        <v>626</v>
      </c>
      <c r="D105" s="42" t="s">
        <v>587</v>
      </c>
      <c r="E105" s="43">
        <v>0.5</v>
      </c>
      <c r="F105" s="43">
        <v>1</v>
      </c>
      <c r="G105" s="43">
        <v>1</v>
      </c>
      <c r="H105" s="44">
        <v>0.77</v>
      </c>
      <c r="I105" s="44">
        <v>1.2999999999999999E-2</v>
      </c>
      <c r="J105" s="44">
        <v>0.183</v>
      </c>
      <c r="K105" s="44">
        <v>0.25800000000000001</v>
      </c>
      <c r="L105" s="44">
        <v>1.411</v>
      </c>
    </row>
    <row r="106" spans="1:12" ht="14" hidden="1" customHeight="1" x14ac:dyDescent="0.15">
      <c r="A106" s="28"/>
      <c r="B106" s="41" t="s">
        <v>627</v>
      </c>
      <c r="C106" s="41" t="s">
        <v>628</v>
      </c>
      <c r="D106" s="42" t="s">
        <v>558</v>
      </c>
      <c r="E106" s="43">
        <v>0.1</v>
      </c>
      <c r="F106" s="43">
        <v>3.7</v>
      </c>
      <c r="G106" s="43">
        <v>3</v>
      </c>
      <c r="H106" s="44">
        <v>0.90100000000000002</v>
      </c>
      <c r="I106" s="44">
        <v>0.28100000000000003</v>
      </c>
      <c r="J106" s="44">
        <v>0.26900000000000002</v>
      </c>
      <c r="K106" s="44">
        <v>0.252</v>
      </c>
      <c r="L106" s="44">
        <v>0.93700000000000006</v>
      </c>
    </row>
    <row r="107" spans="1:12" ht="14" hidden="1" customHeight="1" x14ac:dyDescent="0.15">
      <c r="A107" s="28"/>
      <c r="B107" s="41" t="s">
        <v>629</v>
      </c>
      <c r="C107" s="41" t="s">
        <v>630</v>
      </c>
      <c r="D107" s="42" t="s">
        <v>631</v>
      </c>
      <c r="E107" s="43">
        <v>0</v>
      </c>
      <c r="F107" s="43">
        <v>1.7</v>
      </c>
      <c r="G107" s="43">
        <v>1.6</v>
      </c>
      <c r="H107" s="44">
        <v>0.72499999999999998</v>
      </c>
      <c r="I107" s="44">
        <v>0.214</v>
      </c>
      <c r="J107" s="44">
        <v>0.185</v>
      </c>
      <c r="K107" s="44">
        <v>0.249</v>
      </c>
      <c r="L107" s="44">
        <v>1.351</v>
      </c>
    </row>
    <row r="108" spans="1:12" ht="14" hidden="1" customHeight="1" x14ac:dyDescent="0.15">
      <c r="A108" s="28"/>
      <c r="B108" s="41" t="s">
        <v>632</v>
      </c>
      <c r="C108" s="41" t="s">
        <v>633</v>
      </c>
      <c r="D108" s="42" t="s">
        <v>522</v>
      </c>
      <c r="E108" s="43">
        <v>0</v>
      </c>
      <c r="F108" s="43">
        <v>7</v>
      </c>
      <c r="G108" s="43">
        <v>5.2</v>
      </c>
      <c r="H108" s="44">
        <v>0.47299999999999998</v>
      </c>
      <c r="I108" s="44">
        <v>0.27700000000000002</v>
      </c>
      <c r="J108" s="44">
        <v>0.25</v>
      </c>
      <c r="K108" s="44">
        <v>0.248</v>
      </c>
      <c r="L108" s="44">
        <v>0.99</v>
      </c>
    </row>
    <row r="109" spans="1:12" ht="14" hidden="1" customHeight="1" x14ac:dyDescent="0.15">
      <c r="A109" s="28"/>
      <c r="B109" s="41" t="s">
        <v>1777</v>
      </c>
      <c r="C109" s="41" t="s">
        <v>1778</v>
      </c>
      <c r="D109" s="42" t="s">
        <v>460</v>
      </c>
      <c r="E109" s="43">
        <v>0.5</v>
      </c>
      <c r="F109" s="43">
        <v>2.9</v>
      </c>
      <c r="G109" s="43">
        <v>2.7</v>
      </c>
      <c r="H109" s="44">
        <v>0.77800000000000002</v>
      </c>
      <c r="I109" s="44">
        <v>0.152</v>
      </c>
      <c r="J109" s="44">
        <v>0.70399999999999996</v>
      </c>
      <c r="K109" s="44">
        <v>0.246</v>
      </c>
      <c r="L109" s="44">
        <v>0.35</v>
      </c>
    </row>
    <row r="110" spans="1:12" ht="14" hidden="1" customHeight="1" x14ac:dyDescent="0.15">
      <c r="A110" s="28"/>
      <c r="B110" s="41" t="s">
        <v>634</v>
      </c>
      <c r="C110" s="41" t="s">
        <v>635</v>
      </c>
      <c r="D110" s="42" t="s">
        <v>579</v>
      </c>
      <c r="E110" s="43">
        <v>0.2</v>
      </c>
      <c r="F110" s="43" t="s">
        <v>1737</v>
      </c>
      <c r="G110" s="43" t="s">
        <v>1737</v>
      </c>
      <c r="H110" s="44">
        <v>0</v>
      </c>
      <c r="I110" s="44">
        <v>0</v>
      </c>
      <c r="J110" s="44">
        <v>0.14899999999999999</v>
      </c>
      <c r="K110" s="44">
        <v>0.245</v>
      </c>
      <c r="L110" s="44">
        <v>1.651</v>
      </c>
    </row>
    <row r="111" spans="1:12" ht="14" hidden="1" customHeight="1" x14ac:dyDescent="0.15">
      <c r="A111" s="28"/>
      <c r="B111" s="41" t="s">
        <v>636</v>
      </c>
      <c r="C111" s="41" t="s">
        <v>637</v>
      </c>
      <c r="D111" s="42" t="s">
        <v>513</v>
      </c>
      <c r="E111" s="43">
        <v>0.5</v>
      </c>
      <c r="F111" s="43">
        <v>1.3</v>
      </c>
      <c r="G111" s="43">
        <v>1</v>
      </c>
      <c r="H111" s="44">
        <v>0.66400000000000003</v>
      </c>
      <c r="I111" s="44">
        <v>0.245</v>
      </c>
      <c r="J111" s="44">
        <v>0.184</v>
      </c>
      <c r="K111" s="44">
        <v>0.24399999999999999</v>
      </c>
      <c r="L111" s="44">
        <v>1.323</v>
      </c>
    </row>
    <row r="112" spans="1:12" ht="28" hidden="1" customHeight="1" x14ac:dyDescent="0.15">
      <c r="A112" s="28"/>
      <c r="B112" s="41" t="s">
        <v>638</v>
      </c>
      <c r="C112" s="41" t="s">
        <v>639</v>
      </c>
      <c r="D112" s="42" t="s">
        <v>640</v>
      </c>
      <c r="E112" s="43">
        <v>1</v>
      </c>
      <c r="F112" s="43">
        <v>3.3</v>
      </c>
      <c r="G112" s="43">
        <v>2.7</v>
      </c>
      <c r="H112" s="44">
        <v>0.45200000000000001</v>
      </c>
      <c r="I112" s="44">
        <v>0.252</v>
      </c>
      <c r="J112" s="44">
        <v>0.217</v>
      </c>
      <c r="K112" s="44">
        <v>0.24399999999999999</v>
      </c>
      <c r="L112" s="44">
        <v>1.127</v>
      </c>
    </row>
    <row r="113" spans="1:12" ht="14" hidden="1" customHeight="1" x14ac:dyDescent="0.15">
      <c r="A113" s="28"/>
      <c r="B113" s="41" t="s">
        <v>641</v>
      </c>
      <c r="C113" s="41" t="s">
        <v>642</v>
      </c>
      <c r="D113" s="42" t="s">
        <v>522</v>
      </c>
      <c r="E113" s="43">
        <v>0.4</v>
      </c>
      <c r="F113" s="43">
        <v>4.2</v>
      </c>
      <c r="G113" s="43">
        <v>3.2</v>
      </c>
      <c r="H113" s="44">
        <v>0.4</v>
      </c>
      <c r="I113" s="44">
        <v>0.123</v>
      </c>
      <c r="J113" s="44">
        <v>0.111</v>
      </c>
      <c r="K113" s="44">
        <v>0.24099999999999999</v>
      </c>
      <c r="L113" s="44">
        <v>2.181</v>
      </c>
    </row>
    <row r="114" spans="1:12" ht="14" hidden="1" customHeight="1" x14ac:dyDescent="0.15">
      <c r="A114" s="28"/>
      <c r="B114" s="41" t="s">
        <v>643</v>
      </c>
      <c r="C114" s="41" t="s">
        <v>644</v>
      </c>
      <c r="D114" s="42" t="s">
        <v>645</v>
      </c>
      <c r="E114" s="43">
        <v>1.2</v>
      </c>
      <c r="F114" s="43">
        <v>1.6</v>
      </c>
      <c r="G114" s="43">
        <v>1.6</v>
      </c>
      <c r="H114" s="44">
        <v>0.38</v>
      </c>
      <c r="I114" s="44">
        <v>0.247</v>
      </c>
      <c r="J114" s="44">
        <v>0.215</v>
      </c>
      <c r="K114" s="44">
        <v>0.24</v>
      </c>
      <c r="L114" s="44">
        <v>1.115</v>
      </c>
    </row>
    <row r="115" spans="1:12" ht="14" hidden="1" customHeight="1" x14ac:dyDescent="0.15">
      <c r="A115" s="28"/>
      <c r="B115" s="41" t="s">
        <v>647</v>
      </c>
      <c r="C115" s="41" t="s">
        <v>648</v>
      </c>
      <c r="D115" s="42" t="s">
        <v>649</v>
      </c>
      <c r="E115" s="43">
        <v>1.5</v>
      </c>
      <c r="F115" s="43">
        <v>1.5</v>
      </c>
      <c r="G115" s="43">
        <v>0.9</v>
      </c>
      <c r="H115" s="44">
        <v>0.25600000000000001</v>
      </c>
      <c r="I115" s="44">
        <v>0.20399999999999999</v>
      </c>
      <c r="J115" s="44">
        <v>0.108</v>
      </c>
      <c r="K115" s="44">
        <v>0.24</v>
      </c>
      <c r="L115" s="44">
        <v>2.2309999999999999</v>
      </c>
    </row>
    <row r="116" spans="1:12" ht="14" hidden="1" customHeight="1" x14ac:dyDescent="0.15">
      <c r="A116" s="28"/>
      <c r="B116" s="41" t="s">
        <v>650</v>
      </c>
      <c r="C116" s="41" t="s">
        <v>651</v>
      </c>
      <c r="D116" s="42" t="s">
        <v>652</v>
      </c>
      <c r="E116" s="43">
        <v>0</v>
      </c>
      <c r="F116" s="43">
        <v>3.5</v>
      </c>
      <c r="G116" s="43">
        <v>3</v>
      </c>
      <c r="H116" s="44">
        <v>0.6</v>
      </c>
      <c r="I116" s="44">
        <v>0.33400000000000002</v>
      </c>
      <c r="J116" s="44">
        <v>0.26400000000000001</v>
      </c>
      <c r="K116" s="44">
        <v>0.24</v>
      </c>
      <c r="L116" s="44">
        <v>0.91100000000000003</v>
      </c>
    </row>
    <row r="117" spans="1:12" ht="14" hidden="1" customHeight="1" x14ac:dyDescent="0.15">
      <c r="A117" s="28"/>
      <c r="B117" s="41" t="s">
        <v>653</v>
      </c>
      <c r="C117" s="41" t="s">
        <v>654</v>
      </c>
      <c r="D117" s="42" t="s">
        <v>655</v>
      </c>
      <c r="E117" s="43">
        <v>2.9</v>
      </c>
      <c r="F117" s="43">
        <v>1.2</v>
      </c>
      <c r="G117" s="43">
        <v>1.2</v>
      </c>
      <c r="H117" s="44">
        <v>0.76800000000000002</v>
      </c>
      <c r="I117" s="44">
        <v>0.215</v>
      </c>
      <c r="J117" s="44">
        <v>0.16500000000000001</v>
      </c>
      <c r="K117" s="44">
        <v>0.23799999999999999</v>
      </c>
      <c r="L117" s="44">
        <v>1.4430000000000001</v>
      </c>
    </row>
    <row r="118" spans="1:12" ht="14" hidden="1" customHeight="1" x14ac:dyDescent="0.15">
      <c r="A118" s="28"/>
      <c r="B118" s="41" t="s">
        <v>1537</v>
      </c>
      <c r="C118" s="41" t="s">
        <v>1779</v>
      </c>
      <c r="D118" s="42" t="s">
        <v>695</v>
      </c>
      <c r="E118" s="43">
        <v>0.4</v>
      </c>
      <c r="F118" s="43">
        <v>6.7</v>
      </c>
      <c r="G118" s="43">
        <v>6.1</v>
      </c>
      <c r="H118" s="44">
        <v>0.69599999999999995</v>
      </c>
      <c r="I118" s="44">
        <v>0.27800000000000002</v>
      </c>
      <c r="J118" s="44">
        <v>0.28299999999999997</v>
      </c>
      <c r="K118" s="44">
        <v>0.23799999999999999</v>
      </c>
      <c r="L118" s="44">
        <v>0.84299999999999997</v>
      </c>
    </row>
    <row r="119" spans="1:12" ht="14" hidden="1" customHeight="1" x14ac:dyDescent="0.15">
      <c r="A119" s="28"/>
      <c r="B119" s="41" t="s">
        <v>656</v>
      </c>
      <c r="C119" s="41" t="s">
        <v>657</v>
      </c>
      <c r="D119" s="42" t="s">
        <v>616</v>
      </c>
      <c r="E119" s="43">
        <v>1.5</v>
      </c>
      <c r="F119" s="43">
        <v>0.8</v>
      </c>
      <c r="G119" s="43">
        <v>0.6</v>
      </c>
      <c r="H119" s="44">
        <v>0.443</v>
      </c>
      <c r="I119" s="44">
        <v>0.39400000000000002</v>
      </c>
      <c r="J119" s="44">
        <v>0.27300000000000002</v>
      </c>
      <c r="K119" s="44">
        <v>0.23799999999999999</v>
      </c>
      <c r="L119" s="44">
        <v>0.871</v>
      </c>
    </row>
    <row r="120" spans="1:12" ht="14" hidden="1" customHeight="1" x14ac:dyDescent="0.15">
      <c r="A120" s="28"/>
      <c r="B120" s="41" t="s">
        <v>1780</v>
      </c>
      <c r="C120" s="41" t="s">
        <v>1781</v>
      </c>
      <c r="D120" s="42" t="s">
        <v>587</v>
      </c>
      <c r="E120" s="43">
        <v>1.1000000000000001</v>
      </c>
      <c r="F120" s="43">
        <v>0.8</v>
      </c>
      <c r="G120" s="43">
        <v>0.8</v>
      </c>
      <c r="H120" s="44">
        <v>0.84599999999999997</v>
      </c>
      <c r="I120" s="44">
        <v>0.186</v>
      </c>
      <c r="J120" s="44">
        <v>0.22700000000000001</v>
      </c>
      <c r="K120" s="44">
        <v>0.23699999999999999</v>
      </c>
      <c r="L120" s="44">
        <v>1.042</v>
      </c>
    </row>
    <row r="121" spans="1:12" ht="14" hidden="1" customHeight="1" x14ac:dyDescent="0.15">
      <c r="A121" s="28"/>
      <c r="B121" s="41" t="s">
        <v>1782</v>
      </c>
      <c r="C121" s="41" t="s">
        <v>1783</v>
      </c>
      <c r="D121" s="42" t="s">
        <v>506</v>
      </c>
      <c r="E121" s="43">
        <v>1.4</v>
      </c>
      <c r="F121" s="43" t="s">
        <v>1737</v>
      </c>
      <c r="G121" s="43" t="s">
        <v>1737</v>
      </c>
      <c r="H121" s="44">
        <v>0</v>
      </c>
      <c r="I121" s="44">
        <v>0.36699999999999999</v>
      </c>
      <c r="J121" s="44">
        <v>0.28599999999999998</v>
      </c>
      <c r="K121" s="44">
        <v>0.23699999999999999</v>
      </c>
      <c r="L121" s="44">
        <v>0.82699999999999996</v>
      </c>
    </row>
    <row r="122" spans="1:12" ht="14" hidden="1" customHeight="1" x14ac:dyDescent="0.15">
      <c r="A122" s="28"/>
      <c r="B122" s="41" t="s">
        <v>1539</v>
      </c>
      <c r="C122" s="41" t="s">
        <v>1784</v>
      </c>
      <c r="D122" s="42" t="s">
        <v>522</v>
      </c>
      <c r="E122" s="43">
        <v>0.4</v>
      </c>
      <c r="F122" s="43">
        <v>1.4</v>
      </c>
      <c r="G122" s="43">
        <v>1</v>
      </c>
      <c r="H122" s="44">
        <v>0.58599999999999997</v>
      </c>
      <c r="I122" s="44">
        <v>0.312</v>
      </c>
      <c r="J122" s="44">
        <v>0.29299999999999998</v>
      </c>
      <c r="K122" s="44">
        <v>0.23699999999999999</v>
      </c>
      <c r="L122" s="44">
        <v>0.80800000000000005</v>
      </c>
    </row>
    <row r="123" spans="1:12" ht="28" hidden="1" customHeight="1" x14ac:dyDescent="0.15">
      <c r="A123" s="28"/>
      <c r="B123" s="41" t="s">
        <v>658</v>
      </c>
      <c r="C123" s="41" t="s">
        <v>659</v>
      </c>
      <c r="D123" s="42" t="s">
        <v>640</v>
      </c>
      <c r="E123" s="43">
        <v>1.3</v>
      </c>
      <c r="F123" s="43">
        <v>2.6</v>
      </c>
      <c r="G123" s="43">
        <v>1.8</v>
      </c>
      <c r="H123" s="44">
        <v>0.56100000000000005</v>
      </c>
      <c r="I123" s="44">
        <v>0.26300000000000001</v>
      </c>
      <c r="J123" s="44">
        <v>0.216</v>
      </c>
      <c r="K123" s="44">
        <v>0.23300000000000001</v>
      </c>
      <c r="L123" s="44">
        <v>1.0780000000000001</v>
      </c>
    </row>
    <row r="124" spans="1:12" ht="14" hidden="1" customHeight="1" x14ac:dyDescent="0.15">
      <c r="A124" s="28"/>
      <c r="B124" s="41" t="s">
        <v>660</v>
      </c>
      <c r="C124" s="41" t="s">
        <v>661</v>
      </c>
      <c r="D124" s="42" t="s">
        <v>498</v>
      </c>
      <c r="E124" s="43">
        <v>0</v>
      </c>
      <c r="F124" s="43">
        <v>9.9</v>
      </c>
      <c r="G124" s="43">
        <v>9.9</v>
      </c>
      <c r="H124" s="44">
        <v>0.57599999999999996</v>
      </c>
      <c r="I124" s="44">
        <v>0.42499999999999999</v>
      </c>
      <c r="J124" s="44">
        <v>0.379</v>
      </c>
      <c r="K124" s="44">
        <v>0.23300000000000001</v>
      </c>
      <c r="L124" s="44">
        <v>0.61399999999999999</v>
      </c>
    </row>
    <row r="125" spans="1:12" ht="14" hidden="1" customHeight="1" x14ac:dyDescent="0.15">
      <c r="A125" s="28"/>
      <c r="B125" s="41" t="s">
        <v>662</v>
      </c>
      <c r="C125" s="41" t="s">
        <v>663</v>
      </c>
      <c r="D125" s="42" t="s">
        <v>652</v>
      </c>
      <c r="E125" s="43">
        <v>2.2999999999999998</v>
      </c>
      <c r="F125" s="43">
        <v>0.8</v>
      </c>
      <c r="G125" s="43">
        <v>0.6</v>
      </c>
      <c r="H125" s="44">
        <v>0.61099999999999999</v>
      </c>
      <c r="I125" s="44">
        <v>0.28499999999999998</v>
      </c>
      <c r="J125" s="44">
        <v>0.24399999999999999</v>
      </c>
      <c r="K125" s="44">
        <v>0.23200000000000001</v>
      </c>
      <c r="L125" s="44">
        <v>0.94899999999999995</v>
      </c>
    </row>
    <row r="126" spans="1:12" ht="14" hidden="1" customHeight="1" x14ac:dyDescent="0.15">
      <c r="A126" s="28"/>
      <c r="B126" s="41" t="s">
        <v>1785</v>
      </c>
      <c r="C126" s="41" t="s">
        <v>1786</v>
      </c>
      <c r="D126" s="42" t="s">
        <v>590</v>
      </c>
      <c r="E126" s="43">
        <v>1.2</v>
      </c>
      <c r="F126" s="43">
        <v>0.4</v>
      </c>
      <c r="G126" s="43">
        <v>0.4</v>
      </c>
      <c r="H126" s="44">
        <v>0.53100000000000003</v>
      </c>
      <c r="I126" s="44">
        <v>0.217</v>
      </c>
      <c r="J126" s="44">
        <v>0.112</v>
      </c>
      <c r="K126" s="44">
        <v>0.22700000000000001</v>
      </c>
      <c r="L126" s="44">
        <v>2.0249999999999999</v>
      </c>
    </row>
    <row r="127" spans="1:12" ht="14" hidden="1" customHeight="1" x14ac:dyDescent="0.15">
      <c r="A127" s="28"/>
      <c r="B127" s="41" t="s">
        <v>1787</v>
      </c>
      <c r="C127" s="41" t="s">
        <v>1788</v>
      </c>
      <c r="D127" s="42" t="s">
        <v>1789</v>
      </c>
      <c r="E127" s="43">
        <v>0.1</v>
      </c>
      <c r="F127" s="43" t="s">
        <v>1737</v>
      </c>
      <c r="G127" s="43" t="s">
        <v>1737</v>
      </c>
      <c r="H127" s="44">
        <v>0</v>
      </c>
      <c r="I127" s="44">
        <v>0</v>
      </c>
      <c r="J127" s="44">
        <v>0.123</v>
      </c>
      <c r="K127" s="44">
        <v>0.22500000000000001</v>
      </c>
      <c r="L127" s="44">
        <v>1.835</v>
      </c>
    </row>
    <row r="128" spans="1:12" ht="14" hidden="1" customHeight="1" x14ac:dyDescent="0.15">
      <c r="A128" s="28"/>
      <c r="B128" s="41" t="s">
        <v>665</v>
      </c>
      <c r="C128" s="41" t="s">
        <v>666</v>
      </c>
      <c r="D128" s="42" t="s">
        <v>506</v>
      </c>
      <c r="E128" s="43">
        <v>0.6</v>
      </c>
      <c r="F128" s="43" t="s">
        <v>1737</v>
      </c>
      <c r="G128" s="43" t="s">
        <v>1737</v>
      </c>
      <c r="H128" s="44">
        <v>0</v>
      </c>
      <c r="I128" s="44">
        <v>0.49199999999999999</v>
      </c>
      <c r="J128" s="44">
        <v>0.29899999999999999</v>
      </c>
      <c r="K128" s="44">
        <v>0.222</v>
      </c>
      <c r="L128" s="44">
        <v>0.74099999999999999</v>
      </c>
    </row>
    <row r="129" spans="1:12" ht="14" hidden="1" customHeight="1" x14ac:dyDescent="0.15">
      <c r="A129" s="28"/>
      <c r="B129" s="41" t="s">
        <v>1533</v>
      </c>
      <c r="C129" s="41" t="s">
        <v>1534</v>
      </c>
      <c r="D129" s="42" t="s">
        <v>816</v>
      </c>
      <c r="E129" s="43">
        <v>0.4</v>
      </c>
      <c r="F129" s="43">
        <v>1.2</v>
      </c>
      <c r="G129" s="43">
        <v>1.2</v>
      </c>
      <c r="H129" s="44">
        <v>0.57699999999999996</v>
      </c>
      <c r="I129" s="44">
        <v>0.161</v>
      </c>
      <c r="J129" s="44">
        <v>8.6999999999999994E-2</v>
      </c>
      <c r="K129" s="44">
        <v>0.221</v>
      </c>
      <c r="L129" s="44">
        <v>2.5270000000000001</v>
      </c>
    </row>
    <row r="130" spans="1:12" ht="14" hidden="1" customHeight="1" x14ac:dyDescent="0.15">
      <c r="A130" s="28"/>
      <c r="B130" s="41" t="s">
        <v>1790</v>
      </c>
      <c r="C130" s="41" t="s">
        <v>1791</v>
      </c>
      <c r="D130" s="42" t="s">
        <v>744</v>
      </c>
      <c r="E130" s="43">
        <v>0.4</v>
      </c>
      <c r="F130" s="43">
        <v>9.1999999999999993</v>
      </c>
      <c r="G130" s="43">
        <v>9.1</v>
      </c>
      <c r="H130" s="44">
        <v>0.67100000000000004</v>
      </c>
      <c r="I130" s="44">
        <v>0.106</v>
      </c>
      <c r="J130" s="44">
        <v>0.42599999999999999</v>
      </c>
      <c r="K130" s="44">
        <v>0.219</v>
      </c>
      <c r="L130" s="44">
        <v>0.51500000000000001</v>
      </c>
    </row>
    <row r="131" spans="1:12" ht="14" hidden="1" customHeight="1" x14ac:dyDescent="0.15">
      <c r="A131" s="28"/>
      <c r="B131" s="41" t="s">
        <v>667</v>
      </c>
      <c r="C131" s="41" t="s">
        <v>668</v>
      </c>
      <c r="D131" s="42" t="s">
        <v>465</v>
      </c>
      <c r="E131" s="43">
        <v>0.3</v>
      </c>
      <c r="F131" s="43">
        <v>1.4</v>
      </c>
      <c r="G131" s="43">
        <v>1.4</v>
      </c>
      <c r="H131" s="44">
        <v>0.44900000000000001</v>
      </c>
      <c r="I131" s="44">
        <v>0.157</v>
      </c>
      <c r="J131" s="44">
        <v>0.13800000000000001</v>
      </c>
      <c r="K131" s="44">
        <v>0.217</v>
      </c>
      <c r="L131" s="44">
        <v>1.573</v>
      </c>
    </row>
    <row r="132" spans="1:12" ht="14" hidden="1" customHeight="1" x14ac:dyDescent="0.15">
      <c r="A132" s="28"/>
      <c r="B132" s="41" t="s">
        <v>669</v>
      </c>
      <c r="C132" s="41" t="s">
        <v>670</v>
      </c>
      <c r="D132" s="42" t="s">
        <v>587</v>
      </c>
      <c r="E132" s="43">
        <v>0.2</v>
      </c>
      <c r="F132" s="43">
        <v>1.1000000000000001</v>
      </c>
      <c r="G132" s="43">
        <v>1.1000000000000001</v>
      </c>
      <c r="H132" s="44">
        <v>0.752</v>
      </c>
      <c r="I132" s="44">
        <v>2.7E-2</v>
      </c>
      <c r="J132" s="44">
        <v>7.0000000000000001E-3</v>
      </c>
      <c r="K132" s="44">
        <v>0.214</v>
      </c>
      <c r="L132" s="44">
        <v>32.088000000000001</v>
      </c>
    </row>
    <row r="133" spans="1:12" ht="14" hidden="1" customHeight="1" x14ac:dyDescent="0.15">
      <c r="A133" s="28"/>
      <c r="B133" s="41" t="s">
        <v>671</v>
      </c>
      <c r="C133" s="41" t="s">
        <v>672</v>
      </c>
      <c r="D133" s="42" t="s">
        <v>631</v>
      </c>
      <c r="E133" s="43">
        <v>0.5</v>
      </c>
      <c r="F133" s="43">
        <v>2.8</v>
      </c>
      <c r="G133" s="43">
        <v>2.2999999999999998</v>
      </c>
      <c r="H133" s="44">
        <v>0.69</v>
      </c>
      <c r="I133" s="44">
        <v>0.221</v>
      </c>
      <c r="J133" s="44">
        <v>0.17100000000000001</v>
      </c>
      <c r="K133" s="44">
        <v>0.214</v>
      </c>
      <c r="L133" s="44">
        <v>1.2509999999999999</v>
      </c>
    </row>
    <row r="134" spans="1:12" ht="14" hidden="1" customHeight="1" x14ac:dyDescent="0.15">
      <c r="A134" s="28"/>
      <c r="B134" s="41" t="s">
        <v>673</v>
      </c>
      <c r="C134" s="41" t="s">
        <v>674</v>
      </c>
      <c r="D134" s="42" t="s">
        <v>513</v>
      </c>
      <c r="E134" s="43">
        <v>1</v>
      </c>
      <c r="F134" s="43">
        <v>1.2</v>
      </c>
      <c r="G134" s="43">
        <v>1</v>
      </c>
      <c r="H134" s="44">
        <v>0.69899999999999995</v>
      </c>
      <c r="I134" s="44">
        <v>0.26100000000000001</v>
      </c>
      <c r="J134" s="44">
        <v>0.21</v>
      </c>
      <c r="K134" s="44">
        <v>0.214</v>
      </c>
      <c r="L134" s="44">
        <v>1.0229999999999999</v>
      </c>
    </row>
    <row r="135" spans="1:12" ht="14" hidden="1" customHeight="1" x14ac:dyDescent="0.15">
      <c r="A135" s="28"/>
      <c r="B135" s="41" t="s">
        <v>675</v>
      </c>
      <c r="C135" s="41" t="s">
        <v>676</v>
      </c>
      <c r="D135" s="42" t="s">
        <v>460</v>
      </c>
      <c r="E135" s="43">
        <v>0.2</v>
      </c>
      <c r="F135" s="43">
        <v>1</v>
      </c>
      <c r="G135" s="43">
        <v>0.9</v>
      </c>
      <c r="H135" s="44">
        <v>0.77700000000000002</v>
      </c>
      <c r="I135" s="44">
        <v>0.153</v>
      </c>
      <c r="J135" s="44">
        <v>0.14299999999999999</v>
      </c>
      <c r="K135" s="44">
        <v>0.214</v>
      </c>
      <c r="L135" s="44">
        <v>1.494</v>
      </c>
    </row>
    <row r="136" spans="1:12" ht="14" hidden="1" customHeight="1" x14ac:dyDescent="0.15">
      <c r="A136" s="28"/>
      <c r="B136" s="41" t="s">
        <v>677</v>
      </c>
      <c r="C136" s="41" t="s">
        <v>678</v>
      </c>
      <c r="D136" s="42" t="s">
        <v>506</v>
      </c>
      <c r="E136" s="43">
        <v>1.2</v>
      </c>
      <c r="F136" s="43" t="s">
        <v>1737</v>
      </c>
      <c r="G136" s="43" t="s">
        <v>1737</v>
      </c>
      <c r="H136" s="44">
        <v>0</v>
      </c>
      <c r="I136" s="44">
        <v>0.441</v>
      </c>
      <c r="J136" s="44">
        <v>0.30199999999999999</v>
      </c>
      <c r="K136" s="44">
        <v>0.21299999999999999</v>
      </c>
      <c r="L136" s="44">
        <v>0.70699999999999996</v>
      </c>
    </row>
    <row r="137" spans="1:12" ht="28" hidden="1" customHeight="1" x14ac:dyDescent="0.15">
      <c r="A137" s="28"/>
      <c r="B137" s="41" t="s">
        <v>679</v>
      </c>
      <c r="C137" s="41" t="s">
        <v>680</v>
      </c>
      <c r="D137" s="42" t="s">
        <v>681</v>
      </c>
      <c r="E137" s="43">
        <v>2.4</v>
      </c>
      <c r="F137" s="43">
        <v>2.6</v>
      </c>
      <c r="G137" s="43">
        <v>1.9</v>
      </c>
      <c r="H137" s="44">
        <v>0.68200000000000005</v>
      </c>
      <c r="I137" s="44">
        <v>0.32300000000000001</v>
      </c>
      <c r="J137" s="44">
        <v>0.24</v>
      </c>
      <c r="K137" s="44">
        <v>0.21299999999999999</v>
      </c>
      <c r="L137" s="44">
        <v>0.88900000000000001</v>
      </c>
    </row>
    <row r="138" spans="1:12" ht="14" hidden="1" customHeight="1" x14ac:dyDescent="0.15">
      <c r="A138" s="28"/>
      <c r="B138" s="41" t="s">
        <v>682</v>
      </c>
      <c r="C138" s="41" t="s">
        <v>683</v>
      </c>
      <c r="D138" s="42" t="s">
        <v>631</v>
      </c>
      <c r="E138" s="43">
        <v>0.2</v>
      </c>
      <c r="F138" s="43">
        <v>3.3</v>
      </c>
      <c r="G138" s="43">
        <v>2.6</v>
      </c>
      <c r="H138" s="44">
        <v>0.74399999999999999</v>
      </c>
      <c r="I138" s="44">
        <v>0.28499999999999998</v>
      </c>
      <c r="J138" s="44">
        <v>0.24099999999999999</v>
      </c>
      <c r="K138" s="44">
        <v>0.21</v>
      </c>
      <c r="L138" s="44">
        <v>0.872</v>
      </c>
    </row>
    <row r="139" spans="1:12" ht="14" hidden="1" customHeight="1" x14ac:dyDescent="0.15">
      <c r="A139" s="28"/>
      <c r="B139" s="41" t="s">
        <v>1792</v>
      </c>
      <c r="C139" s="41" t="s">
        <v>1793</v>
      </c>
      <c r="D139" s="42" t="s">
        <v>506</v>
      </c>
      <c r="E139" s="43">
        <v>0.4</v>
      </c>
      <c r="F139" s="43" t="s">
        <v>1737</v>
      </c>
      <c r="G139" s="43" t="s">
        <v>1737</v>
      </c>
      <c r="H139" s="44">
        <v>0</v>
      </c>
      <c r="I139" s="44">
        <v>0.38500000000000001</v>
      </c>
      <c r="J139" s="44">
        <v>0.28799999999999998</v>
      </c>
      <c r="K139" s="44">
        <v>0.20799999999999999</v>
      </c>
      <c r="L139" s="44">
        <v>0.72299999999999998</v>
      </c>
    </row>
    <row r="140" spans="1:12" ht="14" hidden="1" customHeight="1" x14ac:dyDescent="0.15">
      <c r="A140" s="28"/>
      <c r="B140" s="41" t="s">
        <v>684</v>
      </c>
      <c r="C140" s="41" t="s">
        <v>685</v>
      </c>
      <c r="D140" s="42" t="s">
        <v>506</v>
      </c>
      <c r="E140" s="43">
        <v>0.7</v>
      </c>
      <c r="F140" s="43" t="s">
        <v>1737</v>
      </c>
      <c r="G140" s="43" t="s">
        <v>1737</v>
      </c>
      <c r="H140" s="44">
        <v>0</v>
      </c>
      <c r="I140" s="44">
        <v>0.376</v>
      </c>
      <c r="J140" s="44">
        <v>0.34499999999999997</v>
      </c>
      <c r="K140" s="44">
        <v>0.20499999999999999</v>
      </c>
      <c r="L140" s="44">
        <v>0.59499999999999997</v>
      </c>
    </row>
    <row r="141" spans="1:12" ht="28" hidden="1" customHeight="1" x14ac:dyDescent="0.15">
      <c r="A141" s="28"/>
      <c r="B141" s="41" t="s">
        <v>1529</v>
      </c>
      <c r="C141" s="41" t="s">
        <v>1794</v>
      </c>
      <c r="D141" s="42" t="s">
        <v>793</v>
      </c>
      <c r="E141" s="43">
        <v>0.7</v>
      </c>
      <c r="F141" s="43">
        <v>1.1000000000000001</v>
      </c>
      <c r="G141" s="43">
        <v>1.1000000000000001</v>
      </c>
      <c r="H141" s="44">
        <v>0.47899999999999998</v>
      </c>
      <c r="I141" s="44">
        <v>0.156</v>
      </c>
      <c r="J141" s="44">
        <v>8.6999999999999994E-2</v>
      </c>
      <c r="K141" s="44">
        <v>0.20399999999999999</v>
      </c>
      <c r="L141" s="44">
        <v>2.335</v>
      </c>
    </row>
    <row r="142" spans="1:12" ht="14" hidden="1" customHeight="1" x14ac:dyDescent="0.15">
      <c r="A142" s="28"/>
      <c r="B142" s="41" t="s">
        <v>686</v>
      </c>
      <c r="C142" s="41" t="s">
        <v>687</v>
      </c>
      <c r="D142" s="42" t="s">
        <v>597</v>
      </c>
      <c r="E142" s="43" t="s">
        <v>1737</v>
      </c>
      <c r="F142" s="43">
        <v>1.2</v>
      </c>
      <c r="G142" s="43">
        <v>1.1000000000000001</v>
      </c>
      <c r="H142" s="44">
        <v>0.499</v>
      </c>
      <c r="I142" s="44">
        <v>0.217</v>
      </c>
      <c r="J142" s="44">
        <v>0.11</v>
      </c>
      <c r="K142" s="44">
        <v>0.20100000000000001</v>
      </c>
      <c r="L142" s="44">
        <v>1.819</v>
      </c>
    </row>
    <row r="143" spans="1:12" ht="14" hidden="1" customHeight="1" x14ac:dyDescent="0.15">
      <c r="A143" s="28"/>
      <c r="B143" s="41" t="s">
        <v>1795</v>
      </c>
      <c r="C143" s="41" t="s">
        <v>1796</v>
      </c>
      <c r="D143" s="42" t="s">
        <v>609</v>
      </c>
      <c r="E143" s="43">
        <v>0.7</v>
      </c>
      <c r="F143" s="43">
        <v>0.7</v>
      </c>
      <c r="G143" s="43">
        <v>0.7</v>
      </c>
      <c r="H143" s="44">
        <v>0.624</v>
      </c>
      <c r="I143" s="44">
        <v>0.32900000000000001</v>
      </c>
      <c r="J143" s="44">
        <v>0.19700000000000001</v>
      </c>
      <c r="K143" s="44">
        <v>0.2</v>
      </c>
      <c r="L143" s="44">
        <v>1.014</v>
      </c>
    </row>
    <row r="144" spans="1:12" ht="14" hidden="1" customHeight="1" x14ac:dyDescent="0.15">
      <c r="A144" s="28"/>
      <c r="B144" s="41" t="s">
        <v>358</v>
      </c>
      <c r="C144" s="41" t="s">
        <v>688</v>
      </c>
      <c r="D144" s="42" t="s">
        <v>614</v>
      </c>
      <c r="E144" s="43" t="s">
        <v>1737</v>
      </c>
      <c r="F144" s="43">
        <v>1</v>
      </c>
      <c r="G144" s="43">
        <v>1</v>
      </c>
      <c r="H144" s="44">
        <v>0.77900000000000003</v>
      </c>
      <c r="I144" s="44">
        <v>0.33900000000000002</v>
      </c>
      <c r="J144" s="44">
        <v>0.23100000000000001</v>
      </c>
      <c r="K144" s="44">
        <v>0.2</v>
      </c>
      <c r="L144" s="44">
        <v>0.86399999999999999</v>
      </c>
    </row>
    <row r="145" spans="1:12" ht="28" hidden="1" customHeight="1" x14ac:dyDescent="0.15">
      <c r="A145" s="28"/>
      <c r="B145" s="41" t="s">
        <v>689</v>
      </c>
      <c r="C145" s="41" t="s">
        <v>690</v>
      </c>
      <c r="D145" s="42" t="s">
        <v>640</v>
      </c>
      <c r="E145" s="43">
        <v>0.6</v>
      </c>
      <c r="F145" s="43">
        <v>2.4</v>
      </c>
      <c r="G145" s="43">
        <v>1.6</v>
      </c>
      <c r="H145" s="44">
        <v>0.438</v>
      </c>
      <c r="I145" s="44">
        <v>0.23200000000000001</v>
      </c>
      <c r="J145" s="44">
        <v>0.188</v>
      </c>
      <c r="K145" s="44">
        <v>0.19900000000000001</v>
      </c>
      <c r="L145" s="44">
        <v>1.0580000000000001</v>
      </c>
    </row>
    <row r="146" spans="1:12" ht="14" hidden="1" customHeight="1" x14ac:dyDescent="0.15">
      <c r="A146" s="28"/>
      <c r="B146" s="41" t="s">
        <v>691</v>
      </c>
      <c r="C146" s="41" t="s">
        <v>692</v>
      </c>
      <c r="D146" s="42" t="s">
        <v>579</v>
      </c>
      <c r="E146" s="43">
        <v>0.3</v>
      </c>
      <c r="F146" s="43" t="s">
        <v>1737</v>
      </c>
      <c r="G146" s="43" t="s">
        <v>1737</v>
      </c>
      <c r="H146" s="44">
        <v>0</v>
      </c>
      <c r="I146" s="44">
        <v>0</v>
      </c>
      <c r="J146" s="44">
        <v>8.5000000000000006E-2</v>
      </c>
      <c r="K146" s="44">
        <v>0.19900000000000001</v>
      </c>
      <c r="L146" s="44">
        <v>2.3460000000000001</v>
      </c>
    </row>
    <row r="147" spans="1:12" ht="14" hidden="1" customHeight="1" x14ac:dyDescent="0.15">
      <c r="A147" s="28"/>
      <c r="B147" s="41" t="s">
        <v>693</v>
      </c>
      <c r="C147" s="41" t="s">
        <v>694</v>
      </c>
      <c r="D147" s="42" t="s">
        <v>695</v>
      </c>
      <c r="E147" s="43" t="s">
        <v>1737</v>
      </c>
      <c r="F147" s="43">
        <v>2.2000000000000002</v>
      </c>
      <c r="G147" s="43">
        <v>1.7</v>
      </c>
      <c r="H147" s="44">
        <v>0.57999999999999996</v>
      </c>
      <c r="I147" s="44">
        <v>0.29499999999999998</v>
      </c>
      <c r="J147" s="44">
        <v>0.246</v>
      </c>
      <c r="K147" s="44">
        <v>0.19800000000000001</v>
      </c>
      <c r="L147" s="44">
        <v>0.80500000000000005</v>
      </c>
    </row>
    <row r="148" spans="1:12" ht="14" hidden="1" customHeight="1" x14ac:dyDescent="0.15">
      <c r="A148" s="28"/>
      <c r="B148" s="41" t="s">
        <v>696</v>
      </c>
      <c r="C148" s="41" t="s">
        <v>697</v>
      </c>
      <c r="D148" s="42" t="s">
        <v>622</v>
      </c>
      <c r="E148" s="43">
        <v>0.6</v>
      </c>
      <c r="F148" s="43">
        <v>1.4</v>
      </c>
      <c r="G148" s="43">
        <v>1</v>
      </c>
      <c r="H148" s="44">
        <v>0.34699999999999998</v>
      </c>
      <c r="I148" s="44">
        <v>0.22800000000000001</v>
      </c>
      <c r="J148" s="44">
        <v>0.16700000000000001</v>
      </c>
      <c r="K148" s="44">
        <v>0.19700000000000001</v>
      </c>
      <c r="L148" s="44">
        <v>1.1779999999999999</v>
      </c>
    </row>
    <row r="149" spans="1:12" ht="28" hidden="1" customHeight="1" x14ac:dyDescent="0.15">
      <c r="A149" s="28"/>
      <c r="B149" s="41" t="s">
        <v>698</v>
      </c>
      <c r="C149" s="41" t="s">
        <v>699</v>
      </c>
      <c r="D149" s="42" t="s">
        <v>493</v>
      </c>
      <c r="E149" s="43">
        <v>0.7</v>
      </c>
      <c r="F149" s="43">
        <v>1</v>
      </c>
      <c r="G149" s="43">
        <v>1</v>
      </c>
      <c r="H149" s="44">
        <v>0.59499999999999997</v>
      </c>
      <c r="I149" s="44">
        <v>0.254</v>
      </c>
      <c r="J149" s="44">
        <v>0.18099999999999999</v>
      </c>
      <c r="K149" s="44">
        <v>0.19500000000000001</v>
      </c>
      <c r="L149" s="44">
        <v>1.077</v>
      </c>
    </row>
    <row r="150" spans="1:12" ht="14" hidden="1" customHeight="1" x14ac:dyDescent="0.15">
      <c r="A150" s="28"/>
      <c r="B150" s="41" t="s">
        <v>700</v>
      </c>
      <c r="C150" s="41" t="s">
        <v>701</v>
      </c>
      <c r="D150" s="42" t="s">
        <v>513</v>
      </c>
      <c r="E150" s="43">
        <v>0.8</v>
      </c>
      <c r="F150" s="43">
        <v>0.9</v>
      </c>
      <c r="G150" s="43">
        <v>0.7</v>
      </c>
      <c r="H150" s="44">
        <v>0.80200000000000005</v>
      </c>
      <c r="I150" s="44">
        <v>0.26800000000000002</v>
      </c>
      <c r="J150" s="44">
        <v>0.315</v>
      </c>
      <c r="K150" s="44">
        <v>0.19400000000000001</v>
      </c>
      <c r="L150" s="44">
        <v>0.61799999999999999</v>
      </c>
    </row>
    <row r="151" spans="1:12" ht="14" hidden="1" customHeight="1" x14ac:dyDescent="0.15">
      <c r="A151" s="28"/>
      <c r="B151" s="41" t="s">
        <v>702</v>
      </c>
      <c r="C151" s="41" t="s">
        <v>703</v>
      </c>
      <c r="D151" s="42" t="s">
        <v>622</v>
      </c>
      <c r="E151" s="43">
        <v>0.4</v>
      </c>
      <c r="F151" s="43">
        <v>3.5</v>
      </c>
      <c r="G151" s="43">
        <v>2.7</v>
      </c>
      <c r="H151" s="44">
        <v>0.45100000000000001</v>
      </c>
      <c r="I151" s="44">
        <v>0.24099999999999999</v>
      </c>
      <c r="J151" s="44">
        <v>0.17100000000000001</v>
      </c>
      <c r="K151" s="44">
        <v>0.192</v>
      </c>
      <c r="L151" s="44">
        <v>1.1259999999999999</v>
      </c>
    </row>
    <row r="152" spans="1:12" ht="14" hidden="1" customHeight="1" x14ac:dyDescent="0.15">
      <c r="A152" s="28"/>
      <c r="B152" s="41" t="s">
        <v>1797</v>
      </c>
      <c r="C152" s="41" t="s">
        <v>1798</v>
      </c>
      <c r="D152" s="42" t="s">
        <v>465</v>
      </c>
      <c r="E152" s="43">
        <v>6.6</v>
      </c>
      <c r="F152" s="43">
        <v>2</v>
      </c>
      <c r="G152" s="43">
        <v>2</v>
      </c>
      <c r="H152" s="44">
        <v>0.51800000000000002</v>
      </c>
      <c r="I152" s="44">
        <v>0.247</v>
      </c>
      <c r="J152" s="44">
        <v>4.9000000000000002E-2</v>
      </c>
      <c r="K152" s="44">
        <v>0.19</v>
      </c>
      <c r="L152" s="44">
        <v>3.8690000000000002</v>
      </c>
    </row>
    <row r="153" spans="1:12" ht="14" hidden="1" customHeight="1" x14ac:dyDescent="0.15">
      <c r="A153" s="28"/>
      <c r="B153" s="41" t="s">
        <v>704</v>
      </c>
      <c r="C153" s="41" t="s">
        <v>705</v>
      </c>
      <c r="D153" s="42" t="s">
        <v>622</v>
      </c>
      <c r="E153" s="43">
        <v>2.6</v>
      </c>
      <c r="F153" s="43">
        <v>2.9</v>
      </c>
      <c r="G153" s="43">
        <v>2.4</v>
      </c>
      <c r="H153" s="44">
        <v>0.42</v>
      </c>
      <c r="I153" s="44">
        <v>0.24099999999999999</v>
      </c>
      <c r="J153" s="44">
        <v>0.17899999999999999</v>
      </c>
      <c r="K153" s="44">
        <v>0.19</v>
      </c>
      <c r="L153" s="44">
        <v>1.06</v>
      </c>
    </row>
    <row r="154" spans="1:12" ht="28" hidden="1" customHeight="1" x14ac:dyDescent="0.15">
      <c r="A154" s="28"/>
      <c r="B154" s="41" t="s">
        <v>706</v>
      </c>
      <c r="C154" s="41" t="s">
        <v>707</v>
      </c>
      <c r="D154" s="42" t="s">
        <v>708</v>
      </c>
      <c r="E154" s="43">
        <v>0.6</v>
      </c>
      <c r="F154" s="43">
        <v>3.4</v>
      </c>
      <c r="G154" s="43">
        <v>2.6</v>
      </c>
      <c r="H154" s="44">
        <v>0.59499999999999997</v>
      </c>
      <c r="I154" s="44">
        <v>0.18099999999999999</v>
      </c>
      <c r="J154" s="44">
        <v>0.153</v>
      </c>
      <c r="K154" s="44">
        <v>0.19</v>
      </c>
      <c r="L154" s="44">
        <v>1.2450000000000001</v>
      </c>
    </row>
    <row r="155" spans="1:12" ht="14" hidden="1" customHeight="1" x14ac:dyDescent="0.15">
      <c r="A155" s="28"/>
      <c r="B155" s="41" t="s">
        <v>709</v>
      </c>
      <c r="C155" s="41" t="s">
        <v>710</v>
      </c>
      <c r="D155" s="42" t="s">
        <v>711</v>
      </c>
      <c r="E155" s="43">
        <v>1</v>
      </c>
      <c r="F155" s="43">
        <v>0.6</v>
      </c>
      <c r="G155" s="43">
        <v>0.5</v>
      </c>
      <c r="H155" s="44">
        <v>0.374</v>
      </c>
      <c r="I155" s="44">
        <v>0.29799999999999999</v>
      </c>
      <c r="J155" s="44">
        <v>0.16600000000000001</v>
      </c>
      <c r="K155" s="44">
        <v>0.19</v>
      </c>
      <c r="L155" s="44">
        <v>1.143</v>
      </c>
    </row>
    <row r="156" spans="1:12" ht="14" hidden="1" customHeight="1" x14ac:dyDescent="0.15">
      <c r="A156" s="28"/>
      <c r="B156" s="41" t="s">
        <v>712</v>
      </c>
      <c r="C156" s="41" t="s">
        <v>713</v>
      </c>
      <c r="D156" s="42" t="s">
        <v>711</v>
      </c>
      <c r="E156" s="43">
        <v>1.7</v>
      </c>
      <c r="F156" s="43">
        <v>0.4</v>
      </c>
      <c r="G156" s="43">
        <v>0.3</v>
      </c>
      <c r="H156" s="44">
        <v>0.53900000000000003</v>
      </c>
      <c r="I156" s="44">
        <v>0.28999999999999998</v>
      </c>
      <c r="J156" s="44">
        <v>0.104</v>
      </c>
      <c r="K156" s="44">
        <v>0.189</v>
      </c>
      <c r="L156" s="44">
        <v>1.8169999999999999</v>
      </c>
    </row>
    <row r="157" spans="1:12" ht="28" hidden="1" customHeight="1" x14ac:dyDescent="0.15">
      <c r="A157" s="28"/>
      <c r="B157" s="41" t="s">
        <v>714</v>
      </c>
      <c r="C157" s="41" t="s">
        <v>715</v>
      </c>
      <c r="D157" s="42" t="s">
        <v>716</v>
      </c>
      <c r="E157" s="43">
        <v>1.1000000000000001</v>
      </c>
      <c r="F157" s="43">
        <v>1.4</v>
      </c>
      <c r="G157" s="43">
        <v>0.9</v>
      </c>
      <c r="H157" s="44">
        <v>0.497</v>
      </c>
      <c r="I157" s="44">
        <v>0.28999999999999998</v>
      </c>
      <c r="J157" s="44">
        <v>9.8000000000000004E-2</v>
      </c>
      <c r="K157" s="44">
        <v>0.188</v>
      </c>
      <c r="L157" s="44">
        <v>1.925</v>
      </c>
    </row>
    <row r="158" spans="1:12" ht="28" hidden="1" customHeight="1" x14ac:dyDescent="0.15">
      <c r="A158" s="28"/>
      <c r="B158" s="41" t="s">
        <v>718</v>
      </c>
      <c r="C158" s="41" t="s">
        <v>719</v>
      </c>
      <c r="D158" s="42" t="s">
        <v>720</v>
      </c>
      <c r="E158" s="43">
        <v>0.3</v>
      </c>
      <c r="F158" s="43" t="s">
        <v>1737</v>
      </c>
      <c r="G158" s="43" t="s">
        <v>1737</v>
      </c>
      <c r="H158" s="44">
        <v>0</v>
      </c>
      <c r="I158" s="44">
        <v>0</v>
      </c>
      <c r="J158" s="44">
        <v>0.13</v>
      </c>
      <c r="K158" s="44">
        <v>0.186</v>
      </c>
      <c r="L158" s="44">
        <v>1.4259999999999999</v>
      </c>
    </row>
    <row r="159" spans="1:12" ht="14" hidden="1" customHeight="1" x14ac:dyDescent="0.15">
      <c r="A159" s="28"/>
      <c r="B159" s="41" t="s">
        <v>722</v>
      </c>
      <c r="C159" s="41" t="s">
        <v>723</v>
      </c>
      <c r="D159" s="42" t="s">
        <v>695</v>
      </c>
      <c r="E159" s="43">
        <v>0.7</v>
      </c>
      <c r="F159" s="43">
        <v>5.2</v>
      </c>
      <c r="G159" s="43">
        <v>4.9000000000000004</v>
      </c>
      <c r="H159" s="44">
        <v>0.55700000000000005</v>
      </c>
      <c r="I159" s="44">
        <v>0.183</v>
      </c>
      <c r="J159" s="44">
        <v>0.16900000000000001</v>
      </c>
      <c r="K159" s="44">
        <v>0.186</v>
      </c>
      <c r="L159" s="44">
        <v>1.1000000000000001</v>
      </c>
    </row>
    <row r="160" spans="1:12" ht="28" hidden="1" customHeight="1" x14ac:dyDescent="0.15">
      <c r="A160" s="28"/>
      <c r="B160" s="41" t="s">
        <v>724</v>
      </c>
      <c r="C160" s="41" t="s">
        <v>725</v>
      </c>
      <c r="D160" s="42" t="s">
        <v>726</v>
      </c>
      <c r="E160" s="43">
        <v>0.6</v>
      </c>
      <c r="F160" s="43">
        <v>0.6</v>
      </c>
      <c r="G160" s="43">
        <v>0.4</v>
      </c>
      <c r="H160" s="44">
        <v>0.498</v>
      </c>
      <c r="I160" s="44">
        <v>0.218</v>
      </c>
      <c r="J160" s="44">
        <v>6.8000000000000005E-2</v>
      </c>
      <c r="K160" s="44">
        <v>0.186</v>
      </c>
      <c r="L160" s="44">
        <v>2.734</v>
      </c>
    </row>
    <row r="161" spans="1:12" ht="14" hidden="1" customHeight="1" x14ac:dyDescent="0.15">
      <c r="A161" s="28"/>
      <c r="B161" s="41" t="s">
        <v>727</v>
      </c>
      <c r="C161" s="41" t="s">
        <v>728</v>
      </c>
      <c r="D161" s="42" t="s">
        <v>498</v>
      </c>
      <c r="E161" s="43">
        <v>0.2</v>
      </c>
      <c r="F161" s="43">
        <v>6.9</v>
      </c>
      <c r="G161" s="43">
        <v>6.9</v>
      </c>
      <c r="H161" s="44">
        <v>0.51</v>
      </c>
      <c r="I161" s="44">
        <v>0.38800000000000001</v>
      </c>
      <c r="J161" s="44">
        <v>0.308</v>
      </c>
      <c r="K161" s="44">
        <v>0.184</v>
      </c>
      <c r="L161" s="44">
        <v>0.59699999999999998</v>
      </c>
    </row>
    <row r="162" spans="1:12" ht="28" hidden="1" customHeight="1" x14ac:dyDescent="0.15">
      <c r="A162" s="28"/>
      <c r="B162" s="41" t="s">
        <v>729</v>
      </c>
      <c r="C162" s="41" t="s">
        <v>730</v>
      </c>
      <c r="D162" s="42" t="s">
        <v>726</v>
      </c>
      <c r="E162" s="43">
        <v>0.8</v>
      </c>
      <c r="F162" s="43">
        <v>0.9</v>
      </c>
      <c r="G162" s="43">
        <v>0.5</v>
      </c>
      <c r="H162" s="44">
        <v>0.45500000000000002</v>
      </c>
      <c r="I162" s="44">
        <v>0.192</v>
      </c>
      <c r="J162" s="44">
        <v>0.14099999999999999</v>
      </c>
      <c r="K162" s="44">
        <v>0.182</v>
      </c>
      <c r="L162" s="44">
        <v>1.2909999999999999</v>
      </c>
    </row>
    <row r="163" spans="1:12" ht="14" hidden="1" customHeight="1" x14ac:dyDescent="0.15">
      <c r="A163" s="28"/>
      <c r="B163" s="41" t="s">
        <v>731</v>
      </c>
      <c r="C163" s="41" t="s">
        <v>732</v>
      </c>
      <c r="D163" s="42" t="s">
        <v>733</v>
      </c>
      <c r="E163" s="43">
        <v>2.6</v>
      </c>
      <c r="F163" s="43">
        <v>1.1000000000000001</v>
      </c>
      <c r="G163" s="43">
        <v>0.7</v>
      </c>
      <c r="H163" s="44">
        <v>0.45400000000000001</v>
      </c>
      <c r="I163" s="44">
        <v>0.215</v>
      </c>
      <c r="J163" s="44">
        <v>0.14399999999999999</v>
      </c>
      <c r="K163" s="44">
        <v>0.182</v>
      </c>
      <c r="L163" s="44">
        <v>1.2629999999999999</v>
      </c>
    </row>
    <row r="164" spans="1:12" ht="14" hidden="1" customHeight="1" x14ac:dyDescent="0.15">
      <c r="A164" s="28"/>
      <c r="B164" s="41" t="s">
        <v>1799</v>
      </c>
      <c r="C164" s="41" t="s">
        <v>1800</v>
      </c>
      <c r="D164" s="42" t="s">
        <v>616</v>
      </c>
      <c r="E164" s="43">
        <v>0.8</v>
      </c>
      <c r="F164" s="43">
        <v>1.5</v>
      </c>
      <c r="G164" s="43">
        <v>1.1000000000000001</v>
      </c>
      <c r="H164" s="44">
        <v>0.53900000000000003</v>
      </c>
      <c r="I164" s="44">
        <v>0.39900000000000002</v>
      </c>
      <c r="J164" s="44">
        <v>0.20399999999999999</v>
      </c>
      <c r="K164" s="44">
        <v>0.18099999999999999</v>
      </c>
      <c r="L164" s="44">
        <v>0.88600000000000001</v>
      </c>
    </row>
    <row r="165" spans="1:12" ht="14" hidden="1" customHeight="1" x14ac:dyDescent="0.15">
      <c r="A165" s="28"/>
      <c r="B165" s="41" t="s">
        <v>734</v>
      </c>
      <c r="C165" s="41" t="s">
        <v>735</v>
      </c>
      <c r="D165" s="42" t="s">
        <v>736</v>
      </c>
      <c r="E165" s="43">
        <v>1.3</v>
      </c>
      <c r="F165" s="43">
        <v>0.4</v>
      </c>
      <c r="G165" s="43">
        <v>0.3</v>
      </c>
      <c r="H165" s="44">
        <v>0.4</v>
      </c>
      <c r="I165" s="44">
        <v>0.214</v>
      </c>
      <c r="J165" s="44">
        <v>0.156</v>
      </c>
      <c r="K165" s="44">
        <v>0.18099999999999999</v>
      </c>
      <c r="L165" s="44">
        <v>1.161</v>
      </c>
    </row>
    <row r="166" spans="1:12" ht="28" hidden="1" customHeight="1" x14ac:dyDescent="0.15">
      <c r="A166" s="28"/>
      <c r="B166" s="41" t="s">
        <v>737</v>
      </c>
      <c r="C166" s="41" t="s">
        <v>738</v>
      </c>
      <c r="D166" s="42" t="s">
        <v>726</v>
      </c>
      <c r="E166" s="43">
        <v>72.5</v>
      </c>
      <c r="F166" s="43">
        <v>1</v>
      </c>
      <c r="G166" s="43">
        <v>0.7</v>
      </c>
      <c r="H166" s="44">
        <v>0.59399999999999997</v>
      </c>
      <c r="I166" s="44">
        <v>0.23100000000000001</v>
      </c>
      <c r="J166" s="44">
        <v>0.151</v>
      </c>
      <c r="K166" s="44">
        <v>0.17899999999999999</v>
      </c>
      <c r="L166" s="44">
        <v>1.1850000000000001</v>
      </c>
    </row>
    <row r="167" spans="1:12" ht="14" hidden="1" customHeight="1" x14ac:dyDescent="0.15">
      <c r="A167" s="28"/>
      <c r="B167" s="41" t="s">
        <v>739</v>
      </c>
      <c r="C167" s="41" t="s">
        <v>740</v>
      </c>
      <c r="D167" s="42" t="s">
        <v>741</v>
      </c>
      <c r="E167" s="43" t="s">
        <v>1737</v>
      </c>
      <c r="F167" s="43">
        <v>2</v>
      </c>
      <c r="G167" s="43">
        <v>1.6</v>
      </c>
      <c r="H167" s="44">
        <v>0.53500000000000003</v>
      </c>
      <c r="I167" s="44">
        <v>0.376</v>
      </c>
      <c r="J167" s="44">
        <v>0.17499999999999999</v>
      </c>
      <c r="K167" s="44">
        <v>0.17899999999999999</v>
      </c>
      <c r="L167" s="44">
        <v>1.0209999999999999</v>
      </c>
    </row>
    <row r="168" spans="1:12" ht="28" hidden="1" customHeight="1" x14ac:dyDescent="0.15">
      <c r="A168" s="28"/>
      <c r="B168" s="41" t="s">
        <v>1801</v>
      </c>
      <c r="C168" s="41" t="s">
        <v>1802</v>
      </c>
      <c r="D168" s="42" t="s">
        <v>716</v>
      </c>
      <c r="E168" s="43">
        <v>1.2</v>
      </c>
      <c r="F168" s="43">
        <v>4.5</v>
      </c>
      <c r="G168" s="43">
        <v>2</v>
      </c>
      <c r="H168" s="44">
        <v>0.63400000000000001</v>
      </c>
      <c r="I168" s="44">
        <v>0.33300000000000002</v>
      </c>
      <c r="J168" s="44">
        <v>0.253</v>
      </c>
      <c r="K168" s="44">
        <v>0.17799999999999999</v>
      </c>
      <c r="L168" s="44">
        <v>0.70599999999999996</v>
      </c>
    </row>
    <row r="169" spans="1:12" ht="14" hidden="1" customHeight="1" x14ac:dyDescent="0.15">
      <c r="A169" s="28"/>
      <c r="B169" s="41" t="s">
        <v>742</v>
      </c>
      <c r="C169" s="41" t="s">
        <v>743</v>
      </c>
      <c r="D169" s="42" t="s">
        <v>744</v>
      </c>
      <c r="E169" s="43">
        <v>0.1</v>
      </c>
      <c r="F169" s="43">
        <v>3.4</v>
      </c>
      <c r="G169" s="43">
        <v>3.4</v>
      </c>
      <c r="H169" s="44">
        <v>0.55600000000000005</v>
      </c>
      <c r="I169" s="44">
        <v>0.222</v>
      </c>
      <c r="J169" s="44">
        <v>0.21299999999999999</v>
      </c>
      <c r="K169" s="44">
        <v>0.17599999999999999</v>
      </c>
      <c r="L169" s="44">
        <v>0.82599999999999996</v>
      </c>
    </row>
    <row r="170" spans="1:12" ht="14" hidden="1" customHeight="1" x14ac:dyDescent="0.15">
      <c r="A170" s="28"/>
      <c r="B170" s="41" t="s">
        <v>747</v>
      </c>
      <c r="C170" s="41" t="s">
        <v>743</v>
      </c>
      <c r="D170" s="42" t="s">
        <v>744</v>
      </c>
      <c r="E170" s="43">
        <v>0.1</v>
      </c>
      <c r="F170" s="43">
        <v>3.4</v>
      </c>
      <c r="G170" s="43">
        <v>3.4</v>
      </c>
      <c r="H170" s="44">
        <v>0.55600000000000005</v>
      </c>
      <c r="I170" s="44">
        <v>0.222</v>
      </c>
      <c r="J170" s="44">
        <v>0.21299999999999999</v>
      </c>
      <c r="K170" s="44">
        <v>0.17599999999999999</v>
      </c>
      <c r="L170" s="44">
        <v>0.82599999999999996</v>
      </c>
    </row>
    <row r="171" spans="1:12" ht="14" hidden="1" customHeight="1" x14ac:dyDescent="0.15">
      <c r="A171" s="28"/>
      <c r="B171" s="41" t="s">
        <v>749</v>
      </c>
      <c r="C171" s="41" t="s">
        <v>750</v>
      </c>
      <c r="D171" s="42" t="s">
        <v>587</v>
      </c>
      <c r="E171" s="43">
        <v>0.1</v>
      </c>
      <c r="F171" s="43">
        <v>1.1000000000000001</v>
      </c>
      <c r="G171" s="43">
        <v>1.1000000000000001</v>
      </c>
      <c r="H171" s="44">
        <v>0.85099999999999998</v>
      </c>
      <c r="I171" s="44">
        <v>0.307</v>
      </c>
      <c r="J171" s="44">
        <v>0.245</v>
      </c>
      <c r="K171" s="44">
        <v>0.17599999999999999</v>
      </c>
      <c r="L171" s="44">
        <v>0.72</v>
      </c>
    </row>
    <row r="172" spans="1:12" ht="14" hidden="1" customHeight="1" x14ac:dyDescent="0.15">
      <c r="A172" s="28"/>
      <c r="B172" s="41" t="s">
        <v>751</v>
      </c>
      <c r="C172" s="41" t="s">
        <v>752</v>
      </c>
      <c r="D172" s="42" t="s">
        <v>460</v>
      </c>
      <c r="E172" s="43">
        <v>0.7</v>
      </c>
      <c r="F172" s="43">
        <v>3.2</v>
      </c>
      <c r="G172" s="43">
        <v>3.2</v>
      </c>
      <c r="H172" s="44">
        <v>0.65900000000000003</v>
      </c>
      <c r="I172" s="44">
        <v>0.2</v>
      </c>
      <c r="J172" s="44">
        <v>0.16500000000000001</v>
      </c>
      <c r="K172" s="44">
        <v>0.17299999999999999</v>
      </c>
      <c r="L172" s="44">
        <v>1.0469999999999999</v>
      </c>
    </row>
    <row r="173" spans="1:12" ht="14" hidden="1" customHeight="1" x14ac:dyDescent="0.15">
      <c r="A173" s="28"/>
      <c r="B173" s="41" t="s">
        <v>753</v>
      </c>
      <c r="C173" s="41" t="s">
        <v>754</v>
      </c>
      <c r="D173" s="42" t="s">
        <v>755</v>
      </c>
      <c r="E173" s="43">
        <v>1.6</v>
      </c>
      <c r="F173" s="43">
        <v>1.6</v>
      </c>
      <c r="G173" s="43">
        <v>1</v>
      </c>
      <c r="H173" s="44">
        <v>0.255</v>
      </c>
      <c r="I173" s="44">
        <v>0.17899999999999999</v>
      </c>
      <c r="J173" s="44">
        <v>0.13500000000000001</v>
      </c>
      <c r="K173" s="44">
        <v>0.17299999999999999</v>
      </c>
      <c r="L173" s="44">
        <v>1.2829999999999999</v>
      </c>
    </row>
    <row r="174" spans="1:12" ht="28" hidden="1" customHeight="1" x14ac:dyDescent="0.15">
      <c r="A174" s="28"/>
      <c r="B174" s="41" t="s">
        <v>1803</v>
      </c>
      <c r="C174" s="41" t="s">
        <v>1804</v>
      </c>
      <c r="D174" s="42" t="s">
        <v>708</v>
      </c>
      <c r="E174" s="43">
        <v>0.4</v>
      </c>
      <c r="F174" s="43">
        <v>2.7</v>
      </c>
      <c r="G174" s="43">
        <v>1.6</v>
      </c>
      <c r="H174" s="44">
        <v>0.49199999999999999</v>
      </c>
      <c r="I174" s="44">
        <v>0.15</v>
      </c>
      <c r="J174" s="44">
        <v>0.09</v>
      </c>
      <c r="K174" s="44">
        <v>0.17299999999999999</v>
      </c>
      <c r="L174" s="44">
        <v>1.9159999999999999</v>
      </c>
    </row>
    <row r="175" spans="1:12" ht="28" hidden="1" customHeight="1" x14ac:dyDescent="0.15">
      <c r="A175" s="28"/>
      <c r="B175" s="41" t="s">
        <v>1805</v>
      </c>
      <c r="C175" s="41" t="s">
        <v>1806</v>
      </c>
      <c r="D175" s="42" t="s">
        <v>793</v>
      </c>
      <c r="E175" s="43">
        <v>0</v>
      </c>
      <c r="F175" s="43">
        <v>1.3</v>
      </c>
      <c r="G175" s="43">
        <v>1.2</v>
      </c>
      <c r="H175" s="44">
        <v>0.40500000000000003</v>
      </c>
      <c r="I175" s="44">
        <v>0.22600000000000001</v>
      </c>
      <c r="J175" s="44">
        <v>0.17299999999999999</v>
      </c>
      <c r="K175" s="44">
        <v>0.17299999999999999</v>
      </c>
      <c r="L175" s="44">
        <v>0.999</v>
      </c>
    </row>
    <row r="176" spans="1:12" ht="14" hidden="1" customHeight="1" x14ac:dyDescent="0.15">
      <c r="A176" s="28"/>
      <c r="B176" s="41" t="s">
        <v>1515</v>
      </c>
      <c r="C176" s="41" t="s">
        <v>1516</v>
      </c>
      <c r="D176" s="42" t="s">
        <v>498</v>
      </c>
      <c r="E176" s="43">
        <v>0.9</v>
      </c>
      <c r="F176" s="43" t="s">
        <v>1737</v>
      </c>
      <c r="G176" s="43" t="s">
        <v>1737</v>
      </c>
      <c r="H176" s="44">
        <v>0</v>
      </c>
      <c r="I176" s="44">
        <v>0</v>
      </c>
      <c r="J176" s="44">
        <v>0.14699999999999999</v>
      </c>
      <c r="K176" s="44">
        <v>0.17199999999999999</v>
      </c>
      <c r="L176" s="44">
        <v>1.169</v>
      </c>
    </row>
    <row r="177" spans="1:12" ht="28" hidden="1" customHeight="1" x14ac:dyDescent="0.15">
      <c r="A177" s="28"/>
      <c r="B177" s="41" t="s">
        <v>1807</v>
      </c>
      <c r="C177" s="41" t="s">
        <v>1808</v>
      </c>
      <c r="D177" s="42" t="s">
        <v>619</v>
      </c>
      <c r="E177" s="43">
        <v>0.6</v>
      </c>
      <c r="F177" s="43">
        <v>1.1000000000000001</v>
      </c>
      <c r="G177" s="43">
        <v>0.6</v>
      </c>
      <c r="H177" s="44">
        <v>0.66100000000000003</v>
      </c>
      <c r="I177" s="44">
        <v>0.19800000000000001</v>
      </c>
      <c r="J177" s="44">
        <v>0.17</v>
      </c>
      <c r="K177" s="44">
        <v>0.17100000000000001</v>
      </c>
      <c r="L177" s="44">
        <v>1.0089999999999999</v>
      </c>
    </row>
    <row r="178" spans="1:12" ht="14" hidden="1" customHeight="1" x14ac:dyDescent="0.15">
      <c r="A178" s="28"/>
      <c r="B178" s="41" t="s">
        <v>1055</v>
      </c>
      <c r="C178" s="41" t="s">
        <v>1809</v>
      </c>
      <c r="D178" s="42" t="s">
        <v>1810</v>
      </c>
      <c r="E178" s="43">
        <v>0.1</v>
      </c>
      <c r="F178" s="43">
        <v>2.8</v>
      </c>
      <c r="G178" s="43">
        <v>2.4</v>
      </c>
      <c r="H178" s="44">
        <v>0.15</v>
      </c>
      <c r="I178" s="44">
        <v>6.8000000000000005E-2</v>
      </c>
      <c r="J178" s="44">
        <v>-8.9999999999999993E-3</v>
      </c>
      <c r="K178" s="44">
        <v>0.16900000000000001</v>
      </c>
      <c r="L178" s="43" t="s">
        <v>1737</v>
      </c>
    </row>
    <row r="179" spans="1:12" ht="14" hidden="1" customHeight="1" x14ac:dyDescent="0.15">
      <c r="A179" s="28"/>
      <c r="B179" s="41" t="s">
        <v>756</v>
      </c>
      <c r="C179" s="41" t="s">
        <v>757</v>
      </c>
      <c r="D179" s="42" t="s">
        <v>695</v>
      </c>
      <c r="E179" s="43">
        <v>3.1</v>
      </c>
      <c r="F179" s="43">
        <v>1.5</v>
      </c>
      <c r="G179" s="43">
        <v>1.1000000000000001</v>
      </c>
      <c r="H179" s="44">
        <v>0.57899999999999996</v>
      </c>
      <c r="I179" s="44">
        <v>0.24299999999999999</v>
      </c>
      <c r="J179" s="44">
        <v>0.187</v>
      </c>
      <c r="K179" s="44">
        <v>0.16900000000000001</v>
      </c>
      <c r="L179" s="44">
        <v>0.90400000000000003</v>
      </c>
    </row>
    <row r="180" spans="1:12" ht="14" hidden="1" customHeight="1" x14ac:dyDescent="0.15">
      <c r="A180" s="28"/>
      <c r="B180" s="41" t="s">
        <v>1811</v>
      </c>
      <c r="C180" s="41" t="s">
        <v>1812</v>
      </c>
      <c r="D180" s="42" t="s">
        <v>622</v>
      </c>
      <c r="E180" s="43">
        <v>2.1</v>
      </c>
      <c r="F180" s="43">
        <v>1.4</v>
      </c>
      <c r="G180" s="43">
        <v>1</v>
      </c>
      <c r="H180" s="44">
        <v>0.46700000000000003</v>
      </c>
      <c r="I180" s="44">
        <v>0.189</v>
      </c>
      <c r="J180" s="44">
        <v>0.14299999999999999</v>
      </c>
      <c r="K180" s="44">
        <v>0.16800000000000001</v>
      </c>
      <c r="L180" s="44">
        <v>1.179</v>
      </c>
    </row>
    <row r="181" spans="1:12" ht="14" hidden="1" customHeight="1" x14ac:dyDescent="0.15">
      <c r="A181" s="28"/>
      <c r="B181" s="41" t="s">
        <v>758</v>
      </c>
      <c r="C181" s="41" t="s">
        <v>759</v>
      </c>
      <c r="D181" s="42" t="s">
        <v>760</v>
      </c>
      <c r="E181" s="43">
        <v>7.1</v>
      </c>
      <c r="F181" s="43">
        <v>1.2</v>
      </c>
      <c r="G181" s="43">
        <v>1.2</v>
      </c>
      <c r="H181" s="44">
        <v>0.66200000000000003</v>
      </c>
      <c r="I181" s="44">
        <v>0.17199999999999999</v>
      </c>
      <c r="J181" s="44">
        <v>0.18099999999999999</v>
      </c>
      <c r="K181" s="44">
        <v>0.16700000000000001</v>
      </c>
      <c r="L181" s="44">
        <v>0.92400000000000004</v>
      </c>
    </row>
    <row r="182" spans="1:12" ht="14" hidden="1" customHeight="1" x14ac:dyDescent="0.15">
      <c r="A182" s="28"/>
      <c r="B182" s="41" t="s">
        <v>761</v>
      </c>
      <c r="C182" s="41" t="s">
        <v>762</v>
      </c>
      <c r="D182" s="42" t="s">
        <v>622</v>
      </c>
      <c r="E182" s="43">
        <v>0.9</v>
      </c>
      <c r="F182" s="43">
        <v>1.3</v>
      </c>
      <c r="G182" s="43">
        <v>1.1000000000000001</v>
      </c>
      <c r="H182" s="44">
        <v>0.33700000000000002</v>
      </c>
      <c r="I182" s="44">
        <v>0.187</v>
      </c>
      <c r="J182" s="44">
        <v>0.16700000000000001</v>
      </c>
      <c r="K182" s="44">
        <v>0.16600000000000001</v>
      </c>
      <c r="L182" s="44">
        <v>0.98899999999999999</v>
      </c>
    </row>
    <row r="183" spans="1:12" ht="14" hidden="1" customHeight="1" x14ac:dyDescent="0.15">
      <c r="A183" s="28"/>
      <c r="B183" s="41" t="s">
        <v>763</v>
      </c>
      <c r="C183" s="41" t="s">
        <v>764</v>
      </c>
      <c r="D183" s="42" t="s">
        <v>616</v>
      </c>
      <c r="E183" s="43">
        <v>0.8</v>
      </c>
      <c r="F183" s="43">
        <v>0.9</v>
      </c>
      <c r="G183" s="43">
        <v>0.8</v>
      </c>
      <c r="H183" s="44">
        <v>0.39</v>
      </c>
      <c r="I183" s="44">
        <v>0.37</v>
      </c>
      <c r="J183" s="44">
        <v>0.24099999999999999</v>
      </c>
      <c r="K183" s="44">
        <v>0.16600000000000001</v>
      </c>
      <c r="L183" s="44">
        <v>0.68899999999999995</v>
      </c>
    </row>
    <row r="184" spans="1:12" ht="28" hidden="1" customHeight="1" x14ac:dyDescent="0.15">
      <c r="A184" s="28"/>
      <c r="B184" s="41" t="s">
        <v>765</v>
      </c>
      <c r="C184" s="41" t="s">
        <v>766</v>
      </c>
      <c r="D184" s="42" t="s">
        <v>720</v>
      </c>
      <c r="E184" s="43">
        <v>0.3</v>
      </c>
      <c r="F184" s="43" t="s">
        <v>1737</v>
      </c>
      <c r="G184" s="43" t="s">
        <v>1737</v>
      </c>
      <c r="H184" s="44">
        <v>0</v>
      </c>
      <c r="I184" s="44">
        <v>0</v>
      </c>
      <c r="J184" s="44">
        <v>8.3000000000000004E-2</v>
      </c>
      <c r="K184" s="44">
        <v>0.16600000000000001</v>
      </c>
      <c r="L184" s="44">
        <v>2.0009999999999999</v>
      </c>
    </row>
    <row r="185" spans="1:12" ht="14" hidden="1" customHeight="1" x14ac:dyDescent="0.15">
      <c r="A185" s="28"/>
      <c r="B185" s="41" t="s">
        <v>767</v>
      </c>
      <c r="C185" s="41" t="s">
        <v>768</v>
      </c>
      <c r="D185" s="42" t="s">
        <v>769</v>
      </c>
      <c r="E185" s="43">
        <v>0.7</v>
      </c>
      <c r="F185" s="43">
        <v>3.5</v>
      </c>
      <c r="G185" s="43">
        <v>2.6</v>
      </c>
      <c r="H185" s="44">
        <v>0</v>
      </c>
      <c r="I185" s="44">
        <v>0.19500000000000001</v>
      </c>
      <c r="J185" s="44">
        <v>0.152</v>
      </c>
      <c r="K185" s="44">
        <v>0.16500000000000001</v>
      </c>
      <c r="L185" s="44">
        <v>1.085</v>
      </c>
    </row>
    <row r="186" spans="1:12" ht="14" hidden="1" customHeight="1" x14ac:dyDescent="0.15">
      <c r="A186" s="28"/>
      <c r="B186" s="41" t="s">
        <v>770</v>
      </c>
      <c r="C186" s="41" t="s">
        <v>768</v>
      </c>
      <c r="D186" s="42" t="s">
        <v>769</v>
      </c>
      <c r="E186" s="43">
        <v>0.7</v>
      </c>
      <c r="F186" s="43">
        <v>3.5</v>
      </c>
      <c r="G186" s="43">
        <v>2.6</v>
      </c>
      <c r="H186" s="44">
        <v>0</v>
      </c>
      <c r="I186" s="44">
        <v>0.19500000000000001</v>
      </c>
      <c r="J186" s="44">
        <v>0.152</v>
      </c>
      <c r="K186" s="44">
        <v>0.16500000000000001</v>
      </c>
      <c r="L186" s="44">
        <v>1.085</v>
      </c>
    </row>
    <row r="187" spans="1:12" ht="14" hidden="1" customHeight="1" x14ac:dyDescent="0.15">
      <c r="A187" s="28"/>
      <c r="B187" s="41" t="s">
        <v>771</v>
      </c>
      <c r="C187" s="41" t="s">
        <v>772</v>
      </c>
      <c r="D187" s="42" t="s">
        <v>498</v>
      </c>
      <c r="E187" s="43">
        <v>0.6</v>
      </c>
      <c r="F187" s="43">
        <v>0.2</v>
      </c>
      <c r="G187" s="43">
        <v>0.2</v>
      </c>
      <c r="H187" s="44">
        <v>0.72099999999999997</v>
      </c>
      <c r="I187" s="44">
        <v>0.24299999999999999</v>
      </c>
      <c r="J187" s="44">
        <v>0.112</v>
      </c>
      <c r="K187" s="44">
        <v>0.16500000000000001</v>
      </c>
      <c r="L187" s="44">
        <v>1.4670000000000001</v>
      </c>
    </row>
    <row r="188" spans="1:12" ht="28" hidden="1" customHeight="1" x14ac:dyDescent="0.15">
      <c r="A188" s="28"/>
      <c r="B188" s="41" t="s">
        <v>773</v>
      </c>
      <c r="C188" s="41" t="s">
        <v>774</v>
      </c>
      <c r="D188" s="42" t="s">
        <v>619</v>
      </c>
      <c r="E188" s="43">
        <v>0.9</v>
      </c>
      <c r="F188" s="43">
        <v>1</v>
      </c>
      <c r="G188" s="43">
        <v>0.6</v>
      </c>
      <c r="H188" s="44">
        <v>0.47799999999999998</v>
      </c>
      <c r="I188" s="44">
        <v>0.107</v>
      </c>
      <c r="J188" s="44">
        <v>5.2999999999999999E-2</v>
      </c>
      <c r="K188" s="44">
        <v>0.16400000000000001</v>
      </c>
      <c r="L188" s="44">
        <v>3.085</v>
      </c>
    </row>
    <row r="189" spans="1:12" ht="14" hidden="1" customHeight="1" x14ac:dyDescent="0.15">
      <c r="A189" s="28"/>
      <c r="B189" s="41" t="s">
        <v>1535</v>
      </c>
      <c r="C189" s="41" t="s">
        <v>1813</v>
      </c>
      <c r="D189" s="42" t="s">
        <v>1236</v>
      </c>
      <c r="E189" s="43">
        <v>0.3</v>
      </c>
      <c r="F189" s="43" t="s">
        <v>1737</v>
      </c>
      <c r="G189" s="43" t="s">
        <v>1737</v>
      </c>
      <c r="H189" s="44">
        <v>0</v>
      </c>
      <c r="I189" s="44">
        <v>0</v>
      </c>
      <c r="J189" s="44">
        <v>0.1</v>
      </c>
      <c r="K189" s="44">
        <v>0.16400000000000001</v>
      </c>
      <c r="L189" s="44">
        <v>1.639</v>
      </c>
    </row>
    <row r="190" spans="1:12" ht="14" hidden="1" customHeight="1" x14ac:dyDescent="0.15">
      <c r="A190" s="28"/>
      <c r="B190" s="41" t="s">
        <v>775</v>
      </c>
      <c r="C190" s="41" t="s">
        <v>776</v>
      </c>
      <c r="D190" s="42" t="s">
        <v>777</v>
      </c>
      <c r="E190" s="43">
        <v>1.5</v>
      </c>
      <c r="F190" s="43">
        <v>0.8</v>
      </c>
      <c r="G190" s="43">
        <v>0.5</v>
      </c>
      <c r="H190" s="44">
        <v>0.318</v>
      </c>
      <c r="I190" s="44">
        <v>0.107</v>
      </c>
      <c r="J190" s="44">
        <v>5.5E-2</v>
      </c>
      <c r="K190" s="44">
        <v>0.16200000000000001</v>
      </c>
      <c r="L190" s="44">
        <v>2.9660000000000002</v>
      </c>
    </row>
    <row r="191" spans="1:12" ht="14" hidden="1" customHeight="1" x14ac:dyDescent="0.15">
      <c r="A191" s="28"/>
      <c r="B191" s="41" t="s">
        <v>778</v>
      </c>
      <c r="C191" s="41" t="s">
        <v>779</v>
      </c>
      <c r="D191" s="42" t="s">
        <v>780</v>
      </c>
      <c r="E191" s="43">
        <v>1</v>
      </c>
      <c r="F191" s="43">
        <v>0.8</v>
      </c>
      <c r="G191" s="43">
        <v>0.8</v>
      </c>
      <c r="H191" s="44">
        <v>0.53600000000000003</v>
      </c>
      <c r="I191" s="44">
        <v>0.16200000000000001</v>
      </c>
      <c r="J191" s="44">
        <v>7.6999999999999999E-2</v>
      </c>
      <c r="K191" s="44">
        <v>0.16200000000000001</v>
      </c>
      <c r="L191" s="44">
        <v>2.1110000000000002</v>
      </c>
    </row>
    <row r="192" spans="1:12" ht="14" hidden="1" customHeight="1" x14ac:dyDescent="0.15">
      <c r="A192" s="28"/>
      <c r="B192" s="41" t="s">
        <v>781</v>
      </c>
      <c r="C192" s="41" t="s">
        <v>782</v>
      </c>
      <c r="D192" s="42" t="s">
        <v>622</v>
      </c>
      <c r="E192" s="43">
        <v>3.7</v>
      </c>
      <c r="F192" s="43">
        <v>1.5</v>
      </c>
      <c r="G192" s="43">
        <v>1.2</v>
      </c>
      <c r="H192" s="44">
        <v>0.42499999999999999</v>
      </c>
      <c r="I192" s="44">
        <v>0.19400000000000001</v>
      </c>
      <c r="J192" s="44">
        <v>0.13700000000000001</v>
      </c>
      <c r="K192" s="44">
        <v>0.16</v>
      </c>
      <c r="L192" s="44">
        <v>1.173</v>
      </c>
    </row>
    <row r="193" spans="1:12" ht="28" hidden="1" customHeight="1" x14ac:dyDescent="0.15">
      <c r="A193" s="28"/>
      <c r="B193" s="41" t="s">
        <v>1531</v>
      </c>
      <c r="C193" s="41" t="s">
        <v>1814</v>
      </c>
      <c r="D193" s="42" t="s">
        <v>708</v>
      </c>
      <c r="E193" s="43">
        <v>0.9</v>
      </c>
      <c r="F193" s="43">
        <v>1.1000000000000001</v>
      </c>
      <c r="G193" s="43">
        <v>0.9</v>
      </c>
      <c r="H193" s="44">
        <v>0.503</v>
      </c>
      <c r="I193" s="44">
        <v>0.13700000000000001</v>
      </c>
      <c r="J193" s="44">
        <v>0.10100000000000001</v>
      </c>
      <c r="K193" s="44">
        <v>0.159</v>
      </c>
      <c r="L193" s="44">
        <v>1.5760000000000001</v>
      </c>
    </row>
    <row r="194" spans="1:12" ht="28" hidden="1" customHeight="1" x14ac:dyDescent="0.15">
      <c r="A194" s="28"/>
      <c r="B194" s="41" t="s">
        <v>783</v>
      </c>
      <c r="C194" s="41" t="s">
        <v>784</v>
      </c>
      <c r="D194" s="42" t="s">
        <v>619</v>
      </c>
      <c r="E194" s="43">
        <v>1.4</v>
      </c>
      <c r="F194" s="43">
        <v>1.6</v>
      </c>
      <c r="G194" s="43">
        <v>1.2</v>
      </c>
      <c r="H194" s="44">
        <v>0.34899999999999998</v>
      </c>
      <c r="I194" s="44">
        <v>-3.0000000000000001E-3</v>
      </c>
      <c r="J194" s="44">
        <v>2.9000000000000001E-2</v>
      </c>
      <c r="K194" s="44">
        <v>0.159</v>
      </c>
      <c r="L194" s="44">
        <v>5.5460000000000003</v>
      </c>
    </row>
    <row r="195" spans="1:12" ht="14" hidden="1" customHeight="1" x14ac:dyDescent="0.15">
      <c r="A195" s="28"/>
      <c r="B195" s="41" t="s">
        <v>785</v>
      </c>
      <c r="C195" s="41" t="s">
        <v>786</v>
      </c>
      <c r="D195" s="42" t="s">
        <v>695</v>
      </c>
      <c r="E195" s="43">
        <v>0.6</v>
      </c>
      <c r="F195" s="43">
        <v>1.9</v>
      </c>
      <c r="G195" s="43">
        <v>1.4</v>
      </c>
      <c r="H195" s="44">
        <v>0.44400000000000001</v>
      </c>
      <c r="I195" s="44">
        <v>0.16400000000000001</v>
      </c>
      <c r="J195" s="44">
        <v>0.14499999999999999</v>
      </c>
      <c r="K195" s="44">
        <v>0.159</v>
      </c>
      <c r="L195" s="44">
        <v>1.1000000000000001</v>
      </c>
    </row>
    <row r="196" spans="1:12" ht="14" hidden="1" customHeight="1" x14ac:dyDescent="0.15">
      <c r="A196" s="28"/>
      <c r="B196" s="41" t="s">
        <v>787</v>
      </c>
      <c r="C196" s="41" t="s">
        <v>788</v>
      </c>
      <c r="D196" s="42" t="s">
        <v>513</v>
      </c>
      <c r="E196" s="43">
        <v>6.1</v>
      </c>
      <c r="F196" s="43">
        <v>1.2</v>
      </c>
      <c r="G196" s="43">
        <v>0.9</v>
      </c>
      <c r="H196" s="44">
        <v>0.78900000000000003</v>
      </c>
      <c r="I196" s="44">
        <v>0.26900000000000002</v>
      </c>
      <c r="J196" s="44">
        <v>0.36799999999999999</v>
      </c>
      <c r="K196" s="44">
        <v>0.158</v>
      </c>
      <c r="L196" s="44">
        <v>0.42899999999999999</v>
      </c>
    </row>
    <row r="197" spans="1:12" ht="28" hidden="1" customHeight="1" x14ac:dyDescent="0.15">
      <c r="A197" s="28"/>
      <c r="B197" s="41" t="s">
        <v>789</v>
      </c>
      <c r="C197" s="41" t="s">
        <v>790</v>
      </c>
      <c r="D197" s="42" t="s">
        <v>604</v>
      </c>
      <c r="E197" s="43">
        <v>0.4</v>
      </c>
      <c r="F197" s="43">
        <v>1</v>
      </c>
      <c r="G197" s="43">
        <v>1</v>
      </c>
      <c r="H197" s="44">
        <v>0.43</v>
      </c>
      <c r="I197" s="44">
        <v>0.217</v>
      </c>
      <c r="J197" s="44">
        <v>0.16900000000000001</v>
      </c>
      <c r="K197" s="44">
        <v>0.156</v>
      </c>
      <c r="L197" s="44">
        <v>0.92100000000000004</v>
      </c>
    </row>
    <row r="198" spans="1:12" ht="28" hidden="1" customHeight="1" x14ac:dyDescent="0.15">
      <c r="A198" s="28"/>
      <c r="B198" s="41" t="s">
        <v>791</v>
      </c>
      <c r="C198" s="41" t="s">
        <v>792</v>
      </c>
      <c r="D198" s="42" t="s">
        <v>793</v>
      </c>
      <c r="E198" s="43">
        <v>0.4</v>
      </c>
      <c r="F198" s="43">
        <v>0.8</v>
      </c>
      <c r="G198" s="43">
        <v>0.8</v>
      </c>
      <c r="H198" s="44">
        <v>0.36099999999999999</v>
      </c>
      <c r="I198" s="44">
        <v>0.10199999999999999</v>
      </c>
      <c r="J198" s="44">
        <v>2.9000000000000001E-2</v>
      </c>
      <c r="K198" s="44">
        <v>0.154</v>
      </c>
      <c r="L198" s="44">
        <v>5.4050000000000002</v>
      </c>
    </row>
    <row r="199" spans="1:12" ht="28" hidden="1" customHeight="1" x14ac:dyDescent="0.15">
      <c r="A199" s="28"/>
      <c r="B199" s="41" t="s">
        <v>794</v>
      </c>
      <c r="C199" s="41" t="s">
        <v>795</v>
      </c>
      <c r="D199" s="42" t="s">
        <v>708</v>
      </c>
      <c r="E199" s="43">
        <v>0</v>
      </c>
      <c r="F199" s="43">
        <v>3</v>
      </c>
      <c r="G199" s="43">
        <v>2.2000000000000002</v>
      </c>
      <c r="H199" s="44">
        <v>0.59499999999999997</v>
      </c>
      <c r="I199" s="44">
        <v>0.252</v>
      </c>
      <c r="J199" s="44">
        <v>0.254</v>
      </c>
      <c r="K199" s="44">
        <v>0.154</v>
      </c>
      <c r="L199" s="44">
        <v>0.60499999999999998</v>
      </c>
    </row>
    <row r="200" spans="1:12" ht="28" hidden="1" customHeight="1" x14ac:dyDescent="0.15">
      <c r="A200" s="28"/>
      <c r="B200" s="41" t="s">
        <v>796</v>
      </c>
      <c r="C200" s="41" t="s">
        <v>796</v>
      </c>
      <c r="D200" s="42" t="s">
        <v>793</v>
      </c>
      <c r="E200" s="43">
        <v>3.3</v>
      </c>
      <c r="F200" s="43">
        <v>1</v>
      </c>
      <c r="G200" s="43">
        <v>1</v>
      </c>
      <c r="H200" s="44">
        <v>0.47299999999999998</v>
      </c>
      <c r="I200" s="44">
        <v>0.13800000000000001</v>
      </c>
      <c r="J200" s="44">
        <v>0.123</v>
      </c>
      <c r="K200" s="44">
        <v>0.153</v>
      </c>
      <c r="L200" s="44">
        <v>1.248</v>
      </c>
    </row>
    <row r="201" spans="1:12" ht="28" hidden="1" customHeight="1" x14ac:dyDescent="0.15">
      <c r="A201" s="28"/>
      <c r="B201" s="41" t="s">
        <v>797</v>
      </c>
      <c r="C201" s="41" t="s">
        <v>798</v>
      </c>
      <c r="D201" s="42" t="s">
        <v>720</v>
      </c>
      <c r="E201" s="43">
        <v>0.3</v>
      </c>
      <c r="F201" s="43" t="s">
        <v>1737</v>
      </c>
      <c r="G201" s="43" t="s">
        <v>1737</v>
      </c>
      <c r="H201" s="44">
        <v>0</v>
      </c>
      <c r="I201" s="44">
        <v>0</v>
      </c>
      <c r="J201" s="44">
        <v>0.10199999999999999</v>
      </c>
      <c r="K201" s="44">
        <v>0.151</v>
      </c>
      <c r="L201" s="44">
        <v>1.4830000000000001</v>
      </c>
    </row>
    <row r="202" spans="1:12" ht="14" hidden="1" customHeight="1" x14ac:dyDescent="0.15">
      <c r="A202" s="28"/>
      <c r="B202" s="41" t="s">
        <v>799</v>
      </c>
      <c r="C202" s="41" t="s">
        <v>800</v>
      </c>
      <c r="D202" s="42" t="s">
        <v>801</v>
      </c>
      <c r="E202" s="43">
        <v>1.9</v>
      </c>
      <c r="F202" s="43">
        <v>2</v>
      </c>
      <c r="G202" s="43">
        <v>1.4</v>
      </c>
      <c r="H202" s="44">
        <v>0.439</v>
      </c>
      <c r="I202" s="44">
        <v>0.19800000000000001</v>
      </c>
      <c r="J202" s="44">
        <v>0.14099999999999999</v>
      </c>
      <c r="K202" s="44">
        <v>0.15</v>
      </c>
      <c r="L202" s="44">
        <v>1.0640000000000001</v>
      </c>
    </row>
    <row r="203" spans="1:12" ht="28" hidden="1" customHeight="1" x14ac:dyDescent="0.15">
      <c r="A203" s="28"/>
      <c r="B203" s="41" t="s">
        <v>803</v>
      </c>
      <c r="C203" s="41" t="s">
        <v>804</v>
      </c>
      <c r="D203" s="42" t="s">
        <v>720</v>
      </c>
      <c r="E203" s="43">
        <v>0.1</v>
      </c>
      <c r="F203" s="43" t="s">
        <v>1737</v>
      </c>
      <c r="G203" s="43" t="s">
        <v>1737</v>
      </c>
      <c r="H203" s="44">
        <v>0</v>
      </c>
      <c r="I203" s="44">
        <v>0</v>
      </c>
      <c r="J203" s="44">
        <v>0.251</v>
      </c>
      <c r="K203" s="44">
        <v>0.15</v>
      </c>
      <c r="L203" s="44">
        <v>0.59799999999999998</v>
      </c>
    </row>
    <row r="204" spans="1:12" ht="28" hidden="1" customHeight="1" x14ac:dyDescent="0.15">
      <c r="A204" s="28"/>
      <c r="B204" s="41" t="s">
        <v>805</v>
      </c>
      <c r="C204" s="41" t="s">
        <v>806</v>
      </c>
      <c r="D204" s="42" t="s">
        <v>619</v>
      </c>
      <c r="E204" s="43">
        <v>0.6</v>
      </c>
      <c r="F204" s="43">
        <v>2.6</v>
      </c>
      <c r="G204" s="43">
        <v>1.9</v>
      </c>
      <c r="H204" s="44">
        <v>0.59</v>
      </c>
      <c r="I204" s="44">
        <v>0.251</v>
      </c>
      <c r="J204" s="44">
        <v>0.16300000000000001</v>
      </c>
      <c r="K204" s="44">
        <v>0.15</v>
      </c>
      <c r="L204" s="44">
        <v>0.92</v>
      </c>
    </row>
    <row r="205" spans="1:12" ht="14" hidden="1" customHeight="1" x14ac:dyDescent="0.15">
      <c r="A205" s="28"/>
      <c r="B205" s="41" t="s">
        <v>807</v>
      </c>
      <c r="C205" s="41" t="s">
        <v>808</v>
      </c>
      <c r="D205" s="42" t="s">
        <v>809</v>
      </c>
      <c r="E205" s="43">
        <v>1.8</v>
      </c>
      <c r="F205" s="43">
        <v>0.6</v>
      </c>
      <c r="G205" s="43">
        <v>0.4</v>
      </c>
      <c r="H205" s="44">
        <v>0.34699999999999998</v>
      </c>
      <c r="I205" s="44">
        <v>0.17</v>
      </c>
      <c r="J205" s="44">
        <v>0.127</v>
      </c>
      <c r="K205" s="44">
        <v>0.14899999999999999</v>
      </c>
      <c r="L205" s="44">
        <v>1.1759999999999999</v>
      </c>
    </row>
    <row r="206" spans="1:12" ht="14" hidden="1" customHeight="1" x14ac:dyDescent="0.15">
      <c r="A206" s="28"/>
      <c r="B206" s="41" t="s">
        <v>1815</v>
      </c>
      <c r="C206" s="41" t="s">
        <v>1816</v>
      </c>
      <c r="D206" s="42" t="s">
        <v>465</v>
      </c>
      <c r="E206" s="43" t="s">
        <v>1737</v>
      </c>
      <c r="F206" s="43">
        <v>1</v>
      </c>
      <c r="G206" s="43">
        <v>1</v>
      </c>
      <c r="H206" s="44">
        <v>0.41699999999999998</v>
      </c>
      <c r="I206" s="44">
        <v>0.17599999999999999</v>
      </c>
      <c r="J206" s="44">
        <v>0.20100000000000001</v>
      </c>
      <c r="K206" s="44">
        <v>0.14899999999999999</v>
      </c>
      <c r="L206" s="44">
        <v>0.74099999999999999</v>
      </c>
    </row>
    <row r="207" spans="1:12" ht="14" hidden="1" customHeight="1" x14ac:dyDescent="0.15">
      <c r="A207" s="28"/>
      <c r="B207" s="41" t="s">
        <v>810</v>
      </c>
      <c r="C207" s="41" t="s">
        <v>811</v>
      </c>
      <c r="D207" s="42" t="s">
        <v>812</v>
      </c>
      <c r="E207" s="43">
        <v>2.5</v>
      </c>
      <c r="F207" s="43">
        <v>1.1000000000000001</v>
      </c>
      <c r="G207" s="43">
        <v>1.1000000000000001</v>
      </c>
      <c r="H207" s="44">
        <v>0.45</v>
      </c>
      <c r="I207" s="44">
        <v>0.19600000000000001</v>
      </c>
      <c r="J207" s="44">
        <v>0.13800000000000001</v>
      </c>
      <c r="K207" s="44">
        <v>0.14799999999999999</v>
      </c>
      <c r="L207" s="44">
        <v>1.071</v>
      </c>
    </row>
    <row r="208" spans="1:12" ht="14" hidden="1" customHeight="1" x14ac:dyDescent="0.15">
      <c r="A208" s="28"/>
      <c r="B208" s="41" t="s">
        <v>814</v>
      </c>
      <c r="C208" s="41" t="s">
        <v>815</v>
      </c>
      <c r="D208" s="42" t="s">
        <v>816</v>
      </c>
      <c r="E208" s="43">
        <v>0.9</v>
      </c>
      <c r="F208" s="43">
        <v>2.2999999999999998</v>
      </c>
      <c r="G208" s="43">
        <v>2</v>
      </c>
      <c r="H208" s="44">
        <v>0.46100000000000002</v>
      </c>
      <c r="I208" s="44">
        <v>0.17499999999999999</v>
      </c>
      <c r="J208" s="44">
        <v>0.13200000000000001</v>
      </c>
      <c r="K208" s="44">
        <v>0.14799999999999999</v>
      </c>
      <c r="L208" s="44">
        <v>1.121</v>
      </c>
    </row>
    <row r="209" spans="1:12" ht="14" hidden="1" customHeight="1" x14ac:dyDescent="0.15">
      <c r="A209" s="28"/>
      <c r="B209" s="41" t="s">
        <v>817</v>
      </c>
      <c r="C209" s="41" t="s">
        <v>818</v>
      </c>
      <c r="D209" s="42" t="s">
        <v>819</v>
      </c>
      <c r="E209" s="43">
        <v>0.8</v>
      </c>
      <c r="F209" s="43">
        <v>2</v>
      </c>
      <c r="G209" s="43">
        <v>1.3</v>
      </c>
      <c r="H209" s="44">
        <v>0.318</v>
      </c>
      <c r="I209" s="44">
        <v>0.2</v>
      </c>
      <c r="J209" s="44">
        <v>0.14000000000000001</v>
      </c>
      <c r="K209" s="44">
        <v>0.14699999999999999</v>
      </c>
      <c r="L209" s="44">
        <v>1.046</v>
      </c>
    </row>
    <row r="210" spans="1:12" ht="28" hidden="1" customHeight="1" x14ac:dyDescent="0.15">
      <c r="A210" s="28"/>
      <c r="B210" s="41" t="s">
        <v>1817</v>
      </c>
      <c r="C210" s="41" t="s">
        <v>1818</v>
      </c>
      <c r="D210" s="42" t="s">
        <v>640</v>
      </c>
      <c r="E210" s="43">
        <v>0</v>
      </c>
      <c r="F210" s="43">
        <v>9.9</v>
      </c>
      <c r="G210" s="43">
        <v>7.9</v>
      </c>
      <c r="H210" s="44">
        <v>0.46100000000000002</v>
      </c>
      <c r="I210" s="44">
        <v>0.221</v>
      </c>
      <c r="J210" s="44">
        <v>0.13700000000000001</v>
      </c>
      <c r="K210" s="44">
        <v>0.14599999999999999</v>
      </c>
      <c r="L210" s="44">
        <v>1.0660000000000001</v>
      </c>
    </row>
    <row r="211" spans="1:12" ht="14" hidden="1" customHeight="1" x14ac:dyDescent="0.15">
      <c r="A211" s="28"/>
      <c r="B211" s="41" t="s">
        <v>820</v>
      </c>
      <c r="C211" s="41" t="s">
        <v>821</v>
      </c>
      <c r="D211" s="42" t="s">
        <v>822</v>
      </c>
      <c r="E211" s="43">
        <v>0.3</v>
      </c>
      <c r="F211" s="43">
        <v>2.6</v>
      </c>
      <c r="G211" s="43">
        <v>2.2000000000000002</v>
      </c>
      <c r="H211" s="44">
        <v>0.26500000000000001</v>
      </c>
      <c r="I211" s="44">
        <v>0.158</v>
      </c>
      <c r="J211" s="44">
        <v>0.28999999999999998</v>
      </c>
      <c r="K211" s="44">
        <v>0.14399999999999999</v>
      </c>
      <c r="L211" s="44">
        <v>0.495</v>
      </c>
    </row>
    <row r="212" spans="1:12" ht="14" hidden="1" customHeight="1" x14ac:dyDescent="0.15">
      <c r="A212" s="28"/>
      <c r="B212" s="41" t="s">
        <v>823</v>
      </c>
      <c r="C212" s="41" t="s">
        <v>824</v>
      </c>
      <c r="D212" s="42" t="s">
        <v>631</v>
      </c>
      <c r="E212" s="43">
        <v>0.6</v>
      </c>
      <c r="F212" s="43">
        <v>1.4</v>
      </c>
      <c r="G212" s="43">
        <v>1</v>
      </c>
      <c r="H212" s="44">
        <v>0.58499999999999996</v>
      </c>
      <c r="I212" s="44">
        <v>0.14299999999999999</v>
      </c>
      <c r="J212" s="44">
        <v>0.11600000000000001</v>
      </c>
      <c r="K212" s="44">
        <v>0.14199999999999999</v>
      </c>
      <c r="L212" s="44">
        <v>1.2250000000000001</v>
      </c>
    </row>
    <row r="213" spans="1:12" ht="14" hidden="1" customHeight="1" x14ac:dyDescent="0.15">
      <c r="A213" s="28"/>
      <c r="B213" s="41" t="s">
        <v>825</v>
      </c>
      <c r="C213" s="41" t="s">
        <v>826</v>
      </c>
      <c r="D213" s="42" t="s">
        <v>827</v>
      </c>
      <c r="E213" s="43">
        <v>0.4</v>
      </c>
      <c r="F213" s="43">
        <v>2.5</v>
      </c>
      <c r="G213" s="43">
        <v>1.7</v>
      </c>
      <c r="H213" s="44">
        <v>0.51400000000000001</v>
      </c>
      <c r="I213" s="44">
        <v>0.23599999999999999</v>
      </c>
      <c r="J213" s="44">
        <v>0.17</v>
      </c>
      <c r="K213" s="44">
        <v>0.14099999999999999</v>
      </c>
      <c r="L213" s="44">
        <v>0.82699999999999996</v>
      </c>
    </row>
    <row r="214" spans="1:12" ht="14" hidden="1" customHeight="1" x14ac:dyDescent="0.15">
      <c r="A214" s="28"/>
      <c r="B214" s="41" t="s">
        <v>828</v>
      </c>
      <c r="C214" s="41" t="s">
        <v>829</v>
      </c>
      <c r="D214" s="42" t="s">
        <v>812</v>
      </c>
      <c r="E214" s="43">
        <v>1</v>
      </c>
      <c r="F214" s="43">
        <v>1</v>
      </c>
      <c r="G214" s="43">
        <v>1</v>
      </c>
      <c r="H214" s="44">
        <v>0.32100000000000001</v>
      </c>
      <c r="I214" s="44">
        <v>0.104</v>
      </c>
      <c r="J214" s="44">
        <v>9.2999999999999999E-2</v>
      </c>
      <c r="K214" s="44">
        <v>0.14000000000000001</v>
      </c>
      <c r="L214" s="44">
        <v>1.508</v>
      </c>
    </row>
    <row r="215" spans="1:12" ht="14" hidden="1" customHeight="1" x14ac:dyDescent="0.15">
      <c r="A215" s="28"/>
      <c r="B215" s="41" t="s">
        <v>830</v>
      </c>
      <c r="C215" s="41" t="s">
        <v>831</v>
      </c>
      <c r="D215" s="42" t="s">
        <v>622</v>
      </c>
      <c r="E215" s="43">
        <v>0.7</v>
      </c>
      <c r="F215" s="43">
        <v>1.1000000000000001</v>
      </c>
      <c r="G215" s="43">
        <v>0.8</v>
      </c>
      <c r="H215" s="44">
        <v>0.42499999999999999</v>
      </c>
      <c r="I215" s="44">
        <v>0.16700000000000001</v>
      </c>
      <c r="J215" s="44">
        <v>0.11799999999999999</v>
      </c>
      <c r="K215" s="44">
        <v>0.14000000000000001</v>
      </c>
      <c r="L215" s="44">
        <v>1.1830000000000001</v>
      </c>
    </row>
    <row r="216" spans="1:12" ht="14" hidden="1" customHeight="1" x14ac:dyDescent="0.15">
      <c r="A216" s="28"/>
      <c r="B216" s="41" t="s">
        <v>1549</v>
      </c>
      <c r="C216" s="41" t="s">
        <v>1819</v>
      </c>
      <c r="D216" s="42" t="s">
        <v>1820</v>
      </c>
      <c r="E216" s="43">
        <v>0.6</v>
      </c>
      <c r="F216" s="43">
        <v>0.8</v>
      </c>
      <c r="G216" s="43">
        <v>0.7</v>
      </c>
      <c r="H216" s="44">
        <v>0.50700000000000001</v>
      </c>
      <c r="I216" s="44">
        <v>0.158</v>
      </c>
      <c r="J216" s="44">
        <v>0.10100000000000001</v>
      </c>
      <c r="K216" s="44">
        <v>0.14000000000000001</v>
      </c>
      <c r="L216" s="44">
        <v>1.389</v>
      </c>
    </row>
    <row r="217" spans="1:12" ht="28" hidden="1" customHeight="1" x14ac:dyDescent="0.15">
      <c r="A217" s="28"/>
      <c r="B217" s="41" t="s">
        <v>1821</v>
      </c>
      <c r="C217" s="41" t="s">
        <v>1822</v>
      </c>
      <c r="D217" s="42" t="s">
        <v>793</v>
      </c>
      <c r="E217" s="43">
        <v>0.8</v>
      </c>
      <c r="F217" s="43">
        <v>1.8</v>
      </c>
      <c r="G217" s="43">
        <v>1.6</v>
      </c>
      <c r="H217" s="44">
        <v>0.40300000000000002</v>
      </c>
      <c r="I217" s="44">
        <v>0.125</v>
      </c>
      <c r="J217" s="44">
        <v>0.15</v>
      </c>
      <c r="K217" s="44">
        <v>0.14000000000000001</v>
      </c>
      <c r="L217" s="44">
        <v>0.93400000000000005</v>
      </c>
    </row>
    <row r="218" spans="1:12" ht="14" hidden="1" customHeight="1" x14ac:dyDescent="0.15">
      <c r="A218" s="28"/>
      <c r="B218" s="41" t="s">
        <v>832</v>
      </c>
      <c r="C218" s="41" t="s">
        <v>833</v>
      </c>
      <c r="D218" s="42" t="s">
        <v>597</v>
      </c>
      <c r="E218" s="43">
        <v>0.8</v>
      </c>
      <c r="F218" s="43">
        <v>0.9</v>
      </c>
      <c r="G218" s="43">
        <v>0.5</v>
      </c>
      <c r="H218" s="44">
        <v>0.46800000000000003</v>
      </c>
      <c r="I218" s="44">
        <v>0.16200000000000001</v>
      </c>
      <c r="J218" s="44">
        <v>0.121</v>
      </c>
      <c r="K218" s="44">
        <v>0.14000000000000001</v>
      </c>
      <c r="L218" s="44">
        <v>1.1559999999999999</v>
      </c>
    </row>
    <row r="219" spans="1:12" ht="14" hidden="1" customHeight="1" x14ac:dyDescent="0.15">
      <c r="A219" s="28"/>
      <c r="B219" s="41" t="s">
        <v>1553</v>
      </c>
      <c r="C219" s="41" t="s">
        <v>1554</v>
      </c>
      <c r="D219" s="42" t="s">
        <v>819</v>
      </c>
      <c r="E219" s="43">
        <v>0.4</v>
      </c>
      <c r="F219" s="43">
        <v>1.6</v>
      </c>
      <c r="G219" s="43">
        <v>0.9</v>
      </c>
      <c r="H219" s="44">
        <v>0.32500000000000001</v>
      </c>
      <c r="I219" s="44">
        <v>0.16600000000000001</v>
      </c>
      <c r="J219" s="44">
        <v>0.12</v>
      </c>
      <c r="K219" s="44">
        <v>0.13800000000000001</v>
      </c>
      <c r="L219" s="44">
        <v>1.1459999999999999</v>
      </c>
    </row>
    <row r="220" spans="1:12" ht="28" hidden="1" customHeight="1" x14ac:dyDescent="0.15">
      <c r="A220" s="28"/>
      <c r="B220" s="41" t="s">
        <v>834</v>
      </c>
      <c r="C220" s="41" t="s">
        <v>835</v>
      </c>
      <c r="D220" s="42" t="s">
        <v>720</v>
      </c>
      <c r="E220" s="43">
        <v>0.4</v>
      </c>
      <c r="F220" s="43" t="s">
        <v>1737</v>
      </c>
      <c r="G220" s="43" t="s">
        <v>1737</v>
      </c>
      <c r="H220" s="44">
        <v>0</v>
      </c>
      <c r="I220" s="44">
        <v>0</v>
      </c>
      <c r="J220" s="44">
        <v>8.5999999999999993E-2</v>
      </c>
      <c r="K220" s="44">
        <v>0.13800000000000001</v>
      </c>
      <c r="L220" s="44">
        <v>1.6020000000000001</v>
      </c>
    </row>
    <row r="221" spans="1:12" ht="14" hidden="1" customHeight="1" x14ac:dyDescent="0.15">
      <c r="A221" s="28"/>
      <c r="B221" s="41" t="s">
        <v>836</v>
      </c>
      <c r="C221" s="41" t="s">
        <v>837</v>
      </c>
      <c r="D221" s="42" t="s">
        <v>838</v>
      </c>
      <c r="E221" s="43">
        <v>0.4</v>
      </c>
      <c r="F221" s="43">
        <v>2.4</v>
      </c>
      <c r="G221" s="43">
        <v>2.2999999999999998</v>
      </c>
      <c r="H221" s="44">
        <v>0.28599999999999998</v>
      </c>
      <c r="I221" s="44">
        <v>0.223</v>
      </c>
      <c r="J221" s="44">
        <v>0.221</v>
      </c>
      <c r="K221" s="44">
        <v>0.13700000000000001</v>
      </c>
      <c r="L221" s="44">
        <v>0.621</v>
      </c>
    </row>
    <row r="222" spans="1:12" ht="14" hidden="1" customHeight="1" x14ac:dyDescent="0.15">
      <c r="A222" s="28"/>
      <c r="B222" s="41" t="s">
        <v>1823</v>
      </c>
      <c r="C222" s="41" t="s">
        <v>1824</v>
      </c>
      <c r="D222" s="42" t="s">
        <v>780</v>
      </c>
      <c r="E222" s="43">
        <v>2.7</v>
      </c>
      <c r="F222" s="43">
        <v>0.7</v>
      </c>
      <c r="G222" s="43">
        <v>0.6</v>
      </c>
      <c r="H222" s="44">
        <v>0.55000000000000004</v>
      </c>
      <c r="I222" s="44">
        <v>0.16900000000000001</v>
      </c>
      <c r="J222" s="44">
        <v>-0.22600000000000001</v>
      </c>
      <c r="K222" s="44">
        <v>0.13700000000000001</v>
      </c>
      <c r="L222" s="43" t="s">
        <v>1737</v>
      </c>
    </row>
    <row r="223" spans="1:12" ht="14" hidden="1" customHeight="1" x14ac:dyDescent="0.15">
      <c r="A223" s="28"/>
      <c r="B223" s="41" t="s">
        <v>839</v>
      </c>
      <c r="C223" s="41" t="s">
        <v>840</v>
      </c>
      <c r="D223" s="42" t="s">
        <v>622</v>
      </c>
      <c r="E223" s="43">
        <v>0.5</v>
      </c>
      <c r="F223" s="43">
        <v>1.7</v>
      </c>
      <c r="G223" s="43">
        <v>1.2</v>
      </c>
      <c r="H223" s="44">
        <v>0.33</v>
      </c>
      <c r="I223" s="44">
        <v>0.13400000000000001</v>
      </c>
      <c r="J223" s="44">
        <v>0.10299999999999999</v>
      </c>
      <c r="K223" s="44">
        <v>0.13500000000000001</v>
      </c>
      <c r="L223" s="44">
        <v>1.3009999999999999</v>
      </c>
    </row>
    <row r="224" spans="1:12" ht="28" hidden="1" customHeight="1" x14ac:dyDescent="0.15">
      <c r="A224" s="28"/>
      <c r="B224" s="41" t="s">
        <v>841</v>
      </c>
      <c r="C224" s="41" t="s">
        <v>842</v>
      </c>
      <c r="D224" s="42" t="s">
        <v>793</v>
      </c>
      <c r="E224" s="43">
        <v>0.2</v>
      </c>
      <c r="F224" s="43">
        <v>1.4</v>
      </c>
      <c r="G224" s="43">
        <v>1.4</v>
      </c>
      <c r="H224" s="44">
        <v>0.313</v>
      </c>
      <c r="I224" s="44">
        <v>0.14699999999999999</v>
      </c>
      <c r="J224" s="44">
        <v>0.111</v>
      </c>
      <c r="K224" s="44">
        <v>0.13300000000000001</v>
      </c>
      <c r="L224" s="44">
        <v>1.19</v>
      </c>
    </row>
    <row r="225" spans="1:12" ht="28" hidden="1" customHeight="1" x14ac:dyDescent="0.15">
      <c r="A225" s="28"/>
      <c r="B225" s="41" t="s">
        <v>843</v>
      </c>
      <c r="C225" s="41" t="s">
        <v>844</v>
      </c>
      <c r="D225" s="42" t="s">
        <v>726</v>
      </c>
      <c r="E225" s="43">
        <v>5.7</v>
      </c>
      <c r="F225" s="43">
        <v>0.9</v>
      </c>
      <c r="G225" s="43">
        <v>0.5</v>
      </c>
      <c r="H225" s="44">
        <v>0.442</v>
      </c>
      <c r="I225" s="44">
        <v>0.17899999999999999</v>
      </c>
      <c r="J225" s="44">
        <v>0.13300000000000001</v>
      </c>
      <c r="K225" s="44">
        <v>0.13300000000000001</v>
      </c>
      <c r="L225" s="44">
        <v>0.997</v>
      </c>
    </row>
    <row r="226" spans="1:12" ht="14" hidden="1" customHeight="1" x14ac:dyDescent="0.15">
      <c r="A226" s="28"/>
      <c r="B226" s="41" t="s">
        <v>845</v>
      </c>
      <c r="C226" s="41" t="s">
        <v>846</v>
      </c>
      <c r="D226" s="42" t="s">
        <v>846</v>
      </c>
      <c r="E226" s="43">
        <v>1.9</v>
      </c>
      <c r="F226" s="43">
        <v>2</v>
      </c>
      <c r="G226" s="43">
        <v>1.9</v>
      </c>
      <c r="H226" s="44">
        <v>0.38600000000000001</v>
      </c>
      <c r="I226" s="44">
        <v>0.17799999999999999</v>
      </c>
      <c r="J226" s="44">
        <v>0.108</v>
      </c>
      <c r="K226" s="44">
        <v>0.13300000000000001</v>
      </c>
      <c r="L226" s="44">
        <v>1.2310000000000001</v>
      </c>
    </row>
    <row r="227" spans="1:12" ht="14" hidden="1" customHeight="1" x14ac:dyDescent="0.15">
      <c r="A227" s="28"/>
      <c r="B227" s="41" t="s">
        <v>847</v>
      </c>
      <c r="C227" s="41" t="s">
        <v>848</v>
      </c>
      <c r="D227" s="42" t="s">
        <v>622</v>
      </c>
      <c r="E227" s="43">
        <v>0.2</v>
      </c>
      <c r="F227" s="43">
        <v>2</v>
      </c>
      <c r="G227" s="43">
        <v>1.6</v>
      </c>
      <c r="H227" s="44">
        <v>0.39500000000000002</v>
      </c>
      <c r="I227" s="44">
        <v>0.156</v>
      </c>
      <c r="J227" s="44">
        <v>0.124</v>
      </c>
      <c r="K227" s="44">
        <v>0.13200000000000001</v>
      </c>
      <c r="L227" s="44">
        <v>1.07</v>
      </c>
    </row>
    <row r="228" spans="1:12" ht="14" hidden="1" customHeight="1" x14ac:dyDescent="0.15">
      <c r="A228" s="28"/>
      <c r="B228" s="41" t="s">
        <v>1825</v>
      </c>
      <c r="C228" s="41" t="s">
        <v>1826</v>
      </c>
      <c r="D228" s="42" t="s">
        <v>901</v>
      </c>
      <c r="E228" s="43">
        <v>1.8</v>
      </c>
      <c r="F228" s="43">
        <v>0.9</v>
      </c>
      <c r="G228" s="43">
        <v>0.9</v>
      </c>
      <c r="H228" s="44">
        <v>0.14699999999999999</v>
      </c>
      <c r="I228" s="44">
        <v>0.11</v>
      </c>
      <c r="J228" s="44">
        <v>6.5000000000000002E-2</v>
      </c>
      <c r="K228" s="44">
        <v>0.13200000000000001</v>
      </c>
      <c r="L228" s="44">
        <v>2.036</v>
      </c>
    </row>
    <row r="229" spans="1:12" ht="14" hidden="1" customHeight="1" x14ac:dyDescent="0.15">
      <c r="A229" s="28"/>
      <c r="B229" s="41" t="s">
        <v>849</v>
      </c>
      <c r="C229" s="41" t="s">
        <v>850</v>
      </c>
      <c r="D229" s="42" t="s">
        <v>851</v>
      </c>
      <c r="E229" s="43">
        <v>0.4</v>
      </c>
      <c r="F229" s="43">
        <v>0.7</v>
      </c>
      <c r="G229" s="43">
        <v>0.6</v>
      </c>
      <c r="H229" s="44">
        <v>0.26700000000000002</v>
      </c>
      <c r="I229" s="44">
        <v>0.13200000000000001</v>
      </c>
      <c r="J229" s="44">
        <v>0.10299999999999999</v>
      </c>
      <c r="K229" s="44">
        <v>0.13200000000000001</v>
      </c>
      <c r="L229" s="44">
        <v>1.278</v>
      </c>
    </row>
    <row r="230" spans="1:12" ht="14" hidden="1" customHeight="1" x14ac:dyDescent="0.15">
      <c r="A230" s="28"/>
      <c r="B230" s="41" t="s">
        <v>852</v>
      </c>
      <c r="C230" s="41" t="s">
        <v>853</v>
      </c>
      <c r="D230" s="42" t="s">
        <v>809</v>
      </c>
      <c r="E230" s="43">
        <v>1.3</v>
      </c>
      <c r="F230" s="43">
        <v>0.7</v>
      </c>
      <c r="G230" s="43">
        <v>0.3</v>
      </c>
      <c r="H230" s="44">
        <v>0.40300000000000002</v>
      </c>
      <c r="I230" s="44">
        <v>0.183</v>
      </c>
      <c r="J230" s="44">
        <v>0.13100000000000001</v>
      </c>
      <c r="K230" s="44">
        <v>0.13200000000000001</v>
      </c>
      <c r="L230" s="44">
        <v>1.0029999999999999</v>
      </c>
    </row>
    <row r="231" spans="1:12" ht="14" hidden="1" customHeight="1" x14ac:dyDescent="0.15">
      <c r="A231" s="28"/>
      <c r="B231" s="41" t="s">
        <v>1827</v>
      </c>
      <c r="C231" s="41" t="s">
        <v>1828</v>
      </c>
      <c r="D231" s="42" t="s">
        <v>579</v>
      </c>
      <c r="E231" s="43">
        <v>0.3</v>
      </c>
      <c r="F231" s="43" t="s">
        <v>1737</v>
      </c>
      <c r="G231" s="43" t="s">
        <v>1737</v>
      </c>
      <c r="H231" s="44">
        <v>0</v>
      </c>
      <c r="I231" s="44">
        <v>0</v>
      </c>
      <c r="J231" s="44">
        <v>9.1999999999999998E-2</v>
      </c>
      <c r="K231" s="44">
        <v>0.13200000000000001</v>
      </c>
      <c r="L231" s="44">
        <v>1.4419999999999999</v>
      </c>
    </row>
    <row r="232" spans="1:12" ht="28" hidden="1" customHeight="1" x14ac:dyDescent="0.15">
      <c r="A232" s="28"/>
      <c r="B232" s="41" t="s">
        <v>1829</v>
      </c>
      <c r="C232" s="41" t="s">
        <v>1830</v>
      </c>
      <c r="D232" s="42" t="s">
        <v>619</v>
      </c>
      <c r="E232" s="43">
        <v>0.7</v>
      </c>
      <c r="F232" s="43">
        <v>2.2999999999999998</v>
      </c>
      <c r="G232" s="43">
        <v>1.5</v>
      </c>
      <c r="H232" s="44">
        <v>0.57499999999999996</v>
      </c>
      <c r="I232" s="44">
        <v>0.17100000000000001</v>
      </c>
      <c r="J232" s="44">
        <v>0.17899999999999999</v>
      </c>
      <c r="K232" s="44">
        <v>0.13100000000000001</v>
      </c>
      <c r="L232" s="44">
        <v>0.72899999999999998</v>
      </c>
    </row>
    <row r="233" spans="1:12" ht="14" hidden="1" customHeight="1" x14ac:dyDescent="0.15">
      <c r="A233" s="28"/>
      <c r="B233" s="41" t="s">
        <v>1831</v>
      </c>
      <c r="C233" s="41" t="s">
        <v>1832</v>
      </c>
      <c r="D233" s="42" t="s">
        <v>1833</v>
      </c>
      <c r="E233" s="43">
        <v>0.4</v>
      </c>
      <c r="F233" s="43" t="s">
        <v>1737</v>
      </c>
      <c r="G233" s="43" t="s">
        <v>1737</v>
      </c>
      <c r="H233" s="44">
        <v>0</v>
      </c>
      <c r="I233" s="44">
        <v>0</v>
      </c>
      <c r="J233" s="44">
        <v>3.7999999999999999E-2</v>
      </c>
      <c r="K233" s="44">
        <v>0.13</v>
      </c>
      <c r="L233" s="44">
        <v>3.4470000000000001</v>
      </c>
    </row>
    <row r="234" spans="1:12" ht="14" hidden="1" customHeight="1" x14ac:dyDescent="0.15">
      <c r="A234" s="28"/>
      <c r="B234" s="41" t="s">
        <v>1834</v>
      </c>
      <c r="C234" s="41" t="s">
        <v>1835</v>
      </c>
      <c r="D234" s="42" t="s">
        <v>1836</v>
      </c>
      <c r="E234" s="43">
        <v>4.2</v>
      </c>
      <c r="F234" s="43">
        <v>1.3</v>
      </c>
      <c r="G234" s="43">
        <v>1.1000000000000001</v>
      </c>
      <c r="H234" s="44">
        <v>0.35899999999999999</v>
      </c>
      <c r="I234" s="44">
        <v>0.109</v>
      </c>
      <c r="J234" s="44">
        <v>7.9000000000000001E-2</v>
      </c>
      <c r="K234" s="44">
        <v>0.13</v>
      </c>
      <c r="L234" s="44">
        <v>1.643</v>
      </c>
    </row>
    <row r="235" spans="1:12" ht="14" hidden="1" customHeight="1" x14ac:dyDescent="0.15">
      <c r="A235" s="28"/>
      <c r="B235" s="41" t="s">
        <v>854</v>
      </c>
      <c r="C235" s="41" t="s">
        <v>855</v>
      </c>
      <c r="D235" s="42" t="s">
        <v>780</v>
      </c>
      <c r="E235" s="43">
        <v>2.2000000000000002</v>
      </c>
      <c r="F235" s="43">
        <v>0.8</v>
      </c>
      <c r="G235" s="43">
        <v>0.8</v>
      </c>
      <c r="H235" s="44">
        <v>0.58499999999999996</v>
      </c>
      <c r="I235" s="44">
        <v>0.23100000000000001</v>
      </c>
      <c r="J235" s="44">
        <v>0.14599999999999999</v>
      </c>
      <c r="K235" s="44">
        <v>0.129</v>
      </c>
      <c r="L235" s="44">
        <v>0.88200000000000001</v>
      </c>
    </row>
    <row r="236" spans="1:12" ht="14" hidden="1" customHeight="1" x14ac:dyDescent="0.15">
      <c r="A236" s="28"/>
      <c r="B236" s="41" t="s">
        <v>856</v>
      </c>
      <c r="C236" s="41" t="s">
        <v>857</v>
      </c>
      <c r="D236" s="42" t="s">
        <v>631</v>
      </c>
      <c r="E236" s="43">
        <v>0.7</v>
      </c>
      <c r="F236" s="43">
        <v>1</v>
      </c>
      <c r="G236" s="43">
        <v>0.6</v>
      </c>
      <c r="H236" s="44">
        <v>0.71</v>
      </c>
      <c r="I236" s="44">
        <v>0.16200000000000001</v>
      </c>
      <c r="J236" s="44">
        <v>0.441</v>
      </c>
      <c r="K236" s="44">
        <v>0.128</v>
      </c>
      <c r="L236" s="44">
        <v>0.29099999999999998</v>
      </c>
    </row>
    <row r="237" spans="1:12" ht="14" hidden="1" customHeight="1" x14ac:dyDescent="0.15">
      <c r="A237" s="28"/>
      <c r="B237" s="41" t="s">
        <v>858</v>
      </c>
      <c r="C237" s="41" t="s">
        <v>859</v>
      </c>
      <c r="D237" s="42" t="s">
        <v>584</v>
      </c>
      <c r="E237" s="43">
        <v>1.4</v>
      </c>
      <c r="F237" s="43">
        <v>0.7</v>
      </c>
      <c r="G237" s="43">
        <v>0.7</v>
      </c>
      <c r="H237" s="44">
        <v>0.82099999999999995</v>
      </c>
      <c r="I237" s="44">
        <v>7.8E-2</v>
      </c>
      <c r="J237" s="44">
        <v>4.8000000000000001E-2</v>
      </c>
      <c r="K237" s="44">
        <v>0.128</v>
      </c>
      <c r="L237" s="44">
        <v>2.677</v>
      </c>
    </row>
    <row r="238" spans="1:12" ht="14" hidden="1" customHeight="1" x14ac:dyDescent="0.15">
      <c r="A238" s="28"/>
      <c r="B238" s="41" t="s">
        <v>860</v>
      </c>
      <c r="C238" s="41" t="s">
        <v>861</v>
      </c>
      <c r="D238" s="42" t="s">
        <v>695</v>
      </c>
      <c r="E238" s="43">
        <v>6</v>
      </c>
      <c r="F238" s="43">
        <v>0.9</v>
      </c>
      <c r="G238" s="43">
        <v>0.7</v>
      </c>
      <c r="H238" s="44">
        <v>0.56699999999999995</v>
      </c>
      <c r="I238" s="44">
        <v>0.23</v>
      </c>
      <c r="J238" s="44">
        <v>0.17799999999999999</v>
      </c>
      <c r="K238" s="44">
        <v>0.128</v>
      </c>
      <c r="L238" s="44">
        <v>0.71899999999999997</v>
      </c>
    </row>
    <row r="239" spans="1:12" ht="14" hidden="1" customHeight="1" x14ac:dyDescent="0.15">
      <c r="A239" s="28"/>
      <c r="B239" s="41" t="s">
        <v>862</v>
      </c>
      <c r="C239" s="41" t="s">
        <v>863</v>
      </c>
      <c r="D239" s="42" t="s">
        <v>864</v>
      </c>
      <c r="E239" s="43">
        <v>2.4</v>
      </c>
      <c r="F239" s="43">
        <v>1.7</v>
      </c>
      <c r="G239" s="43">
        <v>1.6</v>
      </c>
      <c r="H239" s="44">
        <v>0.503</v>
      </c>
      <c r="I239" s="44">
        <v>0.27600000000000002</v>
      </c>
      <c r="J239" s="44">
        <v>0.19700000000000001</v>
      </c>
      <c r="K239" s="44">
        <v>0.128</v>
      </c>
      <c r="L239" s="44">
        <v>0.65200000000000002</v>
      </c>
    </row>
    <row r="240" spans="1:12" ht="28" hidden="1" customHeight="1" x14ac:dyDescent="0.15">
      <c r="A240" s="28"/>
      <c r="B240" s="41" t="s">
        <v>1837</v>
      </c>
      <c r="C240" s="41" t="s">
        <v>1838</v>
      </c>
      <c r="D240" s="42" t="s">
        <v>619</v>
      </c>
      <c r="E240" s="43">
        <v>0.3</v>
      </c>
      <c r="F240" s="43">
        <v>2</v>
      </c>
      <c r="G240" s="43">
        <v>1.4</v>
      </c>
      <c r="H240" s="44">
        <v>0.53700000000000003</v>
      </c>
      <c r="I240" s="44">
        <v>0.11</v>
      </c>
      <c r="J240" s="44">
        <v>6.6000000000000003E-2</v>
      </c>
      <c r="K240" s="44">
        <v>0.128</v>
      </c>
      <c r="L240" s="44">
        <v>1.9530000000000001</v>
      </c>
    </row>
    <row r="241" spans="1:12" ht="28" hidden="1" customHeight="1" x14ac:dyDescent="0.15">
      <c r="A241" s="28"/>
      <c r="B241" s="41" t="s">
        <v>865</v>
      </c>
      <c r="C241" s="41" t="s">
        <v>866</v>
      </c>
      <c r="D241" s="42" t="s">
        <v>793</v>
      </c>
      <c r="E241" s="43">
        <v>0.2</v>
      </c>
      <c r="F241" s="43">
        <v>2.6</v>
      </c>
      <c r="G241" s="43">
        <v>2.6</v>
      </c>
      <c r="H241" s="44">
        <v>0.36599999999999999</v>
      </c>
      <c r="I241" s="44">
        <v>0.159</v>
      </c>
      <c r="J241" s="44">
        <v>0.11</v>
      </c>
      <c r="K241" s="44">
        <v>0.127</v>
      </c>
      <c r="L241" s="44">
        <v>1.1519999999999999</v>
      </c>
    </row>
    <row r="242" spans="1:12" ht="14" hidden="1" customHeight="1" x14ac:dyDescent="0.15">
      <c r="A242" s="28"/>
      <c r="B242" s="41" t="s">
        <v>867</v>
      </c>
      <c r="C242" s="41" t="s">
        <v>868</v>
      </c>
      <c r="D242" s="42" t="s">
        <v>869</v>
      </c>
      <c r="E242" s="43">
        <v>0.6</v>
      </c>
      <c r="F242" s="43">
        <v>6.9</v>
      </c>
      <c r="G242" s="43">
        <v>6.9</v>
      </c>
      <c r="H242" s="44">
        <v>0.33200000000000002</v>
      </c>
      <c r="I242" s="44">
        <v>0.14499999999999999</v>
      </c>
      <c r="J242" s="44">
        <v>0.16900000000000001</v>
      </c>
      <c r="K242" s="44">
        <v>0.127</v>
      </c>
      <c r="L242" s="44">
        <v>0.754</v>
      </c>
    </row>
    <row r="243" spans="1:12" ht="14" hidden="1" customHeight="1" x14ac:dyDescent="0.15">
      <c r="A243" s="28"/>
      <c r="B243" s="41" t="s">
        <v>1547</v>
      </c>
      <c r="C243" s="41" t="s">
        <v>1839</v>
      </c>
      <c r="D243" s="42" t="s">
        <v>622</v>
      </c>
      <c r="E243" s="43">
        <v>1.5</v>
      </c>
      <c r="F243" s="43">
        <v>1.4</v>
      </c>
      <c r="G243" s="43">
        <v>0.9</v>
      </c>
      <c r="H243" s="44">
        <v>0.249</v>
      </c>
      <c r="I243" s="44">
        <v>0.13300000000000001</v>
      </c>
      <c r="J243" s="44">
        <v>9.6000000000000002E-2</v>
      </c>
      <c r="K243" s="44">
        <v>0.126</v>
      </c>
      <c r="L243" s="44">
        <v>1.3140000000000001</v>
      </c>
    </row>
    <row r="244" spans="1:12" ht="14" hidden="1" customHeight="1" x14ac:dyDescent="0.15">
      <c r="A244" s="28"/>
      <c r="B244" s="41" t="s">
        <v>870</v>
      </c>
      <c r="C244" s="41" t="s">
        <v>871</v>
      </c>
      <c r="D244" s="42" t="s">
        <v>809</v>
      </c>
      <c r="E244" s="43">
        <v>0.7</v>
      </c>
      <c r="F244" s="43">
        <v>0.8</v>
      </c>
      <c r="G244" s="43">
        <v>0.3</v>
      </c>
      <c r="H244" s="44">
        <v>0.38200000000000001</v>
      </c>
      <c r="I244" s="44">
        <v>0.158</v>
      </c>
      <c r="J244" s="44">
        <v>8.2000000000000003E-2</v>
      </c>
      <c r="K244" s="44">
        <v>0.126</v>
      </c>
      <c r="L244" s="44">
        <v>1.526</v>
      </c>
    </row>
    <row r="245" spans="1:12" ht="14" hidden="1" customHeight="1" x14ac:dyDescent="0.15">
      <c r="A245" s="28"/>
      <c r="B245" s="41" t="s">
        <v>872</v>
      </c>
      <c r="C245" s="41" t="s">
        <v>873</v>
      </c>
      <c r="D245" s="42" t="s">
        <v>874</v>
      </c>
      <c r="E245" s="43">
        <v>0.7</v>
      </c>
      <c r="F245" s="43">
        <v>0.6</v>
      </c>
      <c r="G245" s="43">
        <v>0.4</v>
      </c>
      <c r="H245" s="44">
        <v>0.39700000000000002</v>
      </c>
      <c r="I245" s="44">
        <v>0.14000000000000001</v>
      </c>
      <c r="J245" s="44">
        <v>2.1999999999999999E-2</v>
      </c>
      <c r="K245" s="44">
        <v>0.126</v>
      </c>
      <c r="L245" s="44">
        <v>5.601</v>
      </c>
    </row>
    <row r="246" spans="1:12" ht="14" hidden="1" customHeight="1" x14ac:dyDescent="0.15">
      <c r="A246" s="28"/>
      <c r="B246" s="41" t="s">
        <v>875</v>
      </c>
      <c r="C246" s="41" t="s">
        <v>876</v>
      </c>
      <c r="D246" s="42" t="s">
        <v>506</v>
      </c>
      <c r="E246" s="43">
        <v>0.8</v>
      </c>
      <c r="F246" s="43" t="s">
        <v>1737</v>
      </c>
      <c r="G246" s="43" t="s">
        <v>1737</v>
      </c>
      <c r="H246" s="44">
        <v>0</v>
      </c>
      <c r="I246" s="44">
        <v>0.40100000000000002</v>
      </c>
      <c r="J246" s="44">
        <v>0.25900000000000001</v>
      </c>
      <c r="K246" s="44">
        <v>0.126</v>
      </c>
      <c r="L246" s="44">
        <v>0.48699999999999999</v>
      </c>
    </row>
    <row r="247" spans="1:12" ht="28" hidden="1" customHeight="1" x14ac:dyDescent="0.15">
      <c r="A247" s="28"/>
      <c r="B247" s="41" t="s">
        <v>1519</v>
      </c>
      <c r="C247" s="41" t="s">
        <v>1520</v>
      </c>
      <c r="D247" s="42" t="s">
        <v>619</v>
      </c>
      <c r="E247" s="43">
        <v>0.8</v>
      </c>
      <c r="F247" s="43">
        <v>2.2999999999999998</v>
      </c>
      <c r="G247" s="43">
        <v>1.8</v>
      </c>
      <c r="H247" s="44">
        <v>0.42</v>
      </c>
      <c r="I247" s="44">
        <v>8.2000000000000003E-2</v>
      </c>
      <c r="J247" s="44">
        <v>9.0999999999999998E-2</v>
      </c>
      <c r="K247" s="44">
        <v>0.125</v>
      </c>
      <c r="L247" s="44">
        <v>1.3819999999999999</v>
      </c>
    </row>
    <row r="248" spans="1:12" ht="14" customHeight="1" x14ac:dyDescent="0.15">
      <c r="A248" s="28"/>
      <c r="B248" s="41" t="s">
        <v>877</v>
      </c>
      <c r="C248" s="41" t="s">
        <v>878</v>
      </c>
      <c r="D248" s="42" t="s">
        <v>879</v>
      </c>
      <c r="E248" s="43" t="s">
        <v>1737</v>
      </c>
      <c r="F248" s="43">
        <v>0.7</v>
      </c>
      <c r="G248" s="43">
        <v>0.7</v>
      </c>
      <c r="H248" s="44">
        <v>0.86699999999999999</v>
      </c>
      <c r="I248" s="44">
        <v>0.16700000000000001</v>
      </c>
      <c r="J248" s="44">
        <v>9.2999999999999999E-2</v>
      </c>
      <c r="K248" s="44">
        <v>0.125</v>
      </c>
      <c r="L248" s="44">
        <v>1.333</v>
      </c>
    </row>
    <row r="249" spans="1:12" ht="14" hidden="1" customHeight="1" x14ac:dyDescent="0.15">
      <c r="A249" s="28"/>
      <c r="B249" s="41" t="s">
        <v>880</v>
      </c>
      <c r="C249" s="41" t="s">
        <v>881</v>
      </c>
      <c r="D249" s="42" t="s">
        <v>622</v>
      </c>
      <c r="E249" s="43">
        <v>0.9</v>
      </c>
      <c r="F249" s="43">
        <v>2.7</v>
      </c>
      <c r="G249" s="43">
        <v>1.8</v>
      </c>
      <c r="H249" s="44">
        <v>0.372</v>
      </c>
      <c r="I249" s="44">
        <v>0.14199999999999999</v>
      </c>
      <c r="J249" s="44">
        <v>6.5000000000000002E-2</v>
      </c>
      <c r="K249" s="44">
        <v>0.123</v>
      </c>
      <c r="L249" s="44">
        <v>1.897</v>
      </c>
    </row>
    <row r="250" spans="1:12" ht="28" hidden="1" customHeight="1" x14ac:dyDescent="0.15">
      <c r="A250" s="28"/>
      <c r="B250" s="41" t="s">
        <v>1840</v>
      </c>
      <c r="C250" s="41" t="s">
        <v>1841</v>
      </c>
      <c r="D250" s="42" t="s">
        <v>681</v>
      </c>
      <c r="E250" s="43">
        <v>1</v>
      </c>
      <c r="F250" s="43">
        <v>1.2</v>
      </c>
      <c r="G250" s="43">
        <v>0.7</v>
      </c>
      <c r="H250" s="44">
        <v>0.33900000000000002</v>
      </c>
      <c r="I250" s="44">
        <v>6.0999999999999999E-2</v>
      </c>
      <c r="J250" s="44">
        <v>2E-3</v>
      </c>
      <c r="K250" s="44">
        <v>0.123</v>
      </c>
      <c r="L250" s="44">
        <v>78.353999999999999</v>
      </c>
    </row>
    <row r="251" spans="1:12" ht="28" hidden="1" customHeight="1" x14ac:dyDescent="0.15">
      <c r="A251" s="28"/>
      <c r="B251" s="41" t="s">
        <v>882</v>
      </c>
      <c r="C251" s="41" t="s">
        <v>883</v>
      </c>
      <c r="D251" s="42" t="s">
        <v>884</v>
      </c>
      <c r="E251" s="43">
        <v>3.9</v>
      </c>
      <c r="F251" s="43">
        <v>1.3</v>
      </c>
      <c r="G251" s="43">
        <v>1.2</v>
      </c>
      <c r="H251" s="44">
        <v>0.25700000000000001</v>
      </c>
      <c r="I251" s="44">
        <v>0.13400000000000001</v>
      </c>
      <c r="J251" s="44">
        <v>0.45400000000000001</v>
      </c>
      <c r="K251" s="44">
        <v>0.123</v>
      </c>
      <c r="L251" s="44">
        <v>0.27</v>
      </c>
    </row>
    <row r="252" spans="1:12" ht="14" hidden="1" customHeight="1" x14ac:dyDescent="0.15">
      <c r="A252" s="28"/>
      <c r="B252" s="41" t="s">
        <v>885</v>
      </c>
      <c r="C252" s="41" t="s">
        <v>886</v>
      </c>
      <c r="D252" s="42" t="s">
        <v>887</v>
      </c>
      <c r="E252" s="43">
        <v>0</v>
      </c>
      <c r="F252" s="43">
        <v>2.4</v>
      </c>
      <c r="G252" s="43">
        <v>2.4</v>
      </c>
      <c r="H252" s="44">
        <v>0.4</v>
      </c>
      <c r="I252" s="44">
        <v>0.19900000000000001</v>
      </c>
      <c r="J252" s="44">
        <v>0.15</v>
      </c>
      <c r="K252" s="44">
        <v>0.123</v>
      </c>
      <c r="L252" s="44">
        <v>0.81799999999999995</v>
      </c>
    </row>
    <row r="253" spans="1:12" ht="14" hidden="1" customHeight="1" x14ac:dyDescent="0.15">
      <c r="A253" s="28"/>
      <c r="B253" s="41" t="s">
        <v>888</v>
      </c>
      <c r="C253" s="41" t="s">
        <v>889</v>
      </c>
      <c r="D253" s="42" t="s">
        <v>890</v>
      </c>
      <c r="E253" s="43">
        <v>0.6</v>
      </c>
      <c r="F253" s="43">
        <v>2.6</v>
      </c>
      <c r="G253" s="43">
        <v>1.7</v>
      </c>
      <c r="H253" s="44">
        <v>0.255</v>
      </c>
      <c r="I253" s="44">
        <v>0.17399999999999999</v>
      </c>
      <c r="J253" s="44">
        <v>0.126</v>
      </c>
      <c r="K253" s="44">
        <v>0.123</v>
      </c>
      <c r="L253" s="44">
        <v>0.97599999999999998</v>
      </c>
    </row>
    <row r="254" spans="1:12" ht="14" hidden="1" customHeight="1" x14ac:dyDescent="0.15">
      <c r="A254" s="28"/>
      <c r="B254" s="41" t="s">
        <v>891</v>
      </c>
      <c r="C254" s="41" t="s">
        <v>892</v>
      </c>
      <c r="D254" s="42" t="s">
        <v>893</v>
      </c>
      <c r="E254" s="43" t="s">
        <v>1737</v>
      </c>
      <c r="F254" s="43">
        <v>0.9</v>
      </c>
      <c r="G254" s="43">
        <v>0.1</v>
      </c>
      <c r="H254" s="44">
        <v>0.53700000000000003</v>
      </c>
      <c r="I254" s="44">
        <v>0.185</v>
      </c>
      <c r="J254" s="44">
        <v>0.13400000000000001</v>
      </c>
      <c r="K254" s="44">
        <v>0.122</v>
      </c>
      <c r="L254" s="44">
        <v>0.90800000000000003</v>
      </c>
    </row>
    <row r="255" spans="1:12" ht="14" hidden="1" customHeight="1" x14ac:dyDescent="0.15">
      <c r="A255" s="28"/>
      <c r="B255" s="41" t="s">
        <v>894</v>
      </c>
      <c r="C255" s="41" t="s">
        <v>895</v>
      </c>
      <c r="D255" s="42" t="s">
        <v>890</v>
      </c>
      <c r="E255" s="43">
        <v>0.6</v>
      </c>
      <c r="F255" s="43">
        <v>1.7</v>
      </c>
      <c r="G255" s="43">
        <v>0.9</v>
      </c>
      <c r="H255" s="44">
        <v>0.25</v>
      </c>
      <c r="I255" s="44">
        <v>0.188</v>
      </c>
      <c r="J255" s="44">
        <v>0.13</v>
      </c>
      <c r="K255" s="44">
        <v>0.122</v>
      </c>
      <c r="L255" s="44">
        <v>0.94</v>
      </c>
    </row>
    <row r="256" spans="1:12" ht="14" hidden="1" customHeight="1" x14ac:dyDescent="0.15">
      <c r="A256" s="28"/>
      <c r="B256" s="41" t="s">
        <v>896</v>
      </c>
      <c r="C256" s="41" t="s">
        <v>897</v>
      </c>
      <c r="D256" s="42" t="s">
        <v>898</v>
      </c>
      <c r="E256" s="43">
        <v>1.2</v>
      </c>
      <c r="F256" s="43">
        <v>0.8</v>
      </c>
      <c r="G256" s="43">
        <v>0.8</v>
      </c>
      <c r="H256" s="44">
        <v>0.68400000000000005</v>
      </c>
      <c r="I256" s="44">
        <v>0.19400000000000001</v>
      </c>
      <c r="J256" s="44">
        <v>0.12</v>
      </c>
      <c r="K256" s="44">
        <v>0.121</v>
      </c>
      <c r="L256" s="44">
        <v>1.0129999999999999</v>
      </c>
    </row>
    <row r="257" spans="1:12" ht="14" hidden="1" customHeight="1" x14ac:dyDescent="0.15">
      <c r="A257" s="28"/>
      <c r="B257" s="41" t="s">
        <v>899</v>
      </c>
      <c r="C257" s="41" t="s">
        <v>900</v>
      </c>
      <c r="D257" s="42" t="s">
        <v>901</v>
      </c>
      <c r="E257" s="43">
        <v>2.2999999999999998</v>
      </c>
      <c r="F257" s="43">
        <v>0.9</v>
      </c>
      <c r="G257" s="43">
        <v>0.8</v>
      </c>
      <c r="H257" s="44">
        <v>0.185</v>
      </c>
      <c r="I257" s="44">
        <v>0.14199999999999999</v>
      </c>
      <c r="J257" s="44">
        <v>0.09</v>
      </c>
      <c r="K257" s="44">
        <v>0.12</v>
      </c>
      <c r="L257" s="44">
        <v>1.335</v>
      </c>
    </row>
    <row r="258" spans="1:12" ht="14" hidden="1" customHeight="1" x14ac:dyDescent="0.15">
      <c r="A258" s="28"/>
      <c r="B258" s="41" t="s">
        <v>902</v>
      </c>
      <c r="C258" s="41" t="s">
        <v>903</v>
      </c>
      <c r="D258" s="42" t="s">
        <v>733</v>
      </c>
      <c r="E258" s="43">
        <v>0.7</v>
      </c>
      <c r="F258" s="43">
        <v>0.5</v>
      </c>
      <c r="G258" s="43">
        <v>0.3</v>
      </c>
      <c r="H258" s="44">
        <v>0.4</v>
      </c>
      <c r="I258" s="44">
        <v>0.156</v>
      </c>
      <c r="J258" s="44">
        <v>0.15</v>
      </c>
      <c r="K258" s="44">
        <v>0.11899999999999999</v>
      </c>
      <c r="L258" s="44">
        <v>0.79200000000000004</v>
      </c>
    </row>
    <row r="259" spans="1:12" ht="14" hidden="1" customHeight="1" x14ac:dyDescent="0.15">
      <c r="A259" s="28"/>
      <c r="B259" s="41" t="s">
        <v>1661</v>
      </c>
      <c r="C259" s="41" t="s">
        <v>1842</v>
      </c>
      <c r="D259" s="42" t="s">
        <v>812</v>
      </c>
      <c r="E259" s="43">
        <v>1.8</v>
      </c>
      <c r="F259" s="43">
        <v>1.1000000000000001</v>
      </c>
      <c r="G259" s="43">
        <v>1.1000000000000001</v>
      </c>
      <c r="H259" s="44">
        <v>0</v>
      </c>
      <c r="I259" s="44">
        <v>0.16</v>
      </c>
      <c r="J259" s="44">
        <v>0.104</v>
      </c>
      <c r="K259" s="44">
        <v>0.11899999999999999</v>
      </c>
      <c r="L259" s="44">
        <v>1.143</v>
      </c>
    </row>
    <row r="260" spans="1:12" ht="14" hidden="1" customHeight="1" x14ac:dyDescent="0.15">
      <c r="A260" s="28"/>
      <c r="B260" s="41" t="s">
        <v>1551</v>
      </c>
      <c r="C260" s="41" t="s">
        <v>1552</v>
      </c>
      <c r="D260" s="42" t="s">
        <v>760</v>
      </c>
      <c r="E260" s="43">
        <v>2.2999999999999998</v>
      </c>
      <c r="F260" s="43">
        <v>1.5</v>
      </c>
      <c r="G260" s="43">
        <v>1.1000000000000001</v>
      </c>
      <c r="H260" s="44">
        <v>0.26700000000000002</v>
      </c>
      <c r="I260" s="44">
        <v>0.12</v>
      </c>
      <c r="J260" s="44">
        <v>0.17100000000000001</v>
      </c>
      <c r="K260" s="44">
        <v>0.11899999999999999</v>
      </c>
      <c r="L260" s="44">
        <v>0.69399999999999995</v>
      </c>
    </row>
    <row r="261" spans="1:12" ht="14" hidden="1" customHeight="1" x14ac:dyDescent="0.15">
      <c r="A261" s="28"/>
      <c r="B261" s="41" t="s">
        <v>904</v>
      </c>
      <c r="C261" s="41" t="s">
        <v>905</v>
      </c>
      <c r="D261" s="42" t="s">
        <v>755</v>
      </c>
      <c r="E261" s="43">
        <v>1</v>
      </c>
      <c r="F261" s="43">
        <v>1.9</v>
      </c>
      <c r="G261" s="43">
        <v>0.9</v>
      </c>
      <c r="H261" s="44">
        <v>0.24099999999999999</v>
      </c>
      <c r="I261" s="44">
        <v>0.14099999999999999</v>
      </c>
      <c r="J261" s="44">
        <v>8.2000000000000003E-2</v>
      </c>
      <c r="K261" s="44">
        <v>0.11799999999999999</v>
      </c>
      <c r="L261" s="44">
        <v>1.446</v>
      </c>
    </row>
    <row r="262" spans="1:12" ht="14" hidden="1" customHeight="1" x14ac:dyDescent="0.15">
      <c r="A262" s="28"/>
      <c r="B262" s="41" t="s">
        <v>906</v>
      </c>
      <c r="C262" s="41" t="s">
        <v>907</v>
      </c>
      <c r="D262" s="42" t="s">
        <v>622</v>
      </c>
      <c r="E262" s="43">
        <v>0.8</v>
      </c>
      <c r="F262" s="43">
        <v>1.6</v>
      </c>
      <c r="G262" s="43">
        <v>1.3</v>
      </c>
      <c r="H262" s="44">
        <v>0.39</v>
      </c>
      <c r="I262" s="44">
        <v>0.13300000000000001</v>
      </c>
      <c r="J262" s="44">
        <v>7.6999999999999999E-2</v>
      </c>
      <c r="K262" s="44">
        <v>0.11799999999999999</v>
      </c>
      <c r="L262" s="44">
        <v>1.5409999999999999</v>
      </c>
    </row>
    <row r="263" spans="1:12" ht="14" hidden="1" customHeight="1" x14ac:dyDescent="0.15">
      <c r="A263" s="28"/>
      <c r="B263" s="41" t="s">
        <v>1843</v>
      </c>
      <c r="C263" s="41" t="s">
        <v>1844</v>
      </c>
      <c r="D263" s="42" t="s">
        <v>851</v>
      </c>
      <c r="E263" s="43">
        <v>0.7</v>
      </c>
      <c r="F263" s="43">
        <v>0.6</v>
      </c>
      <c r="G263" s="43">
        <v>0.6</v>
      </c>
      <c r="H263" s="44">
        <v>0.22600000000000001</v>
      </c>
      <c r="I263" s="44">
        <v>0.127</v>
      </c>
      <c r="J263" s="44">
        <v>8.7999999999999995E-2</v>
      </c>
      <c r="K263" s="44">
        <v>0.11600000000000001</v>
      </c>
      <c r="L263" s="44">
        <v>1.3140000000000001</v>
      </c>
    </row>
    <row r="264" spans="1:12" ht="14" hidden="1" customHeight="1" x14ac:dyDescent="0.15">
      <c r="A264" s="28"/>
      <c r="B264" s="41" t="s">
        <v>908</v>
      </c>
      <c r="C264" s="41" t="s">
        <v>909</v>
      </c>
      <c r="D264" s="42" t="s">
        <v>910</v>
      </c>
      <c r="E264" s="43">
        <v>5.2</v>
      </c>
      <c r="F264" s="43">
        <v>1.6</v>
      </c>
      <c r="G264" s="43">
        <v>1.5</v>
      </c>
      <c r="H264" s="44">
        <v>0.30499999999999999</v>
      </c>
      <c r="I264" s="44">
        <v>0.154</v>
      </c>
      <c r="J264" s="44">
        <v>7.0999999999999994E-2</v>
      </c>
      <c r="K264" s="44">
        <v>0.11600000000000001</v>
      </c>
      <c r="L264" s="44">
        <v>1.6259999999999999</v>
      </c>
    </row>
    <row r="265" spans="1:12" ht="14" hidden="1" customHeight="1" x14ac:dyDescent="0.15">
      <c r="A265" s="28"/>
      <c r="B265" s="41" t="s">
        <v>912</v>
      </c>
      <c r="C265" s="41" t="s">
        <v>913</v>
      </c>
      <c r="D265" s="42" t="s">
        <v>777</v>
      </c>
      <c r="E265" s="43">
        <v>0.9</v>
      </c>
      <c r="F265" s="43">
        <v>3.4</v>
      </c>
      <c r="G265" s="43">
        <v>2.2999999999999998</v>
      </c>
      <c r="H265" s="44">
        <v>0.23599999999999999</v>
      </c>
      <c r="I265" s="44">
        <v>0.156</v>
      </c>
      <c r="J265" s="44">
        <v>0.1</v>
      </c>
      <c r="K265" s="44">
        <v>0.11600000000000001</v>
      </c>
      <c r="L265" s="44">
        <v>1.1639999999999999</v>
      </c>
    </row>
    <row r="266" spans="1:12" ht="14" hidden="1" customHeight="1" x14ac:dyDescent="0.15">
      <c r="A266" s="28"/>
      <c r="B266" s="41" t="s">
        <v>914</v>
      </c>
      <c r="C266" s="41" t="s">
        <v>915</v>
      </c>
      <c r="D266" s="42" t="s">
        <v>809</v>
      </c>
      <c r="E266" s="43">
        <v>2.2999999999999998</v>
      </c>
      <c r="F266" s="43">
        <v>0.6</v>
      </c>
      <c r="G266" s="43">
        <v>0.3</v>
      </c>
      <c r="H266" s="44">
        <v>0.34</v>
      </c>
      <c r="I266" s="44">
        <v>0.14099999999999999</v>
      </c>
      <c r="J266" s="44">
        <v>0.19500000000000001</v>
      </c>
      <c r="K266" s="44">
        <v>0.115</v>
      </c>
      <c r="L266" s="44">
        <v>0.59099999999999997</v>
      </c>
    </row>
    <row r="267" spans="1:12" ht="14" hidden="1" customHeight="1" x14ac:dyDescent="0.15">
      <c r="A267" s="28"/>
      <c r="B267" s="41" t="s">
        <v>916</v>
      </c>
      <c r="C267" s="41" t="s">
        <v>917</v>
      </c>
      <c r="D267" s="42" t="s">
        <v>809</v>
      </c>
      <c r="E267" s="43">
        <v>8.4</v>
      </c>
      <c r="F267" s="43">
        <v>1.9</v>
      </c>
      <c r="G267" s="43">
        <v>0.8</v>
      </c>
      <c r="H267" s="44">
        <v>0.26200000000000001</v>
      </c>
      <c r="I267" s="44">
        <v>0.17100000000000001</v>
      </c>
      <c r="J267" s="44">
        <v>0.121</v>
      </c>
      <c r="K267" s="44">
        <v>0.115</v>
      </c>
      <c r="L267" s="44">
        <v>0.95099999999999996</v>
      </c>
    </row>
    <row r="268" spans="1:12" ht="14" hidden="1" customHeight="1" x14ac:dyDescent="0.15">
      <c r="A268" s="28"/>
      <c r="B268" s="41" t="s">
        <v>918</v>
      </c>
      <c r="C268" s="41" t="s">
        <v>919</v>
      </c>
      <c r="D268" s="42" t="s">
        <v>695</v>
      </c>
      <c r="E268" s="43">
        <v>0.5</v>
      </c>
      <c r="F268" s="43">
        <v>1.6</v>
      </c>
      <c r="G268" s="43">
        <v>1.3</v>
      </c>
      <c r="H268" s="44">
        <v>0.53900000000000003</v>
      </c>
      <c r="I268" s="44">
        <v>0.17299999999999999</v>
      </c>
      <c r="J268" s="44">
        <v>0.14599999999999999</v>
      </c>
      <c r="K268" s="44">
        <v>0.114</v>
      </c>
      <c r="L268" s="44">
        <v>0.78</v>
      </c>
    </row>
    <row r="269" spans="1:12" ht="14" hidden="1" customHeight="1" x14ac:dyDescent="0.15">
      <c r="A269" s="28"/>
      <c r="B269" s="41" t="s">
        <v>920</v>
      </c>
      <c r="C269" s="41" t="s">
        <v>920</v>
      </c>
      <c r="D269" s="42" t="s">
        <v>921</v>
      </c>
      <c r="E269" s="43">
        <v>0.3</v>
      </c>
      <c r="F269" s="43">
        <v>4.5</v>
      </c>
      <c r="G269" s="43">
        <v>2.4</v>
      </c>
      <c r="H269" s="44">
        <v>0.20899999999999999</v>
      </c>
      <c r="I269" s="44">
        <v>0.14199999999999999</v>
      </c>
      <c r="J269" s="44">
        <v>0.11899999999999999</v>
      </c>
      <c r="K269" s="44">
        <v>0.114</v>
      </c>
      <c r="L269" s="44">
        <v>0.95799999999999996</v>
      </c>
    </row>
    <row r="270" spans="1:12" ht="28" hidden="1" customHeight="1" x14ac:dyDescent="0.15">
      <c r="A270" s="28"/>
      <c r="B270" s="41" t="s">
        <v>923</v>
      </c>
      <c r="C270" s="41" t="s">
        <v>924</v>
      </c>
      <c r="D270" s="42" t="s">
        <v>925</v>
      </c>
      <c r="E270" s="43">
        <v>0.6</v>
      </c>
      <c r="F270" s="43">
        <v>1.2</v>
      </c>
      <c r="G270" s="43">
        <v>0.9</v>
      </c>
      <c r="H270" s="44">
        <v>0.128</v>
      </c>
      <c r="I270" s="44">
        <v>9.1999999999999998E-2</v>
      </c>
      <c r="J270" s="44">
        <v>-0.312</v>
      </c>
      <c r="K270" s="44">
        <v>0.114</v>
      </c>
      <c r="L270" s="43" t="s">
        <v>1737</v>
      </c>
    </row>
    <row r="271" spans="1:12" ht="28" hidden="1" customHeight="1" x14ac:dyDescent="0.15">
      <c r="A271" s="28"/>
      <c r="B271" s="41" t="s">
        <v>926</v>
      </c>
      <c r="C271" s="41" t="s">
        <v>927</v>
      </c>
      <c r="D271" s="42" t="s">
        <v>619</v>
      </c>
      <c r="E271" s="43">
        <v>0.4</v>
      </c>
      <c r="F271" s="43">
        <v>2.2999999999999998</v>
      </c>
      <c r="G271" s="43">
        <v>1.8</v>
      </c>
      <c r="H271" s="44">
        <v>0.434</v>
      </c>
      <c r="I271" s="44">
        <v>0.17699999999999999</v>
      </c>
      <c r="J271" s="44">
        <v>0.13200000000000001</v>
      </c>
      <c r="K271" s="44">
        <v>0.114</v>
      </c>
      <c r="L271" s="44">
        <v>0.86399999999999999</v>
      </c>
    </row>
    <row r="272" spans="1:12" ht="14" hidden="1" customHeight="1" x14ac:dyDescent="0.15">
      <c r="A272" s="28"/>
      <c r="B272" s="41" t="s">
        <v>928</v>
      </c>
      <c r="C272" s="41" t="s">
        <v>929</v>
      </c>
      <c r="D272" s="42" t="s">
        <v>809</v>
      </c>
      <c r="E272" s="43">
        <v>0.6</v>
      </c>
      <c r="F272" s="43">
        <v>1</v>
      </c>
      <c r="G272" s="43">
        <v>0.7</v>
      </c>
      <c r="H272" s="44">
        <v>0.32600000000000001</v>
      </c>
      <c r="I272" s="44">
        <v>0.19900000000000001</v>
      </c>
      <c r="J272" s="44">
        <v>7.8E-2</v>
      </c>
      <c r="K272" s="44">
        <v>0.113</v>
      </c>
      <c r="L272" s="44">
        <v>1.4510000000000001</v>
      </c>
    </row>
    <row r="273" spans="1:12" ht="14" hidden="1" customHeight="1" x14ac:dyDescent="0.15">
      <c r="A273" s="28"/>
      <c r="B273" s="41" t="s">
        <v>931</v>
      </c>
      <c r="C273" s="41" t="s">
        <v>932</v>
      </c>
      <c r="D273" s="42" t="s">
        <v>933</v>
      </c>
      <c r="E273" s="43">
        <v>2.5</v>
      </c>
      <c r="F273" s="43">
        <v>1</v>
      </c>
      <c r="G273" s="43">
        <v>0.6</v>
      </c>
      <c r="H273" s="44">
        <v>0.44900000000000001</v>
      </c>
      <c r="I273" s="44">
        <v>0.13600000000000001</v>
      </c>
      <c r="J273" s="44">
        <v>8.5999999999999993E-2</v>
      </c>
      <c r="K273" s="44">
        <v>0.113</v>
      </c>
      <c r="L273" s="44">
        <v>1.304</v>
      </c>
    </row>
    <row r="274" spans="1:12" ht="14" hidden="1" customHeight="1" x14ac:dyDescent="0.15">
      <c r="A274" s="28"/>
      <c r="B274" s="41" t="s">
        <v>934</v>
      </c>
      <c r="C274" s="41" t="s">
        <v>935</v>
      </c>
      <c r="D274" s="42" t="s">
        <v>527</v>
      </c>
      <c r="E274" s="43">
        <v>1.4</v>
      </c>
      <c r="F274" s="43">
        <v>0.9</v>
      </c>
      <c r="G274" s="43">
        <v>0.9</v>
      </c>
      <c r="H274" s="44">
        <v>0.65500000000000003</v>
      </c>
      <c r="I274" s="44">
        <v>0.27600000000000002</v>
      </c>
      <c r="J274" s="44">
        <v>0.14899999999999999</v>
      </c>
      <c r="K274" s="44">
        <v>0.112</v>
      </c>
      <c r="L274" s="44">
        <v>0.753</v>
      </c>
    </row>
    <row r="275" spans="1:12" ht="14" hidden="1" customHeight="1" x14ac:dyDescent="0.15">
      <c r="A275" s="28"/>
      <c r="B275" s="41" t="s">
        <v>936</v>
      </c>
      <c r="C275" s="41" t="s">
        <v>937</v>
      </c>
      <c r="D275" s="42" t="s">
        <v>938</v>
      </c>
      <c r="E275" s="43">
        <v>0.2</v>
      </c>
      <c r="F275" s="43">
        <v>4.5</v>
      </c>
      <c r="G275" s="43">
        <v>2</v>
      </c>
      <c r="H275" s="44">
        <v>0.47199999999999998</v>
      </c>
      <c r="I275" s="44">
        <v>0.19800000000000001</v>
      </c>
      <c r="J275" s="44">
        <v>0.14799999999999999</v>
      </c>
      <c r="K275" s="44">
        <v>0.112</v>
      </c>
      <c r="L275" s="44">
        <v>0.754</v>
      </c>
    </row>
    <row r="276" spans="1:12" ht="28" hidden="1" customHeight="1" x14ac:dyDescent="0.15">
      <c r="A276" s="28"/>
      <c r="B276" s="41" t="s">
        <v>1845</v>
      </c>
      <c r="C276" s="41" t="s">
        <v>1846</v>
      </c>
      <c r="D276" s="42" t="s">
        <v>1847</v>
      </c>
      <c r="E276" s="43">
        <v>1.7</v>
      </c>
      <c r="F276" s="43">
        <v>1.7</v>
      </c>
      <c r="G276" s="43">
        <v>1</v>
      </c>
      <c r="H276" s="44">
        <v>0.221</v>
      </c>
      <c r="I276" s="44">
        <v>0.109</v>
      </c>
      <c r="J276" s="44">
        <v>7.0000000000000007E-2</v>
      </c>
      <c r="K276" s="44">
        <v>0.112</v>
      </c>
      <c r="L276" s="44">
        <v>1.585</v>
      </c>
    </row>
    <row r="277" spans="1:12" ht="14" hidden="1" customHeight="1" x14ac:dyDescent="0.15">
      <c r="A277" s="28"/>
      <c r="B277" s="41" t="s">
        <v>939</v>
      </c>
      <c r="C277" s="41" t="s">
        <v>940</v>
      </c>
      <c r="D277" s="42" t="s">
        <v>933</v>
      </c>
      <c r="E277" s="43">
        <v>1.1000000000000001</v>
      </c>
      <c r="F277" s="43">
        <v>1.4</v>
      </c>
      <c r="G277" s="43">
        <v>1</v>
      </c>
      <c r="H277" s="44">
        <v>0.42899999999999999</v>
      </c>
      <c r="I277" s="44">
        <v>0.129</v>
      </c>
      <c r="J277" s="44">
        <v>8.2000000000000003E-2</v>
      </c>
      <c r="K277" s="44">
        <v>0.112</v>
      </c>
      <c r="L277" s="44">
        <v>1.36</v>
      </c>
    </row>
    <row r="278" spans="1:12" ht="28" hidden="1" customHeight="1" x14ac:dyDescent="0.15">
      <c r="A278" s="28"/>
      <c r="B278" s="41" t="s">
        <v>1527</v>
      </c>
      <c r="C278" s="41" t="s">
        <v>1848</v>
      </c>
      <c r="D278" s="42" t="s">
        <v>726</v>
      </c>
      <c r="E278" s="43">
        <v>1.7</v>
      </c>
      <c r="F278" s="43">
        <v>1.7</v>
      </c>
      <c r="G278" s="43">
        <v>1.3</v>
      </c>
      <c r="H278" s="44">
        <v>0.77300000000000002</v>
      </c>
      <c r="I278" s="44">
        <v>0.185</v>
      </c>
      <c r="J278" s="44">
        <v>0.11700000000000001</v>
      </c>
      <c r="K278" s="44">
        <v>0.111</v>
      </c>
      <c r="L278" s="44">
        <v>0.94699999999999995</v>
      </c>
    </row>
    <row r="279" spans="1:12" ht="14" hidden="1" customHeight="1" x14ac:dyDescent="0.15">
      <c r="A279" s="28"/>
      <c r="B279" s="41" t="s">
        <v>941</v>
      </c>
      <c r="C279" s="41" t="s">
        <v>942</v>
      </c>
      <c r="D279" s="42" t="s">
        <v>846</v>
      </c>
      <c r="E279" s="43">
        <v>1.1000000000000001</v>
      </c>
      <c r="F279" s="43">
        <v>0.5</v>
      </c>
      <c r="G279" s="43">
        <v>0.5</v>
      </c>
      <c r="H279" s="44">
        <v>0.38800000000000001</v>
      </c>
      <c r="I279" s="44">
        <v>0.17499999999999999</v>
      </c>
      <c r="J279" s="44">
        <v>0.104</v>
      </c>
      <c r="K279" s="44">
        <v>0.111</v>
      </c>
      <c r="L279" s="44">
        <v>1.0669999999999999</v>
      </c>
    </row>
    <row r="280" spans="1:12" ht="14" hidden="1" customHeight="1" x14ac:dyDescent="0.15">
      <c r="A280" s="28"/>
      <c r="B280" s="41" t="s">
        <v>1849</v>
      </c>
      <c r="C280" s="41" t="s">
        <v>1850</v>
      </c>
      <c r="D280" s="42" t="s">
        <v>1820</v>
      </c>
      <c r="E280" s="43" t="s">
        <v>1737</v>
      </c>
      <c r="F280" s="43">
        <v>1</v>
      </c>
      <c r="G280" s="43">
        <v>1</v>
      </c>
      <c r="H280" s="44">
        <v>0.42299999999999999</v>
      </c>
      <c r="I280" s="44">
        <v>0.16900000000000001</v>
      </c>
      <c r="J280" s="44">
        <v>0.124</v>
      </c>
      <c r="K280" s="44">
        <v>0.11</v>
      </c>
      <c r="L280" s="44">
        <v>0.89300000000000002</v>
      </c>
    </row>
    <row r="281" spans="1:12" ht="14" hidden="1" customHeight="1" x14ac:dyDescent="0.15">
      <c r="A281" s="28"/>
      <c r="B281" s="41" t="s">
        <v>943</v>
      </c>
      <c r="C281" s="41" t="s">
        <v>944</v>
      </c>
      <c r="D281" s="42" t="s">
        <v>695</v>
      </c>
      <c r="E281" s="43">
        <v>1</v>
      </c>
      <c r="F281" s="43">
        <v>1.3</v>
      </c>
      <c r="G281" s="43">
        <v>1.2</v>
      </c>
      <c r="H281" s="44">
        <v>0.34799999999999998</v>
      </c>
      <c r="I281" s="44">
        <v>0.16</v>
      </c>
      <c r="J281" s="44">
        <v>0.111</v>
      </c>
      <c r="K281" s="44">
        <v>0.109</v>
      </c>
      <c r="L281" s="44">
        <v>0.97899999999999998</v>
      </c>
    </row>
    <row r="282" spans="1:12" ht="14" hidden="1" customHeight="1" x14ac:dyDescent="0.15">
      <c r="A282" s="28"/>
      <c r="B282" s="41" t="s">
        <v>945</v>
      </c>
      <c r="C282" s="41" t="s">
        <v>946</v>
      </c>
      <c r="D282" s="42" t="s">
        <v>933</v>
      </c>
      <c r="E282" s="43">
        <v>0.8</v>
      </c>
      <c r="F282" s="43">
        <v>1.3</v>
      </c>
      <c r="G282" s="43">
        <v>0.9</v>
      </c>
      <c r="H282" s="44">
        <v>0.41399999999999998</v>
      </c>
      <c r="I282" s="44">
        <v>0.15</v>
      </c>
      <c r="J282" s="44">
        <v>0.105</v>
      </c>
      <c r="K282" s="44">
        <v>0.109</v>
      </c>
      <c r="L282" s="44">
        <v>1.0429999999999999</v>
      </c>
    </row>
    <row r="283" spans="1:12" ht="14" hidden="1" customHeight="1" x14ac:dyDescent="0.15">
      <c r="A283" s="28"/>
      <c r="B283" s="41" t="s">
        <v>947</v>
      </c>
      <c r="C283" s="41" t="s">
        <v>948</v>
      </c>
      <c r="D283" s="42" t="s">
        <v>949</v>
      </c>
      <c r="E283" s="43">
        <v>1.4</v>
      </c>
      <c r="F283" s="43">
        <v>5.4</v>
      </c>
      <c r="G283" s="43">
        <v>5</v>
      </c>
      <c r="H283" s="44">
        <v>0.52900000000000003</v>
      </c>
      <c r="I283" s="44">
        <v>0.13900000000000001</v>
      </c>
      <c r="J283" s="44">
        <v>0.111</v>
      </c>
      <c r="K283" s="44">
        <v>0.109</v>
      </c>
      <c r="L283" s="44">
        <v>0.98</v>
      </c>
    </row>
    <row r="284" spans="1:12" ht="14" hidden="1" customHeight="1" x14ac:dyDescent="0.15">
      <c r="A284" s="28"/>
      <c r="B284" s="41" t="s">
        <v>950</v>
      </c>
      <c r="C284" s="41" t="s">
        <v>951</v>
      </c>
      <c r="D284" s="42" t="s">
        <v>893</v>
      </c>
      <c r="E284" s="43">
        <v>1</v>
      </c>
      <c r="F284" s="43">
        <v>1.8</v>
      </c>
      <c r="G284" s="43">
        <v>0.7</v>
      </c>
      <c r="H284" s="44">
        <v>0.36199999999999999</v>
      </c>
      <c r="I284" s="44">
        <v>0.122</v>
      </c>
      <c r="J284" s="44">
        <v>9.5000000000000001E-2</v>
      </c>
      <c r="K284" s="44">
        <v>0.109</v>
      </c>
      <c r="L284" s="44">
        <v>1.1379999999999999</v>
      </c>
    </row>
    <row r="285" spans="1:12" ht="14" hidden="1" customHeight="1" x14ac:dyDescent="0.15">
      <c r="A285" s="28"/>
      <c r="B285" s="41" t="s">
        <v>1563</v>
      </c>
      <c r="C285" s="41" t="s">
        <v>1564</v>
      </c>
      <c r="D285" s="42" t="s">
        <v>631</v>
      </c>
      <c r="E285" s="43">
        <v>0.7</v>
      </c>
      <c r="F285" s="43">
        <v>1.4</v>
      </c>
      <c r="G285" s="43">
        <v>0.7</v>
      </c>
      <c r="H285" s="44">
        <v>0.71799999999999997</v>
      </c>
      <c r="I285" s="44">
        <v>0.159</v>
      </c>
      <c r="J285" s="44">
        <v>0.14199999999999999</v>
      </c>
      <c r="K285" s="44">
        <v>0.109</v>
      </c>
      <c r="L285" s="44">
        <v>0.76500000000000001</v>
      </c>
    </row>
    <row r="286" spans="1:12" ht="14" hidden="1" customHeight="1" x14ac:dyDescent="0.15">
      <c r="A286" s="28"/>
      <c r="B286" s="41" t="s">
        <v>952</v>
      </c>
      <c r="C286" s="41" t="s">
        <v>953</v>
      </c>
      <c r="D286" s="42" t="s">
        <v>622</v>
      </c>
      <c r="E286" s="43">
        <v>1.1000000000000001</v>
      </c>
      <c r="F286" s="43">
        <v>1.3</v>
      </c>
      <c r="G286" s="43">
        <v>0.9</v>
      </c>
      <c r="H286" s="44">
        <v>0.36699999999999999</v>
      </c>
      <c r="I286" s="44">
        <v>0.14299999999999999</v>
      </c>
      <c r="J286" s="44">
        <v>9.5000000000000001E-2</v>
      </c>
      <c r="K286" s="44">
        <v>0.108</v>
      </c>
      <c r="L286" s="44">
        <v>1.127</v>
      </c>
    </row>
    <row r="287" spans="1:12" ht="14" hidden="1" customHeight="1" x14ac:dyDescent="0.15">
      <c r="A287" s="28"/>
      <c r="B287" s="41" t="s">
        <v>954</v>
      </c>
      <c r="C287" s="41" t="s">
        <v>955</v>
      </c>
      <c r="D287" s="42" t="s">
        <v>755</v>
      </c>
      <c r="E287" s="43">
        <v>0.3</v>
      </c>
      <c r="F287" s="43">
        <v>2.6</v>
      </c>
      <c r="G287" s="43">
        <v>2.4</v>
      </c>
      <c r="H287" s="44">
        <v>0.33900000000000002</v>
      </c>
      <c r="I287" s="44">
        <v>0.251</v>
      </c>
      <c r="J287" s="44">
        <v>0.21099999999999999</v>
      </c>
      <c r="K287" s="44">
        <v>0.107</v>
      </c>
      <c r="L287" s="44">
        <v>0.505</v>
      </c>
    </row>
    <row r="288" spans="1:12" ht="28" hidden="1" customHeight="1" x14ac:dyDescent="0.15">
      <c r="A288" s="28"/>
      <c r="B288" s="41" t="s">
        <v>956</v>
      </c>
      <c r="C288" s="41" t="s">
        <v>957</v>
      </c>
      <c r="D288" s="42" t="s">
        <v>720</v>
      </c>
      <c r="E288" s="43">
        <v>0.3</v>
      </c>
      <c r="F288" s="43" t="s">
        <v>1737</v>
      </c>
      <c r="G288" s="43" t="s">
        <v>1737</v>
      </c>
      <c r="H288" s="44">
        <v>0</v>
      </c>
      <c r="I288" s="44">
        <v>0</v>
      </c>
      <c r="J288" s="44">
        <v>0.108</v>
      </c>
      <c r="K288" s="44">
        <v>0.106</v>
      </c>
      <c r="L288" s="44">
        <v>0.97499999999999998</v>
      </c>
    </row>
    <row r="289" spans="1:12" ht="28" hidden="1" customHeight="1" x14ac:dyDescent="0.15">
      <c r="A289" s="28"/>
      <c r="B289" s="41" t="s">
        <v>958</v>
      </c>
      <c r="C289" s="41" t="s">
        <v>959</v>
      </c>
      <c r="D289" s="42" t="s">
        <v>793</v>
      </c>
      <c r="E289" s="43">
        <v>1.9</v>
      </c>
      <c r="F289" s="43">
        <v>0.9</v>
      </c>
      <c r="G289" s="43">
        <v>0.9</v>
      </c>
      <c r="H289" s="44">
        <v>0.27200000000000002</v>
      </c>
      <c r="I289" s="44">
        <v>0.13100000000000001</v>
      </c>
      <c r="J289" s="44">
        <v>9.6000000000000002E-2</v>
      </c>
      <c r="K289" s="44">
        <v>0.106</v>
      </c>
      <c r="L289" s="44">
        <v>1.101</v>
      </c>
    </row>
    <row r="290" spans="1:12" ht="14" hidden="1" customHeight="1" x14ac:dyDescent="0.15">
      <c r="A290" s="28"/>
      <c r="B290" s="41" t="s">
        <v>960</v>
      </c>
      <c r="C290" s="41" t="s">
        <v>961</v>
      </c>
      <c r="D290" s="42" t="s">
        <v>893</v>
      </c>
      <c r="E290" s="43">
        <v>14.8</v>
      </c>
      <c r="F290" s="43">
        <v>0.9</v>
      </c>
      <c r="G290" s="43">
        <v>0.1</v>
      </c>
      <c r="H290" s="44">
        <v>0.53200000000000003</v>
      </c>
      <c r="I290" s="44">
        <v>0.189</v>
      </c>
      <c r="J290" s="44">
        <v>0.13700000000000001</v>
      </c>
      <c r="K290" s="44">
        <v>0.106</v>
      </c>
      <c r="L290" s="44">
        <v>0.77600000000000002</v>
      </c>
    </row>
    <row r="291" spans="1:12" ht="14" hidden="1" customHeight="1" x14ac:dyDescent="0.15">
      <c r="A291" s="28"/>
      <c r="B291" s="41" t="s">
        <v>962</v>
      </c>
      <c r="C291" s="41" t="s">
        <v>963</v>
      </c>
      <c r="D291" s="42" t="s">
        <v>622</v>
      </c>
      <c r="E291" s="43">
        <v>0.6</v>
      </c>
      <c r="F291" s="43">
        <v>1.4</v>
      </c>
      <c r="G291" s="43">
        <v>0.9</v>
      </c>
      <c r="H291" s="44">
        <v>0.35599999999999998</v>
      </c>
      <c r="I291" s="44">
        <v>0.14699999999999999</v>
      </c>
      <c r="J291" s="44">
        <v>0.121</v>
      </c>
      <c r="K291" s="44">
        <v>0.105</v>
      </c>
      <c r="L291" s="44">
        <v>0.86699999999999999</v>
      </c>
    </row>
    <row r="292" spans="1:12" ht="14" hidden="1" customHeight="1" x14ac:dyDescent="0.15">
      <c r="A292" s="28"/>
      <c r="B292" s="41" t="s">
        <v>964</v>
      </c>
      <c r="C292" s="41" t="s">
        <v>965</v>
      </c>
      <c r="D292" s="42" t="s">
        <v>838</v>
      </c>
      <c r="E292" s="43">
        <v>0.3</v>
      </c>
      <c r="F292" s="43">
        <v>1.2</v>
      </c>
      <c r="G292" s="43">
        <v>1</v>
      </c>
      <c r="H292" s="44">
        <v>0.67300000000000004</v>
      </c>
      <c r="I292" s="44">
        <v>0.23899999999999999</v>
      </c>
      <c r="J292" s="44">
        <v>0.16</v>
      </c>
      <c r="K292" s="44">
        <v>0.104</v>
      </c>
      <c r="L292" s="44">
        <v>0.64900000000000002</v>
      </c>
    </row>
    <row r="293" spans="1:12" ht="14" hidden="1" customHeight="1" x14ac:dyDescent="0.15">
      <c r="A293" s="28"/>
      <c r="B293" s="41" t="s">
        <v>966</v>
      </c>
      <c r="C293" s="41" t="s">
        <v>967</v>
      </c>
      <c r="D293" s="42" t="s">
        <v>631</v>
      </c>
      <c r="E293" s="43">
        <v>0.9</v>
      </c>
      <c r="F293" s="43">
        <v>2.6</v>
      </c>
      <c r="G293" s="43">
        <v>1.8</v>
      </c>
      <c r="H293" s="44">
        <v>0.65200000000000002</v>
      </c>
      <c r="I293" s="44">
        <v>0.19600000000000001</v>
      </c>
      <c r="J293" s="44">
        <v>0.14000000000000001</v>
      </c>
      <c r="K293" s="44">
        <v>0.104</v>
      </c>
      <c r="L293" s="44">
        <v>0.74299999999999999</v>
      </c>
    </row>
    <row r="294" spans="1:12" ht="14" hidden="1" customHeight="1" x14ac:dyDescent="0.15">
      <c r="A294" s="28"/>
      <c r="B294" s="41" t="s">
        <v>1521</v>
      </c>
      <c r="C294" s="41" t="s">
        <v>1851</v>
      </c>
      <c r="D294" s="42" t="s">
        <v>622</v>
      </c>
      <c r="E294" s="43">
        <v>0.4</v>
      </c>
      <c r="F294" s="43">
        <v>1.5</v>
      </c>
      <c r="G294" s="43">
        <v>0.9</v>
      </c>
      <c r="H294" s="44">
        <v>0.254</v>
      </c>
      <c r="I294" s="44">
        <v>0.107</v>
      </c>
      <c r="J294" s="44">
        <v>9.6000000000000002E-2</v>
      </c>
      <c r="K294" s="44">
        <v>0.10299999999999999</v>
      </c>
      <c r="L294" s="44">
        <v>1.073</v>
      </c>
    </row>
    <row r="295" spans="1:12" ht="14" hidden="1" customHeight="1" x14ac:dyDescent="0.15">
      <c r="A295" s="28"/>
      <c r="B295" s="41" t="s">
        <v>1852</v>
      </c>
      <c r="C295" s="41" t="s">
        <v>1853</v>
      </c>
      <c r="D295" s="42" t="s">
        <v>1009</v>
      </c>
      <c r="E295" s="43">
        <v>3.2</v>
      </c>
      <c r="F295" s="43">
        <v>1.8</v>
      </c>
      <c r="G295" s="43">
        <v>0.7</v>
      </c>
      <c r="H295" s="44">
        <v>0.39</v>
      </c>
      <c r="I295" s="44">
        <v>0.128</v>
      </c>
      <c r="J295" s="44">
        <v>8.6999999999999994E-2</v>
      </c>
      <c r="K295" s="44">
        <v>0.10299999999999999</v>
      </c>
      <c r="L295" s="44">
        <v>1.1919999999999999</v>
      </c>
    </row>
    <row r="296" spans="1:12" ht="14" hidden="1" customHeight="1" x14ac:dyDescent="0.15">
      <c r="A296" s="28"/>
      <c r="B296" s="41" t="s">
        <v>968</v>
      </c>
      <c r="C296" s="41" t="s">
        <v>969</v>
      </c>
      <c r="D296" s="42" t="s">
        <v>614</v>
      </c>
      <c r="E296" s="43" t="s">
        <v>1737</v>
      </c>
      <c r="F296" s="43">
        <v>0.7</v>
      </c>
      <c r="G296" s="43">
        <v>0.5</v>
      </c>
      <c r="H296" s="44">
        <v>0.28399999999999997</v>
      </c>
      <c r="I296" s="44">
        <v>0.151</v>
      </c>
      <c r="J296" s="44">
        <v>0.13800000000000001</v>
      </c>
      <c r="K296" s="44">
        <v>0.10299999999999999</v>
      </c>
      <c r="L296" s="44">
        <v>0.74</v>
      </c>
    </row>
    <row r="297" spans="1:12" ht="14" hidden="1" customHeight="1" x14ac:dyDescent="0.15">
      <c r="A297" s="28"/>
      <c r="B297" s="41" t="s">
        <v>970</v>
      </c>
      <c r="C297" s="41" t="s">
        <v>971</v>
      </c>
      <c r="D297" s="42" t="s">
        <v>622</v>
      </c>
      <c r="E297" s="43">
        <v>0.8</v>
      </c>
      <c r="F297" s="43">
        <v>1.3</v>
      </c>
      <c r="G297" s="43">
        <v>0.9</v>
      </c>
      <c r="H297" s="44">
        <v>0.31</v>
      </c>
      <c r="I297" s="44">
        <v>0.122</v>
      </c>
      <c r="J297" s="44">
        <v>8.5000000000000006E-2</v>
      </c>
      <c r="K297" s="44">
        <v>0.10199999999999999</v>
      </c>
      <c r="L297" s="44">
        <v>1.1910000000000001</v>
      </c>
    </row>
    <row r="298" spans="1:12" ht="14" hidden="1" customHeight="1" x14ac:dyDescent="0.15">
      <c r="A298" s="28"/>
      <c r="B298" s="41" t="s">
        <v>972</v>
      </c>
      <c r="C298" s="41" t="s">
        <v>973</v>
      </c>
      <c r="D298" s="42" t="s">
        <v>616</v>
      </c>
      <c r="E298" s="43">
        <v>0.4</v>
      </c>
      <c r="F298" s="43">
        <v>1.3</v>
      </c>
      <c r="G298" s="43">
        <v>0.7</v>
      </c>
      <c r="H298" s="44">
        <v>0.27800000000000002</v>
      </c>
      <c r="I298" s="44">
        <v>8.1000000000000003E-2</v>
      </c>
      <c r="J298" s="44">
        <v>0.04</v>
      </c>
      <c r="K298" s="44">
        <v>0.10199999999999999</v>
      </c>
      <c r="L298" s="44">
        <v>2.5409999999999999</v>
      </c>
    </row>
    <row r="299" spans="1:12" ht="14" hidden="1" customHeight="1" x14ac:dyDescent="0.15">
      <c r="A299" s="28"/>
      <c r="B299" s="41" t="s">
        <v>974</v>
      </c>
      <c r="C299" s="41" t="s">
        <v>975</v>
      </c>
      <c r="D299" s="42" t="s">
        <v>898</v>
      </c>
      <c r="E299" s="43">
        <v>2.6</v>
      </c>
      <c r="F299" s="43">
        <v>0.5</v>
      </c>
      <c r="G299" s="43">
        <v>0.5</v>
      </c>
      <c r="H299" s="44">
        <v>0.36199999999999999</v>
      </c>
      <c r="I299" s="44">
        <v>0.14499999999999999</v>
      </c>
      <c r="J299" s="44">
        <v>3.6999999999999998E-2</v>
      </c>
      <c r="K299" s="44">
        <v>0.10100000000000001</v>
      </c>
      <c r="L299" s="44">
        <v>2.7639999999999998</v>
      </c>
    </row>
    <row r="300" spans="1:12" ht="14" hidden="1" customHeight="1" x14ac:dyDescent="0.15">
      <c r="A300" s="28"/>
      <c r="B300" s="41" t="s">
        <v>14</v>
      </c>
      <c r="C300" s="41" t="s">
        <v>977</v>
      </c>
      <c r="D300" s="42" t="s">
        <v>921</v>
      </c>
      <c r="E300" s="43">
        <v>0.6</v>
      </c>
      <c r="F300" s="43">
        <v>14.2</v>
      </c>
      <c r="G300" s="43">
        <v>1.8</v>
      </c>
      <c r="H300" s="44">
        <v>0.127</v>
      </c>
      <c r="I300" s="44">
        <v>0.112</v>
      </c>
      <c r="J300" s="44">
        <v>8.7999999999999995E-2</v>
      </c>
      <c r="K300" s="44">
        <v>0.10100000000000001</v>
      </c>
      <c r="L300" s="44">
        <v>1.1519999999999999</v>
      </c>
    </row>
    <row r="301" spans="1:12" ht="14" hidden="1" customHeight="1" x14ac:dyDescent="0.15">
      <c r="A301" s="28"/>
      <c r="B301" s="41" t="s">
        <v>978</v>
      </c>
      <c r="C301" s="41" t="s">
        <v>979</v>
      </c>
      <c r="D301" s="42" t="s">
        <v>622</v>
      </c>
      <c r="E301" s="43">
        <v>0.3</v>
      </c>
      <c r="F301" s="43">
        <v>1.1000000000000001</v>
      </c>
      <c r="G301" s="43">
        <v>1</v>
      </c>
      <c r="H301" s="44">
        <v>0.29199999999999998</v>
      </c>
      <c r="I301" s="44">
        <v>0.14099999999999999</v>
      </c>
      <c r="J301" s="44">
        <v>8.5000000000000006E-2</v>
      </c>
      <c r="K301" s="44">
        <v>0.10100000000000001</v>
      </c>
      <c r="L301" s="44">
        <v>1.1859999999999999</v>
      </c>
    </row>
    <row r="302" spans="1:12" ht="14" hidden="1" customHeight="1" x14ac:dyDescent="0.15">
      <c r="A302" s="28"/>
      <c r="B302" s="41" t="s">
        <v>980</v>
      </c>
      <c r="C302" s="41" t="s">
        <v>981</v>
      </c>
      <c r="D302" s="42" t="s">
        <v>982</v>
      </c>
      <c r="E302" s="43">
        <v>1</v>
      </c>
      <c r="F302" s="43">
        <v>1.3</v>
      </c>
      <c r="G302" s="43">
        <v>0.6</v>
      </c>
      <c r="H302" s="44">
        <v>0.28100000000000003</v>
      </c>
      <c r="I302" s="44">
        <v>0.13400000000000001</v>
      </c>
      <c r="J302" s="44">
        <v>0.104</v>
      </c>
      <c r="K302" s="44">
        <v>0.10100000000000001</v>
      </c>
      <c r="L302" s="44">
        <v>0.97299999999999998</v>
      </c>
    </row>
    <row r="303" spans="1:12" ht="14" hidden="1" customHeight="1" x14ac:dyDescent="0.15">
      <c r="A303" s="28"/>
      <c r="B303" s="41" t="s">
        <v>983</v>
      </c>
      <c r="C303" s="41" t="s">
        <v>984</v>
      </c>
      <c r="D303" s="42" t="s">
        <v>985</v>
      </c>
      <c r="E303" s="43" t="s">
        <v>1737</v>
      </c>
      <c r="F303" s="43">
        <v>1.1000000000000001</v>
      </c>
      <c r="G303" s="43">
        <v>0.3</v>
      </c>
      <c r="H303" s="44">
        <v>0.34100000000000003</v>
      </c>
      <c r="I303" s="44">
        <v>0.14399999999999999</v>
      </c>
      <c r="J303" s="44">
        <v>0.10199999999999999</v>
      </c>
      <c r="K303" s="44">
        <v>0.1</v>
      </c>
      <c r="L303" s="44">
        <v>0.97799999999999998</v>
      </c>
    </row>
    <row r="304" spans="1:12" ht="14" hidden="1" customHeight="1" x14ac:dyDescent="0.15">
      <c r="A304" s="28"/>
      <c r="B304" s="41" t="s">
        <v>986</v>
      </c>
      <c r="C304" s="41" t="s">
        <v>987</v>
      </c>
      <c r="D304" s="42" t="s">
        <v>921</v>
      </c>
      <c r="E304" s="43">
        <v>0.6</v>
      </c>
      <c r="F304" s="43">
        <v>6.7</v>
      </c>
      <c r="G304" s="43">
        <v>1.6</v>
      </c>
      <c r="H304" s="44">
        <v>0.23499999999999999</v>
      </c>
      <c r="I304" s="44">
        <v>0.13100000000000001</v>
      </c>
      <c r="J304" s="44">
        <v>0.1</v>
      </c>
      <c r="K304" s="44">
        <v>0.1</v>
      </c>
      <c r="L304" s="44">
        <v>1.004</v>
      </c>
    </row>
    <row r="305" spans="1:12" ht="14" hidden="1" customHeight="1" x14ac:dyDescent="0.15">
      <c r="A305" s="28"/>
      <c r="B305" s="41" t="s">
        <v>988</v>
      </c>
      <c r="C305" s="41" t="s">
        <v>989</v>
      </c>
      <c r="D305" s="42" t="s">
        <v>443</v>
      </c>
      <c r="E305" s="43">
        <v>0.4</v>
      </c>
      <c r="F305" s="43" t="s">
        <v>1737</v>
      </c>
      <c r="G305" s="43" t="s">
        <v>1737</v>
      </c>
      <c r="H305" s="44">
        <v>0</v>
      </c>
      <c r="I305" s="44">
        <v>0.182</v>
      </c>
      <c r="J305" s="44">
        <v>0.13600000000000001</v>
      </c>
      <c r="K305" s="44">
        <v>0.1</v>
      </c>
      <c r="L305" s="44">
        <v>0.73199999999999998</v>
      </c>
    </row>
    <row r="306" spans="1:12" ht="28" hidden="1" customHeight="1" x14ac:dyDescent="0.15">
      <c r="A306" s="28"/>
      <c r="B306" s="41" t="s">
        <v>990</v>
      </c>
      <c r="C306" s="41" t="s">
        <v>991</v>
      </c>
      <c r="D306" s="42" t="s">
        <v>793</v>
      </c>
      <c r="E306" s="43">
        <v>3.3</v>
      </c>
      <c r="F306" s="43">
        <v>0.7</v>
      </c>
      <c r="G306" s="43">
        <v>0.7</v>
      </c>
      <c r="H306" s="44">
        <v>0.63500000000000001</v>
      </c>
      <c r="I306" s="44">
        <v>0.09</v>
      </c>
      <c r="J306" s="44">
        <v>5.5E-2</v>
      </c>
      <c r="K306" s="44">
        <v>9.9000000000000005E-2</v>
      </c>
      <c r="L306" s="44">
        <v>1.7889999999999999</v>
      </c>
    </row>
    <row r="307" spans="1:12" ht="14" hidden="1" customHeight="1" x14ac:dyDescent="0.15">
      <c r="A307" s="28"/>
      <c r="B307" s="41" t="s">
        <v>1854</v>
      </c>
      <c r="C307" s="41" t="s">
        <v>1855</v>
      </c>
      <c r="D307" s="42" t="s">
        <v>695</v>
      </c>
      <c r="E307" s="43">
        <v>0.8</v>
      </c>
      <c r="F307" s="43">
        <v>1.8</v>
      </c>
      <c r="G307" s="43">
        <v>1.3</v>
      </c>
      <c r="H307" s="44">
        <v>0.48399999999999999</v>
      </c>
      <c r="I307" s="44">
        <v>0.13600000000000001</v>
      </c>
      <c r="J307" s="44">
        <v>7.9000000000000001E-2</v>
      </c>
      <c r="K307" s="44">
        <v>9.9000000000000005E-2</v>
      </c>
      <c r="L307" s="44">
        <v>1.254</v>
      </c>
    </row>
    <row r="308" spans="1:12" ht="14" hidden="1" customHeight="1" x14ac:dyDescent="0.15">
      <c r="A308" s="28"/>
      <c r="B308" s="41" t="s">
        <v>992</v>
      </c>
      <c r="C308" s="41" t="s">
        <v>993</v>
      </c>
      <c r="D308" s="42" t="s">
        <v>741</v>
      </c>
      <c r="E308" s="43">
        <v>0.3</v>
      </c>
      <c r="F308" s="43">
        <v>1.5</v>
      </c>
      <c r="G308" s="43">
        <v>1.2</v>
      </c>
      <c r="H308" s="44">
        <v>0.309</v>
      </c>
      <c r="I308" s="44">
        <v>0.106</v>
      </c>
      <c r="J308" s="44">
        <v>0.12</v>
      </c>
      <c r="K308" s="44">
        <v>9.7000000000000003E-2</v>
      </c>
      <c r="L308" s="44">
        <v>0.80300000000000005</v>
      </c>
    </row>
    <row r="309" spans="1:12" ht="14" hidden="1" customHeight="1" x14ac:dyDescent="0.15">
      <c r="A309" s="28"/>
      <c r="B309" s="41" t="s">
        <v>994</v>
      </c>
      <c r="C309" s="41" t="s">
        <v>995</v>
      </c>
      <c r="D309" s="42" t="s">
        <v>741</v>
      </c>
      <c r="E309" s="43">
        <v>4.0999999999999996</v>
      </c>
      <c r="F309" s="43">
        <v>1.2</v>
      </c>
      <c r="G309" s="43">
        <v>1</v>
      </c>
      <c r="H309" s="44">
        <v>0.14000000000000001</v>
      </c>
      <c r="I309" s="44">
        <v>0.14299999999999999</v>
      </c>
      <c r="J309" s="44">
        <v>0.104</v>
      </c>
      <c r="K309" s="44">
        <v>9.7000000000000003E-2</v>
      </c>
      <c r="L309" s="44">
        <v>0.93700000000000006</v>
      </c>
    </row>
    <row r="310" spans="1:12" ht="14" hidden="1" customHeight="1" x14ac:dyDescent="0.15">
      <c r="A310" s="28"/>
      <c r="B310" s="41" t="s">
        <v>996</v>
      </c>
      <c r="C310" s="41" t="s">
        <v>997</v>
      </c>
      <c r="D310" s="42" t="s">
        <v>998</v>
      </c>
      <c r="E310" s="43" t="s">
        <v>1737</v>
      </c>
      <c r="F310" s="43">
        <v>1.8</v>
      </c>
      <c r="G310" s="43">
        <v>1.3</v>
      </c>
      <c r="H310" s="44">
        <v>0.34699999999999998</v>
      </c>
      <c r="I310" s="44">
        <v>0.157</v>
      </c>
      <c r="J310" s="44">
        <v>0.13400000000000001</v>
      </c>
      <c r="K310" s="44">
        <v>9.7000000000000003E-2</v>
      </c>
      <c r="L310" s="44">
        <v>0.73</v>
      </c>
    </row>
    <row r="311" spans="1:12" ht="28" hidden="1" customHeight="1" x14ac:dyDescent="0.15">
      <c r="A311" s="28"/>
      <c r="B311" s="41" t="s">
        <v>1856</v>
      </c>
      <c r="C311" s="41" t="s">
        <v>1857</v>
      </c>
      <c r="D311" s="42" t="s">
        <v>793</v>
      </c>
      <c r="E311" s="43">
        <v>1.2</v>
      </c>
      <c r="F311" s="43">
        <v>0.9</v>
      </c>
      <c r="G311" s="43">
        <v>0.9</v>
      </c>
      <c r="H311" s="44">
        <v>0.253</v>
      </c>
      <c r="I311" s="44">
        <v>5.8999999999999997E-2</v>
      </c>
      <c r="J311" s="44">
        <v>-8.1000000000000003E-2</v>
      </c>
      <c r="K311" s="44">
        <v>9.6000000000000002E-2</v>
      </c>
      <c r="L311" s="43" t="s">
        <v>1737</v>
      </c>
    </row>
    <row r="312" spans="1:12" ht="14" hidden="1" customHeight="1" x14ac:dyDescent="0.15">
      <c r="A312" s="28"/>
      <c r="B312" s="41" t="s">
        <v>1858</v>
      </c>
      <c r="C312" s="41" t="s">
        <v>1859</v>
      </c>
      <c r="D312" s="42" t="s">
        <v>506</v>
      </c>
      <c r="E312" s="43">
        <v>0.6</v>
      </c>
      <c r="F312" s="43" t="s">
        <v>1737</v>
      </c>
      <c r="G312" s="43" t="s">
        <v>1737</v>
      </c>
      <c r="H312" s="44">
        <v>0</v>
      </c>
      <c r="I312" s="44">
        <v>0.36899999999999999</v>
      </c>
      <c r="J312" s="44">
        <v>0.28199999999999997</v>
      </c>
      <c r="K312" s="44">
        <v>9.6000000000000002E-2</v>
      </c>
      <c r="L312" s="44">
        <v>0.33800000000000002</v>
      </c>
    </row>
    <row r="313" spans="1:12" ht="14" hidden="1" customHeight="1" x14ac:dyDescent="0.15">
      <c r="A313" s="28"/>
      <c r="B313" s="41" t="s">
        <v>999</v>
      </c>
      <c r="C313" s="41" t="s">
        <v>1000</v>
      </c>
      <c r="D313" s="42" t="s">
        <v>998</v>
      </c>
      <c r="E313" s="43">
        <v>0.1</v>
      </c>
      <c r="F313" s="43">
        <v>1.3</v>
      </c>
      <c r="G313" s="43">
        <v>1</v>
      </c>
      <c r="H313" s="44">
        <v>0.29099999999999998</v>
      </c>
      <c r="I313" s="44">
        <v>0.121</v>
      </c>
      <c r="J313" s="44">
        <v>0.114</v>
      </c>
      <c r="K313" s="44">
        <v>9.5000000000000001E-2</v>
      </c>
      <c r="L313" s="44">
        <v>0.83099999999999996</v>
      </c>
    </row>
    <row r="314" spans="1:12" ht="14" hidden="1" customHeight="1" x14ac:dyDescent="0.15">
      <c r="A314" s="28"/>
      <c r="B314" s="41" t="s">
        <v>1001</v>
      </c>
      <c r="C314" s="41" t="s">
        <v>1002</v>
      </c>
      <c r="D314" s="42" t="s">
        <v>1003</v>
      </c>
      <c r="E314" s="43">
        <v>0.2</v>
      </c>
      <c r="F314" s="43">
        <v>1.1000000000000001</v>
      </c>
      <c r="G314" s="43">
        <v>0.9</v>
      </c>
      <c r="H314" s="44">
        <v>0.217</v>
      </c>
      <c r="I314" s="44">
        <v>0</v>
      </c>
      <c r="J314" s="44">
        <v>0.02</v>
      </c>
      <c r="K314" s="44">
        <v>9.5000000000000001E-2</v>
      </c>
      <c r="L314" s="44">
        <v>4.6680000000000001</v>
      </c>
    </row>
    <row r="315" spans="1:12" ht="14" hidden="1" customHeight="1" x14ac:dyDescent="0.15">
      <c r="A315" s="28"/>
      <c r="B315" s="41" t="s">
        <v>1860</v>
      </c>
      <c r="C315" s="41" t="s">
        <v>1861</v>
      </c>
      <c r="D315" s="42" t="s">
        <v>1862</v>
      </c>
      <c r="E315" s="43">
        <v>0.2</v>
      </c>
      <c r="F315" s="43">
        <v>2</v>
      </c>
      <c r="G315" s="43">
        <v>2</v>
      </c>
      <c r="H315" s="44">
        <v>0.81200000000000006</v>
      </c>
      <c r="I315" s="44">
        <v>0.105</v>
      </c>
      <c r="J315" s="44">
        <v>9.2999999999999999E-2</v>
      </c>
      <c r="K315" s="44">
        <v>9.4E-2</v>
      </c>
      <c r="L315" s="44">
        <v>1.01</v>
      </c>
    </row>
    <row r="316" spans="1:12" ht="14" hidden="1" customHeight="1" x14ac:dyDescent="0.15">
      <c r="A316" s="28"/>
      <c r="B316" s="41" t="s">
        <v>1863</v>
      </c>
      <c r="C316" s="41" t="s">
        <v>1864</v>
      </c>
      <c r="D316" s="42" t="s">
        <v>597</v>
      </c>
      <c r="E316" s="43">
        <v>0.4</v>
      </c>
      <c r="F316" s="43">
        <v>2.1</v>
      </c>
      <c r="G316" s="43">
        <v>2</v>
      </c>
      <c r="H316" s="44">
        <v>0.58899999999999997</v>
      </c>
      <c r="I316" s="44">
        <v>0.108</v>
      </c>
      <c r="J316" s="44">
        <v>7.8E-2</v>
      </c>
      <c r="K316" s="44">
        <v>9.4E-2</v>
      </c>
      <c r="L316" s="44">
        <v>1.2030000000000001</v>
      </c>
    </row>
    <row r="317" spans="1:12" ht="14" hidden="1" customHeight="1" x14ac:dyDescent="0.15">
      <c r="A317" s="28"/>
      <c r="B317" s="41" t="s">
        <v>1005</v>
      </c>
      <c r="C317" s="41" t="s">
        <v>1006</v>
      </c>
      <c r="D317" s="42" t="s">
        <v>741</v>
      </c>
      <c r="E317" s="43">
        <v>1.6</v>
      </c>
      <c r="F317" s="43">
        <v>1.1000000000000001</v>
      </c>
      <c r="G317" s="43">
        <v>1.1000000000000001</v>
      </c>
      <c r="H317" s="44">
        <v>0.215</v>
      </c>
      <c r="I317" s="44">
        <v>0.11700000000000001</v>
      </c>
      <c r="J317" s="44">
        <v>6.6000000000000003E-2</v>
      </c>
      <c r="K317" s="44">
        <v>9.1999999999999998E-2</v>
      </c>
      <c r="L317" s="44">
        <v>1.3959999999999999</v>
      </c>
    </row>
    <row r="318" spans="1:12" ht="14" hidden="1" customHeight="1" x14ac:dyDescent="0.15">
      <c r="A318" s="28"/>
      <c r="B318" s="41" t="s">
        <v>1007</v>
      </c>
      <c r="C318" s="41" t="s">
        <v>1008</v>
      </c>
      <c r="D318" s="42" t="s">
        <v>1009</v>
      </c>
      <c r="E318" s="43">
        <v>0.9</v>
      </c>
      <c r="F318" s="43">
        <v>1.9</v>
      </c>
      <c r="G318" s="43">
        <v>1.4</v>
      </c>
      <c r="H318" s="44">
        <v>0.62</v>
      </c>
      <c r="I318" s="44">
        <v>0.12</v>
      </c>
      <c r="J318" s="44">
        <v>0.105</v>
      </c>
      <c r="K318" s="44">
        <v>9.1999999999999998E-2</v>
      </c>
      <c r="L318" s="44">
        <v>0.877</v>
      </c>
    </row>
    <row r="319" spans="1:12" ht="14" hidden="1" customHeight="1" x14ac:dyDescent="0.15">
      <c r="A319" s="28"/>
      <c r="B319" s="41" t="s">
        <v>1865</v>
      </c>
      <c r="C319" s="41" t="s">
        <v>1866</v>
      </c>
      <c r="D319" s="42" t="s">
        <v>898</v>
      </c>
      <c r="E319" s="43">
        <v>1.2</v>
      </c>
      <c r="F319" s="43">
        <v>0.9</v>
      </c>
      <c r="G319" s="43">
        <v>0.8</v>
      </c>
      <c r="H319" s="44">
        <v>0.25800000000000001</v>
      </c>
      <c r="I319" s="44">
        <v>0.14699999999999999</v>
      </c>
      <c r="J319" s="44">
        <v>0.109</v>
      </c>
      <c r="K319" s="44">
        <v>9.0999999999999998E-2</v>
      </c>
      <c r="L319" s="44">
        <v>0.83299999999999996</v>
      </c>
    </row>
    <row r="320" spans="1:12" ht="14" hidden="1" customHeight="1" x14ac:dyDescent="0.15">
      <c r="A320" s="28"/>
      <c r="B320" s="41" t="s">
        <v>1010</v>
      </c>
      <c r="C320" s="41" t="s">
        <v>1011</v>
      </c>
      <c r="D320" s="42" t="s">
        <v>695</v>
      </c>
      <c r="E320" s="43">
        <v>0.9</v>
      </c>
      <c r="F320" s="43">
        <v>1.1000000000000001</v>
      </c>
      <c r="G320" s="43">
        <v>1</v>
      </c>
      <c r="H320" s="44">
        <v>0.28199999999999997</v>
      </c>
      <c r="I320" s="44">
        <v>0.12</v>
      </c>
      <c r="J320" s="44">
        <v>7.0999999999999994E-2</v>
      </c>
      <c r="K320" s="44">
        <v>9.0999999999999998E-2</v>
      </c>
      <c r="L320" s="44">
        <v>1.2769999999999999</v>
      </c>
    </row>
    <row r="321" spans="1:12" ht="28" hidden="1" customHeight="1" x14ac:dyDescent="0.15">
      <c r="A321" s="28"/>
      <c r="B321" s="41" t="s">
        <v>1867</v>
      </c>
      <c r="C321" s="41" t="s">
        <v>1868</v>
      </c>
      <c r="D321" s="42" t="s">
        <v>1847</v>
      </c>
      <c r="E321" s="43">
        <v>1</v>
      </c>
      <c r="F321" s="43">
        <v>1.4</v>
      </c>
      <c r="G321" s="43">
        <v>0.8</v>
      </c>
      <c r="H321" s="44">
        <v>0.35599999999999998</v>
      </c>
      <c r="I321" s="44">
        <v>0.126</v>
      </c>
      <c r="J321" s="44">
        <v>7.4999999999999997E-2</v>
      </c>
      <c r="K321" s="44">
        <v>0.09</v>
      </c>
      <c r="L321" s="44">
        <v>1.1919999999999999</v>
      </c>
    </row>
    <row r="322" spans="1:12" ht="14" hidden="1" customHeight="1" x14ac:dyDescent="0.15">
      <c r="A322" s="28"/>
      <c r="B322" s="41" t="s">
        <v>1012</v>
      </c>
      <c r="C322" s="41" t="s">
        <v>1013</v>
      </c>
      <c r="D322" s="42" t="s">
        <v>933</v>
      </c>
      <c r="E322" s="43">
        <v>0.7</v>
      </c>
      <c r="F322" s="43">
        <v>1.9</v>
      </c>
      <c r="G322" s="43">
        <v>1.2</v>
      </c>
      <c r="H322" s="44">
        <v>0.41099999999999998</v>
      </c>
      <c r="I322" s="44">
        <v>0.13600000000000001</v>
      </c>
      <c r="J322" s="44">
        <v>8.8999999999999996E-2</v>
      </c>
      <c r="K322" s="44">
        <v>0.09</v>
      </c>
      <c r="L322" s="44">
        <v>1.014</v>
      </c>
    </row>
    <row r="323" spans="1:12" ht="14" hidden="1" customHeight="1" x14ac:dyDescent="0.15">
      <c r="A323" s="28"/>
      <c r="B323" s="41" t="s">
        <v>1561</v>
      </c>
      <c r="C323" s="41" t="s">
        <v>1869</v>
      </c>
      <c r="D323" s="42" t="s">
        <v>527</v>
      </c>
      <c r="E323" s="43">
        <v>0.8</v>
      </c>
      <c r="F323" s="43">
        <v>1.6</v>
      </c>
      <c r="G323" s="43">
        <v>1.2</v>
      </c>
      <c r="H323" s="44">
        <v>0.17399999999999999</v>
      </c>
      <c r="I323" s="44">
        <v>0.10299999999999999</v>
      </c>
      <c r="J323" s="44">
        <v>-0.01</v>
      </c>
      <c r="K323" s="44">
        <v>0.09</v>
      </c>
      <c r="L323" s="43" t="s">
        <v>1737</v>
      </c>
    </row>
    <row r="324" spans="1:12" ht="14" hidden="1" customHeight="1" x14ac:dyDescent="0.15">
      <c r="A324" s="28"/>
      <c r="B324" s="41" t="s">
        <v>1014</v>
      </c>
      <c r="C324" s="41" t="s">
        <v>1014</v>
      </c>
      <c r="D324" s="42" t="s">
        <v>649</v>
      </c>
      <c r="E324" s="43">
        <v>1.4</v>
      </c>
      <c r="F324" s="43">
        <v>1.5</v>
      </c>
      <c r="G324" s="43">
        <v>1.1000000000000001</v>
      </c>
      <c r="H324" s="44">
        <v>0.45200000000000001</v>
      </c>
      <c r="I324" s="44">
        <v>0.215</v>
      </c>
      <c r="J324" s="44">
        <v>0.10299999999999999</v>
      </c>
      <c r="K324" s="44">
        <v>8.8999999999999996E-2</v>
      </c>
      <c r="L324" s="44">
        <v>0.871</v>
      </c>
    </row>
    <row r="325" spans="1:12" ht="14" hidden="1" customHeight="1" x14ac:dyDescent="0.15">
      <c r="A325" s="28"/>
      <c r="B325" s="41" t="s">
        <v>1015</v>
      </c>
      <c r="C325" s="41" t="s">
        <v>1016</v>
      </c>
      <c r="D325" s="42" t="s">
        <v>933</v>
      </c>
      <c r="E325" s="43">
        <v>0.3</v>
      </c>
      <c r="F325" s="43">
        <v>0.9</v>
      </c>
      <c r="G325" s="43">
        <v>0.7</v>
      </c>
      <c r="H325" s="44">
        <v>0.41</v>
      </c>
      <c r="I325" s="44">
        <v>9.9000000000000005E-2</v>
      </c>
      <c r="J325" s="44">
        <v>8.1000000000000003E-2</v>
      </c>
      <c r="K325" s="44">
        <v>8.8999999999999996E-2</v>
      </c>
      <c r="L325" s="44">
        <v>1.1020000000000001</v>
      </c>
    </row>
    <row r="326" spans="1:12" ht="14" hidden="1" customHeight="1" x14ac:dyDescent="0.15">
      <c r="A326" s="28"/>
      <c r="B326" s="41" t="s">
        <v>1017</v>
      </c>
      <c r="C326" s="41" t="s">
        <v>1018</v>
      </c>
      <c r="D326" s="42" t="s">
        <v>1019</v>
      </c>
      <c r="E326" s="43">
        <v>0.2</v>
      </c>
      <c r="F326" s="43">
        <v>2.4</v>
      </c>
      <c r="G326" s="43">
        <v>2.4</v>
      </c>
      <c r="H326" s="44">
        <v>0.122</v>
      </c>
      <c r="I326" s="44">
        <v>9.4E-2</v>
      </c>
      <c r="J326" s="44">
        <v>7.1999999999999995E-2</v>
      </c>
      <c r="K326" s="44">
        <v>8.7999999999999995E-2</v>
      </c>
      <c r="L326" s="44">
        <v>1.22</v>
      </c>
    </row>
    <row r="327" spans="1:12" ht="28" hidden="1" customHeight="1" x14ac:dyDescent="0.15">
      <c r="A327" s="28"/>
      <c r="B327" s="41" t="s">
        <v>1870</v>
      </c>
      <c r="C327" s="41" t="s">
        <v>1871</v>
      </c>
      <c r="D327" s="42" t="s">
        <v>1847</v>
      </c>
      <c r="E327" s="43">
        <v>0.4</v>
      </c>
      <c r="F327" s="43">
        <v>1.6</v>
      </c>
      <c r="G327" s="43">
        <v>0.8</v>
      </c>
      <c r="H327" s="44">
        <v>0.26900000000000002</v>
      </c>
      <c r="I327" s="44">
        <v>8.3000000000000004E-2</v>
      </c>
      <c r="J327" s="44">
        <v>7.4999999999999997E-2</v>
      </c>
      <c r="K327" s="44">
        <v>8.7999999999999995E-2</v>
      </c>
      <c r="L327" s="44">
        <v>1.18</v>
      </c>
    </row>
    <row r="328" spans="1:12" ht="14" hidden="1" customHeight="1" x14ac:dyDescent="0.15">
      <c r="A328" s="28"/>
      <c r="B328" s="41" t="s">
        <v>1020</v>
      </c>
      <c r="C328" s="41" t="s">
        <v>1021</v>
      </c>
      <c r="D328" s="42" t="s">
        <v>755</v>
      </c>
      <c r="E328" s="43">
        <v>1.4</v>
      </c>
      <c r="F328" s="43">
        <v>1.6</v>
      </c>
      <c r="G328" s="43">
        <v>1</v>
      </c>
      <c r="H328" s="44">
        <v>0.161</v>
      </c>
      <c r="I328" s="44">
        <v>0.09</v>
      </c>
      <c r="J328" s="44">
        <v>-3.1E-2</v>
      </c>
      <c r="K328" s="44">
        <v>8.6999999999999994E-2</v>
      </c>
      <c r="L328" s="43" t="s">
        <v>1737</v>
      </c>
    </row>
    <row r="329" spans="1:12" ht="14" hidden="1" customHeight="1" x14ac:dyDescent="0.15">
      <c r="A329" s="28"/>
      <c r="B329" s="41" t="s">
        <v>1525</v>
      </c>
      <c r="C329" s="41" t="s">
        <v>1526</v>
      </c>
      <c r="D329" s="42" t="s">
        <v>614</v>
      </c>
      <c r="E329" s="43">
        <v>2.2000000000000002</v>
      </c>
      <c r="F329" s="43">
        <v>0.4</v>
      </c>
      <c r="G329" s="43">
        <v>0.3</v>
      </c>
      <c r="H329" s="44">
        <v>0.217</v>
      </c>
      <c r="I329" s="44">
        <v>0.10100000000000001</v>
      </c>
      <c r="J329" s="44">
        <v>7.2999999999999995E-2</v>
      </c>
      <c r="K329" s="44">
        <v>8.6999999999999994E-2</v>
      </c>
      <c r="L329" s="44">
        <v>1.2</v>
      </c>
    </row>
    <row r="330" spans="1:12" ht="14" hidden="1" customHeight="1" x14ac:dyDescent="0.15">
      <c r="A330" s="28"/>
      <c r="B330" s="41" t="s">
        <v>1872</v>
      </c>
      <c r="C330" s="41" t="s">
        <v>1873</v>
      </c>
      <c r="D330" s="42" t="s">
        <v>812</v>
      </c>
      <c r="E330" s="43">
        <v>0.7</v>
      </c>
      <c r="F330" s="43">
        <v>1.1000000000000001</v>
      </c>
      <c r="G330" s="43">
        <v>1.1000000000000001</v>
      </c>
      <c r="H330" s="44">
        <v>0.41899999999999998</v>
      </c>
      <c r="I330" s="44">
        <v>0.17499999999999999</v>
      </c>
      <c r="J330" s="44">
        <v>0.115</v>
      </c>
      <c r="K330" s="44">
        <v>8.6999999999999994E-2</v>
      </c>
      <c r="L330" s="44">
        <v>0.75800000000000001</v>
      </c>
    </row>
    <row r="331" spans="1:12" ht="14" hidden="1" customHeight="1" x14ac:dyDescent="0.15">
      <c r="A331" s="28"/>
      <c r="B331" s="41" t="s">
        <v>1022</v>
      </c>
      <c r="C331" s="41" t="s">
        <v>1023</v>
      </c>
      <c r="D331" s="42" t="s">
        <v>809</v>
      </c>
      <c r="E331" s="43">
        <v>1.3</v>
      </c>
      <c r="F331" s="43">
        <v>0.9</v>
      </c>
      <c r="G331" s="43">
        <v>0.3</v>
      </c>
      <c r="H331" s="44">
        <v>0.27500000000000002</v>
      </c>
      <c r="I331" s="44">
        <v>0.13200000000000001</v>
      </c>
      <c r="J331" s="44">
        <v>7.3999999999999996E-2</v>
      </c>
      <c r="K331" s="44">
        <v>8.5999999999999993E-2</v>
      </c>
      <c r="L331" s="44">
        <v>1.1679999999999999</v>
      </c>
    </row>
    <row r="332" spans="1:12" ht="14" hidden="1" customHeight="1" x14ac:dyDescent="0.15">
      <c r="A332" s="28"/>
      <c r="B332" s="41" t="s">
        <v>1874</v>
      </c>
      <c r="C332" s="41" t="s">
        <v>1875</v>
      </c>
      <c r="D332" s="42" t="s">
        <v>609</v>
      </c>
      <c r="E332" s="43">
        <v>4</v>
      </c>
      <c r="F332" s="43">
        <v>0.8</v>
      </c>
      <c r="G332" s="43">
        <v>0.8</v>
      </c>
      <c r="H332" s="44">
        <v>0.56599999999999995</v>
      </c>
      <c r="I332" s="44">
        <v>0.153</v>
      </c>
      <c r="J332" s="44">
        <v>-6.5000000000000002E-2</v>
      </c>
      <c r="K332" s="44">
        <v>8.5999999999999993E-2</v>
      </c>
      <c r="L332" s="43" t="s">
        <v>1737</v>
      </c>
    </row>
    <row r="333" spans="1:12" ht="28" hidden="1" customHeight="1" x14ac:dyDescent="0.15">
      <c r="A333" s="28"/>
      <c r="B333" s="41" t="s">
        <v>1876</v>
      </c>
      <c r="C333" s="41" t="s">
        <v>1877</v>
      </c>
      <c r="D333" s="42" t="s">
        <v>726</v>
      </c>
      <c r="E333" s="43">
        <v>1.3</v>
      </c>
      <c r="F333" s="43">
        <v>1.4</v>
      </c>
      <c r="G333" s="43">
        <v>0.8</v>
      </c>
      <c r="H333" s="44">
        <v>0.33100000000000002</v>
      </c>
      <c r="I333" s="44">
        <v>7.2999999999999995E-2</v>
      </c>
      <c r="J333" s="44">
        <v>1.2E-2</v>
      </c>
      <c r="K333" s="44">
        <v>8.5999999999999993E-2</v>
      </c>
      <c r="L333" s="44">
        <v>6.98</v>
      </c>
    </row>
    <row r="334" spans="1:12" ht="14" hidden="1" customHeight="1" x14ac:dyDescent="0.15">
      <c r="A334" s="28"/>
      <c r="B334" s="41" t="s">
        <v>1878</v>
      </c>
      <c r="C334" s="41" t="s">
        <v>1879</v>
      </c>
      <c r="D334" s="42" t="s">
        <v>777</v>
      </c>
      <c r="E334" s="43">
        <v>2.7</v>
      </c>
      <c r="F334" s="43">
        <v>0.9</v>
      </c>
      <c r="G334" s="43">
        <v>0.7</v>
      </c>
      <c r="H334" s="44">
        <v>0.19800000000000001</v>
      </c>
      <c r="I334" s="44">
        <v>0.10299999999999999</v>
      </c>
      <c r="J334" s="44">
        <v>4.9000000000000002E-2</v>
      </c>
      <c r="K334" s="44">
        <v>8.5000000000000006E-2</v>
      </c>
      <c r="L334" s="44">
        <v>1.716</v>
      </c>
    </row>
    <row r="335" spans="1:12" ht="28" hidden="1" customHeight="1" x14ac:dyDescent="0.15">
      <c r="A335" s="28"/>
      <c r="B335" s="41" t="s">
        <v>1880</v>
      </c>
      <c r="C335" s="41" t="s">
        <v>1881</v>
      </c>
      <c r="D335" s="42" t="s">
        <v>619</v>
      </c>
      <c r="E335" s="43">
        <v>0.3</v>
      </c>
      <c r="F335" s="43">
        <v>1.3</v>
      </c>
      <c r="G335" s="43">
        <v>1</v>
      </c>
      <c r="H335" s="44">
        <v>0.42899999999999999</v>
      </c>
      <c r="I335" s="44">
        <v>0.153</v>
      </c>
      <c r="J335" s="44">
        <v>8.3000000000000004E-2</v>
      </c>
      <c r="K335" s="44">
        <v>8.5000000000000006E-2</v>
      </c>
      <c r="L335" s="44">
        <v>1.018</v>
      </c>
    </row>
    <row r="336" spans="1:12" ht="14" hidden="1" customHeight="1" x14ac:dyDescent="0.15">
      <c r="A336" s="28"/>
      <c r="B336" s="41" t="s">
        <v>1024</v>
      </c>
      <c r="C336" s="41" t="s">
        <v>1025</v>
      </c>
      <c r="D336" s="42" t="s">
        <v>454</v>
      </c>
      <c r="E336" s="43">
        <v>1.3</v>
      </c>
      <c r="F336" s="43" t="s">
        <v>1737</v>
      </c>
      <c r="G336" s="43" t="s">
        <v>1737</v>
      </c>
      <c r="H336" s="44">
        <v>0</v>
      </c>
      <c r="I336" s="44">
        <v>0.434</v>
      </c>
      <c r="J336" s="44">
        <v>0.315</v>
      </c>
      <c r="K336" s="44">
        <v>8.4000000000000005E-2</v>
      </c>
      <c r="L336" s="44">
        <v>0.26700000000000002</v>
      </c>
    </row>
    <row r="337" spans="1:12" ht="28" hidden="1" customHeight="1" x14ac:dyDescent="0.15">
      <c r="A337" s="28"/>
      <c r="B337" s="41" t="s">
        <v>1026</v>
      </c>
      <c r="C337" s="41" t="s">
        <v>1027</v>
      </c>
      <c r="D337" s="42" t="s">
        <v>726</v>
      </c>
      <c r="E337" s="43" t="s">
        <v>1737</v>
      </c>
      <c r="F337" s="43">
        <v>0.7</v>
      </c>
      <c r="G337" s="43">
        <v>0.5</v>
      </c>
      <c r="H337" s="44">
        <v>0.32700000000000001</v>
      </c>
      <c r="I337" s="44">
        <v>0.16200000000000001</v>
      </c>
      <c r="J337" s="44">
        <v>0.11700000000000001</v>
      </c>
      <c r="K337" s="44">
        <v>8.4000000000000005E-2</v>
      </c>
      <c r="L337" s="44">
        <v>0.71499999999999997</v>
      </c>
    </row>
    <row r="338" spans="1:12" ht="14" hidden="1" customHeight="1" x14ac:dyDescent="0.15">
      <c r="A338" s="28"/>
      <c r="B338" s="41" t="s">
        <v>1028</v>
      </c>
      <c r="C338" s="41" t="s">
        <v>1029</v>
      </c>
      <c r="D338" s="42" t="s">
        <v>864</v>
      </c>
      <c r="E338" s="43">
        <v>2</v>
      </c>
      <c r="F338" s="43">
        <v>1.3</v>
      </c>
      <c r="G338" s="43">
        <v>1.1000000000000001</v>
      </c>
      <c r="H338" s="44">
        <v>0.41099999999999998</v>
      </c>
      <c r="I338" s="44">
        <v>0.32</v>
      </c>
      <c r="J338" s="44">
        <v>0.161</v>
      </c>
      <c r="K338" s="44">
        <v>8.3000000000000004E-2</v>
      </c>
      <c r="L338" s="44">
        <v>0.51900000000000002</v>
      </c>
    </row>
    <row r="339" spans="1:12" ht="14" hidden="1" customHeight="1" x14ac:dyDescent="0.15">
      <c r="A339" s="28"/>
      <c r="B339" s="41" t="s">
        <v>1030</v>
      </c>
      <c r="C339" s="41" t="s">
        <v>1031</v>
      </c>
      <c r="D339" s="42" t="s">
        <v>1032</v>
      </c>
      <c r="E339" s="43">
        <v>0.7</v>
      </c>
      <c r="F339" s="43">
        <v>1.9</v>
      </c>
      <c r="G339" s="43">
        <v>1.2</v>
      </c>
      <c r="H339" s="44">
        <v>0.44900000000000001</v>
      </c>
      <c r="I339" s="44">
        <v>0.126</v>
      </c>
      <c r="J339" s="44">
        <v>0.105</v>
      </c>
      <c r="K339" s="44">
        <v>8.3000000000000004E-2</v>
      </c>
      <c r="L339" s="44">
        <v>0.79300000000000004</v>
      </c>
    </row>
    <row r="340" spans="1:12" ht="14" hidden="1" customHeight="1" x14ac:dyDescent="0.15">
      <c r="A340" s="28"/>
      <c r="B340" s="41" t="s">
        <v>1882</v>
      </c>
      <c r="C340" s="41" t="s">
        <v>1883</v>
      </c>
      <c r="D340" s="42" t="s">
        <v>1009</v>
      </c>
      <c r="E340" s="43">
        <v>1.6</v>
      </c>
      <c r="F340" s="43">
        <v>0.8</v>
      </c>
      <c r="G340" s="43">
        <v>0.4</v>
      </c>
      <c r="H340" s="44">
        <v>0.60199999999999998</v>
      </c>
      <c r="I340" s="44">
        <v>0.127</v>
      </c>
      <c r="J340" s="44">
        <v>6.0999999999999999E-2</v>
      </c>
      <c r="K340" s="44">
        <v>8.2000000000000003E-2</v>
      </c>
      <c r="L340" s="44">
        <v>1.3420000000000001</v>
      </c>
    </row>
    <row r="341" spans="1:12" ht="14" hidden="1" customHeight="1" x14ac:dyDescent="0.15">
      <c r="A341" s="28"/>
      <c r="B341" s="41" t="s">
        <v>1033</v>
      </c>
      <c r="C341" s="41" t="s">
        <v>1034</v>
      </c>
      <c r="D341" s="42" t="s">
        <v>652</v>
      </c>
      <c r="E341" s="43">
        <v>2.2000000000000002</v>
      </c>
      <c r="F341" s="43">
        <v>0.9</v>
      </c>
      <c r="G341" s="43">
        <v>0.7</v>
      </c>
      <c r="H341" s="44">
        <v>0.55100000000000005</v>
      </c>
      <c r="I341" s="44">
        <v>0.153</v>
      </c>
      <c r="J341" s="44">
        <v>0.109</v>
      </c>
      <c r="K341" s="44">
        <v>8.2000000000000003E-2</v>
      </c>
      <c r="L341" s="44">
        <v>0.752</v>
      </c>
    </row>
    <row r="342" spans="1:12" ht="14" hidden="1" customHeight="1" x14ac:dyDescent="0.15">
      <c r="A342" s="28"/>
      <c r="B342" s="41" t="s">
        <v>1035</v>
      </c>
      <c r="C342" s="41" t="s">
        <v>1036</v>
      </c>
      <c r="D342" s="42" t="s">
        <v>741</v>
      </c>
      <c r="E342" s="43">
        <v>1.1000000000000001</v>
      </c>
      <c r="F342" s="43">
        <v>1.1000000000000001</v>
      </c>
      <c r="G342" s="43">
        <v>0.8</v>
      </c>
      <c r="H342" s="44">
        <v>0.25900000000000001</v>
      </c>
      <c r="I342" s="44">
        <v>0.11600000000000001</v>
      </c>
      <c r="J342" s="44">
        <v>7.1999999999999995E-2</v>
      </c>
      <c r="K342" s="44">
        <v>8.2000000000000003E-2</v>
      </c>
      <c r="L342" s="44">
        <v>1.137</v>
      </c>
    </row>
    <row r="343" spans="1:12" ht="14" hidden="1" customHeight="1" x14ac:dyDescent="0.15">
      <c r="A343" s="28"/>
      <c r="B343" s="41" t="s">
        <v>1884</v>
      </c>
      <c r="C343" s="41" t="s">
        <v>1885</v>
      </c>
      <c r="D343" s="42" t="s">
        <v>1039</v>
      </c>
      <c r="E343" s="43">
        <v>0.7</v>
      </c>
      <c r="F343" s="43">
        <v>4</v>
      </c>
      <c r="G343" s="43">
        <v>1.4</v>
      </c>
      <c r="H343" s="44">
        <v>0.624</v>
      </c>
      <c r="I343" s="44">
        <v>0.16600000000000001</v>
      </c>
      <c r="J343" s="44">
        <v>0.122</v>
      </c>
      <c r="K343" s="44">
        <v>0.08</v>
      </c>
      <c r="L343" s="44">
        <v>0.65400000000000003</v>
      </c>
    </row>
    <row r="344" spans="1:12" ht="14" hidden="1" customHeight="1" x14ac:dyDescent="0.15">
      <c r="A344" s="28"/>
      <c r="B344" s="41" t="s">
        <v>1037</v>
      </c>
      <c r="C344" s="41" t="s">
        <v>1038</v>
      </c>
      <c r="D344" s="42" t="s">
        <v>1039</v>
      </c>
      <c r="E344" s="43">
        <v>1.2</v>
      </c>
      <c r="F344" s="43">
        <v>2</v>
      </c>
      <c r="G344" s="43">
        <v>1.4</v>
      </c>
      <c r="H344" s="44">
        <v>0.67100000000000004</v>
      </c>
      <c r="I344" s="44">
        <v>0.115</v>
      </c>
      <c r="J344" s="44">
        <v>9.7000000000000003E-2</v>
      </c>
      <c r="K344" s="44">
        <v>0.08</v>
      </c>
      <c r="L344" s="44">
        <v>0.82199999999999995</v>
      </c>
    </row>
    <row r="345" spans="1:12" ht="28" hidden="1" customHeight="1" x14ac:dyDescent="0.15">
      <c r="A345" s="28"/>
      <c r="B345" s="41" t="s">
        <v>1040</v>
      </c>
      <c r="C345" s="41" t="s">
        <v>1041</v>
      </c>
      <c r="D345" s="42" t="s">
        <v>1042</v>
      </c>
      <c r="E345" s="43">
        <v>2.6</v>
      </c>
      <c r="F345" s="43">
        <v>1.5</v>
      </c>
      <c r="G345" s="43">
        <v>1.1000000000000001</v>
      </c>
      <c r="H345" s="44">
        <v>0.30499999999999999</v>
      </c>
      <c r="I345" s="44">
        <v>0.154</v>
      </c>
      <c r="J345" s="44">
        <v>0.113</v>
      </c>
      <c r="K345" s="44">
        <v>7.9000000000000001E-2</v>
      </c>
      <c r="L345" s="44">
        <v>0.70199999999999996</v>
      </c>
    </row>
    <row r="346" spans="1:12" ht="14" hidden="1" customHeight="1" x14ac:dyDescent="0.15">
      <c r="A346" s="28"/>
      <c r="B346" s="41" t="s">
        <v>1043</v>
      </c>
      <c r="C346" s="41" t="s">
        <v>1044</v>
      </c>
      <c r="D346" s="42" t="s">
        <v>454</v>
      </c>
      <c r="E346" s="43">
        <v>1.3</v>
      </c>
      <c r="F346" s="43" t="s">
        <v>1737</v>
      </c>
      <c r="G346" s="43" t="s">
        <v>1737</v>
      </c>
      <c r="H346" s="44">
        <v>0</v>
      </c>
      <c r="I346" s="44">
        <v>0.38400000000000001</v>
      </c>
      <c r="J346" s="44">
        <v>0.23799999999999999</v>
      </c>
      <c r="K346" s="44">
        <v>7.9000000000000001E-2</v>
      </c>
      <c r="L346" s="44">
        <v>0.33100000000000002</v>
      </c>
    </row>
    <row r="347" spans="1:12" ht="14" hidden="1" customHeight="1" x14ac:dyDescent="0.15">
      <c r="A347" s="28"/>
      <c r="B347" s="41" t="s">
        <v>1045</v>
      </c>
      <c r="C347" s="41" t="s">
        <v>1046</v>
      </c>
      <c r="D347" s="42" t="s">
        <v>655</v>
      </c>
      <c r="E347" s="43">
        <v>1</v>
      </c>
      <c r="F347" s="43">
        <v>1.1000000000000001</v>
      </c>
      <c r="G347" s="43">
        <v>0.9</v>
      </c>
      <c r="H347" s="44">
        <v>0.26600000000000001</v>
      </c>
      <c r="I347" s="44">
        <v>5.1999999999999998E-2</v>
      </c>
      <c r="J347" s="44">
        <v>4.1000000000000002E-2</v>
      </c>
      <c r="K347" s="44">
        <v>7.8E-2</v>
      </c>
      <c r="L347" s="44">
        <v>1.9</v>
      </c>
    </row>
    <row r="348" spans="1:12" ht="28" hidden="1" customHeight="1" x14ac:dyDescent="0.15">
      <c r="A348" s="28"/>
      <c r="B348" s="41" t="s">
        <v>1048</v>
      </c>
      <c r="C348" s="41" t="s">
        <v>1049</v>
      </c>
      <c r="D348" s="42" t="s">
        <v>793</v>
      </c>
      <c r="E348" s="43">
        <v>1</v>
      </c>
      <c r="F348" s="43">
        <v>1.2</v>
      </c>
      <c r="G348" s="43">
        <v>1.2</v>
      </c>
      <c r="H348" s="44">
        <v>0.14000000000000001</v>
      </c>
      <c r="I348" s="44">
        <v>7.8E-2</v>
      </c>
      <c r="J348" s="44">
        <v>0.06</v>
      </c>
      <c r="K348" s="44">
        <v>7.8E-2</v>
      </c>
      <c r="L348" s="44">
        <v>1.3049999999999999</v>
      </c>
    </row>
    <row r="349" spans="1:12" ht="14" hidden="1" customHeight="1" x14ac:dyDescent="0.15">
      <c r="A349" s="28"/>
      <c r="B349" s="41" t="s">
        <v>1050</v>
      </c>
      <c r="C349" s="41" t="s">
        <v>1051</v>
      </c>
      <c r="D349" s="42" t="s">
        <v>827</v>
      </c>
      <c r="E349" s="43">
        <v>0.4</v>
      </c>
      <c r="F349" s="43">
        <v>1</v>
      </c>
      <c r="G349" s="43">
        <v>0.5</v>
      </c>
      <c r="H349" s="44">
        <v>0.33300000000000002</v>
      </c>
      <c r="I349" s="44">
        <v>0.122</v>
      </c>
      <c r="J349" s="44">
        <v>6.6000000000000003E-2</v>
      </c>
      <c r="K349" s="44">
        <v>7.6999999999999999E-2</v>
      </c>
      <c r="L349" s="44">
        <v>1.1639999999999999</v>
      </c>
    </row>
    <row r="350" spans="1:12" ht="14" hidden="1" customHeight="1" x14ac:dyDescent="0.15">
      <c r="A350" s="28"/>
      <c r="B350" s="41" t="s">
        <v>1052</v>
      </c>
      <c r="C350" s="41" t="s">
        <v>1053</v>
      </c>
      <c r="D350" s="42" t="s">
        <v>695</v>
      </c>
      <c r="E350" s="43">
        <v>2</v>
      </c>
      <c r="F350" s="43">
        <v>1.1000000000000001</v>
      </c>
      <c r="G350" s="43">
        <v>1.1000000000000001</v>
      </c>
      <c r="H350" s="44">
        <v>0.34200000000000003</v>
      </c>
      <c r="I350" s="44">
        <v>7.6999999999999999E-2</v>
      </c>
      <c r="J350" s="44">
        <v>1.7000000000000001E-2</v>
      </c>
      <c r="K350" s="44">
        <v>7.5999999999999998E-2</v>
      </c>
      <c r="L350" s="44">
        <v>4.4370000000000003</v>
      </c>
    </row>
    <row r="351" spans="1:12" ht="28" hidden="1" customHeight="1" x14ac:dyDescent="0.15">
      <c r="A351" s="28"/>
      <c r="B351" s="41" t="s">
        <v>1886</v>
      </c>
      <c r="C351" s="41" t="s">
        <v>1887</v>
      </c>
      <c r="D351" s="42" t="s">
        <v>604</v>
      </c>
      <c r="E351" s="43">
        <v>0.2</v>
      </c>
      <c r="F351" s="43">
        <v>1.7</v>
      </c>
      <c r="G351" s="43">
        <v>1.7</v>
      </c>
      <c r="H351" s="44">
        <v>0.41699999999999998</v>
      </c>
      <c r="I351" s="44">
        <v>0.10199999999999999</v>
      </c>
      <c r="J351" s="44">
        <v>7.4999999999999997E-2</v>
      </c>
      <c r="K351" s="44">
        <v>7.5999999999999998E-2</v>
      </c>
      <c r="L351" s="44">
        <v>1.012</v>
      </c>
    </row>
    <row r="352" spans="1:12" ht="14" hidden="1" customHeight="1" x14ac:dyDescent="0.15">
      <c r="A352" s="28"/>
      <c r="B352" s="41" t="s">
        <v>1054</v>
      </c>
      <c r="C352" s="41" t="s">
        <v>1055</v>
      </c>
      <c r="D352" s="42" t="s">
        <v>760</v>
      </c>
      <c r="E352" s="43" t="s">
        <v>1737</v>
      </c>
      <c r="F352" s="43">
        <v>0.7</v>
      </c>
      <c r="G352" s="43">
        <v>0.5</v>
      </c>
      <c r="H352" s="44">
        <v>0.19500000000000001</v>
      </c>
      <c r="I352" s="44">
        <v>7.3999999999999996E-2</v>
      </c>
      <c r="J352" s="44">
        <v>5.1999999999999998E-2</v>
      </c>
      <c r="K352" s="44">
        <v>7.4999999999999997E-2</v>
      </c>
      <c r="L352" s="44">
        <v>1.4570000000000001</v>
      </c>
    </row>
    <row r="353" spans="1:12" ht="14" hidden="1" customHeight="1" x14ac:dyDescent="0.15">
      <c r="A353" s="28"/>
      <c r="B353" s="41" t="s">
        <v>1056</v>
      </c>
      <c r="C353" s="41" t="s">
        <v>1057</v>
      </c>
      <c r="D353" s="42" t="s">
        <v>851</v>
      </c>
      <c r="E353" s="43">
        <v>1.1000000000000001</v>
      </c>
      <c r="F353" s="43">
        <v>0.4</v>
      </c>
      <c r="G353" s="43">
        <v>0.4</v>
      </c>
      <c r="H353" s="44">
        <v>0.221</v>
      </c>
      <c r="I353" s="44">
        <v>0.14099999999999999</v>
      </c>
      <c r="J353" s="44">
        <v>0.10199999999999999</v>
      </c>
      <c r="K353" s="44">
        <v>7.3999999999999996E-2</v>
      </c>
      <c r="L353" s="44">
        <v>0.73199999999999998</v>
      </c>
    </row>
    <row r="354" spans="1:12" ht="14" hidden="1" customHeight="1" x14ac:dyDescent="0.15">
      <c r="A354" s="28"/>
      <c r="B354" s="41" t="s">
        <v>1059</v>
      </c>
      <c r="C354" s="41" t="s">
        <v>1060</v>
      </c>
      <c r="D354" s="42" t="s">
        <v>938</v>
      </c>
      <c r="E354" s="43">
        <v>1.2</v>
      </c>
      <c r="F354" s="43">
        <v>2.1</v>
      </c>
      <c r="G354" s="43">
        <v>1.1000000000000001</v>
      </c>
      <c r="H354" s="44">
        <v>0.38300000000000001</v>
      </c>
      <c r="I354" s="44">
        <v>0.11</v>
      </c>
      <c r="J354" s="44">
        <v>7.3999999999999996E-2</v>
      </c>
      <c r="K354" s="44">
        <v>7.1999999999999995E-2</v>
      </c>
      <c r="L354" s="44">
        <v>0.97599999999999998</v>
      </c>
    </row>
    <row r="355" spans="1:12" ht="14" hidden="1" customHeight="1" x14ac:dyDescent="0.15">
      <c r="A355" s="28"/>
      <c r="B355" s="41" t="s">
        <v>1888</v>
      </c>
      <c r="C355" s="41" t="s">
        <v>1889</v>
      </c>
      <c r="D355" s="42" t="s">
        <v>1152</v>
      </c>
      <c r="E355" s="43">
        <v>0.5</v>
      </c>
      <c r="F355" s="43">
        <v>2</v>
      </c>
      <c r="G355" s="43">
        <v>1.1000000000000001</v>
      </c>
      <c r="H355" s="44">
        <v>0.17499999999999999</v>
      </c>
      <c r="I355" s="44">
        <v>7.4999999999999997E-2</v>
      </c>
      <c r="J355" s="44">
        <v>4.3999999999999997E-2</v>
      </c>
      <c r="K355" s="44">
        <v>7.1999999999999995E-2</v>
      </c>
      <c r="L355" s="44">
        <v>1.64</v>
      </c>
    </row>
    <row r="356" spans="1:12" ht="14" hidden="1" customHeight="1" x14ac:dyDescent="0.15">
      <c r="A356" s="28"/>
      <c r="B356" s="41" t="s">
        <v>1555</v>
      </c>
      <c r="C356" s="41" t="s">
        <v>1890</v>
      </c>
      <c r="D356" s="42" t="s">
        <v>893</v>
      </c>
      <c r="E356" s="43">
        <v>1.7</v>
      </c>
      <c r="F356" s="43">
        <v>1.4</v>
      </c>
      <c r="G356" s="43">
        <v>0.2</v>
      </c>
      <c r="H356" s="44">
        <v>0.34399999999999997</v>
      </c>
      <c r="I356" s="44">
        <v>8.8999999999999996E-2</v>
      </c>
      <c r="J356" s="44">
        <v>6.8000000000000005E-2</v>
      </c>
      <c r="K356" s="44">
        <v>7.1999999999999995E-2</v>
      </c>
      <c r="L356" s="44">
        <v>1.0660000000000001</v>
      </c>
    </row>
    <row r="357" spans="1:12" ht="14" hidden="1" customHeight="1" x14ac:dyDescent="0.15">
      <c r="A357" s="28"/>
      <c r="B357" s="41" t="s">
        <v>1891</v>
      </c>
      <c r="C357" s="41" t="s">
        <v>1892</v>
      </c>
      <c r="D357" s="42" t="s">
        <v>1009</v>
      </c>
      <c r="E357" s="43">
        <v>0.6</v>
      </c>
      <c r="F357" s="43">
        <v>1.9</v>
      </c>
      <c r="G357" s="43">
        <v>1.3</v>
      </c>
      <c r="H357" s="44">
        <v>0.46899999999999997</v>
      </c>
      <c r="I357" s="44">
        <v>4.4999999999999998E-2</v>
      </c>
      <c r="J357" s="44">
        <v>1.7999999999999999E-2</v>
      </c>
      <c r="K357" s="44">
        <v>7.0999999999999994E-2</v>
      </c>
      <c r="L357" s="44">
        <v>4.0460000000000003</v>
      </c>
    </row>
    <row r="358" spans="1:12" ht="14" hidden="1" customHeight="1" x14ac:dyDescent="0.15">
      <c r="A358" s="28"/>
      <c r="B358" s="41" t="s">
        <v>1893</v>
      </c>
      <c r="C358" s="41" t="s">
        <v>1892</v>
      </c>
      <c r="D358" s="42" t="s">
        <v>1009</v>
      </c>
      <c r="E358" s="43">
        <v>0.6</v>
      </c>
      <c r="F358" s="43">
        <v>1.9</v>
      </c>
      <c r="G358" s="43">
        <v>1.3</v>
      </c>
      <c r="H358" s="44">
        <v>0.46899999999999997</v>
      </c>
      <c r="I358" s="44">
        <v>4.4999999999999998E-2</v>
      </c>
      <c r="J358" s="44">
        <v>1.7999999999999999E-2</v>
      </c>
      <c r="K358" s="44">
        <v>7.0999999999999994E-2</v>
      </c>
      <c r="L358" s="44">
        <v>4.0460000000000003</v>
      </c>
    </row>
    <row r="359" spans="1:12" ht="14" hidden="1" customHeight="1" x14ac:dyDescent="0.15">
      <c r="A359" s="28"/>
      <c r="B359" s="41" t="s">
        <v>1061</v>
      </c>
      <c r="C359" s="41" t="s">
        <v>1062</v>
      </c>
      <c r="D359" s="42" t="s">
        <v>1063</v>
      </c>
      <c r="E359" s="43">
        <v>3.2</v>
      </c>
      <c r="F359" s="43">
        <v>0.8</v>
      </c>
      <c r="G359" s="43">
        <v>0.7</v>
      </c>
      <c r="H359" s="44">
        <v>0.39300000000000002</v>
      </c>
      <c r="I359" s="44">
        <v>0.23300000000000001</v>
      </c>
      <c r="J359" s="44">
        <v>0.126</v>
      </c>
      <c r="K359" s="44">
        <v>7.0999999999999994E-2</v>
      </c>
      <c r="L359" s="44">
        <v>0.56399999999999995</v>
      </c>
    </row>
    <row r="360" spans="1:12" ht="28" hidden="1" customHeight="1" x14ac:dyDescent="0.15">
      <c r="A360" s="28"/>
      <c r="B360" s="41" t="s">
        <v>1064</v>
      </c>
      <c r="C360" s="41" t="s">
        <v>1065</v>
      </c>
      <c r="D360" s="42" t="s">
        <v>1066</v>
      </c>
      <c r="E360" s="43">
        <v>1.6</v>
      </c>
      <c r="F360" s="43">
        <v>1</v>
      </c>
      <c r="G360" s="43">
        <v>0.7</v>
      </c>
      <c r="H360" s="44">
        <v>0.26900000000000002</v>
      </c>
      <c r="I360" s="44">
        <v>0.11700000000000001</v>
      </c>
      <c r="J360" s="44">
        <v>4.3999999999999997E-2</v>
      </c>
      <c r="K360" s="44">
        <v>7.0000000000000007E-2</v>
      </c>
      <c r="L360" s="44">
        <v>1.58</v>
      </c>
    </row>
    <row r="361" spans="1:12" ht="14" hidden="1" customHeight="1" x14ac:dyDescent="0.15">
      <c r="A361" s="28"/>
      <c r="B361" s="41" t="s">
        <v>1606</v>
      </c>
      <c r="C361" s="41" t="s">
        <v>1894</v>
      </c>
      <c r="D361" s="42" t="s">
        <v>1236</v>
      </c>
      <c r="E361" s="43">
        <v>0.2</v>
      </c>
      <c r="F361" s="43" t="s">
        <v>1737</v>
      </c>
      <c r="G361" s="43" t="s">
        <v>1737</v>
      </c>
      <c r="H361" s="44">
        <v>0</v>
      </c>
      <c r="I361" s="44">
        <v>0</v>
      </c>
      <c r="J361" s="44">
        <v>0.249</v>
      </c>
      <c r="K361" s="44">
        <v>7.0000000000000007E-2</v>
      </c>
      <c r="L361" s="44">
        <v>0.28000000000000003</v>
      </c>
    </row>
    <row r="362" spans="1:12" ht="14" hidden="1" customHeight="1" x14ac:dyDescent="0.15">
      <c r="A362" s="28"/>
      <c r="B362" s="41" t="s">
        <v>1895</v>
      </c>
      <c r="C362" s="41" t="s">
        <v>1896</v>
      </c>
      <c r="D362" s="42" t="s">
        <v>1071</v>
      </c>
      <c r="E362" s="43">
        <v>0.5</v>
      </c>
      <c r="F362" s="43" t="s">
        <v>1737</v>
      </c>
      <c r="G362" s="43" t="s">
        <v>1737</v>
      </c>
      <c r="H362" s="44">
        <v>0</v>
      </c>
      <c r="I362" s="44">
        <v>0</v>
      </c>
      <c r="J362" s="44">
        <v>4.2000000000000003E-2</v>
      </c>
      <c r="K362" s="44">
        <v>7.0000000000000007E-2</v>
      </c>
      <c r="L362" s="44">
        <v>1.6830000000000001</v>
      </c>
    </row>
    <row r="363" spans="1:12" ht="14" hidden="1" customHeight="1" x14ac:dyDescent="0.15">
      <c r="A363" s="28"/>
      <c r="B363" s="41" t="s">
        <v>1557</v>
      </c>
      <c r="C363" s="41" t="s">
        <v>1558</v>
      </c>
      <c r="D363" s="42" t="s">
        <v>910</v>
      </c>
      <c r="E363" s="43">
        <v>0.8</v>
      </c>
      <c r="F363" s="43">
        <v>1.2</v>
      </c>
      <c r="G363" s="43">
        <v>1.1000000000000001</v>
      </c>
      <c r="H363" s="44">
        <v>0.39900000000000002</v>
      </c>
      <c r="I363" s="44">
        <v>0.107</v>
      </c>
      <c r="J363" s="44">
        <v>7.1999999999999995E-2</v>
      </c>
      <c r="K363" s="44">
        <v>7.0000000000000007E-2</v>
      </c>
      <c r="L363" s="44">
        <v>0.97799999999999998</v>
      </c>
    </row>
    <row r="364" spans="1:12" ht="14" hidden="1" customHeight="1" x14ac:dyDescent="0.15">
      <c r="A364" s="28"/>
      <c r="B364" s="41" t="s">
        <v>350</v>
      </c>
      <c r="C364" s="41" t="s">
        <v>1067</v>
      </c>
      <c r="D364" s="42" t="s">
        <v>614</v>
      </c>
      <c r="E364" s="43">
        <v>1.7</v>
      </c>
      <c r="F364" s="43">
        <v>1.6</v>
      </c>
      <c r="G364" s="43">
        <v>1.5</v>
      </c>
      <c r="H364" s="44">
        <v>0.20499999999999999</v>
      </c>
      <c r="I364" s="44">
        <v>8.4000000000000005E-2</v>
      </c>
      <c r="J364" s="44">
        <v>6.3E-2</v>
      </c>
      <c r="K364" s="44">
        <v>6.9000000000000006E-2</v>
      </c>
      <c r="L364" s="44">
        <v>1.105</v>
      </c>
    </row>
    <row r="365" spans="1:12" ht="14" hidden="1" customHeight="1" x14ac:dyDescent="0.15">
      <c r="A365" s="28"/>
      <c r="B365" s="41" t="s">
        <v>1897</v>
      </c>
      <c r="C365" s="41" t="s">
        <v>1897</v>
      </c>
      <c r="D365" s="42" t="s">
        <v>1009</v>
      </c>
      <c r="E365" s="43">
        <v>0.8</v>
      </c>
      <c r="F365" s="43">
        <v>1.4</v>
      </c>
      <c r="G365" s="43">
        <v>0.8</v>
      </c>
      <c r="H365" s="44">
        <v>0.54400000000000004</v>
      </c>
      <c r="I365" s="44">
        <v>5.8999999999999997E-2</v>
      </c>
      <c r="J365" s="44">
        <v>4.2000000000000003E-2</v>
      </c>
      <c r="K365" s="44">
        <v>6.9000000000000006E-2</v>
      </c>
      <c r="L365" s="44">
        <v>1.64</v>
      </c>
    </row>
    <row r="366" spans="1:12" ht="14" hidden="1" customHeight="1" x14ac:dyDescent="0.15">
      <c r="A366" s="28"/>
      <c r="B366" s="41" t="s">
        <v>1068</v>
      </c>
      <c r="C366" s="41" t="s">
        <v>1069</v>
      </c>
      <c r="D366" s="42" t="s">
        <v>982</v>
      </c>
      <c r="E366" s="43">
        <v>1.9</v>
      </c>
      <c r="F366" s="43">
        <v>1.2</v>
      </c>
      <c r="G366" s="43">
        <v>0.6</v>
      </c>
      <c r="H366" s="44">
        <v>0.28499999999999998</v>
      </c>
      <c r="I366" s="44">
        <v>0.106</v>
      </c>
      <c r="J366" s="44">
        <v>7.9000000000000001E-2</v>
      </c>
      <c r="K366" s="44">
        <v>6.9000000000000006E-2</v>
      </c>
      <c r="L366" s="44">
        <v>0.877</v>
      </c>
    </row>
    <row r="367" spans="1:12" ht="14" hidden="1" customHeight="1" x14ac:dyDescent="0.15">
      <c r="A367" s="28"/>
      <c r="B367" s="41" t="s">
        <v>10</v>
      </c>
      <c r="C367" s="41" t="s">
        <v>1070</v>
      </c>
      <c r="D367" s="42" t="s">
        <v>1071</v>
      </c>
      <c r="E367" s="43">
        <v>0.7</v>
      </c>
      <c r="F367" s="43">
        <v>0.7</v>
      </c>
      <c r="G367" s="43">
        <v>0.7</v>
      </c>
      <c r="H367" s="44">
        <v>0.23200000000000001</v>
      </c>
      <c r="I367" s="44">
        <v>7.3999999999999996E-2</v>
      </c>
      <c r="J367" s="44">
        <v>5.8000000000000003E-2</v>
      </c>
      <c r="K367" s="44">
        <v>6.9000000000000006E-2</v>
      </c>
      <c r="L367" s="44">
        <v>1.1890000000000001</v>
      </c>
    </row>
    <row r="368" spans="1:12" ht="14" hidden="1" customHeight="1" x14ac:dyDescent="0.15">
      <c r="A368" s="28"/>
      <c r="B368" s="41" t="s">
        <v>1073</v>
      </c>
      <c r="C368" s="41" t="s">
        <v>1074</v>
      </c>
      <c r="D368" s="42" t="s">
        <v>910</v>
      </c>
      <c r="E368" s="43" t="s">
        <v>1737</v>
      </c>
      <c r="F368" s="43">
        <v>1.4</v>
      </c>
      <c r="G368" s="43">
        <v>1.2</v>
      </c>
      <c r="H368" s="44">
        <v>0.376</v>
      </c>
      <c r="I368" s="44">
        <v>0.14099999999999999</v>
      </c>
      <c r="J368" s="44">
        <v>6.8000000000000005E-2</v>
      </c>
      <c r="K368" s="44">
        <v>6.8000000000000005E-2</v>
      </c>
      <c r="L368" s="44">
        <v>0.99299999999999999</v>
      </c>
    </row>
    <row r="369" spans="1:12" ht="14" hidden="1" customHeight="1" x14ac:dyDescent="0.15">
      <c r="A369" s="28"/>
      <c r="B369" s="41" t="s">
        <v>1075</v>
      </c>
      <c r="C369" s="41" t="s">
        <v>1076</v>
      </c>
      <c r="D369" s="42" t="s">
        <v>777</v>
      </c>
      <c r="E369" s="43" t="s">
        <v>1737</v>
      </c>
      <c r="F369" s="43">
        <v>1.1000000000000001</v>
      </c>
      <c r="G369" s="43">
        <v>0.7</v>
      </c>
      <c r="H369" s="44">
        <v>0.32700000000000001</v>
      </c>
      <c r="I369" s="44">
        <v>0.129</v>
      </c>
      <c r="J369" s="44">
        <v>5.5E-2</v>
      </c>
      <c r="K369" s="44">
        <v>6.8000000000000005E-2</v>
      </c>
      <c r="L369" s="44">
        <v>1.2310000000000001</v>
      </c>
    </row>
    <row r="370" spans="1:12" ht="14" hidden="1" customHeight="1" x14ac:dyDescent="0.15">
      <c r="A370" s="28"/>
      <c r="B370" s="41" t="s">
        <v>1077</v>
      </c>
      <c r="C370" s="41" t="s">
        <v>1078</v>
      </c>
      <c r="D370" s="42" t="s">
        <v>816</v>
      </c>
      <c r="E370" s="43">
        <v>0.2</v>
      </c>
      <c r="F370" s="43">
        <v>2.1</v>
      </c>
      <c r="G370" s="43">
        <v>2.1</v>
      </c>
      <c r="H370" s="44">
        <v>0.45300000000000001</v>
      </c>
      <c r="I370" s="44">
        <v>0.36599999999999999</v>
      </c>
      <c r="J370" s="44">
        <v>0.32900000000000001</v>
      </c>
      <c r="K370" s="44">
        <v>6.7000000000000004E-2</v>
      </c>
      <c r="L370" s="44">
        <v>0.20200000000000001</v>
      </c>
    </row>
    <row r="371" spans="1:12" ht="28" hidden="1" customHeight="1" x14ac:dyDescent="0.15">
      <c r="A371" s="28"/>
      <c r="B371" s="41" t="s">
        <v>1898</v>
      </c>
      <c r="C371" s="41" t="s">
        <v>1899</v>
      </c>
      <c r="D371" s="42" t="s">
        <v>726</v>
      </c>
      <c r="E371" s="43">
        <v>1.8</v>
      </c>
      <c r="F371" s="43">
        <v>0.9</v>
      </c>
      <c r="G371" s="43">
        <v>0.6</v>
      </c>
      <c r="H371" s="44">
        <v>0.626</v>
      </c>
      <c r="I371" s="44">
        <v>5.8000000000000003E-2</v>
      </c>
      <c r="J371" s="44">
        <v>-0.33500000000000002</v>
      </c>
      <c r="K371" s="44">
        <v>6.6000000000000003E-2</v>
      </c>
      <c r="L371" s="43" t="s">
        <v>1737</v>
      </c>
    </row>
    <row r="372" spans="1:12" ht="14" hidden="1" customHeight="1" x14ac:dyDescent="0.15">
      <c r="A372" s="28"/>
      <c r="B372" s="41" t="s">
        <v>1079</v>
      </c>
      <c r="C372" s="41" t="s">
        <v>1080</v>
      </c>
      <c r="D372" s="42" t="s">
        <v>933</v>
      </c>
      <c r="E372" s="43">
        <v>1.7</v>
      </c>
      <c r="F372" s="43">
        <v>1.8</v>
      </c>
      <c r="G372" s="43">
        <v>0.9</v>
      </c>
      <c r="H372" s="44">
        <v>0.156</v>
      </c>
      <c r="I372" s="44">
        <v>0.11899999999999999</v>
      </c>
      <c r="J372" s="44">
        <v>9.8000000000000004E-2</v>
      </c>
      <c r="K372" s="44">
        <v>6.6000000000000003E-2</v>
      </c>
      <c r="L372" s="44">
        <v>0.67400000000000004</v>
      </c>
    </row>
    <row r="373" spans="1:12" ht="14" hidden="1" customHeight="1" x14ac:dyDescent="0.15">
      <c r="A373" s="28"/>
      <c r="B373" s="41" t="s">
        <v>1081</v>
      </c>
      <c r="C373" s="41" t="s">
        <v>1082</v>
      </c>
      <c r="D373" s="42" t="s">
        <v>1083</v>
      </c>
      <c r="E373" s="43">
        <v>4.7</v>
      </c>
      <c r="F373" s="43">
        <v>1.2</v>
      </c>
      <c r="G373" s="43">
        <v>1.1000000000000001</v>
      </c>
      <c r="H373" s="44">
        <v>0.13600000000000001</v>
      </c>
      <c r="I373" s="44">
        <v>3.0000000000000001E-3</v>
      </c>
      <c r="J373" s="44">
        <v>0</v>
      </c>
      <c r="K373" s="44">
        <v>6.4000000000000001E-2</v>
      </c>
      <c r="L373" s="43" t="s">
        <v>1737</v>
      </c>
    </row>
    <row r="374" spans="1:12" ht="14" hidden="1" customHeight="1" x14ac:dyDescent="0.15">
      <c r="A374" s="28"/>
      <c r="B374" s="41" t="s">
        <v>1084</v>
      </c>
      <c r="C374" s="41" t="s">
        <v>1085</v>
      </c>
      <c r="D374" s="42" t="s">
        <v>809</v>
      </c>
      <c r="E374" s="43">
        <v>0.1</v>
      </c>
      <c r="F374" s="43">
        <v>2.2999999999999998</v>
      </c>
      <c r="G374" s="43">
        <v>1.3</v>
      </c>
      <c r="H374" s="44">
        <v>0.19600000000000001</v>
      </c>
      <c r="I374" s="44">
        <v>0.11899999999999999</v>
      </c>
      <c r="J374" s="44">
        <v>0.10299999999999999</v>
      </c>
      <c r="K374" s="44">
        <v>6.4000000000000001E-2</v>
      </c>
      <c r="L374" s="44">
        <v>0.625</v>
      </c>
    </row>
    <row r="375" spans="1:12" ht="14" hidden="1" customHeight="1" x14ac:dyDescent="0.15">
      <c r="A375" s="28"/>
      <c r="B375" s="41" t="s">
        <v>1086</v>
      </c>
      <c r="C375" s="41" t="s">
        <v>1086</v>
      </c>
      <c r="D375" s="42" t="s">
        <v>1087</v>
      </c>
      <c r="E375" s="43">
        <v>1.1000000000000001</v>
      </c>
      <c r="F375" s="43">
        <v>2.2000000000000002</v>
      </c>
      <c r="G375" s="43">
        <v>0.9</v>
      </c>
      <c r="H375" s="44">
        <v>0.38800000000000001</v>
      </c>
      <c r="I375" s="44">
        <v>7.8E-2</v>
      </c>
      <c r="J375" s="44">
        <v>4.2999999999999997E-2</v>
      </c>
      <c r="K375" s="44">
        <v>6.4000000000000001E-2</v>
      </c>
      <c r="L375" s="44">
        <v>1.4770000000000001</v>
      </c>
    </row>
    <row r="376" spans="1:12" ht="14" hidden="1" customHeight="1" x14ac:dyDescent="0.15">
      <c r="A376" s="28"/>
      <c r="B376" s="41" t="s">
        <v>1900</v>
      </c>
      <c r="C376" s="41" t="s">
        <v>1901</v>
      </c>
      <c r="D376" s="42" t="s">
        <v>1009</v>
      </c>
      <c r="E376" s="43">
        <v>0.7</v>
      </c>
      <c r="F376" s="43">
        <v>2.1</v>
      </c>
      <c r="G376" s="43">
        <v>1.3</v>
      </c>
      <c r="H376" s="44">
        <v>0.53300000000000003</v>
      </c>
      <c r="I376" s="44">
        <v>0.122</v>
      </c>
      <c r="J376" s="44">
        <v>0.106</v>
      </c>
      <c r="K376" s="44">
        <v>6.4000000000000001E-2</v>
      </c>
      <c r="L376" s="44">
        <v>0.59799999999999998</v>
      </c>
    </row>
    <row r="377" spans="1:12" ht="14" hidden="1" customHeight="1" x14ac:dyDescent="0.15">
      <c r="A377" s="28"/>
      <c r="B377" s="41" t="s">
        <v>1902</v>
      </c>
      <c r="C377" s="41" t="s">
        <v>1903</v>
      </c>
      <c r="D377" s="42" t="s">
        <v>622</v>
      </c>
      <c r="E377" s="43">
        <v>0.9</v>
      </c>
      <c r="F377" s="43">
        <v>2.2999999999999998</v>
      </c>
      <c r="G377" s="43">
        <v>1.7</v>
      </c>
      <c r="H377" s="44">
        <v>0.32800000000000001</v>
      </c>
      <c r="I377" s="44">
        <v>0.1</v>
      </c>
      <c r="J377" s="44">
        <v>6.4000000000000001E-2</v>
      </c>
      <c r="K377" s="44">
        <v>6.3E-2</v>
      </c>
      <c r="L377" s="44">
        <v>0.97699999999999998</v>
      </c>
    </row>
    <row r="378" spans="1:12" ht="14" hidden="1" customHeight="1" x14ac:dyDescent="0.15">
      <c r="A378" s="28"/>
      <c r="B378" s="41" t="s">
        <v>1904</v>
      </c>
      <c r="C378" s="41" t="s">
        <v>1905</v>
      </c>
      <c r="D378" s="42" t="s">
        <v>982</v>
      </c>
      <c r="E378" s="43" t="s">
        <v>1737</v>
      </c>
      <c r="F378" s="43">
        <v>1.4</v>
      </c>
      <c r="G378" s="43">
        <v>0.8</v>
      </c>
      <c r="H378" s="44">
        <v>0.34499999999999997</v>
      </c>
      <c r="I378" s="44">
        <v>7.5999999999999998E-2</v>
      </c>
      <c r="J378" s="44">
        <v>-2.9000000000000001E-2</v>
      </c>
      <c r="K378" s="44">
        <v>6.0999999999999999E-2</v>
      </c>
      <c r="L378" s="43" t="s">
        <v>1737</v>
      </c>
    </row>
    <row r="379" spans="1:12" ht="14" hidden="1" customHeight="1" x14ac:dyDescent="0.15">
      <c r="A379" s="28"/>
      <c r="B379" s="41" t="s">
        <v>1088</v>
      </c>
      <c r="C379" s="41" t="s">
        <v>1089</v>
      </c>
      <c r="D379" s="42" t="s">
        <v>584</v>
      </c>
      <c r="E379" s="43">
        <v>1</v>
      </c>
      <c r="F379" s="43">
        <v>0.2</v>
      </c>
      <c r="G379" s="43">
        <v>0.1</v>
      </c>
      <c r="H379" s="44">
        <v>0.44700000000000001</v>
      </c>
      <c r="I379" s="44">
        <v>0.191</v>
      </c>
      <c r="J379" s="44">
        <v>0.17199999999999999</v>
      </c>
      <c r="K379" s="44">
        <v>6.0999999999999999E-2</v>
      </c>
      <c r="L379" s="44">
        <v>0.35599999999999998</v>
      </c>
    </row>
    <row r="380" spans="1:12" ht="14" hidden="1" customHeight="1" x14ac:dyDescent="0.15">
      <c r="A380" s="28"/>
      <c r="B380" s="41" t="s">
        <v>1090</v>
      </c>
      <c r="C380" s="41" t="s">
        <v>1091</v>
      </c>
      <c r="D380" s="42" t="s">
        <v>1087</v>
      </c>
      <c r="E380" s="43">
        <v>1.3</v>
      </c>
      <c r="F380" s="43">
        <v>1.3</v>
      </c>
      <c r="G380" s="43">
        <v>1</v>
      </c>
      <c r="H380" s="44">
        <v>0.184</v>
      </c>
      <c r="I380" s="44">
        <v>9.9000000000000005E-2</v>
      </c>
      <c r="J380" s="44">
        <v>6.9000000000000006E-2</v>
      </c>
      <c r="K380" s="44">
        <v>0.06</v>
      </c>
      <c r="L380" s="44">
        <v>0.86799999999999999</v>
      </c>
    </row>
    <row r="381" spans="1:12" ht="14" hidden="1" customHeight="1" x14ac:dyDescent="0.15">
      <c r="A381" s="28"/>
      <c r="B381" s="41" t="s">
        <v>1092</v>
      </c>
      <c r="C381" s="41" t="s">
        <v>1093</v>
      </c>
      <c r="D381" s="42" t="s">
        <v>1094</v>
      </c>
      <c r="E381" s="43">
        <v>0.3</v>
      </c>
      <c r="F381" s="43">
        <v>1.6</v>
      </c>
      <c r="G381" s="43">
        <v>0.9</v>
      </c>
      <c r="H381" s="44">
        <v>0.309</v>
      </c>
      <c r="I381" s="44">
        <v>7.2999999999999995E-2</v>
      </c>
      <c r="J381" s="44">
        <v>7.0000000000000007E-2</v>
      </c>
      <c r="K381" s="44">
        <v>5.8999999999999997E-2</v>
      </c>
      <c r="L381" s="44">
        <v>0.84099999999999997</v>
      </c>
    </row>
    <row r="382" spans="1:12" ht="14" hidden="1" customHeight="1" x14ac:dyDescent="0.15">
      <c r="A382" s="28"/>
      <c r="B382" s="41" t="s">
        <v>1095</v>
      </c>
      <c r="C382" s="41" t="s">
        <v>1096</v>
      </c>
      <c r="D382" s="42" t="s">
        <v>1097</v>
      </c>
      <c r="E382" s="43">
        <v>0.4</v>
      </c>
      <c r="F382" s="43">
        <v>3.3</v>
      </c>
      <c r="G382" s="43">
        <v>1.8</v>
      </c>
      <c r="H382" s="44">
        <v>0.11799999999999999</v>
      </c>
      <c r="I382" s="44">
        <v>8.6999999999999994E-2</v>
      </c>
      <c r="J382" s="44">
        <v>5.6000000000000001E-2</v>
      </c>
      <c r="K382" s="44">
        <v>5.8999999999999997E-2</v>
      </c>
      <c r="L382" s="44">
        <v>1.054</v>
      </c>
    </row>
    <row r="383" spans="1:12" ht="28" hidden="1" customHeight="1" x14ac:dyDescent="0.15">
      <c r="A383" s="28"/>
      <c r="B383" s="41" t="s">
        <v>1906</v>
      </c>
      <c r="C383" s="41" t="s">
        <v>1907</v>
      </c>
      <c r="D383" s="42" t="s">
        <v>925</v>
      </c>
      <c r="E383" s="43">
        <v>0.4</v>
      </c>
      <c r="F383" s="43">
        <v>2.7</v>
      </c>
      <c r="G383" s="43">
        <v>1.7</v>
      </c>
      <c r="H383" s="44">
        <v>9.9000000000000005E-2</v>
      </c>
      <c r="I383" s="44">
        <v>-5.3999999999999999E-2</v>
      </c>
      <c r="J383" s="44">
        <v>-0.72599999999999998</v>
      </c>
      <c r="K383" s="44">
        <v>5.8000000000000003E-2</v>
      </c>
      <c r="L383" s="43" t="s">
        <v>1737</v>
      </c>
    </row>
    <row r="384" spans="1:12" ht="14" hidden="1" customHeight="1" x14ac:dyDescent="0.15">
      <c r="A384" s="28"/>
      <c r="B384" s="41" t="s">
        <v>1098</v>
      </c>
      <c r="C384" s="41" t="s">
        <v>1099</v>
      </c>
      <c r="D384" s="42" t="s">
        <v>921</v>
      </c>
      <c r="E384" s="43">
        <v>0.4</v>
      </c>
      <c r="F384" s="43">
        <v>10.1</v>
      </c>
      <c r="G384" s="43">
        <v>1.2</v>
      </c>
      <c r="H384" s="44">
        <v>0.223</v>
      </c>
      <c r="I384" s="44">
        <v>0.121</v>
      </c>
      <c r="J384" s="44">
        <v>9.8000000000000004E-2</v>
      </c>
      <c r="K384" s="44">
        <v>5.7000000000000002E-2</v>
      </c>
      <c r="L384" s="44">
        <v>0.58899999999999997</v>
      </c>
    </row>
    <row r="385" spans="1:12" ht="14" hidden="1" customHeight="1" x14ac:dyDescent="0.15">
      <c r="A385" s="28"/>
      <c r="B385" s="41" t="s">
        <v>1908</v>
      </c>
      <c r="C385" s="41" t="s">
        <v>1909</v>
      </c>
      <c r="D385" s="42" t="s">
        <v>777</v>
      </c>
      <c r="E385" s="43">
        <v>0.9</v>
      </c>
      <c r="F385" s="43">
        <v>1.4</v>
      </c>
      <c r="G385" s="43">
        <v>0.8</v>
      </c>
      <c r="H385" s="44">
        <v>0.20599999999999999</v>
      </c>
      <c r="I385" s="44">
        <v>8.8999999999999996E-2</v>
      </c>
      <c r="J385" s="44">
        <v>4.7E-2</v>
      </c>
      <c r="K385" s="44">
        <v>5.6000000000000001E-2</v>
      </c>
      <c r="L385" s="44">
        <v>1.1850000000000001</v>
      </c>
    </row>
    <row r="386" spans="1:12" ht="14" hidden="1" customHeight="1" x14ac:dyDescent="0.15">
      <c r="A386" s="28"/>
      <c r="B386" s="41" t="s">
        <v>1100</v>
      </c>
      <c r="C386" s="41" t="s">
        <v>1101</v>
      </c>
      <c r="D386" s="42" t="s">
        <v>1071</v>
      </c>
      <c r="E386" s="43">
        <v>0.8</v>
      </c>
      <c r="F386" s="43" t="s">
        <v>1737</v>
      </c>
      <c r="G386" s="43" t="s">
        <v>1737</v>
      </c>
      <c r="H386" s="44">
        <v>0</v>
      </c>
      <c r="I386" s="44">
        <v>0</v>
      </c>
      <c r="J386" s="44">
        <v>3.3000000000000002E-2</v>
      </c>
      <c r="K386" s="44">
        <v>5.5E-2</v>
      </c>
      <c r="L386" s="44">
        <v>1.6459999999999999</v>
      </c>
    </row>
    <row r="387" spans="1:12" ht="14" hidden="1" customHeight="1" x14ac:dyDescent="0.15">
      <c r="A387" s="28"/>
      <c r="B387" s="41" t="s">
        <v>1102</v>
      </c>
      <c r="C387" s="41" t="s">
        <v>1103</v>
      </c>
      <c r="D387" s="42" t="s">
        <v>448</v>
      </c>
      <c r="E387" s="43">
        <v>1.4</v>
      </c>
      <c r="F387" s="43">
        <v>1.5</v>
      </c>
      <c r="G387" s="43">
        <v>1.5</v>
      </c>
      <c r="H387" s="44">
        <v>0.68100000000000005</v>
      </c>
      <c r="I387" s="44">
        <v>0.379</v>
      </c>
      <c r="J387" s="44">
        <v>0.38</v>
      </c>
      <c r="K387" s="44">
        <v>5.5E-2</v>
      </c>
      <c r="L387" s="44">
        <v>0.14499999999999999</v>
      </c>
    </row>
    <row r="388" spans="1:12" ht="14" hidden="1" customHeight="1" x14ac:dyDescent="0.15">
      <c r="A388" s="28"/>
      <c r="B388" s="41" t="s">
        <v>1104</v>
      </c>
      <c r="C388" s="41" t="s">
        <v>1105</v>
      </c>
      <c r="D388" s="42" t="s">
        <v>851</v>
      </c>
      <c r="E388" s="43">
        <v>1.8</v>
      </c>
      <c r="F388" s="43">
        <v>0.6</v>
      </c>
      <c r="G388" s="43">
        <v>0.5</v>
      </c>
      <c r="H388" s="44">
        <v>0.28899999999999998</v>
      </c>
      <c r="I388" s="44">
        <v>0.106</v>
      </c>
      <c r="J388" s="44">
        <v>7.0000000000000007E-2</v>
      </c>
      <c r="K388" s="44">
        <v>5.5E-2</v>
      </c>
      <c r="L388" s="44">
        <v>0.79</v>
      </c>
    </row>
    <row r="389" spans="1:12" ht="14" hidden="1" customHeight="1" x14ac:dyDescent="0.15">
      <c r="A389" s="28"/>
      <c r="B389" s="41" t="s">
        <v>1106</v>
      </c>
      <c r="C389" s="41" t="s">
        <v>1107</v>
      </c>
      <c r="D389" s="42" t="s">
        <v>1087</v>
      </c>
      <c r="E389" s="43">
        <v>0.4</v>
      </c>
      <c r="F389" s="43">
        <v>1.7</v>
      </c>
      <c r="G389" s="43">
        <v>1.2</v>
      </c>
      <c r="H389" s="44">
        <v>0.20699999999999999</v>
      </c>
      <c r="I389" s="44">
        <v>0.121</v>
      </c>
      <c r="J389" s="44">
        <v>7.3999999999999996E-2</v>
      </c>
      <c r="K389" s="44">
        <v>5.2999999999999999E-2</v>
      </c>
      <c r="L389" s="44">
        <v>0.71799999999999997</v>
      </c>
    </row>
    <row r="390" spans="1:12" ht="14" hidden="1" customHeight="1" x14ac:dyDescent="0.15">
      <c r="A390" s="28"/>
      <c r="B390" s="41" t="s">
        <v>1108</v>
      </c>
      <c r="C390" s="41" t="s">
        <v>1109</v>
      </c>
      <c r="D390" s="42" t="s">
        <v>527</v>
      </c>
      <c r="E390" s="43">
        <v>6.1</v>
      </c>
      <c r="F390" s="43">
        <v>0.6</v>
      </c>
      <c r="G390" s="43">
        <v>0.6</v>
      </c>
      <c r="H390" s="44">
        <v>0.56999999999999995</v>
      </c>
      <c r="I390" s="44">
        <v>0.188</v>
      </c>
      <c r="J390" s="44">
        <v>6.3E-2</v>
      </c>
      <c r="K390" s="44">
        <v>5.2999999999999999E-2</v>
      </c>
      <c r="L390" s="44">
        <v>0.83599999999999997</v>
      </c>
    </row>
    <row r="391" spans="1:12" ht="14" hidden="1" customHeight="1" x14ac:dyDescent="0.15">
      <c r="A391" s="28"/>
      <c r="B391" s="41" t="s">
        <v>1110</v>
      </c>
      <c r="C391" s="41" t="s">
        <v>1111</v>
      </c>
      <c r="D391" s="42" t="s">
        <v>1112</v>
      </c>
      <c r="E391" s="43">
        <v>1.2</v>
      </c>
      <c r="F391" s="43">
        <v>0.9</v>
      </c>
      <c r="G391" s="43">
        <v>0.3</v>
      </c>
      <c r="H391" s="44">
        <v>0.29799999999999999</v>
      </c>
      <c r="I391" s="44">
        <v>0.06</v>
      </c>
      <c r="J391" s="44">
        <v>4.2000000000000003E-2</v>
      </c>
      <c r="K391" s="44">
        <v>5.2999999999999999E-2</v>
      </c>
      <c r="L391" s="44">
        <v>1.26</v>
      </c>
    </row>
    <row r="392" spans="1:12" ht="14" hidden="1" customHeight="1" x14ac:dyDescent="0.15">
      <c r="A392" s="28"/>
      <c r="B392" s="41" t="s">
        <v>1113</v>
      </c>
      <c r="C392" s="41" t="s">
        <v>1114</v>
      </c>
      <c r="D392" s="42" t="s">
        <v>1112</v>
      </c>
      <c r="E392" s="43">
        <v>1.8</v>
      </c>
      <c r="F392" s="43">
        <v>1.1000000000000001</v>
      </c>
      <c r="G392" s="43">
        <v>0.1</v>
      </c>
      <c r="H392" s="44">
        <v>0.30599999999999999</v>
      </c>
      <c r="I392" s="44">
        <v>8.3000000000000004E-2</v>
      </c>
      <c r="J392" s="44">
        <v>6.2E-2</v>
      </c>
      <c r="K392" s="44">
        <v>5.1999999999999998E-2</v>
      </c>
      <c r="L392" s="44">
        <v>0.84699999999999998</v>
      </c>
    </row>
    <row r="393" spans="1:12" ht="14" hidden="1" customHeight="1" x14ac:dyDescent="0.15">
      <c r="A393" s="28"/>
      <c r="B393" s="41" t="s">
        <v>1115</v>
      </c>
      <c r="C393" s="41" t="s">
        <v>1116</v>
      </c>
      <c r="D393" s="42" t="s">
        <v>741</v>
      </c>
      <c r="E393" s="43">
        <v>1</v>
      </c>
      <c r="F393" s="43">
        <v>1.2</v>
      </c>
      <c r="G393" s="43">
        <v>0.8</v>
      </c>
      <c r="H393" s="44">
        <v>0.17899999999999999</v>
      </c>
      <c r="I393" s="44">
        <v>0.11799999999999999</v>
      </c>
      <c r="J393" s="44">
        <v>8.8999999999999996E-2</v>
      </c>
      <c r="K393" s="44">
        <v>5.1999999999999998E-2</v>
      </c>
      <c r="L393" s="44">
        <v>0.59</v>
      </c>
    </row>
    <row r="394" spans="1:12" ht="28" hidden="1" customHeight="1" x14ac:dyDescent="0.15">
      <c r="A394" s="28"/>
      <c r="B394" s="41" t="s">
        <v>1910</v>
      </c>
      <c r="C394" s="41" t="s">
        <v>1911</v>
      </c>
      <c r="D394" s="42" t="s">
        <v>681</v>
      </c>
      <c r="E394" s="43">
        <v>0.6</v>
      </c>
      <c r="F394" s="43">
        <v>2.1</v>
      </c>
      <c r="G394" s="43">
        <v>1.3</v>
      </c>
      <c r="H394" s="44">
        <v>0.36599999999999999</v>
      </c>
      <c r="I394" s="44">
        <v>8.5999999999999993E-2</v>
      </c>
      <c r="J394" s="44">
        <v>0.03</v>
      </c>
      <c r="K394" s="44">
        <v>5.1999999999999998E-2</v>
      </c>
      <c r="L394" s="44">
        <v>1.7230000000000001</v>
      </c>
    </row>
    <row r="395" spans="1:12" ht="14" hidden="1" customHeight="1" x14ac:dyDescent="0.15">
      <c r="A395" s="28"/>
      <c r="B395" s="41" t="s">
        <v>1117</v>
      </c>
      <c r="C395" s="41" t="s">
        <v>1118</v>
      </c>
      <c r="D395" s="42" t="s">
        <v>741</v>
      </c>
      <c r="E395" s="43">
        <v>0.7</v>
      </c>
      <c r="F395" s="43">
        <v>2.1</v>
      </c>
      <c r="G395" s="43">
        <v>1</v>
      </c>
      <c r="H395" s="44">
        <v>0.16300000000000001</v>
      </c>
      <c r="I395" s="44">
        <v>7.9000000000000001E-2</v>
      </c>
      <c r="J395" s="44">
        <v>0.06</v>
      </c>
      <c r="K395" s="44">
        <v>5.0999999999999997E-2</v>
      </c>
      <c r="L395" s="44">
        <v>0.85099999999999998</v>
      </c>
    </row>
    <row r="396" spans="1:12" ht="14" hidden="1" customHeight="1" x14ac:dyDescent="0.15">
      <c r="A396" s="28"/>
      <c r="B396" s="41" t="s">
        <v>1119</v>
      </c>
      <c r="C396" s="41" t="s">
        <v>1120</v>
      </c>
      <c r="D396" s="42" t="s">
        <v>1019</v>
      </c>
      <c r="E396" s="43">
        <v>0.9</v>
      </c>
      <c r="F396" s="43">
        <v>1.7</v>
      </c>
      <c r="G396" s="43">
        <v>1.7</v>
      </c>
      <c r="H396" s="44">
        <v>8.4000000000000005E-2</v>
      </c>
      <c r="I396" s="44">
        <v>5.1999999999999998E-2</v>
      </c>
      <c r="J396" s="44">
        <v>3.7999999999999999E-2</v>
      </c>
      <c r="K396" s="44">
        <v>0.05</v>
      </c>
      <c r="L396" s="44">
        <v>1.3240000000000001</v>
      </c>
    </row>
    <row r="397" spans="1:12" ht="14" hidden="1" customHeight="1" x14ac:dyDescent="0.15">
      <c r="A397" s="28"/>
      <c r="B397" s="41" t="s">
        <v>1121</v>
      </c>
      <c r="C397" s="41" t="s">
        <v>1122</v>
      </c>
      <c r="D397" s="42" t="s">
        <v>879</v>
      </c>
      <c r="E397" s="43">
        <v>16.8</v>
      </c>
      <c r="F397" s="43">
        <v>0.5</v>
      </c>
      <c r="G397" s="43">
        <v>0.5</v>
      </c>
      <c r="H397" s="44">
        <v>0.153</v>
      </c>
      <c r="I397" s="44">
        <v>9.1999999999999998E-2</v>
      </c>
      <c r="J397" s="44">
        <v>6.0999999999999999E-2</v>
      </c>
      <c r="K397" s="44">
        <v>0.05</v>
      </c>
      <c r="L397" s="44">
        <v>0.81799999999999995</v>
      </c>
    </row>
    <row r="398" spans="1:12" ht="14" hidden="1" customHeight="1" x14ac:dyDescent="0.15">
      <c r="A398" s="28"/>
      <c r="B398" s="41" t="s">
        <v>1912</v>
      </c>
      <c r="C398" s="41" t="s">
        <v>1913</v>
      </c>
      <c r="D398" s="42" t="s">
        <v>1071</v>
      </c>
      <c r="E398" s="43">
        <v>0.6</v>
      </c>
      <c r="F398" s="43" t="s">
        <v>1737</v>
      </c>
      <c r="G398" s="43" t="s">
        <v>1737</v>
      </c>
      <c r="H398" s="44">
        <v>0</v>
      </c>
      <c r="I398" s="44">
        <v>0</v>
      </c>
      <c r="J398" s="44">
        <v>4.5999999999999999E-2</v>
      </c>
      <c r="K398" s="44">
        <v>4.8000000000000001E-2</v>
      </c>
      <c r="L398" s="44">
        <v>1.0389999999999999</v>
      </c>
    </row>
    <row r="399" spans="1:12" ht="28" hidden="1" customHeight="1" x14ac:dyDescent="0.15">
      <c r="A399" s="28"/>
      <c r="B399" s="41" t="s">
        <v>1123</v>
      </c>
      <c r="C399" s="41" t="s">
        <v>1124</v>
      </c>
      <c r="D399" s="42" t="s">
        <v>720</v>
      </c>
      <c r="E399" s="43">
        <v>0.6</v>
      </c>
      <c r="F399" s="43" t="s">
        <v>1737</v>
      </c>
      <c r="G399" s="43" t="s">
        <v>1737</v>
      </c>
      <c r="H399" s="44">
        <v>0</v>
      </c>
      <c r="I399" s="44">
        <v>0</v>
      </c>
      <c r="J399" s="44">
        <v>6.2E-2</v>
      </c>
      <c r="K399" s="44">
        <v>4.8000000000000001E-2</v>
      </c>
      <c r="L399" s="44">
        <v>0.77200000000000002</v>
      </c>
    </row>
    <row r="400" spans="1:12" ht="28" hidden="1" customHeight="1" x14ac:dyDescent="0.15">
      <c r="A400" s="28"/>
      <c r="B400" s="41" t="s">
        <v>1125</v>
      </c>
      <c r="C400" s="41" t="s">
        <v>1125</v>
      </c>
      <c r="D400" s="42" t="s">
        <v>793</v>
      </c>
      <c r="E400" s="43">
        <v>3.6</v>
      </c>
      <c r="F400" s="43">
        <v>1.2</v>
      </c>
      <c r="G400" s="43">
        <v>1.1000000000000001</v>
      </c>
      <c r="H400" s="44">
        <v>0.16900000000000001</v>
      </c>
      <c r="I400" s="44">
        <v>6.3E-2</v>
      </c>
      <c r="J400" s="44">
        <v>4.1000000000000002E-2</v>
      </c>
      <c r="K400" s="44">
        <v>4.3999999999999997E-2</v>
      </c>
      <c r="L400" s="44">
        <v>1.069</v>
      </c>
    </row>
    <row r="401" spans="1:12" ht="14" hidden="1" customHeight="1" x14ac:dyDescent="0.15">
      <c r="A401" s="28"/>
      <c r="B401" s="41" t="s">
        <v>1126</v>
      </c>
      <c r="C401" s="41" t="s">
        <v>1127</v>
      </c>
      <c r="D401" s="42" t="s">
        <v>736</v>
      </c>
      <c r="E401" s="43">
        <v>1.2</v>
      </c>
      <c r="F401" s="43">
        <v>0.6</v>
      </c>
      <c r="G401" s="43">
        <v>0.4</v>
      </c>
      <c r="H401" s="44">
        <v>0.46899999999999997</v>
      </c>
      <c r="I401" s="44">
        <v>0.23100000000000001</v>
      </c>
      <c r="J401" s="44">
        <v>0.13100000000000001</v>
      </c>
      <c r="K401" s="44">
        <v>4.3999999999999997E-2</v>
      </c>
      <c r="L401" s="44">
        <v>0.33700000000000002</v>
      </c>
    </row>
    <row r="402" spans="1:12" ht="14" hidden="1" customHeight="1" x14ac:dyDescent="0.15">
      <c r="A402" s="28"/>
      <c r="B402" s="41" t="s">
        <v>1914</v>
      </c>
      <c r="C402" s="41" t="s">
        <v>1915</v>
      </c>
      <c r="D402" s="42" t="s">
        <v>809</v>
      </c>
      <c r="E402" s="43">
        <v>3.1</v>
      </c>
      <c r="F402" s="43">
        <v>0.7</v>
      </c>
      <c r="G402" s="43">
        <v>0.5</v>
      </c>
      <c r="H402" s="44">
        <v>0.32300000000000001</v>
      </c>
      <c r="I402" s="44">
        <v>0.10299999999999999</v>
      </c>
      <c r="J402" s="44">
        <v>7.0999999999999994E-2</v>
      </c>
      <c r="K402" s="44">
        <v>4.3999999999999997E-2</v>
      </c>
      <c r="L402" s="44">
        <v>0.626</v>
      </c>
    </row>
    <row r="403" spans="1:12" ht="14" hidden="1" customHeight="1" x14ac:dyDescent="0.15">
      <c r="A403" s="28"/>
      <c r="B403" s="41" t="s">
        <v>1128</v>
      </c>
      <c r="C403" s="41" t="s">
        <v>1129</v>
      </c>
      <c r="D403" s="42" t="s">
        <v>522</v>
      </c>
      <c r="E403" s="43">
        <v>0.3</v>
      </c>
      <c r="F403" s="43">
        <v>2</v>
      </c>
      <c r="G403" s="43">
        <v>1.5</v>
      </c>
      <c r="H403" s="44">
        <v>0.42599999999999999</v>
      </c>
      <c r="I403" s="44">
        <v>9.4E-2</v>
      </c>
      <c r="J403" s="44">
        <v>5.0999999999999997E-2</v>
      </c>
      <c r="K403" s="44">
        <v>4.2999999999999997E-2</v>
      </c>
      <c r="L403" s="44">
        <v>0.84699999999999998</v>
      </c>
    </row>
    <row r="404" spans="1:12" ht="14" hidden="1" customHeight="1" x14ac:dyDescent="0.15">
      <c r="A404" s="28"/>
      <c r="B404" s="41" t="s">
        <v>1130</v>
      </c>
      <c r="C404" s="41" t="s">
        <v>1131</v>
      </c>
      <c r="D404" s="42" t="s">
        <v>893</v>
      </c>
      <c r="E404" s="43">
        <v>1.2</v>
      </c>
      <c r="F404" s="43">
        <v>1.1000000000000001</v>
      </c>
      <c r="G404" s="43">
        <v>0.5</v>
      </c>
      <c r="H404" s="44">
        <v>0.23</v>
      </c>
      <c r="I404" s="44">
        <v>4.7E-2</v>
      </c>
      <c r="J404" s="44">
        <v>3.5000000000000003E-2</v>
      </c>
      <c r="K404" s="44">
        <v>4.2000000000000003E-2</v>
      </c>
      <c r="L404" s="44">
        <v>1.1930000000000001</v>
      </c>
    </row>
    <row r="405" spans="1:12" ht="28" hidden="1" customHeight="1" x14ac:dyDescent="0.15">
      <c r="A405" s="28"/>
      <c r="B405" s="41" t="s">
        <v>1132</v>
      </c>
      <c r="C405" s="41" t="s">
        <v>1133</v>
      </c>
      <c r="D405" s="42" t="s">
        <v>925</v>
      </c>
      <c r="E405" s="43">
        <v>1.4</v>
      </c>
      <c r="F405" s="43">
        <v>2.2999999999999998</v>
      </c>
      <c r="G405" s="43">
        <v>1.7</v>
      </c>
      <c r="H405" s="44">
        <v>0.10199999999999999</v>
      </c>
      <c r="I405" s="44">
        <v>9.1999999999999998E-2</v>
      </c>
      <c r="J405" s="44">
        <v>-5.0999999999999997E-2</v>
      </c>
      <c r="K405" s="44">
        <v>4.2000000000000003E-2</v>
      </c>
      <c r="L405" s="43" t="s">
        <v>1737</v>
      </c>
    </row>
    <row r="406" spans="1:12" ht="14" hidden="1" customHeight="1" x14ac:dyDescent="0.15">
      <c r="A406" s="28"/>
      <c r="B406" s="41" t="s">
        <v>1134</v>
      </c>
      <c r="C406" s="41" t="s">
        <v>1135</v>
      </c>
      <c r="D406" s="42" t="s">
        <v>741</v>
      </c>
      <c r="E406" s="43">
        <v>0.9</v>
      </c>
      <c r="F406" s="43">
        <v>0.9</v>
      </c>
      <c r="G406" s="43">
        <v>0.8</v>
      </c>
      <c r="H406" s="44">
        <v>0.17199999999999999</v>
      </c>
      <c r="I406" s="44">
        <v>8.4000000000000005E-2</v>
      </c>
      <c r="J406" s="44">
        <v>6.2E-2</v>
      </c>
      <c r="K406" s="44">
        <v>4.2000000000000003E-2</v>
      </c>
      <c r="L406" s="44">
        <v>0.68100000000000005</v>
      </c>
    </row>
    <row r="407" spans="1:12" ht="14" hidden="1" customHeight="1" x14ac:dyDescent="0.15">
      <c r="A407" s="28"/>
      <c r="B407" s="41" t="s">
        <v>1916</v>
      </c>
      <c r="C407" s="41" t="s">
        <v>1917</v>
      </c>
      <c r="D407" s="42" t="s">
        <v>893</v>
      </c>
      <c r="E407" s="43">
        <v>0.8</v>
      </c>
      <c r="F407" s="43">
        <v>1.3</v>
      </c>
      <c r="G407" s="43">
        <v>0.3</v>
      </c>
      <c r="H407" s="44">
        <v>0.438</v>
      </c>
      <c r="I407" s="44">
        <v>7.0000000000000007E-2</v>
      </c>
      <c r="J407" s="44">
        <v>0.05</v>
      </c>
      <c r="K407" s="44">
        <v>4.1000000000000002E-2</v>
      </c>
      <c r="L407" s="44">
        <v>0.81200000000000006</v>
      </c>
    </row>
    <row r="408" spans="1:12" ht="14" hidden="1" customHeight="1" x14ac:dyDescent="0.15">
      <c r="A408" s="28"/>
      <c r="B408" s="41" t="s">
        <v>1523</v>
      </c>
      <c r="C408" s="41" t="s">
        <v>1918</v>
      </c>
      <c r="D408" s="42" t="s">
        <v>1071</v>
      </c>
      <c r="E408" s="43">
        <v>1.4</v>
      </c>
      <c r="F408" s="43">
        <v>0.9</v>
      </c>
      <c r="G408" s="43">
        <v>0.6</v>
      </c>
      <c r="H408" s="44">
        <v>0.17899999999999999</v>
      </c>
      <c r="I408" s="44">
        <v>4.9000000000000002E-2</v>
      </c>
      <c r="J408" s="44">
        <v>2.5999999999999999E-2</v>
      </c>
      <c r="K408" s="44">
        <v>4.1000000000000002E-2</v>
      </c>
      <c r="L408" s="44">
        <v>1.573</v>
      </c>
    </row>
    <row r="409" spans="1:12" ht="14" hidden="1" customHeight="1" x14ac:dyDescent="0.15">
      <c r="A409" s="28"/>
      <c r="B409" s="41" t="s">
        <v>1919</v>
      </c>
      <c r="C409" s="41" t="s">
        <v>1920</v>
      </c>
      <c r="D409" s="42" t="s">
        <v>1921</v>
      </c>
      <c r="E409" s="43">
        <v>1.1000000000000001</v>
      </c>
      <c r="F409" s="43">
        <v>1.7</v>
      </c>
      <c r="G409" s="43">
        <v>0.4</v>
      </c>
      <c r="H409" s="44">
        <v>0.39200000000000002</v>
      </c>
      <c r="I409" s="44">
        <v>6.0999999999999999E-2</v>
      </c>
      <c r="J409" s="44">
        <v>3.5000000000000003E-2</v>
      </c>
      <c r="K409" s="44">
        <v>4.1000000000000002E-2</v>
      </c>
      <c r="L409" s="44">
        <v>1.169</v>
      </c>
    </row>
    <row r="410" spans="1:12" ht="14" hidden="1" customHeight="1" x14ac:dyDescent="0.15">
      <c r="A410" s="28"/>
      <c r="B410" s="41" t="s">
        <v>1922</v>
      </c>
      <c r="C410" s="41" t="s">
        <v>1923</v>
      </c>
      <c r="D410" s="42" t="s">
        <v>838</v>
      </c>
      <c r="E410" s="43">
        <v>0.5</v>
      </c>
      <c r="F410" s="43">
        <v>1.2</v>
      </c>
      <c r="G410" s="43">
        <v>1.2</v>
      </c>
      <c r="H410" s="44">
        <v>0.25700000000000001</v>
      </c>
      <c r="I410" s="44">
        <v>0.106</v>
      </c>
      <c r="J410" s="44">
        <v>9.6000000000000002E-2</v>
      </c>
      <c r="K410" s="44">
        <v>4.1000000000000002E-2</v>
      </c>
      <c r="L410" s="44">
        <v>0.43099999999999999</v>
      </c>
    </row>
    <row r="411" spans="1:12" ht="14" hidden="1" customHeight="1" x14ac:dyDescent="0.15">
      <c r="A411" s="28"/>
      <c r="B411" s="41" t="s">
        <v>1136</v>
      </c>
      <c r="C411" s="41" t="s">
        <v>1137</v>
      </c>
      <c r="D411" s="42" t="s">
        <v>1138</v>
      </c>
      <c r="E411" s="43">
        <v>0.6</v>
      </c>
      <c r="F411" s="43">
        <v>1.2</v>
      </c>
      <c r="G411" s="43">
        <v>1.2</v>
      </c>
      <c r="H411" s="44">
        <v>0.218</v>
      </c>
      <c r="I411" s="44">
        <v>5.6000000000000001E-2</v>
      </c>
      <c r="J411" s="44">
        <v>5.3999999999999999E-2</v>
      </c>
      <c r="K411" s="44">
        <v>0.04</v>
      </c>
      <c r="L411" s="44">
        <v>0.745</v>
      </c>
    </row>
    <row r="412" spans="1:12" ht="28" hidden="1" customHeight="1" x14ac:dyDescent="0.15">
      <c r="A412" s="28"/>
      <c r="B412" s="41" t="s">
        <v>1139</v>
      </c>
      <c r="C412" s="41" t="s">
        <v>1140</v>
      </c>
      <c r="D412" s="42" t="s">
        <v>925</v>
      </c>
      <c r="E412" s="43">
        <v>0.3</v>
      </c>
      <c r="F412" s="43">
        <v>1.5</v>
      </c>
      <c r="G412" s="43">
        <v>1.1000000000000001</v>
      </c>
      <c r="H412" s="44">
        <v>0.186</v>
      </c>
      <c r="I412" s="44">
        <v>6.7000000000000004E-2</v>
      </c>
      <c r="J412" s="44">
        <v>5.0000000000000001E-3</v>
      </c>
      <c r="K412" s="44">
        <v>3.7999999999999999E-2</v>
      </c>
      <c r="L412" s="44">
        <v>7.165</v>
      </c>
    </row>
    <row r="413" spans="1:12" ht="14" hidden="1" customHeight="1" x14ac:dyDescent="0.15">
      <c r="A413" s="28"/>
      <c r="B413" s="41" t="s">
        <v>1141</v>
      </c>
      <c r="C413" s="41" t="s">
        <v>1142</v>
      </c>
      <c r="D413" s="42" t="s">
        <v>985</v>
      </c>
      <c r="E413" s="43">
        <v>12</v>
      </c>
      <c r="F413" s="43">
        <v>1</v>
      </c>
      <c r="G413" s="43">
        <v>0.1</v>
      </c>
      <c r="H413" s="44">
        <v>0.318</v>
      </c>
      <c r="I413" s="44">
        <v>8.7999999999999995E-2</v>
      </c>
      <c r="J413" s="44">
        <v>5.8999999999999997E-2</v>
      </c>
      <c r="K413" s="44">
        <v>3.7999999999999999E-2</v>
      </c>
      <c r="L413" s="44">
        <v>0.64700000000000002</v>
      </c>
    </row>
    <row r="414" spans="1:12" ht="14" hidden="1" customHeight="1" x14ac:dyDescent="0.15">
      <c r="A414" s="28"/>
      <c r="B414" s="41" t="s">
        <v>1924</v>
      </c>
      <c r="C414" s="41" t="s">
        <v>1925</v>
      </c>
      <c r="D414" s="42" t="s">
        <v>1926</v>
      </c>
      <c r="E414" s="43">
        <v>1.7</v>
      </c>
      <c r="F414" s="43">
        <v>0.7</v>
      </c>
      <c r="G414" s="43">
        <v>0.3</v>
      </c>
      <c r="H414" s="44">
        <v>0.21199999999999999</v>
      </c>
      <c r="I414" s="44">
        <v>3.1E-2</v>
      </c>
      <c r="J414" s="44">
        <v>2.5000000000000001E-2</v>
      </c>
      <c r="K414" s="44">
        <v>3.7999999999999999E-2</v>
      </c>
      <c r="L414" s="44">
        <v>1.508</v>
      </c>
    </row>
    <row r="415" spans="1:12" ht="14" hidden="1" customHeight="1" x14ac:dyDescent="0.15">
      <c r="A415" s="28"/>
      <c r="B415" s="41" t="s">
        <v>1143</v>
      </c>
      <c r="C415" s="41" t="s">
        <v>1144</v>
      </c>
      <c r="D415" s="42" t="s">
        <v>838</v>
      </c>
      <c r="E415" s="43">
        <v>1.2</v>
      </c>
      <c r="F415" s="43">
        <v>1.3</v>
      </c>
      <c r="G415" s="43">
        <v>1.2</v>
      </c>
      <c r="H415" s="44">
        <v>0.32500000000000001</v>
      </c>
      <c r="I415" s="44">
        <v>0.13800000000000001</v>
      </c>
      <c r="J415" s="44">
        <v>-3.4000000000000002E-2</v>
      </c>
      <c r="K415" s="44">
        <v>3.6999999999999998E-2</v>
      </c>
      <c r="L415" s="43" t="s">
        <v>1737</v>
      </c>
    </row>
    <row r="416" spans="1:12" ht="28" hidden="1" customHeight="1" x14ac:dyDescent="0.15">
      <c r="A416" s="28"/>
      <c r="B416" s="41" t="s">
        <v>1927</v>
      </c>
      <c r="C416" s="41" t="s">
        <v>1928</v>
      </c>
      <c r="D416" s="42" t="s">
        <v>1847</v>
      </c>
      <c r="E416" s="43">
        <v>1.8</v>
      </c>
      <c r="F416" s="43">
        <v>0.9</v>
      </c>
      <c r="G416" s="43">
        <v>0.6</v>
      </c>
      <c r="H416" s="44">
        <v>0.17299999999999999</v>
      </c>
      <c r="I416" s="44">
        <v>6.5000000000000002E-2</v>
      </c>
      <c r="J416" s="44">
        <v>5.8000000000000003E-2</v>
      </c>
      <c r="K416" s="44">
        <v>3.6999999999999998E-2</v>
      </c>
      <c r="L416" s="44">
        <v>0.63700000000000001</v>
      </c>
    </row>
    <row r="417" spans="1:12" ht="14" hidden="1" customHeight="1" x14ac:dyDescent="0.15">
      <c r="A417" s="28"/>
      <c r="B417" s="41" t="s">
        <v>1146</v>
      </c>
      <c r="C417" s="41" t="s">
        <v>1147</v>
      </c>
      <c r="D417" s="42" t="s">
        <v>1112</v>
      </c>
      <c r="E417" s="43">
        <v>1.7</v>
      </c>
      <c r="F417" s="43">
        <v>1.2</v>
      </c>
      <c r="G417" s="43">
        <v>0.2</v>
      </c>
      <c r="H417" s="44">
        <v>0.29799999999999999</v>
      </c>
      <c r="I417" s="44">
        <v>6.7000000000000004E-2</v>
      </c>
      <c r="J417" s="44">
        <v>3.5000000000000003E-2</v>
      </c>
      <c r="K417" s="44">
        <v>3.5000000000000003E-2</v>
      </c>
      <c r="L417" s="44">
        <v>1.002</v>
      </c>
    </row>
    <row r="418" spans="1:12" ht="14" hidden="1" customHeight="1" x14ac:dyDescent="0.15">
      <c r="A418" s="28"/>
      <c r="B418" s="41" t="s">
        <v>1541</v>
      </c>
      <c r="C418" s="41" t="s">
        <v>1542</v>
      </c>
      <c r="D418" s="42" t="s">
        <v>1180</v>
      </c>
      <c r="E418" s="43">
        <v>0.4</v>
      </c>
      <c r="F418" s="43">
        <v>1.2</v>
      </c>
      <c r="G418" s="43">
        <v>1</v>
      </c>
      <c r="H418" s="44">
        <v>0.32300000000000001</v>
      </c>
      <c r="I418" s="44">
        <v>6.4000000000000001E-2</v>
      </c>
      <c r="J418" s="44">
        <v>0.22900000000000001</v>
      </c>
      <c r="K418" s="44">
        <v>3.5000000000000003E-2</v>
      </c>
      <c r="L418" s="44">
        <v>0.152</v>
      </c>
    </row>
    <row r="419" spans="1:12" ht="28" hidden="1" customHeight="1" x14ac:dyDescent="0.15">
      <c r="A419" s="28"/>
      <c r="B419" s="41" t="s">
        <v>1148</v>
      </c>
      <c r="C419" s="41" t="s">
        <v>1149</v>
      </c>
      <c r="D419" s="42" t="s">
        <v>1042</v>
      </c>
      <c r="E419" s="43">
        <v>1.2</v>
      </c>
      <c r="F419" s="43">
        <v>2.4</v>
      </c>
      <c r="G419" s="43">
        <v>2.2999999999999998</v>
      </c>
      <c r="H419" s="44">
        <v>0.157</v>
      </c>
      <c r="I419" s="44">
        <v>0.11600000000000001</v>
      </c>
      <c r="J419" s="44">
        <v>9.2999999999999999E-2</v>
      </c>
      <c r="K419" s="44">
        <v>3.5000000000000003E-2</v>
      </c>
      <c r="L419" s="44">
        <v>0.377</v>
      </c>
    </row>
    <row r="420" spans="1:12" ht="14" hidden="1" customHeight="1" x14ac:dyDescent="0.15">
      <c r="A420" s="28"/>
      <c r="B420" s="41" t="s">
        <v>1150</v>
      </c>
      <c r="C420" s="41" t="s">
        <v>1151</v>
      </c>
      <c r="D420" s="42" t="s">
        <v>1152</v>
      </c>
      <c r="E420" s="43">
        <v>0.9</v>
      </c>
      <c r="F420" s="43">
        <v>1.3</v>
      </c>
      <c r="G420" s="43">
        <v>0.6</v>
      </c>
      <c r="H420" s="44">
        <v>0.111</v>
      </c>
      <c r="I420" s="44">
        <v>4.9000000000000002E-2</v>
      </c>
      <c r="J420" s="44">
        <v>2.1999999999999999E-2</v>
      </c>
      <c r="K420" s="44">
        <v>3.3000000000000002E-2</v>
      </c>
      <c r="L420" s="44">
        <v>1.536</v>
      </c>
    </row>
    <row r="421" spans="1:12" ht="14" hidden="1" customHeight="1" x14ac:dyDescent="0.15">
      <c r="A421" s="28"/>
      <c r="B421" s="41" t="s">
        <v>1153</v>
      </c>
      <c r="C421" s="41" t="s">
        <v>1154</v>
      </c>
      <c r="D421" s="42" t="s">
        <v>1152</v>
      </c>
      <c r="E421" s="43">
        <v>0.5</v>
      </c>
      <c r="F421" s="43">
        <v>1.4</v>
      </c>
      <c r="G421" s="43">
        <v>0.9</v>
      </c>
      <c r="H421" s="44">
        <v>4.3999999999999997E-2</v>
      </c>
      <c r="I421" s="44">
        <v>3.5999999999999997E-2</v>
      </c>
      <c r="J421" s="44">
        <v>2.3E-2</v>
      </c>
      <c r="K421" s="44">
        <v>3.3000000000000002E-2</v>
      </c>
      <c r="L421" s="44">
        <v>1.4570000000000001</v>
      </c>
    </row>
    <row r="422" spans="1:12" ht="14" hidden="1" customHeight="1" x14ac:dyDescent="0.15">
      <c r="A422" s="28"/>
      <c r="B422" s="41" t="s">
        <v>1155</v>
      </c>
      <c r="C422" s="41" t="s">
        <v>1156</v>
      </c>
      <c r="D422" s="42" t="s">
        <v>584</v>
      </c>
      <c r="E422" s="43">
        <v>0.6</v>
      </c>
      <c r="F422" s="43">
        <v>0.3</v>
      </c>
      <c r="G422" s="43">
        <v>0.2</v>
      </c>
      <c r="H422" s="44">
        <v>0.36499999999999999</v>
      </c>
      <c r="I422" s="44">
        <v>0.13900000000000001</v>
      </c>
      <c r="J422" s="44">
        <v>8.8999999999999996E-2</v>
      </c>
      <c r="K422" s="44">
        <v>3.1E-2</v>
      </c>
      <c r="L422" s="44">
        <v>0.34699999999999998</v>
      </c>
    </row>
    <row r="423" spans="1:12" ht="14" hidden="1" customHeight="1" x14ac:dyDescent="0.15">
      <c r="A423" s="28"/>
      <c r="B423" s="41" t="s">
        <v>1157</v>
      </c>
      <c r="C423" s="41" t="s">
        <v>1158</v>
      </c>
      <c r="D423" s="42" t="s">
        <v>893</v>
      </c>
      <c r="E423" s="43">
        <v>1.2</v>
      </c>
      <c r="F423" s="43">
        <v>1.2</v>
      </c>
      <c r="G423" s="43">
        <v>0.6</v>
      </c>
      <c r="H423" s="44">
        <v>0.32600000000000001</v>
      </c>
      <c r="I423" s="44">
        <v>5.7000000000000002E-2</v>
      </c>
      <c r="J423" s="44">
        <v>3.2000000000000001E-2</v>
      </c>
      <c r="K423" s="44">
        <v>3.1E-2</v>
      </c>
      <c r="L423" s="44">
        <v>0.96599999999999997</v>
      </c>
    </row>
    <row r="424" spans="1:12" ht="14" hidden="1" customHeight="1" x14ac:dyDescent="0.15">
      <c r="A424" s="28"/>
      <c r="B424" s="41" t="s">
        <v>1159</v>
      </c>
      <c r="C424" s="41" t="s">
        <v>1160</v>
      </c>
      <c r="D424" s="42" t="s">
        <v>1161</v>
      </c>
      <c r="E424" s="43">
        <v>0.8</v>
      </c>
      <c r="F424" s="43">
        <v>1.3</v>
      </c>
      <c r="G424" s="43">
        <v>0.5</v>
      </c>
      <c r="H424" s="44">
        <v>0.11899999999999999</v>
      </c>
      <c r="I424" s="44">
        <v>6.6000000000000003E-2</v>
      </c>
      <c r="J424" s="44">
        <v>4.7E-2</v>
      </c>
      <c r="K424" s="44">
        <v>3.1E-2</v>
      </c>
      <c r="L424" s="44">
        <v>0.64600000000000002</v>
      </c>
    </row>
    <row r="425" spans="1:12" ht="14" hidden="1" customHeight="1" x14ac:dyDescent="0.15">
      <c r="A425" s="28"/>
      <c r="B425" s="41" t="s">
        <v>1929</v>
      </c>
      <c r="C425" s="41" t="s">
        <v>1930</v>
      </c>
      <c r="D425" s="42" t="s">
        <v>898</v>
      </c>
      <c r="E425" s="43">
        <v>1.6</v>
      </c>
      <c r="F425" s="43">
        <v>1.3</v>
      </c>
      <c r="G425" s="43">
        <v>1</v>
      </c>
      <c r="H425" s="44">
        <v>0.38100000000000001</v>
      </c>
      <c r="I425" s="44">
        <v>0.16200000000000001</v>
      </c>
      <c r="J425" s="44">
        <v>0.11700000000000001</v>
      </c>
      <c r="K425" s="44">
        <v>3.1E-2</v>
      </c>
      <c r="L425" s="44">
        <v>0.26500000000000001</v>
      </c>
    </row>
    <row r="426" spans="1:12" ht="28" hidden="1" customHeight="1" x14ac:dyDescent="0.15">
      <c r="A426" s="28"/>
      <c r="B426" s="41" t="s">
        <v>1931</v>
      </c>
      <c r="C426" s="41" t="s">
        <v>1932</v>
      </c>
      <c r="D426" s="42" t="s">
        <v>925</v>
      </c>
      <c r="E426" s="43">
        <v>0.7</v>
      </c>
      <c r="F426" s="43">
        <v>1.2</v>
      </c>
      <c r="G426" s="43">
        <v>1</v>
      </c>
      <c r="H426" s="44">
        <v>0.183</v>
      </c>
      <c r="I426" s="44">
        <v>0.08</v>
      </c>
      <c r="J426" s="44">
        <v>-0.182</v>
      </c>
      <c r="K426" s="44">
        <v>0.03</v>
      </c>
      <c r="L426" s="43" t="s">
        <v>1737</v>
      </c>
    </row>
    <row r="427" spans="1:12" ht="14" hidden="1" customHeight="1" x14ac:dyDescent="0.15">
      <c r="A427" s="28"/>
      <c r="B427" s="41" t="s">
        <v>1162</v>
      </c>
      <c r="C427" s="41" t="s">
        <v>1163</v>
      </c>
      <c r="D427" s="42" t="s">
        <v>597</v>
      </c>
      <c r="E427" s="43">
        <v>0.8</v>
      </c>
      <c r="F427" s="43">
        <v>0.8</v>
      </c>
      <c r="G427" s="43">
        <v>0.7</v>
      </c>
      <c r="H427" s="44">
        <v>0.33100000000000002</v>
      </c>
      <c r="I427" s="44">
        <v>8.5999999999999993E-2</v>
      </c>
      <c r="J427" s="44">
        <v>4.2000000000000003E-2</v>
      </c>
      <c r="K427" s="44">
        <v>0.03</v>
      </c>
      <c r="L427" s="44">
        <v>0.70099999999999996</v>
      </c>
    </row>
    <row r="428" spans="1:12" ht="14" hidden="1" customHeight="1" x14ac:dyDescent="0.15">
      <c r="A428" s="28"/>
      <c r="B428" s="41" t="s">
        <v>1164</v>
      </c>
      <c r="C428" s="41" t="s">
        <v>1165</v>
      </c>
      <c r="D428" s="42" t="s">
        <v>1019</v>
      </c>
      <c r="E428" s="43">
        <v>8.6</v>
      </c>
      <c r="F428" s="43">
        <v>1.1000000000000001</v>
      </c>
      <c r="G428" s="43">
        <v>1.1000000000000001</v>
      </c>
      <c r="H428" s="44">
        <v>0.185</v>
      </c>
      <c r="I428" s="44">
        <v>0.106</v>
      </c>
      <c r="J428" s="44">
        <v>0.06</v>
      </c>
      <c r="K428" s="44">
        <v>0.03</v>
      </c>
      <c r="L428" s="44">
        <v>0.50700000000000001</v>
      </c>
    </row>
    <row r="429" spans="1:12" ht="14" hidden="1" customHeight="1" x14ac:dyDescent="0.15">
      <c r="A429" s="28"/>
      <c r="B429" s="41" t="s">
        <v>1166</v>
      </c>
      <c r="C429" s="41" t="s">
        <v>1167</v>
      </c>
      <c r="D429" s="42" t="s">
        <v>1112</v>
      </c>
      <c r="E429" s="43">
        <v>1</v>
      </c>
      <c r="F429" s="43">
        <v>0.8</v>
      </c>
      <c r="G429" s="43">
        <v>0.2</v>
      </c>
      <c r="H429" s="44">
        <v>0.247</v>
      </c>
      <c r="I429" s="44">
        <v>3.9E-2</v>
      </c>
      <c r="J429" s="44">
        <v>2.8000000000000001E-2</v>
      </c>
      <c r="K429" s="44">
        <v>2.8000000000000001E-2</v>
      </c>
      <c r="L429" s="44">
        <v>0.98299999999999998</v>
      </c>
    </row>
    <row r="430" spans="1:12" ht="14" hidden="1" customHeight="1" x14ac:dyDescent="0.15">
      <c r="A430" s="28"/>
      <c r="B430" s="41" t="s">
        <v>1168</v>
      </c>
      <c r="C430" s="41" t="s">
        <v>1169</v>
      </c>
      <c r="D430" s="42" t="s">
        <v>1019</v>
      </c>
      <c r="E430" s="43">
        <v>0.6</v>
      </c>
      <c r="F430" s="43">
        <v>1.4</v>
      </c>
      <c r="G430" s="43">
        <v>1.4</v>
      </c>
      <c r="H430" s="44">
        <v>0.17899999999999999</v>
      </c>
      <c r="I430" s="44">
        <v>0.08</v>
      </c>
      <c r="J430" s="44">
        <v>5.6000000000000001E-2</v>
      </c>
      <c r="K430" s="44">
        <v>2.7E-2</v>
      </c>
      <c r="L430" s="44">
        <v>0.47899999999999998</v>
      </c>
    </row>
    <row r="431" spans="1:12" ht="14" hidden="1" customHeight="1" x14ac:dyDescent="0.15">
      <c r="A431" s="28"/>
      <c r="B431" s="41" t="s">
        <v>1170</v>
      </c>
      <c r="C431" s="41" t="s">
        <v>1171</v>
      </c>
      <c r="D431" s="42" t="s">
        <v>522</v>
      </c>
      <c r="E431" s="43">
        <v>0.2</v>
      </c>
      <c r="F431" s="43">
        <v>2.7</v>
      </c>
      <c r="G431" s="43">
        <v>1.9</v>
      </c>
      <c r="H431" s="44">
        <v>0.30299999999999999</v>
      </c>
      <c r="I431" s="44">
        <v>0.13500000000000001</v>
      </c>
      <c r="J431" s="44">
        <v>0.11700000000000001</v>
      </c>
      <c r="K431" s="44">
        <v>2.7E-2</v>
      </c>
      <c r="L431" s="44">
        <v>0.22900000000000001</v>
      </c>
    </row>
    <row r="432" spans="1:12" ht="14" hidden="1" customHeight="1" x14ac:dyDescent="0.15">
      <c r="A432" s="28"/>
      <c r="B432" s="41" t="s">
        <v>1933</v>
      </c>
      <c r="C432" s="41" t="s">
        <v>1934</v>
      </c>
      <c r="D432" s="42" t="s">
        <v>584</v>
      </c>
      <c r="E432" s="43">
        <v>1</v>
      </c>
      <c r="F432" s="43">
        <v>0.2</v>
      </c>
      <c r="G432" s="43">
        <v>0.2</v>
      </c>
      <c r="H432" s="44">
        <v>0.433</v>
      </c>
      <c r="I432" s="44">
        <v>0.183</v>
      </c>
      <c r="J432" s="44">
        <v>0.14499999999999999</v>
      </c>
      <c r="K432" s="44">
        <v>2.7E-2</v>
      </c>
      <c r="L432" s="44">
        <v>0.185</v>
      </c>
    </row>
    <row r="433" spans="1:12" ht="14" hidden="1" customHeight="1" x14ac:dyDescent="0.15">
      <c r="A433" s="28"/>
      <c r="B433" s="41" t="s">
        <v>1172</v>
      </c>
      <c r="C433" s="41" t="s">
        <v>1173</v>
      </c>
      <c r="D433" s="42" t="s">
        <v>1112</v>
      </c>
      <c r="E433" s="43">
        <v>0.5</v>
      </c>
      <c r="F433" s="43">
        <v>1</v>
      </c>
      <c r="G433" s="43">
        <v>0.5</v>
      </c>
      <c r="H433" s="44">
        <v>0.13</v>
      </c>
      <c r="I433" s="44">
        <v>3.1E-2</v>
      </c>
      <c r="J433" s="44">
        <v>2.4E-2</v>
      </c>
      <c r="K433" s="44">
        <v>2.5999999999999999E-2</v>
      </c>
      <c r="L433" s="44">
        <v>1.1060000000000001</v>
      </c>
    </row>
    <row r="434" spans="1:12" ht="28" hidden="1" customHeight="1" x14ac:dyDescent="0.15">
      <c r="A434" s="28"/>
      <c r="B434" s="41" t="s">
        <v>1174</v>
      </c>
      <c r="C434" s="41" t="s">
        <v>1175</v>
      </c>
      <c r="D434" s="42" t="s">
        <v>1042</v>
      </c>
      <c r="E434" s="43">
        <v>3.8</v>
      </c>
      <c r="F434" s="43">
        <v>2.1</v>
      </c>
      <c r="G434" s="43">
        <v>1.8</v>
      </c>
      <c r="H434" s="44">
        <v>0.27100000000000002</v>
      </c>
      <c r="I434" s="44">
        <v>0.10199999999999999</v>
      </c>
      <c r="J434" s="44">
        <v>8.5000000000000006E-2</v>
      </c>
      <c r="K434" s="44">
        <v>2.5999999999999999E-2</v>
      </c>
      <c r="L434" s="44">
        <v>0.308</v>
      </c>
    </row>
    <row r="435" spans="1:12" ht="14" hidden="1" customHeight="1" x14ac:dyDescent="0.15">
      <c r="A435" s="28"/>
      <c r="B435" s="41" t="s">
        <v>1176</v>
      </c>
      <c r="C435" s="41" t="s">
        <v>1177</v>
      </c>
      <c r="D435" s="42" t="s">
        <v>622</v>
      </c>
      <c r="E435" s="43">
        <v>3.3</v>
      </c>
      <c r="F435" s="43">
        <v>1.8</v>
      </c>
      <c r="G435" s="43">
        <v>1.6</v>
      </c>
      <c r="H435" s="44">
        <v>0.23300000000000001</v>
      </c>
      <c r="I435" s="44">
        <v>5.5E-2</v>
      </c>
      <c r="J435" s="44">
        <v>-4.9000000000000002E-2</v>
      </c>
      <c r="K435" s="44">
        <v>2.5999999999999999E-2</v>
      </c>
      <c r="L435" s="43" t="s">
        <v>1737</v>
      </c>
    </row>
    <row r="436" spans="1:12" ht="14" hidden="1" customHeight="1" x14ac:dyDescent="0.15">
      <c r="A436" s="28"/>
      <c r="B436" s="41" t="s">
        <v>1935</v>
      </c>
      <c r="C436" s="41" t="s">
        <v>1936</v>
      </c>
      <c r="D436" s="42" t="s">
        <v>982</v>
      </c>
      <c r="E436" s="43">
        <v>2.2999999999999998</v>
      </c>
      <c r="F436" s="43">
        <v>1.4</v>
      </c>
      <c r="G436" s="43">
        <v>0.7</v>
      </c>
      <c r="H436" s="44">
        <v>0.374</v>
      </c>
      <c r="I436" s="44">
        <v>3.5000000000000003E-2</v>
      </c>
      <c r="J436" s="44">
        <v>2.1000000000000001E-2</v>
      </c>
      <c r="K436" s="44">
        <v>2.4E-2</v>
      </c>
      <c r="L436" s="44">
        <v>1.111</v>
      </c>
    </row>
    <row r="437" spans="1:12" ht="14" hidden="1" customHeight="1" x14ac:dyDescent="0.15">
      <c r="A437" s="28"/>
      <c r="B437" s="41" t="s">
        <v>1178</v>
      </c>
      <c r="C437" s="41" t="s">
        <v>1179</v>
      </c>
      <c r="D437" s="42" t="s">
        <v>1180</v>
      </c>
      <c r="E437" s="43">
        <v>0.4</v>
      </c>
      <c r="F437" s="43">
        <v>1.7</v>
      </c>
      <c r="G437" s="43">
        <v>1.7</v>
      </c>
      <c r="H437" s="44">
        <v>0.13200000000000001</v>
      </c>
      <c r="I437" s="44">
        <v>4.8000000000000001E-2</v>
      </c>
      <c r="J437" s="44">
        <v>3.3000000000000002E-2</v>
      </c>
      <c r="K437" s="44">
        <v>2.3E-2</v>
      </c>
      <c r="L437" s="44">
        <v>0.68300000000000005</v>
      </c>
    </row>
    <row r="438" spans="1:12" ht="14" hidden="1" customHeight="1" x14ac:dyDescent="0.15">
      <c r="A438" s="28"/>
      <c r="B438" s="41" t="s">
        <v>1181</v>
      </c>
      <c r="C438" s="41" t="s">
        <v>1182</v>
      </c>
      <c r="D438" s="42" t="s">
        <v>1183</v>
      </c>
      <c r="E438" s="43">
        <v>3.8</v>
      </c>
      <c r="F438" s="43">
        <v>1.3</v>
      </c>
      <c r="G438" s="43">
        <v>0.7</v>
      </c>
      <c r="H438" s="44">
        <v>0.19</v>
      </c>
      <c r="I438" s="44">
        <v>4.1000000000000002E-2</v>
      </c>
      <c r="J438" s="44">
        <v>0.03</v>
      </c>
      <c r="K438" s="44">
        <v>2.3E-2</v>
      </c>
      <c r="L438" s="44">
        <v>0.76600000000000001</v>
      </c>
    </row>
    <row r="439" spans="1:12" ht="14" hidden="1" customHeight="1" x14ac:dyDescent="0.15">
      <c r="A439" s="28"/>
      <c r="B439" s="41" t="s">
        <v>1184</v>
      </c>
      <c r="C439" s="41" t="s">
        <v>1185</v>
      </c>
      <c r="D439" s="42" t="s">
        <v>777</v>
      </c>
      <c r="E439" s="43">
        <v>1.3</v>
      </c>
      <c r="F439" s="43">
        <v>1.2</v>
      </c>
      <c r="G439" s="43">
        <v>0.7</v>
      </c>
      <c r="H439" s="44">
        <v>0.188</v>
      </c>
      <c r="I439" s="44">
        <v>7.3999999999999996E-2</v>
      </c>
      <c r="J439" s="44">
        <v>4.1000000000000002E-2</v>
      </c>
      <c r="K439" s="44">
        <v>2.1999999999999999E-2</v>
      </c>
      <c r="L439" s="44">
        <v>0.53800000000000003</v>
      </c>
    </row>
    <row r="440" spans="1:12" ht="14" hidden="1" customHeight="1" x14ac:dyDescent="0.15">
      <c r="A440" s="28"/>
      <c r="B440" s="41" t="s">
        <v>1186</v>
      </c>
      <c r="C440" s="41" t="s">
        <v>1187</v>
      </c>
      <c r="D440" s="42" t="s">
        <v>769</v>
      </c>
      <c r="E440" s="43">
        <v>0.3</v>
      </c>
      <c r="F440" s="43">
        <v>1.4</v>
      </c>
      <c r="G440" s="43">
        <v>1.2</v>
      </c>
      <c r="H440" s="44">
        <v>0</v>
      </c>
      <c r="I440" s="44">
        <v>4.4999999999999998E-2</v>
      </c>
      <c r="J440" s="44">
        <v>-1.9E-2</v>
      </c>
      <c r="K440" s="44">
        <v>2.1999999999999999E-2</v>
      </c>
      <c r="L440" s="43" t="s">
        <v>1737</v>
      </c>
    </row>
    <row r="441" spans="1:12" ht="14" hidden="1" customHeight="1" x14ac:dyDescent="0.15">
      <c r="A441" s="28"/>
      <c r="B441" s="41" t="s">
        <v>1188</v>
      </c>
      <c r="C441" s="41" t="s">
        <v>1189</v>
      </c>
      <c r="D441" s="42" t="s">
        <v>1003</v>
      </c>
      <c r="E441" s="43">
        <v>0.2</v>
      </c>
      <c r="F441" s="43">
        <v>0.8</v>
      </c>
      <c r="G441" s="43">
        <v>0.5</v>
      </c>
      <c r="H441" s="44">
        <v>0.219</v>
      </c>
      <c r="I441" s="44">
        <v>0.05</v>
      </c>
      <c r="J441" s="44">
        <v>5.6000000000000001E-2</v>
      </c>
      <c r="K441" s="44">
        <v>2.1000000000000001E-2</v>
      </c>
      <c r="L441" s="44">
        <v>0.36599999999999999</v>
      </c>
    </row>
    <row r="442" spans="1:12" ht="14" hidden="1" customHeight="1" x14ac:dyDescent="0.15">
      <c r="A442" s="28"/>
      <c r="B442" s="41" t="s">
        <v>1937</v>
      </c>
      <c r="C442" s="41" t="s">
        <v>1938</v>
      </c>
      <c r="D442" s="42" t="s">
        <v>1921</v>
      </c>
      <c r="E442" s="43">
        <v>4.9000000000000004</v>
      </c>
      <c r="F442" s="43">
        <v>0.9</v>
      </c>
      <c r="G442" s="43">
        <v>0.4</v>
      </c>
      <c r="H442" s="44">
        <v>0.36</v>
      </c>
      <c r="I442" s="44">
        <v>5.0999999999999997E-2</v>
      </c>
      <c r="J442" s="44">
        <v>3.2000000000000001E-2</v>
      </c>
      <c r="K442" s="44">
        <v>0.02</v>
      </c>
      <c r="L442" s="44">
        <v>0.627</v>
      </c>
    </row>
    <row r="443" spans="1:12" ht="14" hidden="1" customHeight="1" x14ac:dyDescent="0.15">
      <c r="A443" s="28"/>
      <c r="B443" s="41" t="s">
        <v>1190</v>
      </c>
      <c r="C443" s="41" t="s">
        <v>1191</v>
      </c>
      <c r="D443" s="42" t="s">
        <v>838</v>
      </c>
      <c r="E443" s="43">
        <v>0.8</v>
      </c>
      <c r="F443" s="43">
        <v>2</v>
      </c>
      <c r="G443" s="43">
        <v>2</v>
      </c>
      <c r="H443" s="44">
        <v>0.55300000000000005</v>
      </c>
      <c r="I443" s="44">
        <v>3.1E-2</v>
      </c>
      <c r="J443" s="44">
        <v>-5.2999999999999999E-2</v>
      </c>
      <c r="K443" s="44">
        <v>1.4E-2</v>
      </c>
      <c r="L443" s="43" t="s">
        <v>1737</v>
      </c>
    </row>
    <row r="444" spans="1:12" ht="14" hidden="1" customHeight="1" x14ac:dyDescent="0.15">
      <c r="A444" s="28"/>
      <c r="B444" s="41" t="s">
        <v>1939</v>
      </c>
      <c r="C444" s="41" t="s">
        <v>1940</v>
      </c>
      <c r="D444" s="42" t="s">
        <v>838</v>
      </c>
      <c r="E444" s="43">
        <v>0.2</v>
      </c>
      <c r="F444" s="43">
        <v>0.9</v>
      </c>
      <c r="G444" s="43">
        <v>0.8</v>
      </c>
      <c r="H444" s="44">
        <v>0.23899999999999999</v>
      </c>
      <c r="I444" s="44">
        <v>0.188</v>
      </c>
      <c r="J444" s="44">
        <v>7.6999999999999999E-2</v>
      </c>
      <c r="K444" s="44">
        <v>1.4E-2</v>
      </c>
      <c r="L444" s="44">
        <v>0.18</v>
      </c>
    </row>
    <row r="445" spans="1:12" ht="14" hidden="1" customHeight="1" x14ac:dyDescent="0.15">
      <c r="A445" s="28"/>
      <c r="B445" s="41" t="s">
        <v>1192</v>
      </c>
      <c r="C445" s="41" t="s">
        <v>1193</v>
      </c>
      <c r="D445" s="42" t="s">
        <v>1194</v>
      </c>
      <c r="E445" s="43">
        <v>1.2</v>
      </c>
      <c r="F445" s="43">
        <v>0.6</v>
      </c>
      <c r="G445" s="43">
        <v>0.4</v>
      </c>
      <c r="H445" s="44">
        <v>0.45900000000000002</v>
      </c>
      <c r="I445" s="44">
        <v>0.23599999999999999</v>
      </c>
      <c r="J445" s="44">
        <v>8.5000000000000006E-2</v>
      </c>
      <c r="K445" s="44">
        <v>1.2999999999999999E-2</v>
      </c>
      <c r="L445" s="44">
        <v>0.156</v>
      </c>
    </row>
    <row r="446" spans="1:12" ht="14" hidden="1" customHeight="1" x14ac:dyDescent="0.15">
      <c r="A446" s="28"/>
      <c r="B446" s="41" t="s">
        <v>1195</v>
      </c>
      <c r="C446" s="41" t="s">
        <v>1196</v>
      </c>
      <c r="D446" s="42" t="s">
        <v>1094</v>
      </c>
      <c r="E446" s="43">
        <v>1.9</v>
      </c>
      <c r="F446" s="43">
        <v>1</v>
      </c>
      <c r="G446" s="43">
        <v>0.6</v>
      </c>
      <c r="H446" s="44">
        <v>5.2999999999999999E-2</v>
      </c>
      <c r="I446" s="44">
        <v>1.2E-2</v>
      </c>
      <c r="J446" s="44">
        <v>-4.0000000000000001E-3</v>
      </c>
      <c r="K446" s="44">
        <v>1.2999999999999999E-2</v>
      </c>
      <c r="L446" s="43" t="s">
        <v>1737</v>
      </c>
    </row>
    <row r="447" spans="1:12" ht="14" hidden="1" customHeight="1" x14ac:dyDescent="0.15">
      <c r="A447" s="28"/>
      <c r="B447" s="41" t="s">
        <v>1559</v>
      </c>
      <c r="C447" s="41" t="s">
        <v>1560</v>
      </c>
      <c r="D447" s="42" t="s">
        <v>760</v>
      </c>
      <c r="E447" s="43">
        <v>1.1000000000000001</v>
      </c>
      <c r="F447" s="43">
        <v>1.9</v>
      </c>
      <c r="G447" s="43">
        <v>1.2</v>
      </c>
      <c r="H447" s="44">
        <v>0.17599999999999999</v>
      </c>
      <c r="I447" s="44">
        <v>-4.7E-2</v>
      </c>
      <c r="J447" s="44">
        <v>-7.5999999999999998E-2</v>
      </c>
      <c r="K447" s="44">
        <v>1.2999999999999999E-2</v>
      </c>
      <c r="L447" s="43" t="s">
        <v>1737</v>
      </c>
    </row>
    <row r="448" spans="1:12" ht="14" hidden="1" customHeight="1" x14ac:dyDescent="0.15">
      <c r="A448" s="28"/>
      <c r="B448" s="41" t="s">
        <v>1197</v>
      </c>
      <c r="C448" s="41" t="s">
        <v>1198</v>
      </c>
      <c r="D448" s="42" t="s">
        <v>1199</v>
      </c>
      <c r="E448" s="43">
        <v>2.5</v>
      </c>
      <c r="F448" s="43">
        <v>0.8</v>
      </c>
      <c r="G448" s="43">
        <v>0.3</v>
      </c>
      <c r="H448" s="44">
        <v>0.221</v>
      </c>
      <c r="I448" s="44">
        <v>1.7999999999999999E-2</v>
      </c>
      <c r="J448" s="44">
        <v>1.4E-2</v>
      </c>
      <c r="K448" s="44">
        <v>1.2E-2</v>
      </c>
      <c r="L448" s="44">
        <v>0.91300000000000003</v>
      </c>
    </row>
    <row r="449" spans="1:12" ht="14" hidden="1" customHeight="1" x14ac:dyDescent="0.15">
      <c r="A449" s="28"/>
      <c r="B449" s="41" t="s">
        <v>1201</v>
      </c>
      <c r="C449" s="41" t="s">
        <v>1202</v>
      </c>
      <c r="D449" s="42" t="s">
        <v>1094</v>
      </c>
      <c r="E449" s="43">
        <v>7.9</v>
      </c>
      <c r="F449" s="43">
        <v>1</v>
      </c>
      <c r="G449" s="43">
        <v>0.5</v>
      </c>
      <c r="H449" s="44">
        <v>4.5999999999999999E-2</v>
      </c>
      <c r="I449" s="44">
        <v>1.2E-2</v>
      </c>
      <c r="J449" s="44">
        <v>-2.8000000000000001E-2</v>
      </c>
      <c r="K449" s="44">
        <v>1.0999999999999999E-2</v>
      </c>
      <c r="L449" s="43" t="s">
        <v>1737</v>
      </c>
    </row>
    <row r="450" spans="1:12" ht="14" hidden="1" customHeight="1" x14ac:dyDescent="0.15">
      <c r="A450" s="28"/>
      <c r="B450" s="41" t="s">
        <v>1203</v>
      </c>
      <c r="C450" s="41" t="s">
        <v>1204</v>
      </c>
      <c r="D450" s="42" t="s">
        <v>1071</v>
      </c>
      <c r="E450" s="43">
        <v>1.1000000000000001</v>
      </c>
      <c r="F450" s="43">
        <v>1.6</v>
      </c>
      <c r="G450" s="43">
        <v>1.6</v>
      </c>
      <c r="H450" s="44">
        <v>0.11799999999999999</v>
      </c>
      <c r="I450" s="44">
        <v>2.7E-2</v>
      </c>
      <c r="J450" s="44">
        <v>1.7999999999999999E-2</v>
      </c>
      <c r="K450" s="44">
        <v>0.01</v>
      </c>
      <c r="L450" s="44">
        <v>0.54200000000000004</v>
      </c>
    </row>
    <row r="451" spans="1:12" ht="14" hidden="1" customHeight="1" x14ac:dyDescent="0.15">
      <c r="A451" s="28"/>
      <c r="B451" s="41" t="s">
        <v>1543</v>
      </c>
      <c r="C451" s="41" t="s">
        <v>1544</v>
      </c>
      <c r="D451" s="42" t="s">
        <v>1194</v>
      </c>
      <c r="E451" s="43">
        <v>1.1000000000000001</v>
      </c>
      <c r="F451" s="43">
        <v>0.6</v>
      </c>
      <c r="G451" s="43">
        <v>0.5</v>
      </c>
      <c r="H451" s="44">
        <v>0.35599999999999998</v>
      </c>
      <c r="I451" s="44">
        <v>0.23200000000000001</v>
      </c>
      <c r="J451" s="44">
        <v>0.16700000000000001</v>
      </c>
      <c r="K451" s="44">
        <v>0.01</v>
      </c>
      <c r="L451" s="44">
        <v>5.8999999999999997E-2</v>
      </c>
    </row>
    <row r="452" spans="1:12" ht="14" hidden="1" customHeight="1" x14ac:dyDescent="0.15">
      <c r="A452" s="28"/>
      <c r="B452" s="41" t="s">
        <v>1941</v>
      </c>
      <c r="C452" s="41" t="s">
        <v>1942</v>
      </c>
      <c r="D452" s="42" t="s">
        <v>1094</v>
      </c>
      <c r="E452" s="43">
        <v>1.4</v>
      </c>
      <c r="F452" s="43">
        <v>1</v>
      </c>
      <c r="G452" s="43">
        <v>0.6</v>
      </c>
      <c r="H452" s="44">
        <v>2.8000000000000001E-2</v>
      </c>
      <c r="I452" s="44">
        <v>1.0999999999999999E-2</v>
      </c>
      <c r="J452" s="44">
        <v>4.0000000000000001E-3</v>
      </c>
      <c r="K452" s="44">
        <v>8.9999999999999993E-3</v>
      </c>
      <c r="L452" s="44">
        <v>2.601</v>
      </c>
    </row>
    <row r="453" spans="1:12" ht="14" hidden="1" customHeight="1" x14ac:dyDescent="0.15">
      <c r="A453" s="28"/>
      <c r="B453" s="41" t="s">
        <v>1205</v>
      </c>
      <c r="C453" s="41" t="s">
        <v>1206</v>
      </c>
      <c r="D453" s="42" t="s">
        <v>1152</v>
      </c>
      <c r="E453" s="43">
        <v>0.5</v>
      </c>
      <c r="F453" s="43">
        <v>1.2</v>
      </c>
      <c r="G453" s="43">
        <v>0.9</v>
      </c>
      <c r="H453" s="44">
        <v>0.11</v>
      </c>
      <c r="I453" s="44">
        <v>3.1E-2</v>
      </c>
      <c r="J453" s="44">
        <v>2.9000000000000001E-2</v>
      </c>
      <c r="K453" s="44">
        <v>8.9999999999999993E-3</v>
      </c>
      <c r="L453" s="44">
        <v>0.32700000000000001</v>
      </c>
    </row>
    <row r="454" spans="1:12" ht="14" hidden="1" customHeight="1" x14ac:dyDescent="0.15">
      <c r="A454" s="28"/>
      <c r="B454" s="41" t="s">
        <v>1207</v>
      </c>
      <c r="C454" s="41" t="s">
        <v>1208</v>
      </c>
      <c r="D454" s="42" t="s">
        <v>736</v>
      </c>
      <c r="E454" s="43">
        <v>1.3</v>
      </c>
      <c r="F454" s="43">
        <v>0.7</v>
      </c>
      <c r="G454" s="43">
        <v>0.5</v>
      </c>
      <c r="H454" s="44">
        <v>0.35399999999999998</v>
      </c>
      <c r="I454" s="44">
        <v>0.20300000000000001</v>
      </c>
      <c r="J454" s="44">
        <v>0.151</v>
      </c>
      <c r="K454" s="44">
        <v>8.9999999999999993E-3</v>
      </c>
      <c r="L454" s="44">
        <v>6.0999999999999999E-2</v>
      </c>
    </row>
    <row r="455" spans="1:12" ht="14" hidden="1" customHeight="1" x14ac:dyDescent="0.15">
      <c r="A455" s="28"/>
      <c r="B455" s="41" t="s">
        <v>1209</v>
      </c>
      <c r="C455" s="41" t="s">
        <v>1210</v>
      </c>
      <c r="D455" s="42" t="s">
        <v>898</v>
      </c>
      <c r="E455" s="43">
        <v>4.2</v>
      </c>
      <c r="F455" s="43">
        <v>1</v>
      </c>
      <c r="G455" s="43">
        <v>1</v>
      </c>
      <c r="H455" s="44">
        <v>0.26600000000000001</v>
      </c>
      <c r="I455" s="44">
        <v>2.8000000000000001E-2</v>
      </c>
      <c r="J455" s="44">
        <v>8.9999999999999993E-3</v>
      </c>
      <c r="K455" s="44">
        <v>8.0000000000000002E-3</v>
      </c>
      <c r="L455" s="44">
        <v>0.88</v>
      </c>
    </row>
    <row r="456" spans="1:12" ht="14" hidden="1" customHeight="1" x14ac:dyDescent="0.15">
      <c r="A456" s="28"/>
      <c r="B456" s="41" t="s">
        <v>1211</v>
      </c>
      <c r="C456" s="41" t="s">
        <v>1212</v>
      </c>
      <c r="D456" s="42" t="s">
        <v>819</v>
      </c>
      <c r="E456" s="43">
        <v>0.6</v>
      </c>
      <c r="F456" s="43">
        <v>2.1</v>
      </c>
      <c r="G456" s="43">
        <v>1.5</v>
      </c>
      <c r="H456" s="44">
        <v>0.35</v>
      </c>
      <c r="I456" s="44">
        <v>0.113</v>
      </c>
      <c r="J456" s="44">
        <v>8.2000000000000003E-2</v>
      </c>
      <c r="K456" s="44">
        <v>6.0000000000000001E-3</v>
      </c>
      <c r="L456" s="44">
        <v>7.2999999999999995E-2</v>
      </c>
    </row>
    <row r="457" spans="1:12" ht="14" hidden="1" customHeight="1" x14ac:dyDescent="0.15">
      <c r="A457" s="28"/>
      <c r="B457" s="41" t="s">
        <v>1513</v>
      </c>
      <c r="C457" s="41" t="s">
        <v>1513</v>
      </c>
      <c r="D457" s="42" t="s">
        <v>1194</v>
      </c>
      <c r="E457" s="43">
        <v>6.7</v>
      </c>
      <c r="F457" s="43">
        <v>1</v>
      </c>
      <c r="G457" s="43">
        <v>0.9</v>
      </c>
      <c r="H457" s="44">
        <v>0.23100000000000001</v>
      </c>
      <c r="I457" s="44">
        <v>0.21099999999999999</v>
      </c>
      <c r="J457" s="44">
        <v>2.9000000000000001E-2</v>
      </c>
      <c r="K457" s="44">
        <v>5.0000000000000001E-3</v>
      </c>
      <c r="L457" s="44">
        <v>0.17799999999999999</v>
      </c>
    </row>
    <row r="458" spans="1:12" ht="14" hidden="1" customHeight="1" x14ac:dyDescent="0.15">
      <c r="A458" s="28"/>
      <c r="B458" s="41" t="s">
        <v>1213</v>
      </c>
      <c r="C458" s="41" t="s">
        <v>1214</v>
      </c>
      <c r="D458" s="42" t="s">
        <v>898</v>
      </c>
      <c r="E458" s="43">
        <v>0.5</v>
      </c>
      <c r="F458" s="43">
        <v>0.8</v>
      </c>
      <c r="G458" s="43">
        <v>0.7</v>
      </c>
      <c r="H458" s="44">
        <v>0.38700000000000001</v>
      </c>
      <c r="I458" s="44">
        <v>0.14899999999999999</v>
      </c>
      <c r="J458" s="44">
        <v>0.13600000000000001</v>
      </c>
      <c r="K458" s="44">
        <v>5.0000000000000001E-3</v>
      </c>
      <c r="L458" s="44">
        <v>3.6999999999999998E-2</v>
      </c>
    </row>
    <row r="459" spans="1:12" ht="14" hidden="1" customHeight="1" x14ac:dyDescent="0.15">
      <c r="A459" s="28"/>
      <c r="B459" s="41" t="s">
        <v>1215</v>
      </c>
      <c r="C459" s="41" t="s">
        <v>1216</v>
      </c>
      <c r="D459" s="42" t="s">
        <v>649</v>
      </c>
      <c r="E459" s="43">
        <v>0</v>
      </c>
      <c r="F459" s="43">
        <v>1.6</v>
      </c>
      <c r="G459" s="43">
        <v>1</v>
      </c>
      <c r="H459" s="44">
        <v>0.36699999999999999</v>
      </c>
      <c r="I459" s="44">
        <v>6.5000000000000002E-2</v>
      </c>
      <c r="J459" s="44">
        <v>-6.3E-2</v>
      </c>
      <c r="K459" s="44">
        <v>0</v>
      </c>
      <c r="L459" s="43" t="s">
        <v>1737</v>
      </c>
    </row>
    <row r="460" spans="1:12" ht="14" hidden="1" customHeight="1" x14ac:dyDescent="0.15">
      <c r="A460" s="28"/>
      <c r="B460" s="41" t="s">
        <v>1217</v>
      </c>
      <c r="C460" s="41" t="s">
        <v>1218</v>
      </c>
      <c r="D460" s="42" t="s">
        <v>851</v>
      </c>
      <c r="E460" s="43" t="s">
        <v>1737</v>
      </c>
      <c r="F460" s="43">
        <v>0.5</v>
      </c>
      <c r="G460" s="43">
        <v>0.4</v>
      </c>
      <c r="H460" s="44">
        <v>0.23599999999999999</v>
      </c>
      <c r="I460" s="44">
        <v>8.1000000000000003E-2</v>
      </c>
      <c r="J460" s="44">
        <v>3.6999999999999998E-2</v>
      </c>
      <c r="K460" s="44">
        <v>-0.01</v>
      </c>
      <c r="L460" s="44">
        <v>-0.27900000000000003</v>
      </c>
    </row>
    <row r="461" spans="1:12" ht="14" hidden="1" customHeight="1" x14ac:dyDescent="0.15">
      <c r="A461" s="28"/>
      <c r="B461" s="41" t="s">
        <v>1219</v>
      </c>
      <c r="C461" s="41" t="s">
        <v>1220</v>
      </c>
      <c r="D461" s="42" t="s">
        <v>622</v>
      </c>
      <c r="E461" s="43">
        <v>1.4</v>
      </c>
      <c r="F461" s="43">
        <v>1.4</v>
      </c>
      <c r="G461" s="43">
        <v>0.8</v>
      </c>
      <c r="H461" s="44">
        <v>0.20899999999999999</v>
      </c>
      <c r="I461" s="44">
        <v>0.11700000000000001</v>
      </c>
      <c r="J461" s="44">
        <v>3.3000000000000002E-2</v>
      </c>
      <c r="K461" s="44">
        <v>-1.0999999999999999E-2</v>
      </c>
      <c r="L461" s="44">
        <v>-0.34899999999999998</v>
      </c>
    </row>
    <row r="462" spans="1:12" ht="14" hidden="1" customHeight="1" x14ac:dyDescent="0.15">
      <c r="A462" s="28"/>
      <c r="B462" s="41" t="s">
        <v>1221</v>
      </c>
      <c r="C462" s="41" t="s">
        <v>1222</v>
      </c>
      <c r="D462" s="42" t="s">
        <v>780</v>
      </c>
      <c r="E462" s="43">
        <v>0.9</v>
      </c>
      <c r="F462" s="43">
        <v>0.7</v>
      </c>
      <c r="G462" s="43">
        <v>0.7</v>
      </c>
      <c r="H462" s="44">
        <v>0.58799999999999997</v>
      </c>
      <c r="I462" s="44">
        <v>0.127</v>
      </c>
      <c r="J462" s="44">
        <v>7.6999999999999999E-2</v>
      </c>
      <c r="K462" s="44">
        <v>-1.0999999999999999E-2</v>
      </c>
      <c r="L462" s="44">
        <v>-0.14599999999999999</v>
      </c>
    </row>
    <row r="463" spans="1:12" ht="14" hidden="1" customHeight="1" x14ac:dyDescent="0.15">
      <c r="A463" s="28"/>
      <c r="B463" s="41" t="s">
        <v>1224</v>
      </c>
      <c r="C463" s="41" t="s">
        <v>1225</v>
      </c>
      <c r="D463" s="42" t="s">
        <v>1019</v>
      </c>
      <c r="E463" s="43">
        <v>1.8</v>
      </c>
      <c r="F463" s="43">
        <v>1.2</v>
      </c>
      <c r="G463" s="43">
        <v>1.1000000000000001</v>
      </c>
      <c r="H463" s="44">
        <v>0.20200000000000001</v>
      </c>
      <c r="I463" s="44">
        <v>5.1999999999999998E-2</v>
      </c>
      <c r="J463" s="44">
        <v>-5.0000000000000001E-3</v>
      </c>
      <c r="K463" s="44">
        <v>-1.2E-2</v>
      </c>
      <c r="L463" s="43" t="s">
        <v>1737</v>
      </c>
    </row>
    <row r="464" spans="1:12" ht="14" hidden="1" customHeight="1" x14ac:dyDescent="0.15">
      <c r="A464" s="28"/>
      <c r="B464" s="41" t="s">
        <v>1226</v>
      </c>
      <c r="C464" s="41" t="s">
        <v>1227</v>
      </c>
      <c r="D464" s="42" t="s">
        <v>838</v>
      </c>
      <c r="E464" s="43">
        <v>2.7</v>
      </c>
      <c r="F464" s="43">
        <v>1.1000000000000001</v>
      </c>
      <c r="G464" s="43">
        <v>0.8</v>
      </c>
      <c r="H464" s="44">
        <v>0.29799999999999999</v>
      </c>
      <c r="I464" s="44">
        <v>6.4000000000000001E-2</v>
      </c>
      <c r="J464" s="44">
        <v>-0.56299999999999994</v>
      </c>
      <c r="K464" s="44">
        <v>-1.2999999999999999E-2</v>
      </c>
      <c r="L464" s="43" t="s">
        <v>1737</v>
      </c>
    </row>
    <row r="465" spans="1:12" ht="14" hidden="1" customHeight="1" x14ac:dyDescent="0.15">
      <c r="A465" s="28"/>
      <c r="B465" s="41" t="s">
        <v>1228</v>
      </c>
      <c r="C465" s="41" t="s">
        <v>1229</v>
      </c>
      <c r="D465" s="42" t="s">
        <v>1194</v>
      </c>
      <c r="E465" s="43">
        <v>3</v>
      </c>
      <c r="F465" s="43">
        <v>0.5</v>
      </c>
      <c r="G465" s="43">
        <v>0.4</v>
      </c>
      <c r="H465" s="44">
        <v>0.69</v>
      </c>
      <c r="I465" s="44">
        <v>0.16600000000000001</v>
      </c>
      <c r="J465" s="44">
        <v>8.2000000000000003E-2</v>
      </c>
      <c r="K465" s="44">
        <v>-1.4999999999999999E-2</v>
      </c>
      <c r="L465" s="44">
        <v>-0.184</v>
      </c>
    </row>
    <row r="466" spans="1:12" ht="14" hidden="1" customHeight="1" x14ac:dyDescent="0.15">
      <c r="A466" s="28"/>
      <c r="B466" s="41" t="s">
        <v>1230</v>
      </c>
      <c r="C466" s="41" t="s">
        <v>1231</v>
      </c>
      <c r="D466" s="42" t="s">
        <v>527</v>
      </c>
      <c r="E466" s="43">
        <v>1.5</v>
      </c>
      <c r="F466" s="43">
        <v>1.3</v>
      </c>
      <c r="G466" s="43">
        <v>1.3</v>
      </c>
      <c r="H466" s="44">
        <v>0.495</v>
      </c>
      <c r="I466" s="44">
        <v>0.21</v>
      </c>
      <c r="J466" s="44">
        <v>9.0999999999999998E-2</v>
      </c>
      <c r="K466" s="44">
        <v>-1.6E-2</v>
      </c>
      <c r="L466" s="44">
        <v>-0.17799999999999999</v>
      </c>
    </row>
    <row r="467" spans="1:12" ht="14" hidden="1" customHeight="1" x14ac:dyDescent="0.15">
      <c r="A467" s="28"/>
      <c r="B467" s="41" t="s">
        <v>1232</v>
      </c>
      <c r="C467" s="41" t="s">
        <v>1233</v>
      </c>
      <c r="D467" s="42" t="s">
        <v>1194</v>
      </c>
      <c r="E467" s="43">
        <v>1.2</v>
      </c>
      <c r="F467" s="43">
        <v>0.9</v>
      </c>
      <c r="G467" s="43">
        <v>0.7</v>
      </c>
      <c r="H467" s="44">
        <v>0.3</v>
      </c>
      <c r="I467" s="44">
        <v>0.126</v>
      </c>
      <c r="J467" s="44">
        <v>8.5000000000000006E-2</v>
      </c>
      <c r="K467" s="44">
        <v>-1.6E-2</v>
      </c>
      <c r="L467" s="44">
        <v>-0.191</v>
      </c>
    </row>
    <row r="468" spans="1:12" ht="14" hidden="1" customHeight="1" x14ac:dyDescent="0.15">
      <c r="A468" s="28"/>
      <c r="B468" s="41" t="s">
        <v>1234</v>
      </c>
      <c r="C468" s="41" t="s">
        <v>1235</v>
      </c>
      <c r="D468" s="42" t="s">
        <v>1236</v>
      </c>
      <c r="E468" s="43">
        <v>0.5</v>
      </c>
      <c r="F468" s="43" t="s">
        <v>1737</v>
      </c>
      <c r="G468" s="43" t="s">
        <v>1737</v>
      </c>
      <c r="H468" s="44">
        <v>0</v>
      </c>
      <c r="I468" s="44">
        <v>0</v>
      </c>
      <c r="J468" s="44">
        <v>6.7000000000000004E-2</v>
      </c>
      <c r="K468" s="44">
        <v>-1.7999999999999999E-2</v>
      </c>
      <c r="L468" s="44">
        <v>-0.26700000000000002</v>
      </c>
    </row>
    <row r="469" spans="1:12" ht="14" hidden="1" customHeight="1" x14ac:dyDescent="0.15">
      <c r="A469" s="28"/>
      <c r="B469" s="41" t="s">
        <v>1237</v>
      </c>
      <c r="C469" s="41" t="s">
        <v>1238</v>
      </c>
      <c r="D469" s="42" t="s">
        <v>649</v>
      </c>
      <c r="E469" s="43">
        <v>0.5</v>
      </c>
      <c r="F469" s="43">
        <v>1.4</v>
      </c>
      <c r="G469" s="43">
        <v>0.6</v>
      </c>
      <c r="H469" s="44">
        <v>0.1</v>
      </c>
      <c r="I469" s="44">
        <v>4.1000000000000002E-2</v>
      </c>
      <c r="J469" s="44">
        <v>-0.122</v>
      </c>
      <c r="K469" s="44">
        <v>-1.7999999999999999E-2</v>
      </c>
      <c r="L469" s="43" t="s">
        <v>1737</v>
      </c>
    </row>
    <row r="470" spans="1:12" ht="14" hidden="1" customHeight="1" x14ac:dyDescent="0.15">
      <c r="A470" s="28"/>
      <c r="B470" s="41" t="s">
        <v>1239</v>
      </c>
      <c r="C470" s="41" t="s">
        <v>1240</v>
      </c>
      <c r="D470" s="42" t="s">
        <v>1241</v>
      </c>
      <c r="E470" s="43">
        <v>4.2</v>
      </c>
      <c r="F470" s="43">
        <v>2.4</v>
      </c>
      <c r="G470" s="43">
        <v>0.5</v>
      </c>
      <c r="H470" s="44">
        <v>0.13500000000000001</v>
      </c>
      <c r="I470" s="44">
        <v>3.9E-2</v>
      </c>
      <c r="J470" s="44">
        <v>4.3999999999999997E-2</v>
      </c>
      <c r="K470" s="44">
        <v>-1.9E-2</v>
      </c>
      <c r="L470" s="44">
        <v>-0.441</v>
      </c>
    </row>
    <row r="471" spans="1:12" ht="14" hidden="1" customHeight="1" x14ac:dyDescent="0.15">
      <c r="A471" s="28"/>
      <c r="B471" s="41" t="s">
        <v>1943</v>
      </c>
      <c r="C471" s="41" t="s">
        <v>1944</v>
      </c>
      <c r="D471" s="42" t="s">
        <v>469</v>
      </c>
      <c r="E471" s="43">
        <v>2.5</v>
      </c>
      <c r="F471" s="43">
        <v>0.7</v>
      </c>
      <c r="G471" s="43">
        <v>0.7</v>
      </c>
      <c r="H471" s="44">
        <v>0.66</v>
      </c>
      <c r="I471" s="44">
        <v>0.17100000000000001</v>
      </c>
      <c r="J471" s="44">
        <v>0.51100000000000001</v>
      </c>
      <c r="K471" s="44">
        <v>-2.1000000000000001E-2</v>
      </c>
      <c r="L471" s="44">
        <v>-4.1000000000000002E-2</v>
      </c>
    </row>
    <row r="472" spans="1:12" ht="14" hidden="1" customHeight="1" x14ac:dyDescent="0.15">
      <c r="A472" s="28"/>
      <c r="B472" s="41" t="s">
        <v>1242</v>
      </c>
      <c r="C472" s="41" t="s">
        <v>1243</v>
      </c>
      <c r="D472" s="42" t="s">
        <v>609</v>
      </c>
      <c r="E472" s="43">
        <v>1.3</v>
      </c>
      <c r="F472" s="43">
        <v>0.9</v>
      </c>
      <c r="G472" s="43">
        <v>0.9</v>
      </c>
      <c r="H472" s="44">
        <v>0.56599999999999995</v>
      </c>
      <c r="I472" s="44">
        <v>-8.8999999999999996E-2</v>
      </c>
      <c r="J472" s="44">
        <v>-0.108</v>
      </c>
      <c r="K472" s="44">
        <v>-2.4E-2</v>
      </c>
      <c r="L472" s="43" t="s">
        <v>1737</v>
      </c>
    </row>
    <row r="473" spans="1:12" ht="14" hidden="1" customHeight="1" x14ac:dyDescent="0.15">
      <c r="A473" s="28"/>
      <c r="B473" s="41" t="s">
        <v>1244</v>
      </c>
      <c r="C473" s="41" t="s">
        <v>1245</v>
      </c>
      <c r="D473" s="42" t="s">
        <v>864</v>
      </c>
      <c r="E473" s="43">
        <v>6.1</v>
      </c>
      <c r="F473" s="43">
        <v>1.4</v>
      </c>
      <c r="G473" s="43">
        <v>1.3</v>
      </c>
      <c r="H473" s="44">
        <v>0.38500000000000001</v>
      </c>
      <c r="I473" s="44">
        <v>0.13600000000000001</v>
      </c>
      <c r="J473" s="44">
        <v>1.7999999999999999E-2</v>
      </c>
      <c r="K473" s="44">
        <v>-2.5000000000000001E-2</v>
      </c>
      <c r="L473" s="44">
        <v>-1.403</v>
      </c>
    </row>
    <row r="474" spans="1:12" ht="14" hidden="1" customHeight="1" x14ac:dyDescent="0.15">
      <c r="A474" s="28"/>
      <c r="B474" s="41" t="s">
        <v>1246</v>
      </c>
      <c r="C474" s="41" t="s">
        <v>1247</v>
      </c>
      <c r="D474" s="42" t="s">
        <v>736</v>
      </c>
      <c r="E474" s="43">
        <v>1.3</v>
      </c>
      <c r="F474" s="43">
        <v>0.7</v>
      </c>
      <c r="G474" s="43">
        <v>0.6</v>
      </c>
      <c r="H474" s="44">
        <v>0.53200000000000003</v>
      </c>
      <c r="I474" s="44">
        <v>0.21</v>
      </c>
      <c r="J474" s="44">
        <v>0.104</v>
      </c>
      <c r="K474" s="44">
        <v>-2.5999999999999999E-2</v>
      </c>
      <c r="L474" s="44">
        <v>-0.251</v>
      </c>
    </row>
    <row r="475" spans="1:12" ht="14" hidden="1" customHeight="1" x14ac:dyDescent="0.15">
      <c r="A475" s="28"/>
      <c r="B475" s="41" t="s">
        <v>1248</v>
      </c>
      <c r="C475" s="41" t="s">
        <v>1249</v>
      </c>
      <c r="D475" s="42" t="s">
        <v>736</v>
      </c>
      <c r="E475" s="43">
        <v>1.5</v>
      </c>
      <c r="F475" s="43">
        <v>0.8</v>
      </c>
      <c r="G475" s="43">
        <v>0.6</v>
      </c>
      <c r="H475" s="44">
        <v>0.26800000000000002</v>
      </c>
      <c r="I475" s="44">
        <v>0.13600000000000001</v>
      </c>
      <c r="J475" s="44">
        <v>9.1999999999999998E-2</v>
      </c>
      <c r="K475" s="44">
        <v>-2.8000000000000001E-2</v>
      </c>
      <c r="L475" s="44">
        <v>-0.30499999999999999</v>
      </c>
    </row>
    <row r="476" spans="1:12" ht="14" hidden="1" customHeight="1" x14ac:dyDescent="0.15">
      <c r="A476" s="28"/>
      <c r="B476" s="41" t="s">
        <v>1250</v>
      </c>
      <c r="C476" s="41" t="s">
        <v>1251</v>
      </c>
      <c r="D476" s="42" t="s">
        <v>1180</v>
      </c>
      <c r="E476" s="43">
        <v>0.3</v>
      </c>
      <c r="F476" s="43">
        <v>1.6</v>
      </c>
      <c r="G476" s="43">
        <v>1.5</v>
      </c>
      <c r="H476" s="44">
        <v>0.19600000000000001</v>
      </c>
      <c r="I476" s="44">
        <v>3.4000000000000002E-2</v>
      </c>
      <c r="J476" s="44">
        <v>7.5999999999999998E-2</v>
      </c>
      <c r="K476" s="44">
        <v>-3.3000000000000002E-2</v>
      </c>
      <c r="L476" s="44">
        <v>-0.43099999999999999</v>
      </c>
    </row>
    <row r="477" spans="1:12" ht="14" hidden="1" customHeight="1" x14ac:dyDescent="0.15">
      <c r="A477" s="28"/>
      <c r="B477" s="41" t="s">
        <v>1252</v>
      </c>
      <c r="C477" s="41" t="s">
        <v>1253</v>
      </c>
      <c r="D477" s="42" t="s">
        <v>933</v>
      </c>
      <c r="E477" s="43">
        <v>0.8</v>
      </c>
      <c r="F477" s="43">
        <v>1.6</v>
      </c>
      <c r="G477" s="43">
        <v>1</v>
      </c>
      <c r="H477" s="44">
        <v>0.35099999999999998</v>
      </c>
      <c r="I477" s="44">
        <v>0.186</v>
      </c>
      <c r="J477" s="44">
        <v>0.14799999999999999</v>
      </c>
      <c r="K477" s="44">
        <v>-3.5000000000000003E-2</v>
      </c>
      <c r="L477" s="44">
        <v>-0.23799999999999999</v>
      </c>
    </row>
    <row r="478" spans="1:12" ht="14" hidden="1" customHeight="1" x14ac:dyDescent="0.15">
      <c r="A478" s="28"/>
      <c r="B478" s="41" t="s">
        <v>1254</v>
      </c>
      <c r="C478" s="41" t="s">
        <v>1255</v>
      </c>
      <c r="D478" s="42" t="s">
        <v>755</v>
      </c>
      <c r="E478" s="43">
        <v>0.4</v>
      </c>
      <c r="F478" s="43">
        <v>1.2</v>
      </c>
      <c r="G478" s="43">
        <v>0.7</v>
      </c>
      <c r="H478" s="44">
        <v>0.29699999999999999</v>
      </c>
      <c r="I478" s="44">
        <v>0.121</v>
      </c>
      <c r="J478" s="44">
        <v>1.4E-2</v>
      </c>
      <c r="K478" s="44">
        <v>-3.5000000000000003E-2</v>
      </c>
      <c r="L478" s="44">
        <v>-2.569</v>
      </c>
    </row>
    <row r="479" spans="1:12" ht="14" hidden="1" customHeight="1" x14ac:dyDescent="0.15">
      <c r="A479" s="28"/>
      <c r="B479" s="41" t="s">
        <v>1256</v>
      </c>
      <c r="C479" s="41" t="s">
        <v>1257</v>
      </c>
      <c r="D479" s="42" t="s">
        <v>1258</v>
      </c>
      <c r="E479" s="43">
        <v>1.6</v>
      </c>
      <c r="F479" s="43">
        <v>0.5</v>
      </c>
      <c r="G479" s="43">
        <v>0.4</v>
      </c>
      <c r="H479" s="44">
        <v>0.44700000000000001</v>
      </c>
      <c r="I479" s="44">
        <v>0.251</v>
      </c>
      <c r="J479" s="44">
        <v>7.2999999999999995E-2</v>
      </c>
      <c r="K479" s="44">
        <v>-4.2999999999999997E-2</v>
      </c>
      <c r="L479" s="44">
        <v>-0.59199999999999997</v>
      </c>
    </row>
    <row r="480" spans="1:12" ht="14" hidden="1" customHeight="1" x14ac:dyDescent="0.15">
      <c r="A480" s="28"/>
      <c r="B480" s="41" t="s">
        <v>1259</v>
      </c>
      <c r="C480" s="41" t="s">
        <v>1260</v>
      </c>
      <c r="D480" s="42" t="s">
        <v>736</v>
      </c>
      <c r="E480" s="43">
        <v>1.2</v>
      </c>
      <c r="F480" s="43">
        <v>0.6</v>
      </c>
      <c r="G480" s="43">
        <v>0.4</v>
      </c>
      <c r="H480" s="44">
        <v>0.46500000000000002</v>
      </c>
      <c r="I480" s="44">
        <v>0.215</v>
      </c>
      <c r="J480" s="44">
        <v>0.14000000000000001</v>
      </c>
      <c r="K480" s="44">
        <v>-4.4999999999999998E-2</v>
      </c>
      <c r="L480" s="44">
        <v>-0.32200000000000001</v>
      </c>
    </row>
    <row r="481" spans="1:12" ht="14" hidden="1" customHeight="1" x14ac:dyDescent="0.15">
      <c r="A481" s="28"/>
      <c r="B481" s="41" t="s">
        <v>1261</v>
      </c>
      <c r="C481" s="41" t="s">
        <v>1262</v>
      </c>
      <c r="D481" s="42" t="s">
        <v>498</v>
      </c>
      <c r="E481" s="43">
        <v>0.1</v>
      </c>
      <c r="F481" s="43">
        <v>5.3</v>
      </c>
      <c r="G481" s="43">
        <v>5.3</v>
      </c>
      <c r="H481" s="44">
        <v>0.40500000000000003</v>
      </c>
      <c r="I481" s="44">
        <v>0.26600000000000001</v>
      </c>
      <c r="J481" s="44">
        <v>0.22</v>
      </c>
      <c r="K481" s="44">
        <v>-4.5999999999999999E-2</v>
      </c>
      <c r="L481" s="44">
        <v>-0.20799999999999999</v>
      </c>
    </row>
    <row r="482" spans="1:12" ht="14" hidden="1" customHeight="1" x14ac:dyDescent="0.15">
      <c r="A482" s="28"/>
      <c r="B482" s="41" t="s">
        <v>1263</v>
      </c>
      <c r="C482" s="41" t="s">
        <v>1264</v>
      </c>
      <c r="D482" s="42" t="s">
        <v>1194</v>
      </c>
      <c r="E482" s="43">
        <v>1.3</v>
      </c>
      <c r="F482" s="43">
        <v>0.4</v>
      </c>
      <c r="G482" s="43">
        <v>0.3</v>
      </c>
      <c r="H482" s="44">
        <v>0.434</v>
      </c>
      <c r="I482" s="44">
        <v>0.24299999999999999</v>
      </c>
      <c r="J482" s="44">
        <v>0.20300000000000001</v>
      </c>
      <c r="K482" s="44">
        <v>-5.8999999999999997E-2</v>
      </c>
      <c r="L482" s="44">
        <v>-0.28799999999999998</v>
      </c>
    </row>
    <row r="483" spans="1:12" ht="14" hidden="1" customHeight="1" x14ac:dyDescent="0.15">
      <c r="A483" s="28"/>
      <c r="B483" s="41" t="s">
        <v>1265</v>
      </c>
      <c r="C483" s="41" t="s">
        <v>1266</v>
      </c>
      <c r="D483" s="42" t="s">
        <v>741</v>
      </c>
      <c r="E483" s="43" t="s">
        <v>1737</v>
      </c>
      <c r="F483" s="43">
        <v>1.1000000000000001</v>
      </c>
      <c r="G483" s="43">
        <v>0.3</v>
      </c>
      <c r="H483" s="44">
        <v>5.7000000000000002E-2</v>
      </c>
      <c r="I483" s="44">
        <v>-3.5999999999999997E-2</v>
      </c>
      <c r="J483" s="44">
        <v>-0.01</v>
      </c>
      <c r="K483" s="44">
        <v>-0.06</v>
      </c>
      <c r="L483" s="43" t="s">
        <v>1737</v>
      </c>
    </row>
    <row r="484" spans="1:12" ht="14" hidden="1" customHeight="1" x14ac:dyDescent="0.15">
      <c r="A484" s="28"/>
      <c r="B484" s="41" t="s">
        <v>1267</v>
      </c>
      <c r="C484" s="41" t="s">
        <v>1268</v>
      </c>
      <c r="D484" s="42" t="s">
        <v>1083</v>
      </c>
      <c r="E484" s="43">
        <v>2.5</v>
      </c>
      <c r="F484" s="43">
        <v>0.9</v>
      </c>
      <c r="G484" s="43">
        <v>0.8</v>
      </c>
      <c r="H484" s="44">
        <v>0.10199999999999999</v>
      </c>
      <c r="I484" s="44">
        <v>0.04</v>
      </c>
      <c r="J484" s="44">
        <v>4.9000000000000002E-2</v>
      </c>
      <c r="K484" s="44">
        <v>-6.4000000000000001E-2</v>
      </c>
      <c r="L484" s="44">
        <v>-1.3129999999999999</v>
      </c>
    </row>
    <row r="485" spans="1:12" ht="14" hidden="1" customHeight="1" x14ac:dyDescent="0.15">
      <c r="A485" s="28"/>
      <c r="B485" s="41" t="s">
        <v>1269</v>
      </c>
      <c r="C485" s="41" t="s">
        <v>1270</v>
      </c>
      <c r="D485" s="42" t="s">
        <v>498</v>
      </c>
      <c r="E485" s="43">
        <v>0.8</v>
      </c>
      <c r="F485" s="43" t="s">
        <v>1737</v>
      </c>
      <c r="G485" s="43" t="s">
        <v>1737</v>
      </c>
      <c r="H485" s="44">
        <v>0</v>
      </c>
      <c r="I485" s="44">
        <v>0.34399999999999997</v>
      </c>
      <c r="J485" s="44">
        <v>0.27700000000000002</v>
      </c>
      <c r="K485" s="44">
        <v>-6.7000000000000004E-2</v>
      </c>
      <c r="L485" s="44">
        <v>-0.24099999999999999</v>
      </c>
    </row>
    <row r="486" spans="1:12" ht="14" hidden="1" customHeight="1" x14ac:dyDescent="0.15">
      <c r="A486" s="28"/>
      <c r="B486" s="41" t="s">
        <v>1271</v>
      </c>
      <c r="C486" s="41" t="s">
        <v>1272</v>
      </c>
      <c r="D486" s="42" t="s">
        <v>736</v>
      </c>
      <c r="E486" s="43">
        <v>2.6</v>
      </c>
      <c r="F486" s="43">
        <v>0.9</v>
      </c>
      <c r="G486" s="43">
        <v>0.6</v>
      </c>
      <c r="H486" s="44">
        <v>0.375</v>
      </c>
      <c r="I486" s="44">
        <v>0.18099999999999999</v>
      </c>
      <c r="J486" s="44">
        <v>9.9000000000000005E-2</v>
      </c>
      <c r="K486" s="44">
        <v>-6.7000000000000004E-2</v>
      </c>
      <c r="L486" s="44">
        <v>-0.67200000000000004</v>
      </c>
    </row>
    <row r="487" spans="1:12" ht="14" hidden="1" customHeight="1" x14ac:dyDescent="0.15">
      <c r="A487" s="28"/>
      <c r="B487" s="41" t="s">
        <v>1273</v>
      </c>
      <c r="C487" s="41" t="s">
        <v>1274</v>
      </c>
      <c r="D487" s="42" t="s">
        <v>736</v>
      </c>
      <c r="E487" s="43">
        <v>1.1000000000000001</v>
      </c>
      <c r="F487" s="43">
        <v>0.5</v>
      </c>
      <c r="G487" s="43">
        <v>0.3</v>
      </c>
      <c r="H487" s="44">
        <v>0.42899999999999999</v>
      </c>
      <c r="I487" s="44">
        <v>0.19500000000000001</v>
      </c>
      <c r="J487" s="44">
        <v>0.156</v>
      </c>
      <c r="K487" s="44">
        <v>-6.7000000000000004E-2</v>
      </c>
      <c r="L487" s="44">
        <v>-0.43</v>
      </c>
    </row>
    <row r="488" spans="1:12" ht="14" hidden="1" customHeight="1" x14ac:dyDescent="0.15">
      <c r="A488" s="28"/>
      <c r="B488" s="41" t="s">
        <v>1275</v>
      </c>
      <c r="C488" s="41" t="s">
        <v>1276</v>
      </c>
      <c r="D488" s="42" t="s">
        <v>1258</v>
      </c>
      <c r="E488" s="43">
        <v>1.8</v>
      </c>
      <c r="F488" s="43">
        <v>1</v>
      </c>
      <c r="G488" s="43">
        <v>0.8</v>
      </c>
      <c r="H488" s="44">
        <v>0.248</v>
      </c>
      <c r="I488" s="44">
        <v>0.104</v>
      </c>
      <c r="J488" s="44">
        <v>6.5000000000000002E-2</v>
      </c>
      <c r="K488" s="44">
        <v>-7.0000000000000007E-2</v>
      </c>
      <c r="L488" s="44">
        <v>-1.093</v>
      </c>
    </row>
    <row r="489" spans="1:12" ht="14" hidden="1" customHeight="1" x14ac:dyDescent="0.15">
      <c r="A489" s="28"/>
      <c r="B489" s="41" t="s">
        <v>1277</v>
      </c>
      <c r="C489" s="41" t="s">
        <v>1278</v>
      </c>
      <c r="D489" s="42" t="s">
        <v>1279</v>
      </c>
      <c r="E489" s="43">
        <v>1.1000000000000001</v>
      </c>
      <c r="F489" s="43">
        <v>2.5</v>
      </c>
      <c r="G489" s="43">
        <v>1.2</v>
      </c>
      <c r="H489" s="44">
        <v>0.09</v>
      </c>
      <c r="I489" s="44">
        <v>4.7E-2</v>
      </c>
      <c r="J489" s="44">
        <v>-1.7000000000000001E-2</v>
      </c>
      <c r="K489" s="44">
        <v>-8.2000000000000003E-2</v>
      </c>
      <c r="L489" s="43" t="s">
        <v>1737</v>
      </c>
    </row>
    <row r="490" spans="1:12" ht="14" hidden="1" customHeight="1" x14ac:dyDescent="0.15">
      <c r="A490" s="28"/>
      <c r="B490" s="41" t="s">
        <v>1280</v>
      </c>
      <c r="C490" s="41" t="s">
        <v>1281</v>
      </c>
      <c r="D490" s="42" t="s">
        <v>736</v>
      </c>
      <c r="E490" s="43">
        <v>1.8</v>
      </c>
      <c r="F490" s="43">
        <v>0.8</v>
      </c>
      <c r="G490" s="43">
        <v>0.6</v>
      </c>
      <c r="H490" s="44">
        <v>0.44800000000000001</v>
      </c>
      <c r="I490" s="44">
        <v>0.248</v>
      </c>
      <c r="J490" s="44">
        <v>0.22</v>
      </c>
      <c r="K490" s="44">
        <v>-8.2000000000000003E-2</v>
      </c>
      <c r="L490" s="44">
        <v>-0.372</v>
      </c>
    </row>
    <row r="491" spans="1:12" ht="14" hidden="1" customHeight="1" x14ac:dyDescent="0.15">
      <c r="A491" s="28"/>
      <c r="B491" s="41" t="s">
        <v>1282</v>
      </c>
      <c r="C491" s="41" t="s">
        <v>1282</v>
      </c>
      <c r="D491" s="42" t="s">
        <v>736</v>
      </c>
      <c r="E491" s="43">
        <v>1.8</v>
      </c>
      <c r="F491" s="43">
        <v>0.6</v>
      </c>
      <c r="G491" s="43">
        <v>0.5</v>
      </c>
      <c r="H491" s="44">
        <v>0.56000000000000005</v>
      </c>
      <c r="I491" s="44">
        <v>0.36499999999999999</v>
      </c>
      <c r="J491" s="44">
        <v>0.22500000000000001</v>
      </c>
      <c r="K491" s="44">
        <v>-8.4000000000000005E-2</v>
      </c>
      <c r="L491" s="44">
        <v>-0.374</v>
      </c>
    </row>
    <row r="492" spans="1:12" ht="14" hidden="1" customHeight="1" x14ac:dyDescent="0.15">
      <c r="A492" s="28"/>
      <c r="B492" s="41" t="s">
        <v>1283</v>
      </c>
      <c r="C492" s="41" t="s">
        <v>1284</v>
      </c>
      <c r="D492" s="42" t="s">
        <v>736</v>
      </c>
      <c r="E492" s="43">
        <v>1.5</v>
      </c>
      <c r="F492" s="43">
        <v>0.7</v>
      </c>
      <c r="G492" s="43">
        <v>0.6</v>
      </c>
      <c r="H492" s="44">
        <v>0.41</v>
      </c>
      <c r="I492" s="44">
        <v>0.183</v>
      </c>
      <c r="J492" s="44">
        <v>0.11899999999999999</v>
      </c>
      <c r="K492" s="44">
        <v>-8.4000000000000005E-2</v>
      </c>
      <c r="L492" s="44">
        <v>-0.70699999999999996</v>
      </c>
    </row>
    <row r="493" spans="1:12" ht="14" hidden="1" customHeight="1" x14ac:dyDescent="0.15">
      <c r="A493" s="28"/>
      <c r="B493" s="41" t="s">
        <v>1945</v>
      </c>
      <c r="C493" s="41" t="s">
        <v>1946</v>
      </c>
      <c r="D493" s="42" t="s">
        <v>838</v>
      </c>
      <c r="E493" s="43">
        <v>0.2</v>
      </c>
      <c r="F493" s="43">
        <v>0.9</v>
      </c>
      <c r="G493" s="43">
        <v>0.9</v>
      </c>
      <c r="H493" s="44">
        <v>0.34</v>
      </c>
      <c r="I493" s="44">
        <v>0.19900000000000001</v>
      </c>
      <c r="J493" s="44">
        <v>-0.14799999999999999</v>
      </c>
      <c r="K493" s="44">
        <v>-8.5999999999999993E-2</v>
      </c>
      <c r="L493" s="43" t="s">
        <v>1737</v>
      </c>
    </row>
    <row r="494" spans="1:12" ht="14" hidden="1" customHeight="1" x14ac:dyDescent="0.15">
      <c r="A494" s="28"/>
      <c r="B494" s="41" t="s">
        <v>1285</v>
      </c>
      <c r="C494" s="41" t="s">
        <v>1286</v>
      </c>
      <c r="D494" s="42" t="s">
        <v>1161</v>
      </c>
      <c r="E494" s="43">
        <v>0.5</v>
      </c>
      <c r="F494" s="43">
        <v>1.6</v>
      </c>
      <c r="G494" s="43">
        <v>0.9</v>
      </c>
      <c r="H494" s="44">
        <v>6.4000000000000001E-2</v>
      </c>
      <c r="I494" s="44">
        <v>2.5999999999999999E-2</v>
      </c>
      <c r="J494" s="44">
        <v>2.1000000000000001E-2</v>
      </c>
      <c r="K494" s="44">
        <v>-9.7000000000000003E-2</v>
      </c>
      <c r="L494" s="44">
        <v>-4.516</v>
      </c>
    </row>
    <row r="495" spans="1:12" ht="14" hidden="1" customHeight="1" x14ac:dyDescent="0.15">
      <c r="A495" s="28"/>
      <c r="B495" s="41" t="s">
        <v>1287</v>
      </c>
      <c r="C495" s="41" t="s">
        <v>1288</v>
      </c>
      <c r="D495" s="42" t="s">
        <v>1289</v>
      </c>
      <c r="E495" s="43">
        <v>1.6</v>
      </c>
      <c r="F495" s="43">
        <v>0.6</v>
      </c>
      <c r="G495" s="43">
        <v>0.6</v>
      </c>
      <c r="H495" s="44">
        <v>0.57299999999999995</v>
      </c>
      <c r="I495" s="44">
        <v>0.33400000000000002</v>
      </c>
      <c r="J495" s="44">
        <v>0.17199999999999999</v>
      </c>
      <c r="K495" s="44">
        <v>-0.10299999999999999</v>
      </c>
      <c r="L495" s="44">
        <v>-0.59599999999999997</v>
      </c>
    </row>
    <row r="496" spans="1:12" ht="14" hidden="1" customHeight="1" x14ac:dyDescent="0.15">
      <c r="A496" s="28"/>
      <c r="B496" s="41" t="s">
        <v>1290</v>
      </c>
      <c r="C496" s="41" t="s">
        <v>1291</v>
      </c>
      <c r="D496" s="42" t="s">
        <v>736</v>
      </c>
      <c r="E496" s="43">
        <v>1.2</v>
      </c>
      <c r="F496" s="43">
        <v>0.7</v>
      </c>
      <c r="G496" s="43">
        <v>0.6</v>
      </c>
      <c r="H496" s="44">
        <v>0.48399999999999999</v>
      </c>
      <c r="I496" s="44">
        <v>0.215</v>
      </c>
      <c r="J496" s="44">
        <v>0.106</v>
      </c>
      <c r="K496" s="44">
        <v>-0.106</v>
      </c>
      <c r="L496" s="44">
        <v>-0.995</v>
      </c>
    </row>
    <row r="497" spans="1:12" ht="14" hidden="1" customHeight="1" x14ac:dyDescent="0.15">
      <c r="A497" s="28"/>
      <c r="B497" s="41" t="s">
        <v>1292</v>
      </c>
      <c r="C497" s="41" t="s">
        <v>1293</v>
      </c>
      <c r="D497" s="42" t="s">
        <v>736</v>
      </c>
      <c r="E497" s="43">
        <v>1.3</v>
      </c>
      <c r="F497" s="43">
        <v>0.6</v>
      </c>
      <c r="G497" s="43">
        <v>0.4</v>
      </c>
      <c r="H497" s="44">
        <v>0.46100000000000002</v>
      </c>
      <c r="I497" s="44">
        <v>0.22800000000000001</v>
      </c>
      <c r="J497" s="44">
        <v>0.15</v>
      </c>
      <c r="K497" s="44">
        <v>-0.115</v>
      </c>
      <c r="L497" s="44">
        <v>-0.77</v>
      </c>
    </row>
    <row r="498" spans="1:12" ht="14" hidden="1" customHeight="1" x14ac:dyDescent="0.15">
      <c r="A498" s="28"/>
      <c r="B498" s="41" t="s">
        <v>1947</v>
      </c>
      <c r="C498" s="41" t="s">
        <v>1948</v>
      </c>
      <c r="D498" s="42" t="s">
        <v>838</v>
      </c>
      <c r="E498" s="43">
        <v>0.9</v>
      </c>
      <c r="F498" s="43">
        <v>0.7</v>
      </c>
      <c r="G498" s="43">
        <v>0.7</v>
      </c>
      <c r="H498" s="44">
        <v>0.14899999999999999</v>
      </c>
      <c r="I498" s="44">
        <v>-0.02</v>
      </c>
      <c r="J498" s="44">
        <v>-0.34200000000000003</v>
      </c>
      <c r="K498" s="44">
        <v>-0.11799999999999999</v>
      </c>
      <c r="L498" s="43" t="s">
        <v>1737</v>
      </c>
    </row>
    <row r="499" spans="1:12" ht="14" hidden="1" customHeight="1" x14ac:dyDescent="0.15">
      <c r="A499" s="28"/>
      <c r="B499" s="41" t="s">
        <v>1294</v>
      </c>
      <c r="C499" s="41" t="s">
        <v>1295</v>
      </c>
      <c r="D499" s="42" t="s">
        <v>736</v>
      </c>
      <c r="E499" s="43">
        <v>1.6</v>
      </c>
      <c r="F499" s="43">
        <v>0.4</v>
      </c>
      <c r="G499" s="43">
        <v>0.3</v>
      </c>
      <c r="H499" s="44">
        <v>0.41799999999999998</v>
      </c>
      <c r="I499" s="44">
        <v>0.17599999999999999</v>
      </c>
      <c r="J499" s="44">
        <v>0.123</v>
      </c>
      <c r="K499" s="44">
        <v>-0.11899999999999999</v>
      </c>
      <c r="L499" s="44">
        <v>-0.97</v>
      </c>
    </row>
    <row r="500" spans="1:12" ht="14" hidden="1" customHeight="1" x14ac:dyDescent="0.15">
      <c r="A500" s="28"/>
      <c r="B500" s="41" t="s">
        <v>1296</v>
      </c>
      <c r="C500" s="41" t="s">
        <v>1297</v>
      </c>
      <c r="D500" s="42" t="s">
        <v>736</v>
      </c>
      <c r="E500" s="43">
        <v>1.2</v>
      </c>
      <c r="F500" s="43">
        <v>0.5</v>
      </c>
      <c r="G500" s="43">
        <v>0.4</v>
      </c>
      <c r="H500" s="44">
        <v>0.58299999999999996</v>
      </c>
      <c r="I500" s="44">
        <v>0.26400000000000001</v>
      </c>
      <c r="J500" s="44">
        <v>0.19700000000000001</v>
      </c>
      <c r="K500" s="44">
        <v>-0.14399999999999999</v>
      </c>
      <c r="L500" s="44">
        <v>-0.73099999999999998</v>
      </c>
    </row>
    <row r="501" spans="1:12" ht="14" hidden="1" customHeight="1" x14ac:dyDescent="0.15">
      <c r="A501" s="28"/>
      <c r="B501" s="41" t="s">
        <v>1949</v>
      </c>
      <c r="C501" s="41" t="s">
        <v>1950</v>
      </c>
      <c r="D501" s="42" t="s">
        <v>579</v>
      </c>
      <c r="E501" s="43">
        <v>0.3</v>
      </c>
      <c r="F501" s="43" t="s">
        <v>1737</v>
      </c>
      <c r="G501" s="43" t="s">
        <v>1737</v>
      </c>
      <c r="H501" s="44">
        <v>0</v>
      </c>
      <c r="I501" s="44">
        <v>0</v>
      </c>
      <c r="J501" s="44">
        <v>5.0999999999999997E-2</v>
      </c>
      <c r="K501" s="44">
        <v>-0.154</v>
      </c>
      <c r="L501" s="44">
        <v>-3.0030000000000001</v>
      </c>
    </row>
    <row r="502" spans="1:12" ht="14" hidden="1" customHeight="1" x14ac:dyDescent="0.15">
      <c r="A502" s="28"/>
      <c r="B502" s="41" t="s">
        <v>1298</v>
      </c>
      <c r="C502" s="41" t="s">
        <v>1299</v>
      </c>
      <c r="D502" s="42" t="s">
        <v>898</v>
      </c>
      <c r="E502" s="43">
        <v>2</v>
      </c>
      <c r="F502" s="43">
        <v>0.9</v>
      </c>
      <c r="G502" s="43">
        <v>0.9</v>
      </c>
      <c r="H502" s="44">
        <v>0.38300000000000001</v>
      </c>
      <c r="I502" s="44">
        <v>0.13</v>
      </c>
      <c r="J502" s="44">
        <v>9.2999999999999999E-2</v>
      </c>
      <c r="K502" s="44">
        <v>-0.156</v>
      </c>
      <c r="L502" s="44">
        <v>-1.6850000000000001</v>
      </c>
    </row>
    <row r="503" spans="1:12" ht="14" hidden="1" customHeight="1" x14ac:dyDescent="0.15">
      <c r="A503" s="28"/>
      <c r="B503" s="41" t="s">
        <v>1300</v>
      </c>
      <c r="C503" s="41" t="s">
        <v>1301</v>
      </c>
      <c r="D503" s="42" t="s">
        <v>1194</v>
      </c>
      <c r="E503" s="43">
        <v>1.9</v>
      </c>
      <c r="F503" s="43">
        <v>0.5</v>
      </c>
      <c r="G503" s="43">
        <v>0.4</v>
      </c>
      <c r="H503" s="44">
        <v>0.38400000000000001</v>
      </c>
      <c r="I503" s="44">
        <v>0.155</v>
      </c>
      <c r="J503" s="44">
        <v>0.11600000000000001</v>
      </c>
      <c r="K503" s="44">
        <v>-0.16700000000000001</v>
      </c>
      <c r="L503" s="44">
        <v>-1.4379999999999999</v>
      </c>
    </row>
    <row r="504" spans="1:12" ht="14" hidden="1" customHeight="1" x14ac:dyDescent="0.15">
      <c r="A504" s="28"/>
      <c r="B504" s="41" t="s">
        <v>1951</v>
      </c>
      <c r="C504" s="41" t="s">
        <v>1952</v>
      </c>
      <c r="D504" s="42" t="s">
        <v>838</v>
      </c>
      <c r="E504" s="43">
        <v>0.9</v>
      </c>
      <c r="F504" s="43">
        <v>1.3</v>
      </c>
      <c r="G504" s="43">
        <v>1.1000000000000001</v>
      </c>
      <c r="H504" s="44">
        <v>0.187</v>
      </c>
      <c r="I504" s="44">
        <v>0.09</v>
      </c>
      <c r="J504" s="44">
        <v>-6.4000000000000001E-2</v>
      </c>
      <c r="K504" s="44">
        <v>-0.182</v>
      </c>
      <c r="L504" s="43" t="s">
        <v>1737</v>
      </c>
    </row>
    <row r="505" spans="1:12" ht="14" hidden="1" customHeight="1" x14ac:dyDescent="0.15">
      <c r="A505" s="28"/>
      <c r="B505" s="41" t="s">
        <v>1302</v>
      </c>
      <c r="C505" s="41" t="s">
        <v>1303</v>
      </c>
      <c r="D505" s="42" t="s">
        <v>711</v>
      </c>
      <c r="E505" s="43">
        <v>2.1</v>
      </c>
      <c r="F505" s="43">
        <v>0.7</v>
      </c>
      <c r="G505" s="43">
        <v>0.4</v>
      </c>
      <c r="H505" s="44">
        <v>0.28599999999999998</v>
      </c>
      <c r="I505" s="44">
        <v>0.189</v>
      </c>
      <c r="J505" s="44">
        <v>0.126</v>
      </c>
      <c r="K505" s="44">
        <v>-0.187</v>
      </c>
      <c r="L505" s="44">
        <v>-1.486</v>
      </c>
    </row>
    <row r="506" spans="1:12" ht="14" hidden="1" customHeight="1" x14ac:dyDescent="0.15">
      <c r="A506" s="28"/>
      <c r="B506" s="41" t="s">
        <v>1304</v>
      </c>
      <c r="C506" s="41" t="s">
        <v>1305</v>
      </c>
      <c r="D506" s="42" t="s">
        <v>454</v>
      </c>
      <c r="E506" s="43">
        <v>1.5</v>
      </c>
      <c r="F506" s="43" t="s">
        <v>1737</v>
      </c>
      <c r="G506" s="43" t="s">
        <v>1737</v>
      </c>
      <c r="H506" s="44">
        <v>0</v>
      </c>
      <c r="I506" s="44">
        <v>0.435</v>
      </c>
      <c r="J506" s="44">
        <v>0.26100000000000001</v>
      </c>
      <c r="K506" s="44">
        <v>-0.224</v>
      </c>
      <c r="L506" s="44">
        <v>-0.85899999999999999</v>
      </c>
    </row>
    <row r="507" spans="1:12" ht="14" hidden="1" customHeight="1" x14ac:dyDescent="0.15">
      <c r="A507" s="28"/>
      <c r="B507" s="41" t="s">
        <v>1307</v>
      </c>
      <c r="C507" s="41" t="s">
        <v>1308</v>
      </c>
      <c r="D507" s="42" t="s">
        <v>838</v>
      </c>
      <c r="E507" s="43">
        <v>0.4</v>
      </c>
      <c r="F507" s="43">
        <v>0.7</v>
      </c>
      <c r="G507" s="43">
        <v>0.7</v>
      </c>
      <c r="H507" s="44">
        <v>0.42599999999999999</v>
      </c>
      <c r="I507" s="44">
        <v>0.375</v>
      </c>
      <c r="J507" s="44">
        <v>6.0999999999999999E-2</v>
      </c>
      <c r="K507" s="44">
        <v>-0.24199999999999999</v>
      </c>
      <c r="L507" s="44">
        <v>-3.9649999999999999</v>
      </c>
    </row>
    <row r="508" spans="1:12" ht="14" hidden="1" customHeight="1" x14ac:dyDescent="0.15">
      <c r="A508" s="28"/>
      <c r="B508" s="41" t="s">
        <v>1309</v>
      </c>
      <c r="C508" s="41" t="s">
        <v>1310</v>
      </c>
      <c r="D508" s="42" t="s">
        <v>1258</v>
      </c>
      <c r="E508" s="43">
        <v>0.7</v>
      </c>
      <c r="F508" s="43">
        <v>1</v>
      </c>
      <c r="G508" s="43">
        <v>0.8</v>
      </c>
      <c r="H508" s="44">
        <v>0.72199999999999998</v>
      </c>
      <c r="I508" s="44">
        <v>0.26300000000000001</v>
      </c>
      <c r="J508" s="44">
        <v>0.183</v>
      </c>
      <c r="K508" s="44">
        <v>-0.29099999999999998</v>
      </c>
      <c r="L508" s="44">
        <v>-1.589</v>
      </c>
    </row>
    <row r="509" spans="1:12" ht="14" hidden="1" customHeight="1" x14ac:dyDescent="0.15">
      <c r="A509" s="28"/>
      <c r="B509" s="45" t="s">
        <v>1311</v>
      </c>
      <c r="C509" s="45" t="s">
        <v>1312</v>
      </c>
      <c r="D509" s="46" t="s">
        <v>736</v>
      </c>
      <c r="E509" s="47">
        <v>1.5</v>
      </c>
      <c r="F509" s="47">
        <v>0.6</v>
      </c>
      <c r="G509" s="47">
        <v>0.6</v>
      </c>
      <c r="H509" s="48">
        <v>0.36399999999999999</v>
      </c>
      <c r="I509" s="48">
        <v>0.192</v>
      </c>
      <c r="J509" s="48">
        <v>0.114</v>
      </c>
      <c r="K509" s="48">
        <v>-0.42099999999999999</v>
      </c>
      <c r="L509" s="48">
        <v>-3.698</v>
      </c>
    </row>
    <row r="510" spans="1:12" ht="13" customHeight="1" x14ac:dyDescent="0.15">
      <c r="B510" s="32"/>
      <c r="C510" s="32"/>
      <c r="D510" s="33"/>
      <c r="E510" s="34"/>
      <c r="F510" s="34"/>
      <c r="G510" s="34"/>
      <c r="H510" s="34"/>
      <c r="I510" s="34"/>
      <c r="J510" s="34"/>
      <c r="K510" s="34"/>
      <c r="L510" s="34"/>
    </row>
    <row r="511" spans="1:12" ht="13" customHeight="1" x14ac:dyDescent="0.15">
      <c r="B511" s="32"/>
      <c r="C511" s="32"/>
      <c r="D511" s="33"/>
      <c r="E511" s="34"/>
      <c r="F511" s="34"/>
      <c r="G511" s="34"/>
      <c r="H511" s="34"/>
      <c r="I511" s="34"/>
      <c r="J511" s="34"/>
      <c r="K511" s="34"/>
      <c r="L511" s="34"/>
    </row>
    <row r="512" spans="1:12" ht="13" customHeight="1" x14ac:dyDescent="0.15">
      <c r="B512" s="32"/>
      <c r="C512" s="32"/>
      <c r="D512" s="33"/>
      <c r="E512" s="34"/>
      <c r="F512" s="34"/>
      <c r="G512" s="34"/>
      <c r="H512" s="34"/>
      <c r="I512" s="34"/>
      <c r="J512" s="34"/>
      <c r="K512" s="34"/>
      <c r="L512" s="34"/>
    </row>
    <row r="513" spans="2:12" ht="13" customHeight="1" x14ac:dyDescent="0.15">
      <c r="B513" s="32"/>
      <c r="C513" s="32"/>
      <c r="D513" s="33"/>
      <c r="E513" s="34"/>
      <c r="F513" s="34"/>
      <c r="G513" s="34"/>
      <c r="H513" s="34"/>
      <c r="I513" s="34"/>
      <c r="J513" s="34"/>
      <c r="K513" s="34"/>
      <c r="L513" s="34"/>
    </row>
    <row r="514" spans="2:12" ht="13" customHeight="1" x14ac:dyDescent="0.15">
      <c r="B514" s="32"/>
      <c r="C514" s="32"/>
      <c r="D514" s="33"/>
      <c r="E514" s="34"/>
      <c r="F514" s="34"/>
      <c r="G514" s="34"/>
      <c r="H514" s="34"/>
      <c r="I514" s="34"/>
      <c r="J514" s="34"/>
      <c r="K514" s="34"/>
      <c r="L514" s="34"/>
    </row>
    <row r="515" spans="2:12" ht="13" customHeight="1" x14ac:dyDescent="0.15">
      <c r="B515" s="32"/>
      <c r="C515" s="32"/>
      <c r="D515" s="33"/>
      <c r="E515" s="34"/>
      <c r="F515" s="34"/>
      <c r="G515" s="34"/>
      <c r="H515" s="34"/>
      <c r="I515" s="34"/>
      <c r="J515" s="34"/>
      <c r="K515" s="34"/>
      <c r="L515" s="34"/>
    </row>
    <row r="516" spans="2:12" ht="13" customHeight="1" x14ac:dyDescent="0.15">
      <c r="B516" s="32"/>
      <c r="C516" s="32"/>
      <c r="D516" s="33"/>
      <c r="E516" s="34"/>
      <c r="F516" s="34"/>
      <c r="G516" s="34"/>
      <c r="H516" s="34"/>
      <c r="I516" s="34"/>
      <c r="J516" s="34"/>
      <c r="K516" s="34"/>
      <c r="L516" s="34"/>
    </row>
    <row r="517" spans="2:12" ht="13" customHeight="1" x14ac:dyDescent="0.15">
      <c r="B517" s="32"/>
      <c r="C517" s="32"/>
      <c r="D517" s="33"/>
      <c r="E517" s="34"/>
      <c r="F517" s="34"/>
      <c r="G517" s="34"/>
      <c r="H517" s="34"/>
      <c r="I517" s="34"/>
      <c r="J517" s="34"/>
      <c r="K517" s="34"/>
      <c r="L517" s="34"/>
    </row>
    <row r="518" spans="2:12" ht="13" customHeight="1" x14ac:dyDescent="0.15">
      <c r="B518" s="32"/>
      <c r="C518" s="32"/>
      <c r="D518" s="33"/>
      <c r="E518" s="34"/>
      <c r="F518" s="34"/>
      <c r="G518" s="34"/>
      <c r="H518" s="34"/>
      <c r="I518" s="34"/>
      <c r="J518" s="34"/>
      <c r="K518" s="34"/>
      <c r="L518" s="34"/>
    </row>
    <row r="519" spans="2:12" ht="13" customHeight="1" x14ac:dyDescent="0.15">
      <c r="B519" s="32"/>
      <c r="C519" s="32"/>
      <c r="D519" s="33"/>
      <c r="E519" s="34"/>
      <c r="F519" s="34"/>
      <c r="G519" s="34"/>
      <c r="H519" s="34"/>
      <c r="I519" s="34"/>
      <c r="J519" s="34"/>
      <c r="K519" s="34"/>
      <c r="L519" s="34"/>
    </row>
    <row r="520" spans="2:12" ht="13" customHeight="1" x14ac:dyDescent="0.15">
      <c r="B520" s="32"/>
      <c r="C520" s="32"/>
      <c r="D520" s="33"/>
      <c r="E520" s="34"/>
      <c r="F520" s="34"/>
      <c r="G520" s="34"/>
      <c r="H520" s="34"/>
      <c r="I520" s="34"/>
      <c r="J520" s="34"/>
      <c r="K520" s="34"/>
      <c r="L520" s="34"/>
    </row>
    <row r="521" spans="2:12" ht="13" customHeight="1" x14ac:dyDescent="0.15">
      <c r="B521" s="32"/>
      <c r="C521" s="32"/>
      <c r="D521" s="33"/>
      <c r="E521" s="34"/>
      <c r="F521" s="34"/>
      <c r="G521" s="34"/>
      <c r="H521" s="34"/>
      <c r="I521" s="34"/>
      <c r="J521" s="34"/>
      <c r="K521" s="34"/>
      <c r="L521" s="34"/>
    </row>
    <row r="522" spans="2:12" ht="13" customHeight="1" x14ac:dyDescent="0.15">
      <c r="B522" s="32"/>
      <c r="C522" s="32"/>
      <c r="D522" s="33"/>
      <c r="E522" s="34"/>
      <c r="F522" s="34"/>
      <c r="G522" s="34"/>
      <c r="H522" s="34"/>
      <c r="I522" s="34"/>
      <c r="J522" s="34"/>
      <c r="K522" s="34"/>
      <c r="L522" s="34"/>
    </row>
    <row r="523" spans="2:12" ht="13" customHeight="1" x14ac:dyDescent="0.15">
      <c r="B523" s="32"/>
      <c r="C523" s="32"/>
      <c r="D523" s="33"/>
      <c r="E523" s="34"/>
      <c r="F523" s="34"/>
      <c r="G523" s="34"/>
      <c r="H523" s="34"/>
      <c r="I523" s="34"/>
      <c r="J523" s="34"/>
      <c r="K523" s="34"/>
      <c r="L523" s="34"/>
    </row>
    <row r="524" spans="2:12" ht="13" customHeight="1" x14ac:dyDescent="0.15">
      <c r="B524" s="32"/>
      <c r="C524" s="32"/>
      <c r="D524" s="33"/>
      <c r="E524" s="34"/>
      <c r="F524" s="34"/>
      <c r="G524" s="34"/>
      <c r="H524" s="34"/>
      <c r="I524" s="34"/>
      <c r="J524" s="34"/>
      <c r="K524" s="34"/>
      <c r="L524" s="34"/>
    </row>
    <row r="525" spans="2:12" ht="13" customHeight="1" x14ac:dyDescent="0.15">
      <c r="B525" s="32"/>
      <c r="C525" s="32"/>
      <c r="D525" s="33"/>
      <c r="E525" s="34"/>
      <c r="F525" s="34"/>
      <c r="G525" s="34"/>
      <c r="H525" s="34"/>
      <c r="I525" s="34"/>
      <c r="J525" s="34"/>
      <c r="K525" s="34"/>
      <c r="L525" s="34"/>
    </row>
    <row r="526" spans="2:12" ht="13" customHeight="1" x14ac:dyDescent="0.15">
      <c r="B526" s="32"/>
      <c r="C526" s="32"/>
      <c r="D526" s="33"/>
      <c r="E526" s="34"/>
      <c r="F526" s="34"/>
      <c r="G526" s="34"/>
      <c r="H526" s="34"/>
      <c r="I526" s="34"/>
      <c r="J526" s="34"/>
      <c r="K526" s="34"/>
      <c r="L526" s="34"/>
    </row>
    <row r="527" spans="2:12" ht="13" customHeight="1" x14ac:dyDescent="0.15">
      <c r="B527" s="32"/>
      <c r="C527" s="32"/>
      <c r="D527" s="33"/>
      <c r="E527" s="34"/>
      <c r="F527" s="34"/>
      <c r="G527" s="34"/>
      <c r="H527" s="34"/>
      <c r="I527" s="34"/>
      <c r="J527" s="34"/>
      <c r="K527" s="34"/>
      <c r="L527" s="34"/>
    </row>
    <row r="528" spans="2:12" ht="13" customHeight="1" x14ac:dyDescent="0.15">
      <c r="B528" s="32"/>
      <c r="C528" s="32"/>
      <c r="D528" s="33"/>
      <c r="E528" s="34"/>
      <c r="F528" s="34"/>
      <c r="G528" s="34"/>
      <c r="H528" s="34"/>
      <c r="I528" s="34"/>
      <c r="J528" s="34"/>
      <c r="K528" s="34"/>
      <c r="L528" s="34"/>
    </row>
    <row r="529" spans="2:12" ht="13" customHeight="1" x14ac:dyDescent="0.15">
      <c r="B529" s="32"/>
      <c r="C529" s="32"/>
      <c r="D529" s="33"/>
      <c r="E529" s="34"/>
      <c r="F529" s="34"/>
      <c r="G529" s="34"/>
      <c r="H529" s="34"/>
      <c r="I529" s="34"/>
      <c r="J529" s="34"/>
      <c r="K529" s="34"/>
      <c r="L529" s="34"/>
    </row>
    <row r="530" spans="2:12" ht="13" customHeight="1" x14ac:dyDescent="0.15">
      <c r="B530" s="32"/>
      <c r="C530" s="32"/>
      <c r="D530" s="33"/>
      <c r="E530" s="34"/>
      <c r="F530" s="34"/>
      <c r="G530" s="34"/>
      <c r="H530" s="34"/>
      <c r="I530" s="34"/>
      <c r="J530" s="34"/>
      <c r="K530" s="34"/>
      <c r="L530" s="34"/>
    </row>
    <row r="531" spans="2:12" ht="13" customHeight="1" x14ac:dyDescent="0.15">
      <c r="B531" s="32"/>
      <c r="C531" s="32"/>
      <c r="D531" s="33"/>
      <c r="E531" s="34"/>
      <c r="F531" s="34"/>
      <c r="G531" s="34"/>
      <c r="H531" s="34"/>
      <c r="I531" s="34"/>
      <c r="J531" s="34"/>
      <c r="K531" s="34"/>
      <c r="L531" s="34"/>
    </row>
    <row r="532" spans="2:12" ht="13" customHeight="1" x14ac:dyDescent="0.15">
      <c r="B532" s="32"/>
      <c r="C532" s="32"/>
      <c r="D532" s="33"/>
      <c r="E532" s="34"/>
      <c r="F532" s="34"/>
      <c r="G532" s="34"/>
      <c r="H532" s="34"/>
      <c r="I532" s="34"/>
      <c r="J532" s="34"/>
      <c r="K532" s="34"/>
      <c r="L532" s="34"/>
    </row>
    <row r="533" spans="2:12" ht="13" customHeight="1" x14ac:dyDescent="0.15">
      <c r="B533" s="32"/>
      <c r="C533" s="32"/>
      <c r="D533" s="33"/>
      <c r="E533" s="34"/>
      <c r="F533" s="34"/>
      <c r="G533" s="34"/>
      <c r="H533" s="34"/>
      <c r="I533" s="34"/>
      <c r="J533" s="34"/>
      <c r="K533" s="34"/>
      <c r="L533" s="34"/>
    </row>
    <row r="534" spans="2:12" ht="13" customHeight="1" x14ac:dyDescent="0.15">
      <c r="B534" s="32"/>
      <c r="C534" s="32"/>
      <c r="D534" s="33"/>
      <c r="E534" s="34"/>
      <c r="F534" s="34"/>
      <c r="G534" s="34"/>
      <c r="H534" s="34"/>
      <c r="I534" s="34"/>
      <c r="J534" s="34"/>
      <c r="K534" s="34"/>
      <c r="L534" s="34"/>
    </row>
    <row r="535" spans="2:12" ht="13" customHeight="1" x14ac:dyDescent="0.15">
      <c r="B535" s="32"/>
      <c r="C535" s="32"/>
      <c r="D535" s="33"/>
      <c r="E535" s="34"/>
      <c r="F535" s="34"/>
      <c r="G535" s="34"/>
      <c r="H535" s="34"/>
      <c r="I535" s="34"/>
      <c r="J535" s="34"/>
      <c r="K535" s="34"/>
      <c r="L535" s="34"/>
    </row>
    <row r="536" spans="2:12" ht="13" customHeight="1" x14ac:dyDescent="0.15">
      <c r="B536" s="32"/>
      <c r="C536" s="32"/>
      <c r="D536" s="33"/>
      <c r="E536" s="34"/>
      <c r="F536" s="34"/>
      <c r="G536" s="34"/>
      <c r="H536" s="34"/>
      <c r="I536" s="34"/>
      <c r="J536" s="34"/>
      <c r="K536" s="34"/>
      <c r="L536" s="34"/>
    </row>
    <row r="537" spans="2:12" ht="13" customHeight="1" x14ac:dyDescent="0.15">
      <c r="B537" s="32"/>
      <c r="C537" s="32"/>
      <c r="D537" s="33"/>
      <c r="E537" s="34"/>
      <c r="F537" s="34"/>
      <c r="G537" s="34"/>
      <c r="H537" s="34"/>
      <c r="I537" s="34"/>
      <c r="J537" s="34"/>
      <c r="K537" s="34"/>
      <c r="L537" s="34"/>
    </row>
    <row r="538" spans="2:12" ht="13" customHeight="1" x14ac:dyDescent="0.15">
      <c r="B538" s="32"/>
      <c r="C538" s="32"/>
      <c r="D538" s="33"/>
      <c r="E538" s="34"/>
      <c r="F538" s="34"/>
      <c r="G538" s="34"/>
      <c r="H538" s="34"/>
      <c r="I538" s="34"/>
      <c r="J538" s="34"/>
      <c r="K538" s="34"/>
      <c r="L538" s="34"/>
    </row>
    <row r="539" spans="2:12" ht="13" customHeight="1" x14ac:dyDescent="0.15">
      <c r="B539" s="32"/>
      <c r="C539" s="32"/>
      <c r="D539" s="33"/>
      <c r="E539" s="34"/>
      <c r="F539" s="34"/>
      <c r="G539" s="34"/>
      <c r="H539" s="34"/>
      <c r="I539" s="34"/>
      <c r="J539" s="34"/>
      <c r="K539" s="34"/>
      <c r="L539" s="34"/>
    </row>
    <row r="540" spans="2:12" ht="13" customHeight="1" x14ac:dyDescent="0.15">
      <c r="B540" s="32"/>
      <c r="C540" s="32"/>
      <c r="D540" s="33"/>
      <c r="E540" s="34"/>
      <c r="F540" s="34"/>
      <c r="G540" s="34"/>
      <c r="H540" s="34"/>
      <c r="I540" s="34"/>
      <c r="J540" s="34"/>
      <c r="K540" s="34"/>
      <c r="L540" s="34"/>
    </row>
    <row r="541" spans="2:12" ht="13" customHeight="1" x14ac:dyDescent="0.15">
      <c r="B541" s="32"/>
      <c r="C541" s="32"/>
      <c r="D541" s="33"/>
      <c r="E541" s="34"/>
      <c r="F541" s="34"/>
      <c r="G541" s="34"/>
      <c r="H541" s="34"/>
      <c r="I541" s="34"/>
      <c r="J541" s="34"/>
      <c r="K541" s="34"/>
      <c r="L541" s="34"/>
    </row>
    <row r="542" spans="2:12" ht="13" customHeight="1" x14ac:dyDescent="0.15">
      <c r="B542" s="32"/>
      <c r="C542" s="32"/>
      <c r="D542" s="33"/>
      <c r="E542" s="34"/>
      <c r="F542" s="34"/>
      <c r="G542" s="34"/>
      <c r="H542" s="34"/>
      <c r="I542" s="34"/>
      <c r="J542" s="34"/>
      <c r="K542" s="34"/>
      <c r="L542" s="34"/>
    </row>
    <row r="543" spans="2:12" ht="13" customHeight="1" x14ac:dyDescent="0.15">
      <c r="B543" s="32"/>
      <c r="C543" s="32"/>
      <c r="D543" s="33"/>
      <c r="E543" s="34"/>
      <c r="F543" s="34"/>
      <c r="G543" s="34"/>
      <c r="H543" s="34"/>
      <c r="I543" s="34"/>
      <c r="J543" s="34"/>
      <c r="K543" s="34"/>
      <c r="L543" s="34"/>
    </row>
    <row r="544" spans="2:12" ht="13" customHeight="1" x14ac:dyDescent="0.15">
      <c r="B544" s="32"/>
      <c r="C544" s="32"/>
      <c r="D544" s="33"/>
      <c r="E544" s="34"/>
      <c r="F544" s="34"/>
      <c r="G544" s="34"/>
      <c r="H544" s="34"/>
      <c r="I544" s="34"/>
      <c r="J544" s="34"/>
      <c r="K544" s="34"/>
      <c r="L544" s="34"/>
    </row>
    <row r="545" spans="2:12" ht="13" customHeight="1" x14ac:dyDescent="0.15">
      <c r="B545" s="32"/>
      <c r="C545" s="32"/>
      <c r="D545" s="33"/>
      <c r="E545" s="34"/>
      <c r="F545" s="34"/>
      <c r="G545" s="34"/>
      <c r="H545" s="34"/>
      <c r="I545" s="34"/>
      <c r="J545" s="34"/>
      <c r="K545" s="34"/>
      <c r="L545" s="34"/>
    </row>
    <row r="546" spans="2:12" ht="13" customHeight="1" x14ac:dyDescent="0.15">
      <c r="B546" s="32"/>
      <c r="C546" s="32"/>
      <c r="D546" s="33"/>
      <c r="E546" s="34"/>
      <c r="F546" s="34"/>
      <c r="G546" s="34"/>
      <c r="H546" s="34"/>
      <c r="I546" s="34"/>
      <c r="J546" s="34"/>
      <c r="K546" s="34"/>
      <c r="L546" s="34"/>
    </row>
    <row r="547" spans="2:12" ht="13" customHeight="1" x14ac:dyDescent="0.15">
      <c r="B547" s="32"/>
      <c r="C547" s="32"/>
      <c r="D547" s="33"/>
      <c r="E547" s="34"/>
      <c r="F547" s="34"/>
      <c r="G547" s="34"/>
      <c r="H547" s="34"/>
      <c r="I547" s="34"/>
      <c r="J547" s="34"/>
      <c r="K547" s="34"/>
      <c r="L547" s="34"/>
    </row>
    <row r="548" spans="2:12" ht="13" customHeight="1" x14ac:dyDescent="0.15">
      <c r="B548" s="32"/>
      <c r="C548" s="32"/>
      <c r="D548" s="33"/>
      <c r="E548" s="34"/>
      <c r="F548" s="34"/>
      <c r="G548" s="34"/>
      <c r="H548" s="34"/>
      <c r="I548" s="34"/>
      <c r="J548" s="34"/>
      <c r="K548" s="34"/>
      <c r="L548" s="34"/>
    </row>
    <row r="549" spans="2:12" ht="13" customHeight="1" x14ac:dyDescent="0.15">
      <c r="B549" s="32"/>
      <c r="C549" s="32"/>
      <c r="D549" s="33"/>
      <c r="E549" s="34"/>
      <c r="F549" s="34"/>
      <c r="G549" s="34"/>
      <c r="H549" s="34"/>
      <c r="I549" s="34"/>
      <c r="J549" s="34"/>
      <c r="K549" s="34"/>
      <c r="L549" s="34"/>
    </row>
    <row r="550" spans="2:12" ht="13" customHeight="1" x14ac:dyDescent="0.15">
      <c r="B550" s="32"/>
      <c r="C550" s="32"/>
      <c r="D550" s="33"/>
      <c r="E550" s="34"/>
      <c r="F550" s="34"/>
      <c r="G550" s="34"/>
      <c r="H550" s="34"/>
      <c r="I550" s="34"/>
      <c r="J550" s="34"/>
      <c r="K550" s="34"/>
      <c r="L550" s="34"/>
    </row>
    <row r="551" spans="2:12" ht="13" customHeight="1" x14ac:dyDescent="0.15">
      <c r="B551" s="32"/>
      <c r="C551" s="32"/>
      <c r="D551" s="33"/>
      <c r="E551" s="34"/>
      <c r="F551" s="34"/>
      <c r="G551" s="34"/>
      <c r="H551" s="34"/>
      <c r="I551" s="34"/>
      <c r="J551" s="34"/>
      <c r="K551" s="34"/>
      <c r="L551" s="34"/>
    </row>
    <row r="552" spans="2:12" ht="13" customHeight="1" x14ac:dyDescent="0.15">
      <c r="B552" s="32"/>
      <c r="C552" s="32"/>
      <c r="D552" s="33"/>
      <c r="E552" s="34"/>
      <c r="F552" s="34"/>
      <c r="G552" s="34"/>
      <c r="H552" s="34"/>
      <c r="I552" s="34"/>
      <c r="J552" s="34"/>
      <c r="K552" s="34"/>
      <c r="L552" s="34"/>
    </row>
    <row r="553" spans="2:12" ht="13" customHeight="1" x14ac:dyDescent="0.15">
      <c r="B553" s="32"/>
      <c r="C553" s="32"/>
      <c r="D553" s="33"/>
      <c r="E553" s="34"/>
      <c r="F553" s="34"/>
      <c r="G553" s="34"/>
      <c r="H553" s="34"/>
      <c r="I553" s="34"/>
      <c r="J553" s="34"/>
      <c r="K553" s="34"/>
      <c r="L553" s="34"/>
    </row>
    <row r="554" spans="2:12" ht="13" customHeight="1" x14ac:dyDescent="0.15">
      <c r="B554" s="32"/>
      <c r="C554" s="32"/>
      <c r="D554" s="33"/>
      <c r="E554" s="34"/>
      <c r="F554" s="34"/>
      <c r="G554" s="34"/>
      <c r="H554" s="34"/>
      <c r="I554" s="34"/>
      <c r="J554" s="34"/>
      <c r="K554" s="34"/>
      <c r="L554" s="34"/>
    </row>
    <row r="555" spans="2:12" ht="13" customHeight="1" x14ac:dyDescent="0.15">
      <c r="B555" s="32"/>
      <c r="C555" s="32"/>
      <c r="D555" s="33"/>
      <c r="E555" s="34"/>
      <c r="F555" s="34"/>
      <c r="G555" s="34"/>
      <c r="H555" s="34"/>
      <c r="I555" s="34"/>
      <c r="J555" s="34"/>
      <c r="K555" s="34"/>
      <c r="L555" s="34"/>
    </row>
    <row r="556" spans="2:12" ht="13" customHeight="1" x14ac:dyDescent="0.15">
      <c r="B556" s="32"/>
      <c r="C556" s="32"/>
      <c r="D556" s="33"/>
      <c r="E556" s="34"/>
      <c r="F556" s="34"/>
      <c r="G556" s="34"/>
      <c r="H556" s="34"/>
      <c r="I556" s="34"/>
      <c r="J556" s="34"/>
      <c r="K556" s="34"/>
      <c r="L556" s="34"/>
    </row>
    <row r="557" spans="2:12" ht="13" customHeight="1" x14ac:dyDescent="0.15">
      <c r="B557" s="32"/>
      <c r="C557" s="32"/>
      <c r="D557" s="33"/>
      <c r="E557" s="34"/>
      <c r="F557" s="34"/>
      <c r="G557" s="34"/>
      <c r="H557" s="34"/>
      <c r="I557" s="34"/>
      <c r="J557" s="34"/>
      <c r="K557" s="34"/>
      <c r="L557" s="34"/>
    </row>
    <row r="558" spans="2:12" ht="13" customHeight="1" x14ac:dyDescent="0.15">
      <c r="B558" s="32"/>
      <c r="C558" s="32"/>
      <c r="D558" s="33"/>
      <c r="E558" s="34"/>
      <c r="F558" s="34"/>
      <c r="G558" s="34"/>
      <c r="H558" s="34"/>
      <c r="I558" s="34"/>
      <c r="J558" s="34"/>
      <c r="K558" s="34"/>
      <c r="L558" s="34"/>
    </row>
    <row r="559" spans="2:12" ht="13" customHeight="1" x14ac:dyDescent="0.15">
      <c r="B559" s="32"/>
      <c r="C559" s="32"/>
      <c r="D559" s="33"/>
      <c r="E559" s="34"/>
      <c r="F559" s="34"/>
      <c r="G559" s="34"/>
      <c r="H559" s="34"/>
      <c r="I559" s="34"/>
      <c r="J559" s="34"/>
      <c r="K559" s="34"/>
      <c r="L559" s="34"/>
    </row>
    <row r="560" spans="2:12" ht="13" customHeight="1" x14ac:dyDescent="0.15">
      <c r="B560" s="32"/>
      <c r="C560" s="32"/>
      <c r="D560" s="33"/>
      <c r="E560" s="34"/>
      <c r="F560" s="34"/>
      <c r="G560" s="34"/>
      <c r="H560" s="34"/>
      <c r="I560" s="34"/>
      <c r="J560" s="34"/>
      <c r="K560" s="34"/>
      <c r="L560" s="34"/>
    </row>
    <row r="561" spans="2:12" ht="13" customHeight="1" x14ac:dyDescent="0.15">
      <c r="B561" s="32"/>
      <c r="C561" s="32"/>
      <c r="D561" s="33"/>
      <c r="E561" s="34"/>
      <c r="F561" s="34"/>
      <c r="G561" s="34"/>
      <c r="H561" s="34"/>
      <c r="I561" s="34"/>
      <c r="J561" s="34"/>
      <c r="K561" s="34"/>
      <c r="L561" s="34"/>
    </row>
    <row r="562" spans="2:12" ht="13" customHeight="1" x14ac:dyDescent="0.15">
      <c r="B562" s="32"/>
      <c r="C562" s="32"/>
      <c r="D562" s="33"/>
      <c r="E562" s="34"/>
      <c r="F562" s="34"/>
      <c r="G562" s="34"/>
      <c r="H562" s="34"/>
      <c r="I562" s="34"/>
      <c r="J562" s="34"/>
      <c r="K562" s="34"/>
      <c r="L562" s="34"/>
    </row>
    <row r="563" spans="2:12" ht="13" customHeight="1" x14ac:dyDescent="0.15">
      <c r="B563" s="32"/>
      <c r="C563" s="32"/>
      <c r="D563" s="33"/>
      <c r="E563" s="34"/>
      <c r="F563" s="34"/>
      <c r="G563" s="34"/>
      <c r="H563" s="34"/>
      <c r="I563" s="34"/>
      <c r="J563" s="34"/>
      <c r="K563" s="34"/>
      <c r="L563" s="34"/>
    </row>
    <row r="564" spans="2:12" ht="13" customHeight="1" x14ac:dyDescent="0.15">
      <c r="B564" s="32"/>
      <c r="C564" s="32"/>
      <c r="D564" s="33"/>
      <c r="E564" s="34"/>
      <c r="F564" s="34"/>
      <c r="G564" s="34"/>
      <c r="H564" s="34"/>
      <c r="I564" s="34"/>
      <c r="J564" s="34"/>
      <c r="K564" s="34"/>
      <c r="L564" s="34"/>
    </row>
    <row r="565" spans="2:12" ht="13" customHeight="1" x14ac:dyDescent="0.15">
      <c r="B565" s="32"/>
      <c r="C565" s="32"/>
      <c r="D565" s="33"/>
      <c r="E565" s="34"/>
      <c r="F565" s="34"/>
      <c r="G565" s="34"/>
      <c r="H565" s="34"/>
      <c r="I565" s="34"/>
      <c r="J565" s="34"/>
      <c r="K565" s="34"/>
      <c r="L565" s="34"/>
    </row>
    <row r="566" spans="2:12" ht="13" customHeight="1" x14ac:dyDescent="0.15">
      <c r="B566" s="32"/>
      <c r="C566" s="32"/>
      <c r="D566" s="33"/>
      <c r="E566" s="34"/>
      <c r="F566" s="34"/>
      <c r="G566" s="34"/>
      <c r="H566" s="34"/>
      <c r="I566" s="34"/>
      <c r="J566" s="34"/>
      <c r="K566" s="34"/>
      <c r="L566" s="34"/>
    </row>
    <row r="567" spans="2:12" ht="13" customHeight="1" x14ac:dyDescent="0.15">
      <c r="B567" s="32"/>
      <c r="C567" s="32"/>
      <c r="D567" s="33"/>
      <c r="E567" s="34"/>
      <c r="F567" s="34"/>
      <c r="G567" s="34"/>
      <c r="H567" s="34"/>
      <c r="I567" s="34"/>
      <c r="J567" s="34"/>
      <c r="K567" s="34"/>
      <c r="L567" s="34"/>
    </row>
    <row r="568" spans="2:12" ht="13" customHeight="1" x14ac:dyDescent="0.15">
      <c r="B568" s="32"/>
      <c r="C568" s="32"/>
      <c r="D568" s="33"/>
      <c r="E568" s="34"/>
      <c r="F568" s="34"/>
      <c r="G568" s="34"/>
      <c r="H568" s="34"/>
      <c r="I568" s="34"/>
      <c r="J568" s="34"/>
      <c r="K568" s="34"/>
      <c r="L568" s="34"/>
    </row>
    <row r="569" spans="2:12" ht="13" customHeight="1" x14ac:dyDescent="0.15">
      <c r="B569" s="32"/>
      <c r="C569" s="32"/>
      <c r="D569" s="33"/>
      <c r="E569" s="34"/>
      <c r="F569" s="34"/>
      <c r="G569" s="34"/>
      <c r="H569" s="34"/>
      <c r="I569" s="34"/>
      <c r="J569" s="34"/>
      <c r="K569" s="34"/>
      <c r="L569" s="34"/>
    </row>
    <row r="570" spans="2:12" ht="13" customHeight="1" x14ac:dyDescent="0.15">
      <c r="B570" s="32"/>
      <c r="C570" s="32"/>
      <c r="D570" s="33"/>
      <c r="E570" s="34"/>
      <c r="F570" s="34"/>
      <c r="G570" s="34"/>
      <c r="H570" s="34"/>
      <c r="I570" s="34"/>
      <c r="J570" s="34"/>
      <c r="K570" s="34"/>
      <c r="L570" s="34"/>
    </row>
    <row r="571" spans="2:12" ht="13" customHeight="1" x14ac:dyDescent="0.15">
      <c r="B571" s="32"/>
      <c r="C571" s="32"/>
      <c r="D571" s="33"/>
      <c r="E571" s="34"/>
      <c r="F571" s="34"/>
      <c r="G571" s="34"/>
      <c r="H571" s="34"/>
      <c r="I571" s="34"/>
      <c r="J571" s="34"/>
      <c r="K571" s="34"/>
      <c r="L571" s="34"/>
    </row>
    <row r="572" spans="2:12" ht="13" customHeight="1" x14ac:dyDescent="0.15">
      <c r="B572" s="32"/>
      <c r="C572" s="32"/>
      <c r="D572" s="33"/>
      <c r="E572" s="34"/>
      <c r="F572" s="34"/>
      <c r="G572" s="34"/>
      <c r="H572" s="34"/>
      <c r="I572" s="34"/>
      <c r="J572" s="34"/>
      <c r="K572" s="34"/>
      <c r="L572" s="34"/>
    </row>
    <row r="573" spans="2:12" ht="13" customHeight="1" x14ac:dyDescent="0.15">
      <c r="B573" s="32"/>
      <c r="C573" s="32"/>
      <c r="D573" s="33"/>
      <c r="E573" s="34"/>
      <c r="F573" s="34"/>
      <c r="G573" s="34"/>
      <c r="H573" s="34"/>
      <c r="I573" s="34"/>
      <c r="J573" s="34"/>
      <c r="K573" s="34"/>
      <c r="L573" s="34"/>
    </row>
    <row r="574" spans="2:12" ht="13" customHeight="1" x14ac:dyDescent="0.15">
      <c r="B574" s="32"/>
      <c r="C574" s="32"/>
      <c r="D574" s="33"/>
      <c r="E574" s="34"/>
      <c r="F574" s="34"/>
      <c r="G574" s="34"/>
      <c r="H574" s="34"/>
      <c r="I574" s="34"/>
      <c r="J574" s="34"/>
      <c r="K574" s="34"/>
      <c r="L574" s="34"/>
    </row>
    <row r="575" spans="2:12" ht="13" customHeight="1" x14ac:dyDescent="0.15">
      <c r="B575" s="32"/>
      <c r="C575" s="32"/>
      <c r="D575" s="33"/>
      <c r="E575" s="34"/>
      <c r="F575" s="34"/>
      <c r="G575" s="34"/>
      <c r="H575" s="34"/>
      <c r="I575" s="34"/>
      <c r="J575" s="34"/>
      <c r="K575" s="34"/>
      <c r="L575" s="34"/>
    </row>
    <row r="576" spans="2:12" ht="13" customHeight="1" x14ac:dyDescent="0.15">
      <c r="B576" s="32"/>
      <c r="C576" s="32"/>
      <c r="D576" s="33"/>
      <c r="E576" s="34"/>
      <c r="F576" s="34"/>
      <c r="G576" s="34"/>
      <c r="H576" s="34"/>
      <c r="I576" s="34"/>
      <c r="J576" s="34"/>
      <c r="K576" s="34"/>
      <c r="L576" s="34"/>
    </row>
    <row r="577" spans="2:12" ht="13" customHeight="1" x14ac:dyDescent="0.15">
      <c r="B577" s="32"/>
      <c r="C577" s="32"/>
      <c r="D577" s="33"/>
      <c r="E577" s="34"/>
      <c r="F577" s="34"/>
      <c r="G577" s="34"/>
      <c r="H577" s="34"/>
      <c r="I577" s="34"/>
      <c r="J577" s="34"/>
      <c r="K577" s="34"/>
      <c r="L577" s="34"/>
    </row>
    <row r="578" spans="2:12" ht="13" customHeight="1" x14ac:dyDescent="0.15">
      <c r="B578" s="32"/>
      <c r="C578" s="32"/>
      <c r="D578" s="33"/>
      <c r="E578" s="34"/>
      <c r="F578" s="34"/>
      <c r="G578" s="34"/>
      <c r="H578" s="34"/>
      <c r="I578" s="34"/>
      <c r="J578" s="34"/>
      <c r="K578" s="34"/>
      <c r="L578" s="34"/>
    </row>
    <row r="579" spans="2:12" ht="13" customHeight="1" x14ac:dyDescent="0.15">
      <c r="B579" s="32"/>
      <c r="C579" s="32"/>
      <c r="D579" s="33"/>
      <c r="E579" s="34"/>
      <c r="F579" s="34"/>
      <c r="G579" s="34"/>
      <c r="H579" s="34"/>
      <c r="I579" s="34"/>
      <c r="J579" s="34"/>
      <c r="K579" s="34"/>
      <c r="L579" s="34"/>
    </row>
    <row r="580" spans="2:12" ht="13" customHeight="1" x14ac:dyDescent="0.15">
      <c r="B580" s="32"/>
      <c r="C580" s="32"/>
      <c r="D580" s="33"/>
      <c r="E580" s="34"/>
      <c r="F580" s="34"/>
      <c r="G580" s="34"/>
      <c r="H580" s="34"/>
      <c r="I580" s="34"/>
      <c r="J580" s="34"/>
      <c r="K580" s="34"/>
      <c r="L580" s="34"/>
    </row>
    <row r="581" spans="2:12" ht="13" customHeight="1" x14ac:dyDescent="0.15">
      <c r="B581" s="32"/>
      <c r="C581" s="32"/>
      <c r="D581" s="33"/>
      <c r="E581" s="34"/>
      <c r="F581" s="34"/>
      <c r="G581" s="34"/>
      <c r="H581" s="34"/>
      <c r="I581" s="34"/>
      <c r="J581" s="34"/>
      <c r="K581" s="34"/>
      <c r="L581" s="34"/>
    </row>
    <row r="582" spans="2:12" ht="13" customHeight="1" x14ac:dyDescent="0.15">
      <c r="B582" s="32"/>
      <c r="C582" s="32"/>
      <c r="D582" s="33"/>
      <c r="E582" s="34"/>
      <c r="F582" s="34"/>
      <c r="G582" s="34"/>
      <c r="H582" s="34"/>
      <c r="I582" s="34"/>
      <c r="J582" s="34"/>
      <c r="K582" s="34"/>
      <c r="L582" s="34"/>
    </row>
    <row r="583" spans="2:12" ht="13" customHeight="1" x14ac:dyDescent="0.15">
      <c r="B583" s="32"/>
      <c r="C583" s="32"/>
      <c r="D583" s="33"/>
      <c r="E583" s="34"/>
      <c r="F583" s="34"/>
      <c r="G583" s="34"/>
      <c r="H583" s="34"/>
      <c r="I583" s="34"/>
      <c r="J583" s="34"/>
      <c r="K583" s="34"/>
      <c r="L583" s="34"/>
    </row>
    <row r="584" spans="2:12" ht="13" customHeight="1" x14ac:dyDescent="0.15">
      <c r="B584" s="32"/>
      <c r="C584" s="32"/>
      <c r="D584" s="33"/>
      <c r="E584" s="34"/>
      <c r="F584" s="34"/>
      <c r="G584" s="34"/>
      <c r="H584" s="34"/>
      <c r="I584" s="34"/>
      <c r="J584" s="34"/>
      <c r="K584" s="34"/>
      <c r="L584" s="34"/>
    </row>
    <row r="585" spans="2:12" ht="13" customHeight="1" x14ac:dyDescent="0.15">
      <c r="B585" s="32"/>
      <c r="C585" s="32"/>
      <c r="D585" s="33"/>
      <c r="E585" s="34"/>
      <c r="F585" s="34"/>
      <c r="G585" s="34"/>
      <c r="H585" s="34"/>
      <c r="I585" s="34"/>
      <c r="J585" s="34"/>
      <c r="K585" s="34"/>
      <c r="L585" s="34"/>
    </row>
    <row r="586" spans="2:12" ht="13" customHeight="1" x14ac:dyDescent="0.15">
      <c r="B586" s="32"/>
      <c r="C586" s="32"/>
      <c r="D586" s="33"/>
      <c r="E586" s="34"/>
      <c r="F586" s="34"/>
      <c r="G586" s="34"/>
      <c r="H586" s="34"/>
      <c r="I586" s="34"/>
      <c r="J586" s="34"/>
      <c r="K586" s="34"/>
      <c r="L586" s="34"/>
    </row>
    <row r="587" spans="2:12" ht="13" customHeight="1" x14ac:dyDescent="0.15">
      <c r="B587" s="32"/>
      <c r="C587" s="32"/>
      <c r="D587" s="33"/>
      <c r="E587" s="34"/>
      <c r="F587" s="34"/>
      <c r="G587" s="34"/>
      <c r="H587" s="34"/>
      <c r="I587" s="34"/>
      <c r="J587" s="34"/>
      <c r="K587" s="34"/>
      <c r="L587" s="34"/>
    </row>
    <row r="588" spans="2:12" ht="13" customHeight="1" x14ac:dyDescent="0.15">
      <c r="B588" s="32"/>
      <c r="C588" s="32"/>
      <c r="D588" s="33"/>
      <c r="E588" s="34"/>
      <c r="F588" s="34"/>
      <c r="G588" s="34"/>
      <c r="H588" s="34"/>
      <c r="I588" s="34"/>
      <c r="J588" s="34"/>
      <c r="K588" s="34"/>
      <c r="L588" s="34"/>
    </row>
    <row r="589" spans="2:12" ht="13" customHeight="1" x14ac:dyDescent="0.15">
      <c r="B589" s="32"/>
      <c r="C589" s="32"/>
      <c r="D589" s="33"/>
      <c r="E589" s="34"/>
      <c r="F589" s="34"/>
      <c r="G589" s="34"/>
      <c r="H589" s="34"/>
      <c r="I589" s="34"/>
      <c r="J589" s="34"/>
      <c r="K589" s="34"/>
      <c r="L589" s="34"/>
    </row>
    <row r="590" spans="2:12" ht="13" customHeight="1" x14ac:dyDescent="0.15">
      <c r="B590" s="32"/>
      <c r="C590" s="32"/>
      <c r="D590" s="33"/>
      <c r="E590" s="34"/>
      <c r="F590" s="34"/>
      <c r="G590" s="34"/>
      <c r="H590" s="34"/>
      <c r="I590" s="34"/>
      <c r="J590" s="34"/>
      <c r="K590" s="34"/>
      <c r="L590" s="34"/>
    </row>
    <row r="591" spans="2:12" ht="13" customHeight="1" x14ac:dyDescent="0.15">
      <c r="B591" s="32"/>
      <c r="C591" s="32"/>
      <c r="D591" s="33"/>
      <c r="E591" s="34"/>
      <c r="F591" s="34"/>
      <c r="G591" s="34"/>
      <c r="H591" s="34"/>
      <c r="I591" s="34"/>
      <c r="J591" s="34"/>
      <c r="K591" s="34"/>
      <c r="L591" s="34"/>
    </row>
    <row r="592" spans="2:12" ht="13" customHeight="1" x14ac:dyDescent="0.15">
      <c r="B592" s="32"/>
      <c r="C592" s="32"/>
      <c r="D592" s="33"/>
      <c r="E592" s="34"/>
      <c r="F592" s="34"/>
      <c r="G592" s="34"/>
      <c r="H592" s="34"/>
      <c r="I592" s="34"/>
      <c r="J592" s="34"/>
      <c r="K592" s="34"/>
      <c r="L592" s="34"/>
    </row>
    <row r="593" spans="2:12" ht="13" customHeight="1" x14ac:dyDescent="0.15">
      <c r="B593" s="32"/>
      <c r="C593" s="32"/>
      <c r="D593" s="33"/>
      <c r="E593" s="34"/>
      <c r="F593" s="34"/>
      <c r="G593" s="34"/>
      <c r="H593" s="34"/>
      <c r="I593" s="34"/>
      <c r="J593" s="34"/>
      <c r="K593" s="34"/>
      <c r="L593" s="34"/>
    </row>
    <row r="594" spans="2:12" ht="13" customHeight="1" x14ac:dyDescent="0.15">
      <c r="B594" s="32"/>
      <c r="C594" s="32"/>
      <c r="D594" s="33"/>
      <c r="E594" s="34"/>
      <c r="F594" s="34"/>
      <c r="G594" s="34"/>
      <c r="H594" s="34"/>
      <c r="I594" s="34"/>
      <c r="J594" s="34"/>
      <c r="K594" s="34"/>
      <c r="L594" s="34"/>
    </row>
    <row r="595" spans="2:12" ht="13" customHeight="1" x14ac:dyDescent="0.15">
      <c r="B595" s="32"/>
      <c r="C595" s="32"/>
      <c r="D595" s="33"/>
      <c r="E595" s="34"/>
      <c r="F595" s="34"/>
      <c r="G595" s="34"/>
      <c r="H595" s="34"/>
      <c r="I595" s="34"/>
      <c r="J595" s="34"/>
      <c r="K595" s="34"/>
      <c r="L595" s="34"/>
    </row>
    <row r="596" spans="2:12" ht="13" customHeight="1" x14ac:dyDescent="0.15">
      <c r="B596" s="32"/>
      <c r="C596" s="32"/>
      <c r="D596" s="33"/>
      <c r="E596" s="34"/>
      <c r="F596" s="34"/>
      <c r="G596" s="34"/>
      <c r="H596" s="34"/>
      <c r="I596" s="34"/>
      <c r="J596" s="34"/>
      <c r="K596" s="34"/>
      <c r="L596" s="34"/>
    </row>
    <row r="597" spans="2:12" ht="13" customHeight="1" x14ac:dyDescent="0.15">
      <c r="B597" s="32"/>
      <c r="C597" s="32"/>
      <c r="D597" s="33"/>
      <c r="E597" s="34"/>
      <c r="F597" s="34"/>
      <c r="G597" s="34"/>
      <c r="H597" s="34"/>
      <c r="I597" s="34"/>
      <c r="J597" s="34"/>
      <c r="K597" s="34"/>
      <c r="L597" s="34"/>
    </row>
    <row r="598" spans="2:12" ht="13" customHeight="1" x14ac:dyDescent="0.15">
      <c r="B598" s="32"/>
      <c r="C598" s="32"/>
      <c r="D598" s="33"/>
      <c r="E598" s="34"/>
      <c r="F598" s="34"/>
      <c r="G598" s="34"/>
      <c r="H598" s="34"/>
      <c r="I598" s="34"/>
      <c r="J598" s="34"/>
      <c r="K598" s="34"/>
      <c r="L598" s="34"/>
    </row>
    <row r="599" spans="2:12" ht="13" customHeight="1" x14ac:dyDescent="0.15">
      <c r="B599" s="32"/>
      <c r="C599" s="32"/>
      <c r="D599" s="33"/>
      <c r="E599" s="34"/>
      <c r="F599" s="34"/>
      <c r="G599" s="34"/>
      <c r="H599" s="34"/>
      <c r="I599" s="34"/>
      <c r="J599" s="34"/>
      <c r="K599" s="34"/>
      <c r="L599" s="34"/>
    </row>
    <row r="600" spans="2:12" ht="13" customHeight="1" x14ac:dyDescent="0.15">
      <c r="B600" s="32"/>
      <c r="C600" s="32"/>
      <c r="D600" s="33"/>
      <c r="E600" s="34"/>
      <c r="F600" s="34"/>
      <c r="G600" s="34"/>
      <c r="H600" s="34"/>
      <c r="I600" s="34"/>
      <c r="J600" s="34"/>
      <c r="K600" s="34"/>
      <c r="L600" s="34"/>
    </row>
    <row r="601" spans="2:12" ht="13" customHeight="1" x14ac:dyDescent="0.15">
      <c r="B601" s="32"/>
      <c r="C601" s="32"/>
      <c r="D601" s="33"/>
      <c r="E601" s="34"/>
      <c r="F601" s="34"/>
      <c r="G601" s="34"/>
      <c r="H601" s="34"/>
      <c r="I601" s="34"/>
      <c r="J601" s="34"/>
      <c r="K601" s="34"/>
      <c r="L601" s="34"/>
    </row>
    <row r="602" spans="2:12" ht="13" customHeight="1" x14ac:dyDescent="0.15">
      <c r="B602" s="32"/>
      <c r="C602" s="32"/>
      <c r="D602" s="33"/>
      <c r="E602" s="34"/>
      <c r="F602" s="34"/>
      <c r="G602" s="34"/>
      <c r="H602" s="34"/>
      <c r="I602" s="34"/>
      <c r="J602" s="34"/>
      <c r="K602" s="34"/>
      <c r="L602" s="34"/>
    </row>
    <row r="603" spans="2:12" ht="13" customHeight="1" x14ac:dyDescent="0.15">
      <c r="B603" s="32"/>
      <c r="C603" s="32"/>
      <c r="D603" s="33"/>
      <c r="E603" s="34"/>
      <c r="F603" s="34"/>
      <c r="G603" s="34"/>
      <c r="H603" s="34"/>
      <c r="I603" s="34"/>
      <c r="J603" s="34"/>
      <c r="K603" s="34"/>
      <c r="L603" s="34"/>
    </row>
    <row r="604" spans="2:12" ht="13" customHeight="1" x14ac:dyDescent="0.15">
      <c r="B604" s="32"/>
      <c r="C604" s="32"/>
      <c r="D604" s="33"/>
      <c r="E604" s="34"/>
      <c r="F604" s="34"/>
      <c r="G604" s="34"/>
      <c r="H604" s="34"/>
      <c r="I604" s="34"/>
      <c r="J604" s="34"/>
      <c r="K604" s="34"/>
      <c r="L604" s="34"/>
    </row>
    <row r="605" spans="2:12" ht="13" customHeight="1" x14ac:dyDescent="0.15">
      <c r="B605" s="32"/>
      <c r="C605" s="32"/>
      <c r="D605" s="33"/>
      <c r="E605" s="34"/>
      <c r="F605" s="34"/>
      <c r="G605" s="34"/>
      <c r="H605" s="34"/>
      <c r="I605" s="34"/>
      <c r="J605" s="34"/>
      <c r="K605" s="34"/>
      <c r="L605" s="34"/>
    </row>
    <row r="606" spans="2:12" ht="13" customHeight="1" x14ac:dyDescent="0.15">
      <c r="B606" s="32"/>
      <c r="C606" s="32"/>
      <c r="D606" s="33"/>
      <c r="E606" s="34"/>
      <c r="F606" s="34"/>
      <c r="G606" s="34"/>
      <c r="H606" s="34"/>
      <c r="I606" s="34"/>
      <c r="J606" s="34"/>
      <c r="K606" s="34"/>
      <c r="L606" s="34"/>
    </row>
    <row r="607" spans="2:12" ht="13" customHeight="1" x14ac:dyDescent="0.15">
      <c r="B607" s="32"/>
      <c r="C607" s="32"/>
      <c r="D607" s="33"/>
      <c r="E607" s="34"/>
      <c r="F607" s="34"/>
      <c r="G607" s="34"/>
      <c r="H607" s="34"/>
      <c r="I607" s="34"/>
      <c r="J607" s="34"/>
      <c r="K607" s="34"/>
      <c r="L607" s="34"/>
    </row>
    <row r="608" spans="2:12" ht="13" customHeight="1" x14ac:dyDescent="0.15">
      <c r="B608" s="32"/>
      <c r="C608" s="32"/>
      <c r="D608" s="33"/>
      <c r="E608" s="34"/>
      <c r="F608" s="34"/>
      <c r="G608" s="34"/>
      <c r="H608" s="34"/>
      <c r="I608" s="34"/>
      <c r="J608" s="34"/>
      <c r="K608" s="34"/>
      <c r="L608" s="34"/>
    </row>
    <row r="609" spans="2:12" ht="13" customHeight="1" x14ac:dyDescent="0.15">
      <c r="B609" s="32"/>
      <c r="C609" s="32"/>
      <c r="D609" s="33"/>
      <c r="E609" s="34"/>
      <c r="F609" s="34"/>
      <c r="G609" s="34"/>
      <c r="H609" s="34"/>
      <c r="I609" s="34"/>
      <c r="J609" s="34"/>
      <c r="K609" s="34"/>
      <c r="L609" s="34"/>
    </row>
    <row r="610" spans="2:12" ht="13" customHeight="1" x14ac:dyDescent="0.15">
      <c r="B610" s="32"/>
      <c r="C610" s="32"/>
      <c r="D610" s="33"/>
      <c r="E610" s="34"/>
      <c r="F610" s="34"/>
      <c r="G610" s="34"/>
      <c r="H610" s="34"/>
      <c r="I610" s="34"/>
      <c r="J610" s="34"/>
      <c r="K610" s="34"/>
      <c r="L610" s="34"/>
    </row>
    <row r="611" spans="2:12" ht="13" customHeight="1" x14ac:dyDescent="0.15">
      <c r="B611" s="32"/>
      <c r="C611" s="32"/>
      <c r="D611" s="33"/>
      <c r="E611" s="34"/>
      <c r="F611" s="34"/>
      <c r="G611" s="34"/>
      <c r="H611" s="34"/>
      <c r="I611" s="34"/>
      <c r="J611" s="34"/>
      <c r="K611" s="34"/>
      <c r="L611" s="34"/>
    </row>
    <row r="612" spans="2:12" ht="13" customHeight="1" x14ac:dyDescent="0.15">
      <c r="B612" s="32"/>
      <c r="C612" s="32"/>
      <c r="D612" s="33"/>
      <c r="E612" s="34"/>
      <c r="F612" s="34"/>
      <c r="G612" s="34"/>
      <c r="H612" s="34"/>
      <c r="I612" s="34"/>
      <c r="J612" s="34"/>
      <c r="K612" s="34"/>
      <c r="L612" s="34"/>
    </row>
    <row r="613" spans="2:12" ht="13" customHeight="1" x14ac:dyDescent="0.15">
      <c r="B613" s="32"/>
      <c r="C613" s="32"/>
      <c r="D613" s="33"/>
      <c r="E613" s="34"/>
      <c r="F613" s="34"/>
      <c r="G613" s="34"/>
      <c r="H613" s="34"/>
      <c r="I613" s="34"/>
      <c r="J613" s="34"/>
      <c r="K613" s="34"/>
      <c r="L613" s="34"/>
    </row>
    <row r="614" spans="2:12" ht="13" customHeight="1" x14ac:dyDescent="0.15">
      <c r="B614" s="32"/>
      <c r="C614" s="32"/>
      <c r="D614" s="33"/>
      <c r="E614" s="34"/>
      <c r="F614" s="34"/>
      <c r="G614" s="34"/>
      <c r="H614" s="34"/>
      <c r="I614" s="34"/>
      <c r="J614" s="34"/>
      <c r="K614" s="34"/>
      <c r="L614" s="34"/>
    </row>
    <row r="615" spans="2:12" ht="13" customHeight="1" x14ac:dyDescent="0.15">
      <c r="B615" s="32"/>
      <c r="C615" s="32"/>
      <c r="D615" s="33"/>
      <c r="E615" s="34"/>
      <c r="F615" s="34"/>
      <c r="G615" s="34"/>
      <c r="H615" s="34"/>
      <c r="I615" s="34"/>
      <c r="J615" s="34"/>
      <c r="K615" s="34"/>
      <c r="L615" s="34"/>
    </row>
    <row r="616" spans="2:12" ht="13" customHeight="1" x14ac:dyDescent="0.15">
      <c r="B616" s="32"/>
      <c r="C616" s="32"/>
      <c r="D616" s="33"/>
      <c r="E616" s="34"/>
      <c r="F616" s="34"/>
      <c r="G616" s="34"/>
      <c r="H616" s="34"/>
      <c r="I616" s="34"/>
      <c r="J616" s="34"/>
      <c r="K616" s="34"/>
      <c r="L616" s="34"/>
    </row>
    <row r="617" spans="2:12" ht="13" customHeight="1" x14ac:dyDescent="0.15">
      <c r="B617" s="32"/>
      <c r="C617" s="32"/>
      <c r="D617" s="33"/>
      <c r="E617" s="34"/>
      <c r="F617" s="34"/>
      <c r="G617" s="34"/>
      <c r="H617" s="34"/>
      <c r="I617" s="34"/>
      <c r="J617" s="34"/>
      <c r="K617" s="34"/>
      <c r="L617" s="34"/>
    </row>
    <row r="618" spans="2:12" ht="13" customHeight="1" x14ac:dyDescent="0.15">
      <c r="B618" s="32"/>
      <c r="C618" s="32"/>
      <c r="D618" s="33"/>
      <c r="E618" s="34"/>
      <c r="F618" s="34"/>
      <c r="G618" s="34"/>
      <c r="H618" s="34"/>
      <c r="I618" s="34"/>
      <c r="J618" s="34"/>
      <c r="K618" s="34"/>
      <c r="L618" s="34"/>
    </row>
    <row r="619" spans="2:12" ht="13" customHeight="1" x14ac:dyDescent="0.15">
      <c r="B619" s="32"/>
      <c r="C619" s="32"/>
      <c r="D619" s="33"/>
      <c r="E619" s="34"/>
      <c r="F619" s="34"/>
      <c r="G619" s="34"/>
      <c r="H619" s="34"/>
      <c r="I619" s="34"/>
      <c r="J619" s="34"/>
      <c r="K619" s="34"/>
      <c r="L619" s="34"/>
    </row>
    <row r="620" spans="2:12" ht="13" customHeight="1" x14ac:dyDescent="0.15">
      <c r="B620" s="32"/>
      <c r="C620" s="32"/>
      <c r="D620" s="33"/>
      <c r="E620" s="34"/>
      <c r="F620" s="34"/>
      <c r="G620" s="34"/>
      <c r="H620" s="34"/>
      <c r="I620" s="34"/>
      <c r="J620" s="34"/>
      <c r="K620" s="34"/>
      <c r="L620" s="34"/>
    </row>
    <row r="621" spans="2:12" ht="13" customHeight="1" x14ac:dyDescent="0.15">
      <c r="B621" s="32"/>
      <c r="C621" s="32"/>
      <c r="D621" s="33"/>
      <c r="E621" s="34"/>
      <c r="F621" s="34"/>
      <c r="G621" s="34"/>
      <c r="H621" s="34"/>
      <c r="I621" s="34"/>
      <c r="J621" s="34"/>
      <c r="K621" s="34"/>
      <c r="L621" s="34"/>
    </row>
    <row r="622" spans="2:12" ht="13" customHeight="1" x14ac:dyDescent="0.15">
      <c r="B622" s="32"/>
      <c r="C622" s="32"/>
      <c r="D622" s="33"/>
      <c r="E622" s="34"/>
      <c r="F622" s="34"/>
      <c r="G622" s="34"/>
      <c r="H622" s="34"/>
      <c r="I622" s="34"/>
      <c r="J622" s="34"/>
      <c r="K622" s="34"/>
      <c r="L622" s="34"/>
    </row>
    <row r="623" spans="2:12" ht="13" customHeight="1" x14ac:dyDescent="0.15">
      <c r="B623" s="32"/>
      <c r="C623" s="32"/>
      <c r="D623" s="33"/>
      <c r="E623" s="34"/>
      <c r="F623" s="34"/>
      <c r="G623" s="34"/>
      <c r="H623" s="34"/>
      <c r="I623" s="34"/>
      <c r="J623" s="34"/>
      <c r="K623" s="34"/>
      <c r="L623" s="34"/>
    </row>
    <row r="624" spans="2:12" ht="13" customHeight="1" x14ac:dyDescent="0.15">
      <c r="B624" s="32"/>
      <c r="C624" s="32"/>
      <c r="D624" s="33"/>
      <c r="E624" s="34"/>
      <c r="F624" s="34"/>
      <c r="G624" s="34"/>
      <c r="H624" s="34"/>
      <c r="I624" s="34"/>
      <c r="J624" s="34"/>
      <c r="K624" s="34"/>
      <c r="L624" s="34"/>
    </row>
    <row r="625" spans="2:12" ht="13" customHeight="1" x14ac:dyDescent="0.15">
      <c r="B625" s="32"/>
      <c r="C625" s="32"/>
      <c r="D625" s="33"/>
      <c r="E625" s="34"/>
      <c r="F625" s="34"/>
      <c r="G625" s="34"/>
      <c r="H625" s="34"/>
      <c r="I625" s="34"/>
      <c r="J625" s="34"/>
      <c r="K625" s="34"/>
      <c r="L625" s="34"/>
    </row>
    <row r="626" spans="2:12" ht="13" customHeight="1" x14ac:dyDescent="0.15">
      <c r="B626" s="32"/>
      <c r="C626" s="32"/>
      <c r="D626" s="33"/>
      <c r="E626" s="34"/>
      <c r="F626" s="34"/>
      <c r="G626" s="34"/>
      <c r="H626" s="34"/>
      <c r="I626" s="34"/>
      <c r="J626" s="34"/>
      <c r="K626" s="34"/>
      <c r="L626" s="34"/>
    </row>
    <row r="627" spans="2:12" ht="13" customHeight="1" x14ac:dyDescent="0.15">
      <c r="B627" s="32"/>
      <c r="C627" s="32"/>
      <c r="D627" s="33"/>
      <c r="E627" s="34"/>
      <c r="F627" s="34"/>
      <c r="G627" s="34"/>
      <c r="H627" s="34"/>
      <c r="I627" s="34"/>
      <c r="J627" s="34"/>
      <c r="K627" s="34"/>
      <c r="L627" s="34"/>
    </row>
    <row r="628" spans="2:12" ht="13" customHeight="1" x14ac:dyDescent="0.15">
      <c r="B628" s="32"/>
      <c r="C628" s="32"/>
      <c r="D628" s="33"/>
      <c r="E628" s="34"/>
      <c r="F628" s="34"/>
      <c r="G628" s="34"/>
      <c r="H628" s="34"/>
      <c r="I628" s="34"/>
      <c r="J628" s="34"/>
      <c r="K628" s="34"/>
      <c r="L628" s="34"/>
    </row>
    <row r="629" spans="2:12" ht="13" customHeight="1" x14ac:dyDescent="0.15">
      <c r="B629" s="32"/>
      <c r="C629" s="32"/>
      <c r="D629" s="33"/>
      <c r="E629" s="34"/>
      <c r="F629" s="34"/>
      <c r="G629" s="34"/>
      <c r="H629" s="34"/>
      <c r="I629" s="34"/>
      <c r="J629" s="34"/>
      <c r="K629" s="34"/>
      <c r="L629" s="34"/>
    </row>
    <row r="630" spans="2:12" ht="13" customHeight="1" x14ac:dyDescent="0.15">
      <c r="B630" s="32"/>
      <c r="C630" s="32"/>
      <c r="D630" s="33"/>
      <c r="E630" s="34"/>
      <c r="F630" s="34"/>
      <c r="G630" s="34"/>
      <c r="H630" s="34"/>
      <c r="I630" s="34"/>
      <c r="J630" s="34"/>
      <c r="K630" s="34"/>
      <c r="L630" s="34"/>
    </row>
    <row r="631" spans="2:12" ht="13" customHeight="1" x14ac:dyDescent="0.15">
      <c r="B631" s="32"/>
      <c r="C631" s="32"/>
      <c r="D631" s="33"/>
      <c r="E631" s="34"/>
      <c r="F631" s="34"/>
      <c r="G631" s="34"/>
      <c r="H631" s="34"/>
      <c r="I631" s="34"/>
      <c r="J631" s="34"/>
      <c r="K631" s="34"/>
      <c r="L631" s="34"/>
    </row>
    <row r="632" spans="2:12" ht="13" customHeight="1" x14ac:dyDescent="0.15">
      <c r="B632" s="32"/>
      <c r="C632" s="32"/>
      <c r="D632" s="33"/>
      <c r="E632" s="34"/>
      <c r="F632" s="34"/>
      <c r="G632" s="34"/>
      <c r="H632" s="34"/>
      <c r="I632" s="34"/>
      <c r="J632" s="34"/>
      <c r="K632" s="34"/>
      <c r="L632" s="34"/>
    </row>
    <row r="633" spans="2:12" ht="13" customHeight="1" x14ac:dyDescent="0.15">
      <c r="B633" s="32"/>
      <c r="C633" s="32"/>
      <c r="D633" s="33"/>
      <c r="E633" s="34"/>
      <c r="F633" s="34"/>
      <c r="G633" s="34"/>
      <c r="H633" s="34"/>
      <c r="I633" s="34"/>
      <c r="J633" s="34"/>
      <c r="K633" s="34"/>
      <c r="L633" s="34"/>
    </row>
    <row r="634" spans="2:12" ht="13" customHeight="1" x14ac:dyDescent="0.15">
      <c r="B634" s="32"/>
      <c r="C634" s="32"/>
      <c r="D634" s="33"/>
      <c r="E634" s="34"/>
      <c r="F634" s="34"/>
      <c r="G634" s="34"/>
      <c r="H634" s="34"/>
      <c r="I634" s="34"/>
      <c r="J634" s="34"/>
      <c r="K634" s="34"/>
      <c r="L634" s="34"/>
    </row>
    <row r="635" spans="2:12" ht="13" customHeight="1" x14ac:dyDescent="0.15">
      <c r="B635" s="32"/>
      <c r="C635" s="32"/>
      <c r="D635" s="33"/>
      <c r="E635" s="34"/>
      <c r="F635" s="34"/>
      <c r="G635" s="34"/>
      <c r="H635" s="34"/>
      <c r="I635" s="34"/>
      <c r="J635" s="34"/>
      <c r="K635" s="34"/>
      <c r="L635" s="34"/>
    </row>
    <row r="636" spans="2:12" ht="13" customHeight="1" x14ac:dyDescent="0.15">
      <c r="B636" s="32"/>
      <c r="C636" s="32"/>
      <c r="D636" s="33"/>
      <c r="E636" s="34"/>
      <c r="F636" s="34"/>
      <c r="G636" s="34"/>
      <c r="H636" s="34"/>
      <c r="I636" s="34"/>
      <c r="J636" s="34"/>
      <c r="K636" s="34"/>
      <c r="L636" s="34"/>
    </row>
    <row r="637" spans="2:12" ht="13" customHeight="1" x14ac:dyDescent="0.15">
      <c r="B637" s="32"/>
      <c r="C637" s="32"/>
      <c r="D637" s="33"/>
      <c r="E637" s="34"/>
      <c r="F637" s="34"/>
      <c r="G637" s="34"/>
      <c r="H637" s="34"/>
      <c r="I637" s="34"/>
      <c r="J637" s="34"/>
      <c r="K637" s="34"/>
      <c r="L637" s="34"/>
    </row>
    <row r="638" spans="2:12" ht="13" customHeight="1" x14ac:dyDescent="0.15">
      <c r="B638" s="32"/>
      <c r="C638" s="32"/>
      <c r="D638" s="33"/>
      <c r="E638" s="34"/>
      <c r="F638" s="34"/>
      <c r="G638" s="34"/>
      <c r="H638" s="34"/>
      <c r="I638" s="34"/>
      <c r="J638" s="34"/>
      <c r="K638" s="34"/>
      <c r="L638" s="34"/>
    </row>
    <row r="639" spans="2:12" ht="13" customHeight="1" x14ac:dyDescent="0.15">
      <c r="B639" s="32"/>
      <c r="C639" s="32"/>
      <c r="D639" s="33"/>
      <c r="E639" s="34"/>
      <c r="F639" s="34"/>
      <c r="G639" s="34"/>
      <c r="H639" s="34"/>
      <c r="I639" s="34"/>
      <c r="J639" s="34"/>
      <c r="K639" s="34"/>
      <c r="L639" s="34"/>
    </row>
    <row r="640" spans="2:12" ht="13" customHeight="1" x14ac:dyDescent="0.15">
      <c r="B640" s="32"/>
      <c r="C640" s="32"/>
      <c r="D640" s="33"/>
      <c r="E640" s="34"/>
      <c r="F640" s="34"/>
      <c r="G640" s="34"/>
      <c r="H640" s="34"/>
      <c r="I640" s="34"/>
      <c r="J640" s="34"/>
      <c r="K640" s="34"/>
      <c r="L640" s="34"/>
    </row>
    <row r="641" spans="2:12" ht="13" customHeight="1" x14ac:dyDescent="0.15">
      <c r="B641" s="32"/>
      <c r="C641" s="32"/>
      <c r="D641" s="33"/>
      <c r="E641" s="34"/>
      <c r="F641" s="34"/>
      <c r="G641" s="34"/>
      <c r="H641" s="34"/>
      <c r="I641" s="34"/>
      <c r="J641" s="34"/>
      <c r="K641" s="34"/>
      <c r="L641" s="34"/>
    </row>
    <row r="642" spans="2:12" ht="13" customHeight="1" x14ac:dyDescent="0.15">
      <c r="B642" s="32"/>
      <c r="C642" s="32"/>
      <c r="D642" s="33"/>
      <c r="E642" s="34"/>
      <c r="F642" s="34"/>
      <c r="G642" s="34"/>
      <c r="H642" s="34"/>
      <c r="I642" s="34"/>
      <c r="J642" s="34"/>
      <c r="K642" s="34"/>
      <c r="L642" s="34"/>
    </row>
    <row r="643" spans="2:12" ht="13" customHeight="1" x14ac:dyDescent="0.15">
      <c r="B643" s="32"/>
      <c r="C643" s="32"/>
      <c r="D643" s="33"/>
      <c r="E643" s="34"/>
      <c r="F643" s="34"/>
      <c r="G643" s="34"/>
      <c r="H643" s="34"/>
      <c r="I643" s="34"/>
      <c r="J643" s="34"/>
      <c r="K643" s="34"/>
      <c r="L643" s="34"/>
    </row>
    <row r="644" spans="2:12" ht="13" customHeight="1" x14ac:dyDescent="0.15">
      <c r="B644" s="32"/>
      <c r="C644" s="32"/>
      <c r="D644" s="33"/>
      <c r="E644" s="34"/>
      <c r="F644" s="34"/>
      <c r="G644" s="34"/>
      <c r="H644" s="34"/>
      <c r="I644" s="34"/>
      <c r="J644" s="34"/>
      <c r="K644" s="34"/>
      <c r="L644" s="34"/>
    </row>
    <row r="645" spans="2:12" ht="13" customHeight="1" x14ac:dyDescent="0.15">
      <c r="B645" s="32"/>
      <c r="C645" s="32"/>
      <c r="D645" s="33"/>
      <c r="E645" s="34"/>
      <c r="F645" s="34"/>
      <c r="G645" s="34"/>
      <c r="H645" s="34"/>
      <c r="I645" s="34"/>
      <c r="J645" s="34"/>
      <c r="K645" s="34"/>
      <c r="L645" s="34"/>
    </row>
    <row r="646" spans="2:12" ht="13" customHeight="1" x14ac:dyDescent="0.15">
      <c r="B646" s="32"/>
      <c r="C646" s="32"/>
      <c r="D646" s="33"/>
      <c r="E646" s="34"/>
      <c r="F646" s="34"/>
      <c r="G646" s="34"/>
      <c r="H646" s="34"/>
      <c r="I646" s="34"/>
      <c r="J646" s="34"/>
      <c r="K646" s="34"/>
      <c r="L646" s="34"/>
    </row>
    <row r="647" spans="2:12" ht="13" customHeight="1" x14ac:dyDescent="0.15">
      <c r="B647" s="32"/>
      <c r="C647" s="32"/>
      <c r="D647" s="33"/>
      <c r="E647" s="34"/>
      <c r="F647" s="34"/>
      <c r="G647" s="34"/>
      <c r="H647" s="34"/>
      <c r="I647" s="34"/>
      <c r="J647" s="34"/>
      <c r="K647" s="34"/>
      <c r="L647" s="34"/>
    </row>
    <row r="648" spans="2:12" ht="13" customHeight="1" x14ac:dyDescent="0.15">
      <c r="B648" s="32"/>
      <c r="C648" s="32"/>
      <c r="D648" s="33"/>
      <c r="E648" s="34"/>
      <c r="F648" s="34"/>
      <c r="G648" s="34"/>
      <c r="H648" s="34"/>
      <c r="I648" s="34"/>
      <c r="J648" s="34"/>
      <c r="K648" s="34"/>
      <c r="L648" s="34"/>
    </row>
    <row r="649" spans="2:12" ht="13" customHeight="1" x14ac:dyDescent="0.15">
      <c r="B649" s="32"/>
      <c r="C649" s="32"/>
      <c r="D649" s="33"/>
      <c r="E649" s="34"/>
      <c r="F649" s="34"/>
      <c r="G649" s="34"/>
      <c r="H649" s="34"/>
      <c r="I649" s="34"/>
      <c r="J649" s="34"/>
      <c r="K649" s="34"/>
      <c r="L649" s="34"/>
    </row>
    <row r="650" spans="2:12" ht="13" customHeight="1" x14ac:dyDescent="0.15">
      <c r="B650" s="32"/>
      <c r="C650" s="32"/>
      <c r="D650" s="33"/>
      <c r="E650" s="34"/>
      <c r="F650" s="34"/>
      <c r="G650" s="34"/>
      <c r="H650" s="34"/>
      <c r="I650" s="34"/>
      <c r="J650" s="34"/>
      <c r="K650" s="34"/>
      <c r="L650" s="34"/>
    </row>
    <row r="651" spans="2:12" ht="13" customHeight="1" x14ac:dyDescent="0.15">
      <c r="B651" s="32"/>
      <c r="C651" s="32"/>
      <c r="D651" s="33"/>
      <c r="E651" s="34"/>
      <c r="F651" s="34"/>
      <c r="G651" s="34"/>
      <c r="H651" s="34"/>
      <c r="I651" s="34"/>
      <c r="J651" s="34"/>
      <c r="K651" s="34"/>
      <c r="L651" s="34"/>
    </row>
    <row r="652" spans="2:12" ht="13" customHeight="1" x14ac:dyDescent="0.15">
      <c r="B652" s="32"/>
      <c r="C652" s="32"/>
      <c r="D652" s="33"/>
      <c r="E652" s="34"/>
      <c r="F652" s="34"/>
      <c r="G652" s="34"/>
      <c r="H652" s="34"/>
      <c r="I652" s="34"/>
      <c r="J652" s="34"/>
      <c r="K652" s="34"/>
      <c r="L652" s="34"/>
    </row>
    <row r="653" spans="2:12" ht="13" customHeight="1" x14ac:dyDescent="0.15">
      <c r="B653" s="32"/>
      <c r="C653" s="32"/>
      <c r="D653" s="33"/>
      <c r="E653" s="34"/>
      <c r="F653" s="34"/>
      <c r="G653" s="34"/>
      <c r="H653" s="34"/>
      <c r="I653" s="34"/>
      <c r="J653" s="34"/>
      <c r="K653" s="34"/>
      <c r="L653" s="34"/>
    </row>
    <row r="654" spans="2:12" ht="13" customHeight="1" x14ac:dyDescent="0.15">
      <c r="B654" s="32"/>
      <c r="C654" s="32"/>
      <c r="D654" s="33"/>
      <c r="E654" s="34"/>
      <c r="F654" s="34"/>
      <c r="G654" s="34"/>
      <c r="H654" s="34"/>
      <c r="I654" s="34"/>
      <c r="J654" s="34"/>
      <c r="K654" s="34"/>
      <c r="L654" s="34"/>
    </row>
    <row r="655" spans="2:12" ht="13" customHeight="1" x14ac:dyDescent="0.15">
      <c r="B655" s="32"/>
      <c r="C655" s="32"/>
      <c r="D655" s="33"/>
      <c r="E655" s="34"/>
      <c r="F655" s="34"/>
      <c r="G655" s="34"/>
      <c r="H655" s="34"/>
      <c r="I655" s="34"/>
      <c r="J655" s="34"/>
      <c r="K655" s="34"/>
      <c r="L655" s="34"/>
    </row>
    <row r="656" spans="2:12" ht="13" customHeight="1" x14ac:dyDescent="0.15">
      <c r="B656" s="32"/>
      <c r="C656" s="32"/>
      <c r="D656" s="33"/>
      <c r="E656" s="34"/>
      <c r="F656" s="34"/>
      <c r="G656" s="34"/>
      <c r="H656" s="34"/>
      <c r="I656" s="34"/>
      <c r="J656" s="34"/>
      <c r="K656" s="34"/>
      <c r="L656" s="34"/>
    </row>
    <row r="657" spans="2:12" ht="13" customHeight="1" x14ac:dyDescent="0.15">
      <c r="B657" s="32"/>
      <c r="C657" s="32"/>
      <c r="D657" s="33"/>
      <c r="E657" s="34"/>
      <c r="F657" s="34"/>
      <c r="G657" s="34"/>
      <c r="H657" s="34"/>
      <c r="I657" s="34"/>
      <c r="J657" s="34"/>
      <c r="K657" s="34"/>
      <c r="L657" s="34"/>
    </row>
    <row r="658" spans="2:12" ht="13" customHeight="1" x14ac:dyDescent="0.15">
      <c r="B658" s="32"/>
      <c r="C658" s="32"/>
      <c r="D658" s="33"/>
      <c r="E658" s="34"/>
      <c r="F658" s="34"/>
      <c r="G658" s="34"/>
      <c r="H658" s="34"/>
      <c r="I658" s="34"/>
      <c r="J658" s="34"/>
      <c r="K658" s="34"/>
      <c r="L658" s="34"/>
    </row>
    <row r="659" spans="2:12" ht="13" customHeight="1" x14ac:dyDescent="0.15">
      <c r="B659" s="32"/>
      <c r="C659" s="32"/>
      <c r="D659" s="33"/>
      <c r="E659" s="34"/>
      <c r="F659" s="34"/>
      <c r="G659" s="34"/>
      <c r="H659" s="34"/>
      <c r="I659" s="34"/>
      <c r="J659" s="34"/>
      <c r="K659" s="34"/>
      <c r="L659" s="34"/>
    </row>
    <row r="660" spans="2:12" ht="13" customHeight="1" x14ac:dyDescent="0.15">
      <c r="B660" s="32"/>
      <c r="C660" s="32"/>
      <c r="D660" s="33"/>
      <c r="E660" s="34"/>
      <c r="F660" s="34"/>
      <c r="G660" s="34"/>
      <c r="H660" s="34"/>
      <c r="I660" s="34"/>
      <c r="J660" s="34"/>
      <c r="K660" s="34"/>
      <c r="L660" s="34"/>
    </row>
    <row r="661" spans="2:12" ht="13" customHeight="1" x14ac:dyDescent="0.15">
      <c r="B661" s="32"/>
      <c r="C661" s="32"/>
      <c r="D661" s="33"/>
      <c r="E661" s="34"/>
      <c r="F661" s="34"/>
      <c r="G661" s="34"/>
      <c r="H661" s="34"/>
      <c r="I661" s="34"/>
      <c r="J661" s="34"/>
      <c r="K661" s="34"/>
      <c r="L661" s="34"/>
    </row>
    <row r="662" spans="2:12" ht="13" customHeight="1" x14ac:dyDescent="0.15">
      <c r="B662" s="32"/>
      <c r="C662" s="32"/>
      <c r="D662" s="33"/>
      <c r="E662" s="34"/>
      <c r="F662" s="34"/>
      <c r="G662" s="34"/>
      <c r="H662" s="34"/>
      <c r="I662" s="34"/>
      <c r="J662" s="34"/>
      <c r="K662" s="34"/>
      <c r="L662" s="34"/>
    </row>
    <row r="663" spans="2:12" ht="13" customHeight="1" x14ac:dyDescent="0.15">
      <c r="B663" s="32"/>
      <c r="C663" s="32"/>
      <c r="D663" s="33"/>
      <c r="E663" s="34"/>
      <c r="F663" s="34"/>
      <c r="G663" s="34"/>
      <c r="H663" s="34"/>
      <c r="I663" s="34"/>
      <c r="J663" s="34"/>
      <c r="K663" s="34"/>
      <c r="L663" s="34"/>
    </row>
    <row r="664" spans="2:12" ht="13" customHeight="1" x14ac:dyDescent="0.15">
      <c r="B664" s="32"/>
      <c r="C664" s="32"/>
      <c r="D664" s="33"/>
      <c r="E664" s="34"/>
      <c r="F664" s="34"/>
      <c r="G664" s="34"/>
      <c r="H664" s="34"/>
      <c r="I664" s="34"/>
      <c r="J664" s="34"/>
      <c r="K664" s="34"/>
      <c r="L664" s="34"/>
    </row>
    <row r="665" spans="2:12" ht="13" customHeight="1" x14ac:dyDescent="0.15">
      <c r="B665" s="32"/>
      <c r="C665" s="32"/>
      <c r="D665" s="33"/>
      <c r="E665" s="34"/>
      <c r="F665" s="34"/>
      <c r="G665" s="34"/>
      <c r="H665" s="34"/>
      <c r="I665" s="34"/>
      <c r="J665" s="34"/>
      <c r="K665" s="34"/>
      <c r="L665" s="34"/>
    </row>
    <row r="666" spans="2:12" ht="13" customHeight="1" x14ac:dyDescent="0.15">
      <c r="B666" s="32"/>
      <c r="C666" s="32"/>
      <c r="D666" s="33"/>
      <c r="E666" s="34"/>
      <c r="F666" s="34"/>
      <c r="G666" s="34"/>
      <c r="H666" s="34"/>
      <c r="I666" s="34"/>
      <c r="J666" s="34"/>
      <c r="K666" s="34"/>
      <c r="L666" s="34"/>
    </row>
    <row r="667" spans="2:12" ht="13" customHeight="1" x14ac:dyDescent="0.15">
      <c r="B667" s="32"/>
      <c r="C667" s="32"/>
      <c r="D667" s="33"/>
      <c r="E667" s="34"/>
      <c r="F667" s="34"/>
      <c r="G667" s="34"/>
      <c r="H667" s="34"/>
      <c r="I667" s="34"/>
      <c r="J667" s="34"/>
      <c r="K667" s="34"/>
      <c r="L667" s="34"/>
    </row>
    <row r="668" spans="2:12" ht="13" customHeight="1" x14ac:dyDescent="0.15">
      <c r="B668" s="32"/>
      <c r="C668" s="32"/>
      <c r="D668" s="33"/>
      <c r="E668" s="34"/>
      <c r="F668" s="34"/>
      <c r="G668" s="34"/>
      <c r="H668" s="34"/>
      <c r="I668" s="34"/>
      <c r="J668" s="34"/>
      <c r="K668" s="34"/>
      <c r="L668" s="34"/>
    </row>
    <row r="669" spans="2:12" ht="13" customHeight="1" x14ac:dyDescent="0.15">
      <c r="B669" s="32"/>
      <c r="C669" s="32"/>
      <c r="D669" s="33"/>
      <c r="E669" s="34"/>
      <c r="F669" s="34"/>
      <c r="G669" s="34"/>
      <c r="H669" s="34"/>
      <c r="I669" s="34"/>
      <c r="J669" s="34"/>
      <c r="K669" s="34"/>
      <c r="L669" s="34"/>
    </row>
    <row r="670" spans="2:12" ht="13" customHeight="1" x14ac:dyDescent="0.15">
      <c r="B670" s="32"/>
      <c r="C670" s="32"/>
      <c r="D670" s="33"/>
      <c r="E670" s="34"/>
      <c r="F670" s="34"/>
      <c r="G670" s="34"/>
      <c r="H670" s="34"/>
      <c r="I670" s="34"/>
      <c r="J670" s="34"/>
      <c r="K670" s="34"/>
      <c r="L670" s="34"/>
    </row>
    <row r="671" spans="2:12" ht="13" customHeight="1" x14ac:dyDescent="0.15">
      <c r="B671" s="32"/>
      <c r="C671" s="32"/>
      <c r="D671" s="33"/>
      <c r="E671" s="34"/>
      <c r="F671" s="34"/>
      <c r="G671" s="34"/>
      <c r="H671" s="34"/>
      <c r="I671" s="34"/>
      <c r="J671" s="34"/>
      <c r="K671" s="34"/>
      <c r="L671" s="34"/>
    </row>
    <row r="672" spans="2:12" ht="13" customHeight="1" x14ac:dyDescent="0.15">
      <c r="B672" s="32"/>
      <c r="C672" s="32"/>
      <c r="D672" s="33"/>
      <c r="E672" s="34"/>
      <c r="F672" s="34"/>
      <c r="G672" s="34"/>
      <c r="H672" s="34"/>
      <c r="I672" s="34"/>
      <c r="J672" s="34"/>
      <c r="K672" s="34"/>
      <c r="L672" s="34"/>
    </row>
    <row r="673" spans="2:12" ht="13" customHeight="1" x14ac:dyDescent="0.15">
      <c r="B673" s="32"/>
      <c r="C673" s="32"/>
      <c r="D673" s="33"/>
      <c r="E673" s="34"/>
      <c r="F673" s="34"/>
      <c r="G673" s="34"/>
      <c r="H673" s="34"/>
      <c r="I673" s="34"/>
      <c r="J673" s="34"/>
      <c r="K673" s="34"/>
      <c r="L673" s="34"/>
    </row>
    <row r="674" spans="2:12" ht="13" customHeight="1" x14ac:dyDescent="0.15">
      <c r="B674" s="32"/>
      <c r="C674" s="32"/>
      <c r="D674" s="33"/>
      <c r="E674" s="34"/>
      <c r="F674" s="34"/>
      <c r="G674" s="34"/>
      <c r="H674" s="34"/>
      <c r="I674" s="34"/>
      <c r="J674" s="34"/>
      <c r="K674" s="34"/>
      <c r="L674" s="34"/>
    </row>
    <row r="675" spans="2:12" ht="13" customHeight="1" x14ac:dyDescent="0.15">
      <c r="B675" s="32"/>
      <c r="C675" s="32"/>
      <c r="D675" s="33"/>
      <c r="E675" s="34"/>
      <c r="F675" s="34"/>
      <c r="G675" s="34"/>
      <c r="H675" s="34"/>
      <c r="I675" s="34"/>
      <c r="J675" s="34"/>
      <c r="K675" s="34"/>
      <c r="L675" s="34"/>
    </row>
    <row r="676" spans="2:12" ht="13" customHeight="1" x14ac:dyDescent="0.15">
      <c r="B676" s="32"/>
      <c r="C676" s="32"/>
      <c r="D676" s="33"/>
      <c r="E676" s="34"/>
      <c r="F676" s="34"/>
      <c r="G676" s="34"/>
      <c r="H676" s="34"/>
      <c r="I676" s="34"/>
      <c r="J676" s="34"/>
      <c r="K676" s="34"/>
      <c r="L676" s="34"/>
    </row>
    <row r="677" spans="2:12" ht="13" customHeight="1" x14ac:dyDescent="0.15">
      <c r="B677" s="32"/>
      <c r="C677" s="32"/>
      <c r="D677" s="33"/>
      <c r="E677" s="34"/>
      <c r="F677" s="34"/>
      <c r="G677" s="34"/>
      <c r="H677" s="34"/>
      <c r="I677" s="34"/>
      <c r="J677" s="34"/>
      <c r="K677" s="34"/>
      <c r="L677" s="34"/>
    </row>
    <row r="678" spans="2:12" ht="13" customHeight="1" x14ac:dyDescent="0.15">
      <c r="B678" s="32"/>
      <c r="C678" s="32"/>
      <c r="D678" s="33"/>
      <c r="E678" s="34"/>
      <c r="F678" s="34"/>
      <c r="G678" s="34"/>
      <c r="H678" s="34"/>
      <c r="I678" s="34"/>
      <c r="J678" s="34"/>
      <c r="K678" s="34"/>
      <c r="L678" s="34"/>
    </row>
    <row r="679" spans="2:12" ht="13" customHeight="1" x14ac:dyDescent="0.15">
      <c r="B679" s="32"/>
      <c r="C679" s="32"/>
      <c r="D679" s="33"/>
      <c r="E679" s="34"/>
      <c r="F679" s="34"/>
      <c r="G679" s="34"/>
      <c r="H679" s="34"/>
      <c r="I679" s="34"/>
      <c r="J679" s="34"/>
      <c r="K679" s="34"/>
      <c r="L679" s="34"/>
    </row>
    <row r="680" spans="2:12" ht="13" customHeight="1" x14ac:dyDescent="0.15">
      <c r="B680" s="32"/>
      <c r="C680" s="32"/>
      <c r="D680" s="33"/>
      <c r="E680" s="34"/>
      <c r="F680" s="34"/>
      <c r="G680" s="34"/>
      <c r="H680" s="34"/>
      <c r="I680" s="34"/>
      <c r="J680" s="34"/>
      <c r="K680" s="34"/>
      <c r="L680" s="34"/>
    </row>
    <row r="681" spans="2:12" ht="13" customHeight="1" x14ac:dyDescent="0.15">
      <c r="B681" s="32"/>
      <c r="C681" s="32"/>
      <c r="D681" s="33"/>
      <c r="E681" s="34"/>
      <c r="F681" s="34"/>
      <c r="G681" s="34"/>
      <c r="H681" s="34"/>
      <c r="I681" s="34"/>
      <c r="J681" s="34"/>
      <c r="K681" s="34"/>
      <c r="L681" s="34"/>
    </row>
    <row r="682" spans="2:12" ht="13" customHeight="1" x14ac:dyDescent="0.15">
      <c r="B682" s="32"/>
      <c r="C682" s="32"/>
      <c r="D682" s="33"/>
      <c r="E682" s="34"/>
      <c r="F682" s="34"/>
      <c r="G682" s="34"/>
      <c r="H682" s="34"/>
      <c r="I682" s="34"/>
      <c r="J682" s="34"/>
      <c r="K682" s="34"/>
      <c r="L682" s="34"/>
    </row>
    <row r="683" spans="2:12" ht="13" customHeight="1" x14ac:dyDescent="0.15">
      <c r="B683" s="32"/>
      <c r="C683" s="32"/>
      <c r="D683" s="33"/>
      <c r="E683" s="34"/>
      <c r="F683" s="34"/>
      <c r="G683" s="34"/>
      <c r="H683" s="34"/>
      <c r="I683" s="34"/>
      <c r="J683" s="34"/>
      <c r="K683" s="34"/>
      <c r="L683" s="34"/>
    </row>
    <row r="684" spans="2:12" ht="13" customHeight="1" x14ac:dyDescent="0.15">
      <c r="B684" s="32"/>
      <c r="C684" s="32"/>
      <c r="D684" s="33"/>
      <c r="E684" s="34"/>
      <c r="F684" s="34"/>
      <c r="G684" s="34"/>
      <c r="H684" s="34"/>
      <c r="I684" s="34"/>
      <c r="J684" s="34"/>
      <c r="K684" s="34"/>
      <c r="L684" s="34"/>
    </row>
    <row r="685" spans="2:12" ht="13" customHeight="1" x14ac:dyDescent="0.15">
      <c r="B685" s="32"/>
      <c r="C685" s="32"/>
      <c r="D685" s="33"/>
      <c r="E685" s="34"/>
      <c r="F685" s="34"/>
      <c r="G685" s="34"/>
      <c r="H685" s="34"/>
      <c r="I685" s="34"/>
      <c r="J685" s="34"/>
      <c r="K685" s="34"/>
      <c r="L685" s="34"/>
    </row>
    <row r="686" spans="2:12" ht="13" customHeight="1" x14ac:dyDescent="0.15">
      <c r="B686" s="32"/>
      <c r="C686" s="32"/>
      <c r="D686" s="33"/>
      <c r="E686" s="34"/>
      <c r="F686" s="34"/>
      <c r="G686" s="34"/>
      <c r="H686" s="34"/>
      <c r="I686" s="34"/>
      <c r="J686" s="34"/>
      <c r="K686" s="34"/>
      <c r="L686" s="34"/>
    </row>
    <row r="687" spans="2:12" ht="13" customHeight="1" x14ac:dyDescent="0.15">
      <c r="B687" s="32"/>
      <c r="C687" s="32"/>
      <c r="D687" s="33"/>
      <c r="E687" s="34"/>
      <c r="F687" s="34"/>
      <c r="G687" s="34"/>
      <c r="H687" s="34"/>
      <c r="I687" s="34"/>
      <c r="J687" s="34"/>
      <c r="K687" s="34"/>
      <c r="L687" s="34"/>
    </row>
    <row r="688" spans="2:12" ht="13" customHeight="1" x14ac:dyDescent="0.15">
      <c r="B688" s="32"/>
      <c r="C688" s="32"/>
      <c r="D688" s="33"/>
      <c r="E688" s="34"/>
      <c r="F688" s="34"/>
      <c r="G688" s="34"/>
      <c r="H688" s="34"/>
      <c r="I688" s="34"/>
      <c r="J688" s="34"/>
      <c r="K688" s="34"/>
      <c r="L688" s="34"/>
    </row>
    <row r="689" spans="2:12" ht="13" customHeight="1" x14ac:dyDescent="0.15">
      <c r="B689" s="32"/>
      <c r="C689" s="32"/>
      <c r="D689" s="33"/>
      <c r="E689" s="34"/>
      <c r="F689" s="34"/>
      <c r="G689" s="34"/>
      <c r="H689" s="34"/>
      <c r="I689" s="34"/>
      <c r="J689" s="34"/>
      <c r="K689" s="34"/>
      <c r="L689" s="34"/>
    </row>
    <row r="690" spans="2:12" ht="13" customHeight="1" x14ac:dyDescent="0.15">
      <c r="B690" s="32"/>
      <c r="C690" s="32"/>
      <c r="D690" s="33"/>
      <c r="E690" s="34"/>
      <c r="F690" s="34"/>
      <c r="G690" s="34"/>
      <c r="H690" s="34"/>
      <c r="I690" s="34"/>
      <c r="J690" s="34"/>
      <c r="K690" s="34"/>
      <c r="L690" s="34"/>
    </row>
    <row r="691" spans="2:12" ht="13" customHeight="1" x14ac:dyDescent="0.15">
      <c r="B691" s="32"/>
      <c r="C691" s="32"/>
      <c r="D691" s="33"/>
      <c r="E691" s="34"/>
      <c r="F691" s="34"/>
      <c r="G691" s="34"/>
      <c r="H691" s="34"/>
      <c r="I691" s="34"/>
      <c r="J691" s="34"/>
      <c r="K691" s="34"/>
      <c r="L691" s="34"/>
    </row>
    <row r="692" spans="2:12" ht="13" customHeight="1" x14ac:dyDescent="0.15">
      <c r="B692" s="32"/>
      <c r="C692" s="32"/>
      <c r="D692" s="33"/>
      <c r="E692" s="34"/>
      <c r="F692" s="34"/>
      <c r="G692" s="34"/>
      <c r="H692" s="34"/>
      <c r="I692" s="34"/>
      <c r="J692" s="34"/>
      <c r="K692" s="34"/>
      <c r="L692" s="34"/>
    </row>
    <row r="693" spans="2:12" ht="13" customHeight="1" x14ac:dyDescent="0.15">
      <c r="B693" s="32"/>
      <c r="C693" s="32"/>
      <c r="D693" s="33"/>
      <c r="E693" s="34"/>
      <c r="F693" s="34"/>
      <c r="G693" s="34"/>
      <c r="H693" s="34"/>
      <c r="I693" s="34"/>
      <c r="J693" s="34"/>
      <c r="K693" s="34"/>
      <c r="L693" s="34"/>
    </row>
    <row r="694" spans="2:12" ht="13" customHeight="1" x14ac:dyDescent="0.15">
      <c r="B694" s="32"/>
      <c r="C694" s="32"/>
      <c r="D694" s="33"/>
      <c r="E694" s="34"/>
      <c r="F694" s="34"/>
      <c r="G694" s="34"/>
      <c r="H694" s="34"/>
      <c r="I694" s="34"/>
      <c r="J694" s="34"/>
      <c r="K694" s="34"/>
      <c r="L694" s="34"/>
    </row>
    <row r="695" spans="2:12" ht="13" customHeight="1" x14ac:dyDescent="0.15">
      <c r="B695" s="32"/>
      <c r="C695" s="32"/>
      <c r="D695" s="33"/>
      <c r="E695" s="34"/>
      <c r="F695" s="34"/>
      <c r="G695" s="34"/>
      <c r="H695" s="34"/>
      <c r="I695" s="34"/>
      <c r="J695" s="34"/>
      <c r="K695" s="34"/>
      <c r="L695" s="34"/>
    </row>
    <row r="696" spans="2:12" ht="13" customHeight="1" x14ac:dyDescent="0.15">
      <c r="B696" s="32"/>
      <c r="C696" s="32"/>
      <c r="D696" s="33"/>
      <c r="E696" s="34"/>
      <c r="F696" s="34"/>
      <c r="G696" s="34"/>
      <c r="H696" s="34"/>
      <c r="I696" s="34"/>
      <c r="J696" s="34"/>
      <c r="K696" s="34"/>
      <c r="L696" s="34"/>
    </row>
    <row r="697" spans="2:12" ht="13" customHeight="1" x14ac:dyDescent="0.15">
      <c r="B697" s="32"/>
      <c r="C697" s="32"/>
      <c r="D697" s="33"/>
      <c r="E697" s="34"/>
      <c r="F697" s="34"/>
      <c r="G697" s="34"/>
      <c r="H697" s="34"/>
      <c r="I697" s="34"/>
      <c r="J697" s="34"/>
      <c r="K697" s="34"/>
      <c r="L697" s="34"/>
    </row>
    <row r="698" spans="2:12" ht="13" customHeight="1" x14ac:dyDescent="0.15">
      <c r="B698" s="32"/>
      <c r="C698" s="32"/>
      <c r="D698" s="33"/>
      <c r="E698" s="34"/>
      <c r="F698" s="34"/>
      <c r="G698" s="34"/>
      <c r="H698" s="34"/>
      <c r="I698" s="34"/>
      <c r="J698" s="34"/>
      <c r="K698" s="34"/>
      <c r="L698" s="34"/>
    </row>
    <row r="699" spans="2:12" ht="13" customHeight="1" x14ac:dyDescent="0.15">
      <c r="B699" s="32"/>
      <c r="C699" s="32"/>
      <c r="D699" s="33"/>
      <c r="E699" s="34"/>
      <c r="F699" s="34"/>
      <c r="G699" s="34"/>
      <c r="H699" s="34"/>
      <c r="I699" s="34"/>
      <c r="J699" s="34"/>
      <c r="K699" s="34"/>
      <c r="L699" s="34"/>
    </row>
    <row r="700" spans="2:12" ht="13" customHeight="1" x14ac:dyDescent="0.15">
      <c r="B700" s="32"/>
      <c r="C700" s="32"/>
      <c r="D700" s="33"/>
      <c r="E700" s="34"/>
      <c r="F700" s="34"/>
      <c r="G700" s="34"/>
      <c r="H700" s="34"/>
      <c r="I700" s="34"/>
      <c r="J700" s="34"/>
      <c r="K700" s="34"/>
      <c r="L700" s="34"/>
    </row>
    <row r="701" spans="2:12" ht="13" customHeight="1" x14ac:dyDescent="0.15">
      <c r="B701" s="32"/>
      <c r="C701" s="32"/>
      <c r="D701" s="33"/>
      <c r="E701" s="34"/>
      <c r="F701" s="34"/>
      <c r="G701" s="34"/>
      <c r="H701" s="34"/>
      <c r="I701" s="34"/>
      <c r="J701" s="34"/>
      <c r="K701" s="34"/>
      <c r="L701" s="34"/>
    </row>
    <row r="702" spans="2:12" ht="13" customHeight="1" x14ac:dyDescent="0.15">
      <c r="B702" s="32"/>
      <c r="C702" s="32"/>
      <c r="D702" s="33"/>
      <c r="E702" s="34"/>
      <c r="F702" s="34"/>
      <c r="G702" s="34"/>
      <c r="H702" s="34"/>
      <c r="I702" s="34"/>
      <c r="J702" s="34"/>
      <c r="K702" s="34"/>
      <c r="L702" s="34"/>
    </row>
    <row r="703" spans="2:12" ht="13" customHeight="1" x14ac:dyDescent="0.15">
      <c r="B703" s="32"/>
      <c r="C703" s="32"/>
      <c r="D703" s="33"/>
      <c r="E703" s="34"/>
      <c r="F703" s="34"/>
      <c r="G703" s="34"/>
      <c r="H703" s="34"/>
      <c r="I703" s="34"/>
      <c r="J703" s="34"/>
      <c r="K703" s="34"/>
      <c r="L703" s="34"/>
    </row>
    <row r="704" spans="2:12" ht="13" customHeight="1" x14ac:dyDescent="0.15">
      <c r="B704" s="32"/>
      <c r="C704" s="32"/>
      <c r="D704" s="33"/>
      <c r="E704" s="34"/>
      <c r="F704" s="34"/>
      <c r="G704" s="34"/>
      <c r="H704" s="34"/>
      <c r="I704" s="34"/>
      <c r="J704" s="34"/>
      <c r="K704" s="34"/>
      <c r="L704" s="34"/>
    </row>
    <row r="705" spans="2:12" ht="13" customHeight="1" x14ac:dyDescent="0.15">
      <c r="B705" s="32"/>
      <c r="C705" s="32"/>
      <c r="D705" s="33"/>
      <c r="E705" s="34"/>
      <c r="F705" s="34"/>
      <c r="G705" s="34"/>
      <c r="H705" s="34"/>
      <c r="I705" s="34"/>
      <c r="J705" s="34"/>
      <c r="K705" s="34"/>
      <c r="L705" s="34"/>
    </row>
    <row r="706" spans="2:12" ht="13" customHeight="1" x14ac:dyDescent="0.15">
      <c r="B706" s="32"/>
      <c r="C706" s="32"/>
      <c r="D706" s="33"/>
      <c r="E706" s="34"/>
      <c r="F706" s="34"/>
      <c r="G706" s="34"/>
      <c r="H706" s="34"/>
      <c r="I706" s="34"/>
      <c r="J706" s="34"/>
      <c r="K706" s="34"/>
      <c r="L706" s="34"/>
    </row>
    <row r="707" spans="2:12" ht="13" customHeight="1" x14ac:dyDescent="0.15">
      <c r="B707" s="32"/>
      <c r="C707" s="32"/>
      <c r="D707" s="33"/>
      <c r="E707" s="34"/>
      <c r="F707" s="34"/>
      <c r="G707" s="34"/>
      <c r="H707" s="34"/>
      <c r="I707" s="34"/>
      <c r="J707" s="34"/>
      <c r="K707" s="34"/>
      <c r="L707" s="34"/>
    </row>
    <row r="708" spans="2:12" ht="13" customHeight="1" x14ac:dyDescent="0.15">
      <c r="B708" s="32"/>
      <c r="C708" s="32"/>
      <c r="D708" s="33"/>
      <c r="E708" s="34"/>
      <c r="F708" s="34"/>
      <c r="G708" s="34"/>
      <c r="H708" s="34"/>
      <c r="I708" s="34"/>
      <c r="J708" s="34"/>
      <c r="K708" s="34"/>
      <c r="L708" s="34"/>
    </row>
    <row r="709" spans="2:12" ht="13" customHeight="1" x14ac:dyDescent="0.15">
      <c r="B709" s="32"/>
      <c r="C709" s="32"/>
      <c r="D709" s="33"/>
      <c r="E709" s="34"/>
      <c r="F709" s="34"/>
      <c r="G709" s="34"/>
      <c r="H709" s="34"/>
      <c r="I709" s="34"/>
      <c r="J709" s="34"/>
      <c r="K709" s="34"/>
      <c r="L709" s="34"/>
    </row>
    <row r="710" spans="2:12" ht="13" customHeight="1" x14ac:dyDescent="0.15">
      <c r="B710" s="32"/>
      <c r="C710" s="32"/>
      <c r="D710" s="33"/>
      <c r="E710" s="34"/>
      <c r="F710" s="34"/>
      <c r="G710" s="34"/>
      <c r="H710" s="34"/>
      <c r="I710" s="34"/>
      <c r="J710" s="34"/>
      <c r="K710" s="34"/>
      <c r="L710" s="34"/>
    </row>
    <row r="711" spans="2:12" ht="13" customHeight="1" x14ac:dyDescent="0.15">
      <c r="B711" s="32"/>
      <c r="C711" s="32"/>
      <c r="D711" s="33"/>
      <c r="E711" s="34"/>
      <c r="F711" s="34"/>
      <c r="G711" s="34"/>
      <c r="H711" s="34"/>
      <c r="I711" s="34"/>
      <c r="J711" s="34"/>
      <c r="K711" s="34"/>
      <c r="L711" s="34"/>
    </row>
    <row r="712" spans="2:12" ht="13" customHeight="1" x14ac:dyDescent="0.15">
      <c r="B712" s="32"/>
      <c r="C712" s="32"/>
      <c r="D712" s="33"/>
      <c r="E712" s="34"/>
      <c r="F712" s="34"/>
      <c r="G712" s="34"/>
      <c r="H712" s="34"/>
      <c r="I712" s="34"/>
      <c r="J712" s="34"/>
      <c r="K712" s="34"/>
      <c r="L712" s="34"/>
    </row>
    <row r="713" spans="2:12" ht="13" customHeight="1" x14ac:dyDescent="0.15">
      <c r="B713" s="32"/>
      <c r="C713" s="32"/>
      <c r="D713" s="33"/>
      <c r="E713" s="34"/>
      <c r="F713" s="34"/>
      <c r="G713" s="34"/>
      <c r="H713" s="34"/>
      <c r="I713" s="34"/>
      <c r="J713" s="34"/>
      <c r="K713" s="34"/>
      <c r="L713" s="34"/>
    </row>
    <row r="714" spans="2:12" ht="13" customHeight="1" x14ac:dyDescent="0.15">
      <c r="B714" s="32"/>
      <c r="C714" s="32"/>
      <c r="D714" s="33"/>
      <c r="E714" s="34"/>
      <c r="F714" s="34"/>
      <c r="G714" s="34"/>
      <c r="H714" s="34"/>
      <c r="I714" s="34"/>
      <c r="J714" s="34"/>
      <c r="K714" s="34"/>
      <c r="L714" s="34"/>
    </row>
    <row r="715" spans="2:12" ht="13" customHeight="1" x14ac:dyDescent="0.15">
      <c r="B715" s="32"/>
      <c r="C715" s="32"/>
      <c r="D715" s="33"/>
      <c r="E715" s="34"/>
      <c r="F715" s="34"/>
      <c r="G715" s="34"/>
      <c r="H715" s="34"/>
      <c r="I715" s="34"/>
      <c r="J715" s="34"/>
      <c r="K715" s="34"/>
      <c r="L715" s="34"/>
    </row>
    <row r="716" spans="2:12" ht="13" customHeight="1" x14ac:dyDescent="0.15">
      <c r="B716" s="32"/>
      <c r="C716" s="32"/>
      <c r="D716" s="33"/>
      <c r="E716" s="34"/>
      <c r="F716" s="34"/>
      <c r="G716" s="34"/>
      <c r="H716" s="34"/>
      <c r="I716" s="34"/>
      <c r="J716" s="34"/>
      <c r="K716" s="34"/>
      <c r="L716" s="34"/>
    </row>
    <row r="717" spans="2:12" ht="13" customHeight="1" x14ac:dyDescent="0.15">
      <c r="B717" s="32"/>
      <c r="C717" s="32"/>
      <c r="D717" s="33"/>
      <c r="E717" s="34"/>
      <c r="F717" s="34"/>
      <c r="G717" s="34"/>
      <c r="H717" s="34"/>
      <c r="I717" s="34"/>
      <c r="J717" s="34"/>
      <c r="K717" s="34"/>
      <c r="L717" s="34"/>
    </row>
    <row r="718" spans="2:12" ht="13" customHeight="1" x14ac:dyDescent="0.15">
      <c r="B718" s="32"/>
      <c r="C718" s="32"/>
      <c r="D718" s="33"/>
      <c r="E718" s="34"/>
      <c r="F718" s="34"/>
      <c r="G718" s="34"/>
      <c r="H718" s="34"/>
      <c r="I718" s="34"/>
      <c r="J718" s="34"/>
      <c r="K718" s="34"/>
      <c r="L718" s="34"/>
    </row>
    <row r="719" spans="2:12" ht="13" customHeight="1" x14ac:dyDescent="0.15">
      <c r="B719" s="32"/>
      <c r="C719" s="32"/>
      <c r="D719" s="33"/>
      <c r="E719" s="34"/>
      <c r="F719" s="34"/>
      <c r="G719" s="34"/>
      <c r="H719" s="34"/>
      <c r="I719" s="34"/>
      <c r="J719" s="34"/>
      <c r="K719" s="34"/>
      <c r="L719" s="34"/>
    </row>
    <row r="720" spans="2:12" ht="13" customHeight="1" x14ac:dyDescent="0.15">
      <c r="B720" s="32"/>
      <c r="C720" s="32"/>
      <c r="D720" s="33"/>
      <c r="E720" s="34"/>
      <c r="F720" s="34"/>
      <c r="G720" s="34"/>
      <c r="H720" s="34"/>
      <c r="I720" s="34"/>
      <c r="J720" s="34"/>
      <c r="K720" s="34"/>
      <c r="L720" s="34"/>
    </row>
    <row r="721" spans="2:12" ht="13" customHeight="1" x14ac:dyDescent="0.15">
      <c r="B721" s="32"/>
      <c r="C721" s="32"/>
      <c r="D721" s="33"/>
      <c r="E721" s="34"/>
      <c r="F721" s="34"/>
      <c r="G721" s="34"/>
      <c r="H721" s="34"/>
      <c r="I721" s="34"/>
      <c r="J721" s="34"/>
      <c r="K721" s="34"/>
      <c r="L721" s="34"/>
    </row>
    <row r="722" spans="2:12" ht="13" customHeight="1" x14ac:dyDescent="0.15">
      <c r="B722" s="32"/>
      <c r="C722" s="32"/>
      <c r="D722" s="33"/>
      <c r="E722" s="34"/>
      <c r="F722" s="34"/>
      <c r="G722" s="34"/>
      <c r="H722" s="34"/>
      <c r="I722" s="34"/>
      <c r="J722" s="34"/>
      <c r="K722" s="34"/>
      <c r="L722" s="34"/>
    </row>
    <row r="723" spans="2:12" ht="13" customHeight="1" x14ac:dyDescent="0.15">
      <c r="B723" s="32"/>
      <c r="C723" s="32"/>
      <c r="D723" s="33"/>
      <c r="E723" s="34"/>
      <c r="F723" s="34"/>
      <c r="G723" s="34"/>
      <c r="H723" s="34"/>
      <c r="I723" s="34"/>
      <c r="J723" s="34"/>
      <c r="K723" s="34"/>
      <c r="L723" s="34"/>
    </row>
    <row r="724" spans="2:12" ht="13" customHeight="1" x14ac:dyDescent="0.15">
      <c r="B724" s="32"/>
      <c r="C724" s="32"/>
      <c r="D724" s="33"/>
      <c r="E724" s="34"/>
      <c r="F724" s="34"/>
      <c r="G724" s="34"/>
      <c r="H724" s="34"/>
      <c r="I724" s="34"/>
      <c r="J724" s="34"/>
      <c r="K724" s="34"/>
      <c r="L724" s="34"/>
    </row>
    <row r="725" spans="2:12" ht="13" customHeight="1" x14ac:dyDescent="0.15">
      <c r="B725" s="32"/>
      <c r="C725" s="32"/>
      <c r="D725" s="33"/>
      <c r="E725" s="34"/>
      <c r="F725" s="34"/>
      <c r="G725" s="34"/>
      <c r="H725" s="34"/>
      <c r="I725" s="34"/>
      <c r="J725" s="34"/>
      <c r="K725" s="34"/>
      <c r="L725" s="34"/>
    </row>
    <row r="726" spans="2:12" ht="13" customHeight="1" x14ac:dyDescent="0.15">
      <c r="B726" s="32"/>
      <c r="C726" s="32"/>
      <c r="D726" s="33"/>
      <c r="E726" s="34"/>
      <c r="F726" s="34"/>
      <c r="G726" s="34"/>
      <c r="H726" s="34"/>
      <c r="I726" s="34"/>
      <c r="J726" s="34"/>
      <c r="K726" s="34"/>
      <c r="L726" s="34"/>
    </row>
    <row r="727" spans="2:12" ht="13" customHeight="1" x14ac:dyDescent="0.15">
      <c r="B727" s="32"/>
      <c r="C727" s="32"/>
      <c r="D727" s="33"/>
      <c r="E727" s="34"/>
      <c r="F727" s="34"/>
      <c r="G727" s="34"/>
      <c r="H727" s="34"/>
      <c r="I727" s="34"/>
      <c r="J727" s="34"/>
      <c r="K727" s="34"/>
      <c r="L727" s="34"/>
    </row>
    <row r="728" spans="2:12" ht="13" customHeight="1" x14ac:dyDescent="0.15">
      <c r="B728" s="32"/>
      <c r="C728" s="32"/>
      <c r="D728" s="33"/>
      <c r="E728" s="34"/>
      <c r="F728" s="34"/>
      <c r="G728" s="34"/>
      <c r="H728" s="34"/>
      <c r="I728" s="34"/>
      <c r="J728" s="34"/>
      <c r="K728" s="34"/>
      <c r="L728" s="34"/>
    </row>
    <row r="729" spans="2:12" ht="13" customHeight="1" x14ac:dyDescent="0.15">
      <c r="B729" s="32"/>
      <c r="C729" s="32"/>
      <c r="D729" s="33"/>
      <c r="E729" s="34"/>
      <c r="F729" s="34"/>
      <c r="G729" s="34"/>
      <c r="H729" s="34"/>
      <c r="I729" s="34"/>
      <c r="J729" s="34"/>
      <c r="K729" s="34"/>
      <c r="L729" s="34"/>
    </row>
    <row r="730" spans="2:12" ht="13" customHeight="1" x14ac:dyDescent="0.15">
      <c r="B730" s="32"/>
      <c r="C730" s="32"/>
      <c r="D730" s="33"/>
      <c r="E730" s="34"/>
      <c r="F730" s="34"/>
      <c r="G730" s="34"/>
      <c r="H730" s="34"/>
      <c r="I730" s="34"/>
      <c r="J730" s="34"/>
      <c r="K730" s="34"/>
      <c r="L730" s="34"/>
    </row>
    <row r="731" spans="2:12" ht="13" customHeight="1" x14ac:dyDescent="0.15">
      <c r="B731" s="32"/>
      <c r="C731" s="32"/>
      <c r="D731" s="33"/>
      <c r="E731" s="34"/>
      <c r="F731" s="34"/>
      <c r="G731" s="34"/>
      <c r="H731" s="34"/>
      <c r="I731" s="34"/>
      <c r="J731" s="34"/>
      <c r="K731" s="34"/>
      <c r="L731" s="34"/>
    </row>
    <row r="732" spans="2:12" ht="13" customHeight="1" x14ac:dyDescent="0.15">
      <c r="B732" s="32"/>
      <c r="C732" s="32"/>
      <c r="D732" s="33"/>
      <c r="E732" s="34"/>
      <c r="F732" s="34"/>
      <c r="G732" s="34"/>
      <c r="H732" s="34"/>
      <c r="I732" s="34"/>
      <c r="J732" s="34"/>
      <c r="K732" s="34"/>
      <c r="L732" s="34"/>
    </row>
    <row r="733" spans="2:12" ht="13" customHeight="1" x14ac:dyDescent="0.15">
      <c r="B733" s="32"/>
      <c r="C733" s="32"/>
      <c r="D733" s="33"/>
      <c r="E733" s="34"/>
      <c r="F733" s="34"/>
      <c r="G733" s="34"/>
      <c r="H733" s="34"/>
      <c r="I733" s="34"/>
      <c r="J733" s="34"/>
      <c r="K733" s="34"/>
      <c r="L733" s="34"/>
    </row>
    <row r="734" spans="2:12" ht="13" customHeight="1" x14ac:dyDescent="0.15">
      <c r="B734" s="32"/>
      <c r="C734" s="32"/>
      <c r="D734" s="33"/>
      <c r="E734" s="34"/>
      <c r="F734" s="34"/>
      <c r="G734" s="34"/>
      <c r="H734" s="34"/>
      <c r="I734" s="34"/>
      <c r="J734" s="34"/>
      <c r="K734" s="34"/>
      <c r="L734" s="34"/>
    </row>
    <row r="735" spans="2:12" ht="13" customHeight="1" x14ac:dyDescent="0.15">
      <c r="B735" s="32"/>
      <c r="C735" s="32"/>
      <c r="D735" s="33"/>
      <c r="E735" s="34"/>
      <c r="F735" s="34"/>
      <c r="G735" s="34"/>
      <c r="H735" s="34"/>
      <c r="I735" s="34"/>
      <c r="J735" s="34"/>
      <c r="K735" s="34"/>
      <c r="L735" s="34"/>
    </row>
    <row r="736" spans="2:12" ht="13" customHeight="1" x14ac:dyDescent="0.15">
      <c r="B736" s="32"/>
      <c r="C736" s="32"/>
      <c r="D736" s="33"/>
      <c r="E736" s="34"/>
      <c r="F736" s="34"/>
      <c r="G736" s="34"/>
      <c r="H736" s="34"/>
      <c r="I736" s="34"/>
      <c r="J736" s="34"/>
      <c r="K736" s="34"/>
      <c r="L736" s="34"/>
    </row>
    <row r="737" spans="2:12" ht="13" customHeight="1" x14ac:dyDescent="0.15">
      <c r="B737" s="32"/>
      <c r="C737" s="32"/>
      <c r="D737" s="33"/>
      <c r="E737" s="34"/>
      <c r="F737" s="34"/>
      <c r="G737" s="34"/>
      <c r="H737" s="34"/>
      <c r="I737" s="34"/>
      <c r="J737" s="34"/>
      <c r="K737" s="34"/>
      <c r="L737" s="34"/>
    </row>
    <row r="738" spans="2:12" ht="13" customHeight="1" x14ac:dyDescent="0.15">
      <c r="B738" s="32"/>
      <c r="C738" s="32"/>
      <c r="D738" s="33"/>
      <c r="E738" s="34"/>
      <c r="F738" s="34"/>
      <c r="G738" s="34"/>
      <c r="H738" s="34"/>
      <c r="I738" s="34"/>
      <c r="J738" s="34"/>
      <c r="K738" s="34"/>
      <c r="L738" s="34"/>
    </row>
    <row r="739" spans="2:12" ht="13" customHeight="1" x14ac:dyDescent="0.15">
      <c r="B739" s="32"/>
      <c r="C739" s="32"/>
      <c r="D739" s="33"/>
      <c r="E739" s="34"/>
      <c r="F739" s="34"/>
      <c r="G739" s="34"/>
      <c r="H739" s="34"/>
      <c r="I739" s="34"/>
      <c r="J739" s="34"/>
      <c r="K739" s="34"/>
      <c r="L739" s="34"/>
    </row>
    <row r="740" spans="2:12" ht="13" customHeight="1" x14ac:dyDescent="0.15">
      <c r="B740" s="32"/>
      <c r="C740" s="32"/>
      <c r="D740" s="33"/>
      <c r="E740" s="34"/>
      <c r="F740" s="34"/>
      <c r="G740" s="34"/>
      <c r="H740" s="34"/>
      <c r="I740" s="34"/>
      <c r="J740" s="34"/>
      <c r="K740" s="34"/>
      <c r="L740" s="34"/>
    </row>
    <row r="741" spans="2:12" ht="13" customHeight="1" x14ac:dyDescent="0.15">
      <c r="B741" s="32"/>
      <c r="C741" s="32"/>
      <c r="D741" s="33"/>
      <c r="E741" s="34"/>
      <c r="F741" s="34"/>
      <c r="G741" s="34"/>
      <c r="H741" s="34"/>
      <c r="I741" s="34"/>
      <c r="J741" s="34"/>
      <c r="K741" s="34"/>
      <c r="L741" s="34"/>
    </row>
    <row r="742" spans="2:12" ht="13" customHeight="1" x14ac:dyDescent="0.15">
      <c r="B742" s="32"/>
      <c r="C742" s="32"/>
      <c r="D742" s="33"/>
      <c r="E742" s="34"/>
      <c r="F742" s="34"/>
      <c r="G742" s="34"/>
      <c r="H742" s="34"/>
      <c r="I742" s="34"/>
      <c r="J742" s="34"/>
      <c r="K742" s="34"/>
      <c r="L742" s="34"/>
    </row>
    <row r="743" spans="2:12" ht="13" customHeight="1" x14ac:dyDescent="0.15">
      <c r="B743" s="32"/>
      <c r="C743" s="32"/>
      <c r="D743" s="33"/>
      <c r="E743" s="34"/>
      <c r="F743" s="34"/>
      <c r="G743" s="34"/>
      <c r="H743" s="34"/>
      <c r="I743" s="34"/>
      <c r="J743" s="34"/>
      <c r="K743" s="34"/>
      <c r="L743" s="34"/>
    </row>
    <row r="744" spans="2:12" ht="13" customHeight="1" x14ac:dyDescent="0.15">
      <c r="B744" s="32"/>
      <c r="C744" s="32"/>
      <c r="D744" s="33"/>
      <c r="E744" s="34"/>
      <c r="F744" s="34"/>
      <c r="G744" s="34"/>
      <c r="H744" s="34"/>
      <c r="I744" s="34"/>
      <c r="J744" s="34"/>
      <c r="K744" s="34"/>
      <c r="L744" s="34"/>
    </row>
    <row r="745" spans="2:12" ht="13" customHeight="1" x14ac:dyDescent="0.15">
      <c r="B745" s="32"/>
      <c r="C745" s="32"/>
      <c r="D745" s="33"/>
      <c r="E745" s="34"/>
      <c r="F745" s="34"/>
      <c r="G745" s="34"/>
      <c r="H745" s="34"/>
      <c r="I745" s="34"/>
      <c r="J745" s="34"/>
      <c r="K745" s="34"/>
      <c r="L745" s="34"/>
    </row>
    <row r="746" spans="2:12" ht="13" customHeight="1" x14ac:dyDescent="0.15">
      <c r="B746" s="32"/>
      <c r="C746" s="32"/>
      <c r="D746" s="33"/>
      <c r="E746" s="34"/>
      <c r="F746" s="34"/>
      <c r="G746" s="34"/>
      <c r="H746" s="34"/>
      <c r="I746" s="34"/>
      <c r="J746" s="34"/>
      <c r="K746" s="34"/>
      <c r="L746" s="34"/>
    </row>
    <row r="747" spans="2:12" ht="13" customHeight="1" x14ac:dyDescent="0.15">
      <c r="B747" s="32"/>
      <c r="C747" s="32"/>
      <c r="D747" s="33"/>
      <c r="E747" s="34"/>
      <c r="F747" s="34"/>
      <c r="G747" s="34"/>
      <c r="H747" s="34"/>
      <c r="I747" s="34"/>
      <c r="J747" s="34"/>
      <c r="K747" s="34"/>
      <c r="L747" s="34"/>
    </row>
    <row r="748" spans="2:12" ht="13" customHeight="1" x14ac:dyDescent="0.15">
      <c r="B748" s="32"/>
      <c r="C748" s="32"/>
      <c r="D748" s="33"/>
      <c r="E748" s="34"/>
      <c r="F748" s="34"/>
      <c r="G748" s="34"/>
      <c r="H748" s="34"/>
      <c r="I748" s="34"/>
      <c r="J748" s="34"/>
      <c r="K748" s="34"/>
      <c r="L748" s="34"/>
    </row>
    <row r="749" spans="2:12" ht="13" customHeight="1" x14ac:dyDescent="0.15">
      <c r="B749" s="32"/>
      <c r="C749" s="32"/>
      <c r="D749" s="33"/>
      <c r="E749" s="34"/>
      <c r="F749" s="34"/>
      <c r="G749" s="34"/>
      <c r="H749" s="34"/>
      <c r="I749" s="34"/>
      <c r="J749" s="34"/>
      <c r="K749" s="34"/>
      <c r="L749" s="34"/>
    </row>
    <row r="750" spans="2:12" ht="13" customHeight="1" x14ac:dyDescent="0.15">
      <c r="B750" s="32"/>
      <c r="C750" s="32"/>
      <c r="D750" s="33"/>
      <c r="E750" s="34"/>
      <c r="F750" s="34"/>
      <c r="G750" s="34"/>
      <c r="H750" s="34"/>
      <c r="I750" s="34"/>
      <c r="J750" s="34"/>
      <c r="K750" s="34"/>
      <c r="L750" s="34"/>
    </row>
    <row r="751" spans="2:12" ht="13" customHeight="1" x14ac:dyDescent="0.15">
      <c r="B751" s="32"/>
      <c r="C751" s="32"/>
      <c r="D751" s="33"/>
      <c r="E751" s="34"/>
      <c r="F751" s="34"/>
      <c r="G751" s="34"/>
      <c r="H751" s="34"/>
      <c r="I751" s="34"/>
      <c r="J751" s="34"/>
      <c r="K751" s="34"/>
      <c r="L751" s="34"/>
    </row>
    <row r="752" spans="2:12" ht="13" customHeight="1" x14ac:dyDescent="0.15">
      <c r="B752" s="32"/>
      <c r="C752" s="32"/>
      <c r="D752" s="33"/>
      <c r="E752" s="34"/>
      <c r="F752" s="34"/>
      <c r="G752" s="34"/>
      <c r="H752" s="34"/>
      <c r="I752" s="34"/>
      <c r="J752" s="34"/>
      <c r="K752" s="34"/>
      <c r="L752" s="34"/>
    </row>
    <row r="753" spans="2:12" ht="13" customHeight="1" x14ac:dyDescent="0.15">
      <c r="B753" s="32"/>
      <c r="C753" s="32"/>
      <c r="D753" s="33"/>
      <c r="E753" s="34"/>
      <c r="F753" s="34"/>
      <c r="G753" s="34"/>
      <c r="H753" s="34"/>
      <c r="I753" s="34"/>
      <c r="J753" s="34"/>
      <c r="K753" s="34"/>
      <c r="L753" s="34"/>
    </row>
    <row r="754" spans="2:12" ht="13" customHeight="1" x14ac:dyDescent="0.15">
      <c r="B754" s="32"/>
      <c r="C754" s="32"/>
      <c r="D754" s="33"/>
      <c r="E754" s="34"/>
      <c r="F754" s="34"/>
      <c r="G754" s="34"/>
      <c r="H754" s="34"/>
      <c r="I754" s="34"/>
      <c r="J754" s="34"/>
      <c r="K754" s="34"/>
      <c r="L754" s="34"/>
    </row>
    <row r="755" spans="2:12" ht="13" customHeight="1" x14ac:dyDescent="0.15">
      <c r="B755" s="32"/>
      <c r="C755" s="32"/>
      <c r="D755" s="33"/>
      <c r="E755" s="34"/>
      <c r="F755" s="34"/>
      <c r="G755" s="34"/>
      <c r="H755" s="34"/>
      <c r="I755" s="34"/>
      <c r="J755" s="34"/>
      <c r="K755" s="34"/>
      <c r="L755" s="34"/>
    </row>
    <row r="756" spans="2:12" ht="13" customHeight="1" x14ac:dyDescent="0.15">
      <c r="B756" s="32"/>
      <c r="C756" s="32"/>
      <c r="D756" s="33"/>
      <c r="E756" s="34"/>
      <c r="F756" s="34"/>
      <c r="G756" s="34"/>
      <c r="H756" s="34"/>
      <c r="I756" s="34"/>
      <c r="J756" s="34"/>
      <c r="K756" s="34"/>
      <c r="L756" s="34"/>
    </row>
    <row r="757" spans="2:12" ht="13" customHeight="1" x14ac:dyDescent="0.15">
      <c r="B757" s="32"/>
      <c r="C757" s="32"/>
      <c r="D757" s="33"/>
      <c r="E757" s="34"/>
      <c r="F757" s="34"/>
      <c r="G757" s="34"/>
      <c r="H757" s="34"/>
      <c r="I757" s="34"/>
      <c r="J757" s="34"/>
      <c r="K757" s="34"/>
      <c r="L757" s="34"/>
    </row>
    <row r="758" spans="2:12" ht="13" customHeight="1" x14ac:dyDescent="0.15">
      <c r="B758" s="32"/>
      <c r="C758" s="32"/>
      <c r="D758" s="33"/>
      <c r="E758" s="34"/>
      <c r="F758" s="34"/>
      <c r="G758" s="34"/>
      <c r="H758" s="34"/>
      <c r="I758" s="34"/>
      <c r="J758" s="34"/>
      <c r="K758" s="34"/>
      <c r="L758" s="34"/>
    </row>
    <row r="759" spans="2:12" ht="13" customHeight="1" x14ac:dyDescent="0.15">
      <c r="B759" s="32"/>
      <c r="C759" s="32"/>
      <c r="D759" s="33"/>
      <c r="E759" s="34"/>
      <c r="F759" s="34"/>
      <c r="G759" s="34"/>
      <c r="H759" s="34"/>
      <c r="I759" s="34"/>
      <c r="J759" s="34"/>
      <c r="K759" s="34"/>
      <c r="L759" s="34"/>
    </row>
    <row r="760" spans="2:12" ht="13" customHeight="1" x14ac:dyDescent="0.15">
      <c r="B760" s="32"/>
      <c r="C760" s="32"/>
      <c r="D760" s="33"/>
      <c r="E760" s="34"/>
      <c r="F760" s="34"/>
      <c r="G760" s="34"/>
      <c r="H760" s="34"/>
      <c r="I760" s="34"/>
      <c r="J760" s="34"/>
      <c r="K760" s="34"/>
      <c r="L760" s="34"/>
    </row>
    <row r="761" spans="2:12" ht="13" customHeight="1" x14ac:dyDescent="0.15">
      <c r="B761" s="32"/>
      <c r="C761" s="32"/>
      <c r="D761" s="33"/>
      <c r="E761" s="34"/>
      <c r="F761" s="34"/>
      <c r="G761" s="34"/>
      <c r="H761" s="34"/>
      <c r="I761" s="34"/>
      <c r="J761" s="34"/>
      <c r="K761" s="34"/>
      <c r="L761" s="34"/>
    </row>
    <row r="762" spans="2:12" ht="13" customHeight="1" x14ac:dyDescent="0.15">
      <c r="B762" s="32"/>
      <c r="C762" s="32"/>
      <c r="D762" s="33"/>
      <c r="E762" s="34"/>
      <c r="F762" s="34"/>
      <c r="G762" s="34"/>
      <c r="H762" s="34"/>
      <c r="I762" s="34"/>
      <c r="J762" s="34"/>
      <c r="K762" s="34"/>
      <c r="L762" s="34"/>
    </row>
    <row r="763" spans="2:12" ht="13" customHeight="1" x14ac:dyDescent="0.15">
      <c r="B763" s="32"/>
      <c r="C763" s="32"/>
      <c r="D763" s="33"/>
      <c r="E763" s="34"/>
      <c r="F763" s="34"/>
      <c r="G763" s="34"/>
      <c r="H763" s="34"/>
      <c r="I763" s="34"/>
      <c r="J763" s="34"/>
      <c r="K763" s="34"/>
      <c r="L763" s="34"/>
    </row>
    <row r="764" spans="2:12" ht="13" customHeight="1" x14ac:dyDescent="0.15">
      <c r="B764" s="32"/>
      <c r="C764" s="32"/>
      <c r="D764" s="33"/>
      <c r="E764" s="34"/>
      <c r="F764" s="34"/>
      <c r="G764" s="34"/>
      <c r="H764" s="34"/>
      <c r="I764" s="34"/>
      <c r="J764" s="34"/>
      <c r="K764" s="34"/>
      <c r="L764" s="34"/>
    </row>
    <row r="765" spans="2:12" ht="13" customHeight="1" x14ac:dyDescent="0.15">
      <c r="B765" s="32"/>
      <c r="C765" s="32"/>
      <c r="D765" s="33"/>
      <c r="E765" s="34"/>
      <c r="F765" s="34"/>
      <c r="G765" s="34"/>
      <c r="H765" s="34"/>
      <c r="I765" s="34"/>
      <c r="J765" s="34"/>
      <c r="K765" s="34"/>
      <c r="L765" s="34"/>
    </row>
    <row r="766" spans="2:12" ht="13" customHeight="1" x14ac:dyDescent="0.15">
      <c r="B766" s="32"/>
      <c r="C766" s="32"/>
      <c r="D766" s="33"/>
      <c r="E766" s="34"/>
      <c r="F766" s="34"/>
      <c r="G766" s="34"/>
      <c r="H766" s="34"/>
      <c r="I766" s="34"/>
      <c r="J766" s="34"/>
      <c r="K766" s="34"/>
      <c r="L766" s="34"/>
    </row>
    <row r="767" spans="2:12" ht="13" customHeight="1" x14ac:dyDescent="0.15">
      <c r="B767" s="32"/>
      <c r="C767" s="32"/>
      <c r="D767" s="33"/>
      <c r="E767" s="34"/>
      <c r="F767" s="34"/>
      <c r="G767" s="34"/>
      <c r="H767" s="34"/>
      <c r="I767" s="34"/>
      <c r="J767" s="34"/>
      <c r="K767" s="34"/>
      <c r="L767" s="34"/>
    </row>
    <row r="768" spans="2:12" ht="13" customHeight="1" x14ac:dyDescent="0.15">
      <c r="B768" s="32"/>
      <c r="C768" s="32"/>
      <c r="D768" s="33"/>
      <c r="E768" s="34"/>
      <c r="F768" s="34"/>
      <c r="G768" s="34"/>
      <c r="H768" s="34"/>
      <c r="I768" s="34"/>
      <c r="J768" s="34"/>
      <c r="K768" s="34"/>
      <c r="L768" s="34"/>
    </row>
    <row r="769" spans="2:12" ht="13" customHeight="1" x14ac:dyDescent="0.15">
      <c r="B769" s="32"/>
      <c r="C769" s="32"/>
      <c r="D769" s="33"/>
      <c r="E769" s="34"/>
      <c r="F769" s="34"/>
      <c r="G769" s="34"/>
      <c r="H769" s="34"/>
      <c r="I769" s="34"/>
      <c r="J769" s="34"/>
      <c r="K769" s="34"/>
      <c r="L769" s="34"/>
    </row>
    <row r="770" spans="2:12" ht="13" customHeight="1" x14ac:dyDescent="0.15">
      <c r="B770" s="32"/>
      <c r="C770" s="32"/>
      <c r="D770" s="33"/>
      <c r="E770" s="34"/>
      <c r="F770" s="34"/>
      <c r="G770" s="34"/>
      <c r="H770" s="34"/>
      <c r="I770" s="34"/>
      <c r="J770" s="34"/>
      <c r="K770" s="34"/>
      <c r="L770" s="34"/>
    </row>
    <row r="771" spans="2:12" ht="13" customHeight="1" x14ac:dyDescent="0.15">
      <c r="B771" s="32"/>
      <c r="C771" s="32"/>
      <c r="D771" s="33"/>
      <c r="E771" s="34"/>
      <c r="F771" s="34"/>
      <c r="G771" s="34"/>
      <c r="H771" s="34"/>
      <c r="I771" s="34"/>
      <c r="J771" s="34"/>
      <c r="K771" s="34"/>
      <c r="L771" s="34"/>
    </row>
    <row r="772" spans="2:12" ht="13" customHeight="1" x14ac:dyDescent="0.15">
      <c r="B772" s="32"/>
      <c r="C772" s="32"/>
      <c r="D772" s="33"/>
      <c r="E772" s="34"/>
      <c r="F772" s="34"/>
      <c r="G772" s="34"/>
      <c r="H772" s="34"/>
      <c r="I772" s="34"/>
      <c r="J772" s="34"/>
      <c r="K772" s="34"/>
      <c r="L772" s="34"/>
    </row>
    <row r="773" spans="2:12" ht="13" customHeight="1" x14ac:dyDescent="0.15">
      <c r="B773" s="32"/>
      <c r="C773" s="32"/>
      <c r="D773" s="33"/>
      <c r="E773" s="34"/>
      <c r="F773" s="34"/>
      <c r="G773" s="34"/>
      <c r="H773" s="34"/>
      <c r="I773" s="34"/>
      <c r="J773" s="34"/>
      <c r="K773" s="34"/>
      <c r="L773" s="34"/>
    </row>
    <row r="774" spans="2:12" ht="13" customHeight="1" x14ac:dyDescent="0.15">
      <c r="B774" s="32"/>
      <c r="C774" s="32"/>
      <c r="D774" s="33"/>
      <c r="E774" s="34"/>
      <c r="F774" s="34"/>
      <c r="G774" s="34"/>
      <c r="H774" s="34"/>
      <c r="I774" s="34"/>
      <c r="J774" s="34"/>
      <c r="K774" s="34"/>
      <c r="L774" s="34"/>
    </row>
    <row r="775" spans="2:12" ht="13" customHeight="1" x14ac:dyDescent="0.15">
      <c r="B775" s="32"/>
      <c r="C775" s="32"/>
      <c r="D775" s="33"/>
      <c r="E775" s="34"/>
      <c r="F775" s="34"/>
      <c r="G775" s="34"/>
      <c r="H775" s="34"/>
      <c r="I775" s="34"/>
      <c r="J775" s="34"/>
      <c r="K775" s="34"/>
      <c r="L775" s="34"/>
    </row>
    <row r="776" spans="2:12" ht="13" customHeight="1" x14ac:dyDescent="0.15">
      <c r="B776" s="32"/>
      <c r="C776" s="32"/>
      <c r="D776" s="33"/>
      <c r="E776" s="34"/>
      <c r="F776" s="34"/>
      <c r="G776" s="34"/>
      <c r="H776" s="34"/>
      <c r="I776" s="34"/>
      <c r="J776" s="34"/>
      <c r="K776" s="34"/>
      <c r="L776" s="34"/>
    </row>
    <row r="777" spans="2:12" ht="13" customHeight="1" x14ac:dyDescent="0.15">
      <c r="B777" s="32"/>
      <c r="C777" s="32"/>
      <c r="D777" s="33"/>
      <c r="E777" s="34"/>
      <c r="F777" s="34"/>
      <c r="G777" s="34"/>
      <c r="H777" s="34"/>
      <c r="I777" s="34"/>
      <c r="J777" s="34"/>
      <c r="K777" s="34"/>
      <c r="L777" s="34"/>
    </row>
    <row r="778" spans="2:12" ht="13" customHeight="1" x14ac:dyDescent="0.15">
      <c r="B778" s="32"/>
      <c r="C778" s="32"/>
      <c r="D778" s="33"/>
      <c r="E778" s="34"/>
      <c r="F778" s="34"/>
      <c r="G778" s="34"/>
      <c r="H778" s="34"/>
      <c r="I778" s="34"/>
      <c r="J778" s="34"/>
      <c r="K778" s="34"/>
      <c r="L778" s="34"/>
    </row>
    <row r="779" spans="2:12" ht="13" customHeight="1" x14ac:dyDescent="0.15">
      <c r="B779" s="32"/>
      <c r="C779" s="32"/>
      <c r="D779" s="33"/>
      <c r="E779" s="34"/>
      <c r="F779" s="34"/>
      <c r="G779" s="34"/>
      <c r="H779" s="34"/>
      <c r="I779" s="34"/>
      <c r="J779" s="34"/>
      <c r="K779" s="34"/>
      <c r="L779" s="34"/>
    </row>
    <row r="780" spans="2:12" ht="13" customHeight="1" x14ac:dyDescent="0.15">
      <c r="B780" s="32"/>
      <c r="C780" s="32"/>
      <c r="D780" s="33"/>
      <c r="E780" s="34"/>
      <c r="F780" s="34"/>
      <c r="G780" s="34"/>
      <c r="H780" s="34"/>
      <c r="I780" s="34"/>
      <c r="J780" s="34"/>
      <c r="K780" s="34"/>
      <c r="L780" s="34"/>
    </row>
    <row r="781" spans="2:12" ht="13" customHeight="1" x14ac:dyDescent="0.15">
      <c r="B781" s="32"/>
      <c r="C781" s="32"/>
      <c r="D781" s="33"/>
      <c r="E781" s="34"/>
      <c r="F781" s="34"/>
      <c r="G781" s="34"/>
      <c r="H781" s="34"/>
      <c r="I781" s="34"/>
      <c r="J781" s="34"/>
      <c r="K781" s="34"/>
      <c r="L781" s="34"/>
    </row>
    <row r="782" spans="2:12" ht="13" customHeight="1" x14ac:dyDescent="0.15">
      <c r="B782" s="32"/>
      <c r="C782" s="32"/>
      <c r="D782" s="33"/>
      <c r="E782" s="34"/>
      <c r="F782" s="34"/>
      <c r="G782" s="34"/>
      <c r="H782" s="34"/>
      <c r="I782" s="34"/>
      <c r="J782" s="34"/>
      <c r="K782" s="34"/>
      <c r="L782" s="34"/>
    </row>
    <row r="783" spans="2:12" ht="13" customHeight="1" x14ac:dyDescent="0.15">
      <c r="B783" s="32"/>
      <c r="C783" s="32"/>
      <c r="D783" s="33"/>
      <c r="E783" s="34"/>
      <c r="F783" s="34"/>
      <c r="G783" s="34"/>
      <c r="H783" s="34"/>
      <c r="I783" s="34"/>
      <c r="J783" s="34"/>
      <c r="K783" s="34"/>
      <c r="L783" s="34"/>
    </row>
    <row r="784" spans="2:12" ht="13" customHeight="1" x14ac:dyDescent="0.15">
      <c r="B784" s="32"/>
      <c r="C784" s="32"/>
      <c r="D784" s="33"/>
      <c r="E784" s="34"/>
      <c r="F784" s="34"/>
      <c r="G784" s="34"/>
      <c r="H784" s="34"/>
      <c r="I784" s="34"/>
      <c r="J784" s="34"/>
      <c r="K784" s="34"/>
      <c r="L784" s="34"/>
    </row>
    <row r="785" spans="2:12" ht="13" customHeight="1" x14ac:dyDescent="0.15">
      <c r="B785" s="32"/>
      <c r="C785" s="32"/>
      <c r="D785" s="33"/>
      <c r="E785" s="34"/>
      <c r="F785" s="34"/>
      <c r="G785" s="34"/>
      <c r="H785" s="34"/>
      <c r="I785" s="34"/>
      <c r="J785" s="34"/>
      <c r="K785" s="34"/>
      <c r="L785" s="34"/>
    </row>
    <row r="786" spans="2:12" ht="13" customHeight="1" x14ac:dyDescent="0.15">
      <c r="B786" s="32"/>
      <c r="C786" s="32"/>
      <c r="D786" s="33"/>
      <c r="E786" s="34"/>
      <c r="F786" s="34"/>
      <c r="G786" s="34"/>
      <c r="H786" s="34"/>
      <c r="I786" s="34"/>
      <c r="J786" s="34"/>
      <c r="K786" s="34"/>
      <c r="L786" s="34"/>
    </row>
    <row r="787" spans="2:12" ht="13" customHeight="1" x14ac:dyDescent="0.15">
      <c r="B787" s="32"/>
      <c r="C787" s="32"/>
      <c r="D787" s="33"/>
      <c r="E787" s="34"/>
      <c r="F787" s="34"/>
      <c r="G787" s="34"/>
      <c r="H787" s="34"/>
      <c r="I787" s="34"/>
      <c r="J787" s="34"/>
      <c r="K787" s="34"/>
      <c r="L787" s="34"/>
    </row>
    <row r="788" spans="2:12" ht="13" customHeight="1" x14ac:dyDescent="0.15">
      <c r="B788" s="32"/>
      <c r="C788" s="32"/>
      <c r="D788" s="33"/>
      <c r="E788" s="34"/>
      <c r="F788" s="34"/>
      <c r="G788" s="34"/>
      <c r="H788" s="34"/>
      <c r="I788" s="34"/>
      <c r="J788" s="34"/>
      <c r="K788" s="34"/>
      <c r="L788" s="34"/>
    </row>
    <row r="789" spans="2:12" ht="13" customHeight="1" x14ac:dyDescent="0.15">
      <c r="B789" s="32"/>
      <c r="C789" s="32"/>
      <c r="D789" s="33"/>
      <c r="E789" s="34"/>
      <c r="F789" s="34"/>
      <c r="G789" s="34"/>
      <c r="H789" s="34"/>
      <c r="I789" s="34"/>
      <c r="J789" s="34"/>
      <c r="K789" s="34"/>
      <c r="L789" s="34"/>
    </row>
    <row r="790" spans="2:12" ht="13" customHeight="1" x14ac:dyDescent="0.15">
      <c r="B790" s="32"/>
      <c r="C790" s="32"/>
      <c r="D790" s="33"/>
      <c r="E790" s="34"/>
      <c r="F790" s="34"/>
      <c r="G790" s="34"/>
      <c r="H790" s="34"/>
      <c r="I790" s="34"/>
      <c r="J790" s="34"/>
      <c r="K790" s="34"/>
      <c r="L790" s="34"/>
    </row>
    <row r="791" spans="2:12" ht="13" customHeight="1" x14ac:dyDescent="0.15">
      <c r="B791" s="32"/>
      <c r="C791" s="32"/>
      <c r="D791" s="33"/>
      <c r="E791" s="34"/>
      <c r="F791" s="34"/>
      <c r="G791" s="34"/>
      <c r="H791" s="34"/>
      <c r="I791" s="34"/>
      <c r="J791" s="34"/>
      <c r="K791" s="34"/>
      <c r="L791" s="34"/>
    </row>
    <row r="792" spans="2:12" ht="13" customHeight="1" x14ac:dyDescent="0.15">
      <c r="B792" s="32"/>
      <c r="C792" s="32"/>
      <c r="D792" s="33"/>
      <c r="E792" s="34"/>
      <c r="F792" s="34"/>
      <c r="G792" s="34"/>
      <c r="H792" s="34"/>
      <c r="I792" s="34"/>
      <c r="J792" s="34"/>
      <c r="K792" s="34"/>
      <c r="L792" s="34"/>
    </row>
    <row r="793" spans="2:12" ht="13" customHeight="1" x14ac:dyDescent="0.15">
      <c r="B793" s="32"/>
      <c r="C793" s="32"/>
      <c r="D793" s="33"/>
      <c r="E793" s="34"/>
      <c r="F793" s="34"/>
      <c r="G793" s="34"/>
      <c r="H793" s="34"/>
      <c r="I793" s="34"/>
      <c r="J793" s="34"/>
      <c r="K793" s="34"/>
      <c r="L793" s="34"/>
    </row>
    <row r="794" spans="2:12" ht="13" customHeight="1" x14ac:dyDescent="0.15">
      <c r="B794" s="32"/>
      <c r="C794" s="32"/>
      <c r="D794" s="33"/>
      <c r="E794" s="34"/>
      <c r="F794" s="34"/>
      <c r="G794" s="34"/>
      <c r="H794" s="34"/>
      <c r="I794" s="34"/>
      <c r="J794" s="34"/>
      <c r="K794" s="34"/>
      <c r="L794" s="34"/>
    </row>
    <row r="795" spans="2:12" ht="13" customHeight="1" x14ac:dyDescent="0.15">
      <c r="B795" s="32"/>
      <c r="C795" s="32"/>
      <c r="D795" s="33"/>
      <c r="E795" s="34"/>
      <c r="F795" s="34"/>
      <c r="G795" s="34"/>
      <c r="H795" s="34"/>
      <c r="I795" s="34"/>
      <c r="J795" s="34"/>
      <c r="K795" s="34"/>
      <c r="L795" s="34"/>
    </row>
    <row r="796" spans="2:12" ht="13" customHeight="1" x14ac:dyDescent="0.15">
      <c r="B796" s="32"/>
      <c r="C796" s="32"/>
      <c r="D796" s="33"/>
      <c r="E796" s="34"/>
      <c r="F796" s="34"/>
      <c r="G796" s="34"/>
      <c r="H796" s="34"/>
      <c r="I796" s="34"/>
      <c r="J796" s="34"/>
      <c r="K796" s="34"/>
      <c r="L796" s="34"/>
    </row>
    <row r="797" spans="2:12" ht="13" customHeight="1" x14ac:dyDescent="0.15">
      <c r="B797" s="32"/>
      <c r="C797" s="32"/>
      <c r="D797" s="33"/>
      <c r="E797" s="34"/>
      <c r="F797" s="34"/>
      <c r="G797" s="34"/>
      <c r="H797" s="34"/>
      <c r="I797" s="34"/>
      <c r="J797" s="34"/>
      <c r="K797" s="34"/>
      <c r="L797" s="34"/>
    </row>
    <row r="798" spans="2:12" ht="13" customHeight="1" x14ac:dyDescent="0.15">
      <c r="B798" s="32"/>
      <c r="C798" s="32"/>
      <c r="D798" s="33"/>
      <c r="E798" s="34"/>
      <c r="F798" s="34"/>
      <c r="G798" s="34"/>
      <c r="H798" s="34"/>
      <c r="I798" s="34"/>
      <c r="J798" s="34"/>
      <c r="K798" s="34"/>
      <c r="L798" s="34"/>
    </row>
    <row r="799" spans="2:12" ht="13" customHeight="1" x14ac:dyDescent="0.15">
      <c r="B799" s="32"/>
      <c r="C799" s="32"/>
      <c r="D799" s="33"/>
      <c r="E799" s="34"/>
      <c r="F799" s="34"/>
      <c r="G799" s="34"/>
      <c r="H799" s="34"/>
      <c r="I799" s="34"/>
      <c r="J799" s="34"/>
      <c r="K799" s="34"/>
      <c r="L799" s="34"/>
    </row>
    <row r="800" spans="2:12" ht="13" customHeight="1" x14ac:dyDescent="0.15">
      <c r="B800" s="32"/>
      <c r="C800" s="32"/>
      <c r="D800" s="33"/>
      <c r="E800" s="34"/>
      <c r="F800" s="34"/>
      <c r="G800" s="34"/>
      <c r="H800" s="34"/>
      <c r="I800" s="34"/>
      <c r="J800" s="34"/>
      <c r="K800" s="34"/>
      <c r="L800" s="34"/>
    </row>
    <row r="801" spans="2:12" ht="13" customHeight="1" x14ac:dyDescent="0.15">
      <c r="B801" s="32"/>
      <c r="C801" s="32"/>
      <c r="D801" s="33"/>
      <c r="E801" s="34"/>
      <c r="F801" s="34"/>
      <c r="G801" s="34"/>
      <c r="H801" s="34"/>
      <c r="I801" s="34"/>
      <c r="J801" s="34"/>
      <c r="K801" s="34"/>
      <c r="L801" s="34"/>
    </row>
    <row r="802" spans="2:12" ht="13" customHeight="1" x14ac:dyDescent="0.15">
      <c r="B802" s="32"/>
      <c r="C802" s="32"/>
      <c r="D802" s="33"/>
      <c r="E802" s="34"/>
      <c r="F802" s="34"/>
      <c r="G802" s="34"/>
      <c r="H802" s="34"/>
      <c r="I802" s="34"/>
      <c r="J802" s="34"/>
      <c r="K802" s="34"/>
      <c r="L802" s="34"/>
    </row>
    <row r="803" spans="2:12" ht="13" customHeight="1" x14ac:dyDescent="0.15">
      <c r="B803" s="32"/>
      <c r="C803" s="32"/>
      <c r="D803" s="33"/>
      <c r="E803" s="34"/>
      <c r="F803" s="34"/>
      <c r="G803" s="34"/>
      <c r="H803" s="34"/>
      <c r="I803" s="34"/>
      <c r="J803" s="34"/>
      <c r="K803" s="34"/>
      <c r="L803" s="34"/>
    </row>
    <row r="804" spans="2:12" ht="13" customHeight="1" x14ac:dyDescent="0.15">
      <c r="B804" s="32"/>
      <c r="C804" s="32"/>
      <c r="D804" s="33"/>
      <c r="E804" s="34"/>
      <c r="F804" s="34"/>
      <c r="G804" s="34"/>
      <c r="H804" s="34"/>
      <c r="I804" s="34"/>
      <c r="J804" s="34"/>
      <c r="K804" s="34"/>
      <c r="L804" s="34"/>
    </row>
    <row r="805" spans="2:12" ht="13" customHeight="1" x14ac:dyDescent="0.15">
      <c r="B805" s="32"/>
      <c r="C805" s="32"/>
      <c r="D805" s="33"/>
      <c r="E805" s="34"/>
      <c r="F805" s="34"/>
      <c r="G805" s="34"/>
      <c r="H805" s="34"/>
      <c r="I805" s="34"/>
      <c r="J805" s="34"/>
      <c r="K805" s="34"/>
      <c r="L805" s="34"/>
    </row>
    <row r="806" spans="2:12" ht="13" customHeight="1" x14ac:dyDescent="0.15">
      <c r="B806" s="32"/>
      <c r="C806" s="32"/>
      <c r="D806" s="33"/>
      <c r="E806" s="34"/>
      <c r="F806" s="34"/>
      <c r="G806" s="34"/>
      <c r="H806" s="34"/>
      <c r="I806" s="34"/>
      <c r="J806" s="34"/>
      <c r="K806" s="34"/>
      <c r="L806" s="34"/>
    </row>
    <row r="807" spans="2:12" ht="13" customHeight="1" x14ac:dyDescent="0.15">
      <c r="B807" s="32"/>
      <c r="C807" s="32"/>
      <c r="D807" s="33"/>
      <c r="E807" s="34"/>
      <c r="F807" s="34"/>
      <c r="G807" s="34"/>
      <c r="H807" s="34"/>
      <c r="I807" s="34"/>
      <c r="J807" s="34"/>
      <c r="K807" s="34"/>
      <c r="L807" s="34"/>
    </row>
    <row r="808" spans="2:12" ht="13" customHeight="1" x14ac:dyDescent="0.15">
      <c r="B808" s="32"/>
      <c r="C808" s="32"/>
      <c r="D808" s="33"/>
      <c r="E808" s="34"/>
      <c r="F808" s="34"/>
      <c r="G808" s="34"/>
      <c r="H808" s="34"/>
      <c r="I808" s="34"/>
      <c r="J808" s="34"/>
      <c r="K808" s="34"/>
      <c r="L808" s="34"/>
    </row>
    <row r="809" spans="2:12" ht="13" customHeight="1" x14ac:dyDescent="0.15">
      <c r="B809" s="32"/>
      <c r="C809" s="32"/>
      <c r="D809" s="33"/>
      <c r="E809" s="34"/>
      <c r="F809" s="34"/>
      <c r="G809" s="34"/>
      <c r="H809" s="34"/>
      <c r="I809" s="34"/>
      <c r="J809" s="34"/>
      <c r="K809" s="34"/>
      <c r="L809" s="34"/>
    </row>
    <row r="810" spans="2:12" ht="13" customHeight="1" x14ac:dyDescent="0.15">
      <c r="B810" s="32"/>
      <c r="C810" s="32"/>
      <c r="D810" s="33"/>
      <c r="E810" s="34"/>
      <c r="F810" s="34"/>
      <c r="G810" s="34"/>
      <c r="H810" s="34"/>
      <c r="I810" s="34"/>
      <c r="J810" s="34"/>
      <c r="K810" s="34"/>
      <c r="L810" s="34"/>
    </row>
    <row r="811" spans="2:12" ht="13" customHeight="1" x14ac:dyDescent="0.15">
      <c r="B811" s="32"/>
      <c r="C811" s="32"/>
      <c r="D811" s="33"/>
      <c r="E811" s="34"/>
      <c r="F811" s="34"/>
      <c r="G811" s="34"/>
      <c r="H811" s="34"/>
      <c r="I811" s="34"/>
      <c r="J811" s="34"/>
      <c r="K811" s="34"/>
      <c r="L811" s="34"/>
    </row>
    <row r="812" spans="2:12" ht="13" customHeight="1" x14ac:dyDescent="0.15">
      <c r="B812" s="32"/>
      <c r="C812" s="32"/>
      <c r="D812" s="33"/>
      <c r="E812" s="34"/>
      <c r="F812" s="34"/>
      <c r="G812" s="34"/>
      <c r="H812" s="34"/>
      <c r="I812" s="34"/>
      <c r="J812" s="34"/>
      <c r="K812" s="34"/>
      <c r="L812" s="34"/>
    </row>
    <row r="813" spans="2:12" ht="13" customHeight="1" x14ac:dyDescent="0.15">
      <c r="B813" s="32"/>
      <c r="C813" s="32"/>
      <c r="D813" s="33"/>
      <c r="E813" s="34"/>
      <c r="F813" s="34"/>
      <c r="G813" s="34"/>
      <c r="H813" s="34"/>
      <c r="I813" s="34"/>
      <c r="J813" s="34"/>
      <c r="K813" s="34"/>
      <c r="L813" s="34"/>
    </row>
    <row r="814" spans="2:12" ht="13" customHeight="1" x14ac:dyDescent="0.15">
      <c r="B814" s="32"/>
      <c r="C814" s="32"/>
      <c r="D814" s="33"/>
      <c r="E814" s="34"/>
      <c r="F814" s="34"/>
      <c r="G814" s="34"/>
      <c r="H814" s="34"/>
      <c r="I814" s="34"/>
      <c r="J814" s="34"/>
      <c r="K814" s="34"/>
      <c r="L814" s="34"/>
    </row>
    <row r="815" spans="2:12" ht="13" customHeight="1" x14ac:dyDescent="0.15">
      <c r="B815" s="32"/>
      <c r="C815" s="32"/>
      <c r="D815" s="33"/>
      <c r="E815" s="34"/>
      <c r="F815" s="34"/>
      <c r="G815" s="34"/>
      <c r="H815" s="34"/>
      <c r="I815" s="34"/>
      <c r="J815" s="34"/>
      <c r="K815" s="34"/>
      <c r="L815" s="34"/>
    </row>
    <row r="816" spans="2:12" ht="13" customHeight="1" x14ac:dyDescent="0.15">
      <c r="B816" s="32"/>
      <c r="C816" s="32"/>
      <c r="D816" s="33"/>
      <c r="E816" s="34"/>
      <c r="F816" s="34"/>
      <c r="G816" s="34"/>
      <c r="H816" s="34"/>
      <c r="I816" s="34"/>
      <c r="J816" s="34"/>
      <c r="K816" s="34"/>
      <c r="L816" s="34"/>
    </row>
    <row r="817" spans="2:12" ht="13" customHeight="1" x14ac:dyDescent="0.15">
      <c r="B817" s="32"/>
      <c r="C817" s="32"/>
      <c r="D817" s="33"/>
      <c r="E817" s="34"/>
      <c r="F817" s="34"/>
      <c r="G817" s="34"/>
      <c r="H817" s="34"/>
      <c r="I817" s="34"/>
      <c r="J817" s="34"/>
      <c r="K817" s="34"/>
      <c r="L817" s="34"/>
    </row>
    <row r="818" spans="2:12" ht="13" customHeight="1" x14ac:dyDescent="0.15">
      <c r="B818" s="32"/>
      <c r="C818" s="32"/>
      <c r="D818" s="33"/>
      <c r="E818" s="34"/>
      <c r="F818" s="34"/>
      <c r="G818" s="34"/>
      <c r="H818" s="34"/>
      <c r="I818" s="34"/>
      <c r="J818" s="34"/>
      <c r="K818" s="34"/>
      <c r="L818" s="34"/>
    </row>
    <row r="819" spans="2:12" ht="13" customHeight="1" x14ac:dyDescent="0.15">
      <c r="B819" s="32"/>
      <c r="C819" s="32"/>
      <c r="D819" s="33"/>
      <c r="E819" s="34"/>
      <c r="F819" s="34"/>
      <c r="G819" s="34"/>
      <c r="H819" s="34"/>
      <c r="I819" s="34"/>
      <c r="J819" s="34"/>
      <c r="K819" s="34"/>
      <c r="L819" s="34"/>
    </row>
    <row r="820" spans="2:12" ht="13" customHeight="1" x14ac:dyDescent="0.15">
      <c r="B820" s="32"/>
      <c r="C820" s="32"/>
      <c r="D820" s="33"/>
      <c r="E820" s="34"/>
      <c r="F820" s="34"/>
      <c r="G820" s="34"/>
      <c r="H820" s="34"/>
      <c r="I820" s="34"/>
      <c r="J820" s="34"/>
      <c r="K820" s="34"/>
      <c r="L820" s="34"/>
    </row>
    <row r="821" spans="2:12" ht="13" customHeight="1" x14ac:dyDescent="0.15">
      <c r="B821" s="32"/>
      <c r="C821" s="32"/>
      <c r="D821" s="33"/>
      <c r="E821" s="34"/>
      <c r="F821" s="34"/>
      <c r="G821" s="34"/>
      <c r="H821" s="34"/>
      <c r="I821" s="34"/>
      <c r="J821" s="34"/>
      <c r="K821" s="34"/>
      <c r="L821" s="34"/>
    </row>
    <row r="822" spans="2:12" ht="13" customHeight="1" x14ac:dyDescent="0.15">
      <c r="B822" s="32"/>
      <c r="C822" s="32"/>
      <c r="D822" s="33"/>
      <c r="E822" s="34"/>
      <c r="F822" s="34"/>
      <c r="G822" s="34"/>
      <c r="H822" s="34"/>
      <c r="I822" s="34"/>
      <c r="J822" s="34"/>
      <c r="K822" s="34"/>
      <c r="L822" s="34"/>
    </row>
    <row r="823" spans="2:12" ht="13" customHeight="1" x14ac:dyDescent="0.15">
      <c r="B823" s="32"/>
      <c r="C823" s="32"/>
      <c r="D823" s="33"/>
      <c r="E823" s="34"/>
      <c r="F823" s="34"/>
      <c r="G823" s="34"/>
      <c r="H823" s="34"/>
      <c r="I823" s="34"/>
      <c r="J823" s="34"/>
      <c r="K823" s="34"/>
      <c r="L823" s="34"/>
    </row>
    <row r="824" spans="2:12" ht="13" customHeight="1" x14ac:dyDescent="0.15">
      <c r="B824" s="32"/>
      <c r="C824" s="32"/>
      <c r="D824" s="33"/>
      <c r="E824" s="34"/>
      <c r="F824" s="34"/>
      <c r="G824" s="34"/>
      <c r="H824" s="34"/>
      <c r="I824" s="34"/>
      <c r="J824" s="34"/>
      <c r="K824" s="34"/>
      <c r="L824" s="34"/>
    </row>
    <row r="825" spans="2:12" ht="13" customHeight="1" x14ac:dyDescent="0.15">
      <c r="B825" s="32"/>
      <c r="C825" s="32"/>
      <c r="D825" s="33"/>
      <c r="E825" s="34"/>
      <c r="F825" s="34"/>
      <c r="G825" s="34"/>
      <c r="H825" s="34"/>
      <c r="I825" s="34"/>
      <c r="J825" s="34"/>
      <c r="K825" s="34"/>
      <c r="L825" s="34"/>
    </row>
    <row r="826" spans="2:12" ht="13" customHeight="1" x14ac:dyDescent="0.15">
      <c r="B826" s="32"/>
      <c r="C826" s="32"/>
      <c r="D826" s="33"/>
      <c r="E826" s="34"/>
      <c r="F826" s="34"/>
      <c r="G826" s="34"/>
      <c r="H826" s="34"/>
      <c r="I826" s="34"/>
      <c r="J826" s="34"/>
      <c r="K826" s="34"/>
      <c r="L826" s="34"/>
    </row>
    <row r="827" spans="2:12" ht="13" customHeight="1" x14ac:dyDescent="0.15">
      <c r="B827" s="32"/>
      <c r="C827" s="32"/>
      <c r="D827" s="33"/>
      <c r="E827" s="34"/>
      <c r="F827" s="34"/>
      <c r="G827" s="34"/>
      <c r="H827" s="34"/>
      <c r="I827" s="34"/>
      <c r="J827" s="34"/>
      <c r="K827" s="34"/>
      <c r="L827" s="34"/>
    </row>
    <row r="828" spans="2:12" ht="13" customHeight="1" x14ac:dyDescent="0.15">
      <c r="B828" s="32"/>
      <c r="C828" s="32"/>
      <c r="D828" s="33"/>
      <c r="E828" s="34"/>
      <c r="F828" s="34"/>
      <c r="G828" s="34"/>
      <c r="H828" s="34"/>
      <c r="I828" s="34"/>
      <c r="J828" s="34"/>
      <c r="K828" s="34"/>
      <c r="L828" s="34"/>
    </row>
    <row r="829" spans="2:12" ht="13" customHeight="1" x14ac:dyDescent="0.15">
      <c r="B829" s="32"/>
      <c r="C829" s="32"/>
      <c r="D829" s="33"/>
      <c r="E829" s="34"/>
      <c r="F829" s="34"/>
      <c r="G829" s="34"/>
      <c r="H829" s="34"/>
      <c r="I829" s="34"/>
      <c r="J829" s="34"/>
      <c r="K829" s="34"/>
      <c r="L829" s="34"/>
    </row>
    <row r="830" spans="2:12" ht="13" customHeight="1" x14ac:dyDescent="0.15">
      <c r="B830" s="32"/>
      <c r="C830" s="32"/>
      <c r="D830" s="33"/>
      <c r="E830" s="34"/>
      <c r="F830" s="34"/>
      <c r="G830" s="34"/>
      <c r="H830" s="34"/>
      <c r="I830" s="34"/>
      <c r="J830" s="34"/>
      <c r="K830" s="34"/>
      <c r="L830" s="34"/>
    </row>
    <row r="831" spans="2:12" ht="13" customHeight="1" x14ac:dyDescent="0.15">
      <c r="B831" s="32"/>
      <c r="C831" s="32"/>
      <c r="D831" s="33"/>
      <c r="E831" s="34"/>
      <c r="F831" s="34"/>
      <c r="G831" s="34"/>
      <c r="H831" s="34"/>
      <c r="I831" s="34"/>
      <c r="J831" s="34"/>
      <c r="K831" s="34"/>
      <c r="L831" s="34"/>
    </row>
    <row r="832" spans="2:12" ht="13" customHeight="1" x14ac:dyDescent="0.15">
      <c r="B832" s="32"/>
      <c r="C832" s="32"/>
      <c r="D832" s="33"/>
      <c r="E832" s="34"/>
      <c r="F832" s="34"/>
      <c r="G832" s="34"/>
      <c r="H832" s="34"/>
      <c r="I832" s="34"/>
      <c r="J832" s="34"/>
      <c r="K832" s="34"/>
      <c r="L832" s="34"/>
    </row>
    <row r="833" spans="2:12" ht="13" customHeight="1" x14ac:dyDescent="0.15">
      <c r="B833" s="32"/>
      <c r="C833" s="32"/>
      <c r="D833" s="33"/>
      <c r="E833" s="34"/>
      <c r="F833" s="34"/>
      <c r="G833" s="34"/>
      <c r="H833" s="34"/>
      <c r="I833" s="34"/>
      <c r="J833" s="34"/>
      <c r="K833" s="34"/>
      <c r="L833" s="34"/>
    </row>
    <row r="834" spans="2:12" ht="13" customHeight="1" x14ac:dyDescent="0.15">
      <c r="B834" s="32"/>
      <c r="C834" s="32"/>
      <c r="D834" s="33"/>
      <c r="E834" s="34"/>
      <c r="F834" s="34"/>
      <c r="G834" s="34"/>
      <c r="H834" s="34"/>
      <c r="I834" s="34"/>
      <c r="J834" s="34"/>
      <c r="K834" s="34"/>
      <c r="L834" s="34"/>
    </row>
    <row r="835" spans="2:12" ht="13" customHeight="1" x14ac:dyDescent="0.15">
      <c r="B835" s="32"/>
      <c r="C835" s="32"/>
      <c r="D835" s="33"/>
      <c r="E835" s="34"/>
      <c r="F835" s="34"/>
      <c r="G835" s="34"/>
      <c r="H835" s="34"/>
      <c r="I835" s="34"/>
      <c r="J835" s="34"/>
      <c r="K835" s="34"/>
      <c r="L835" s="34"/>
    </row>
    <row r="836" spans="2:12" ht="13" customHeight="1" x14ac:dyDescent="0.15">
      <c r="B836" s="32"/>
      <c r="C836" s="32"/>
      <c r="D836" s="33"/>
      <c r="E836" s="34"/>
      <c r="F836" s="34"/>
      <c r="G836" s="34"/>
      <c r="H836" s="34"/>
      <c r="I836" s="34"/>
      <c r="J836" s="34"/>
      <c r="K836" s="34"/>
      <c r="L836" s="34"/>
    </row>
    <row r="837" spans="2:12" ht="13" customHeight="1" x14ac:dyDescent="0.15">
      <c r="B837" s="32"/>
      <c r="C837" s="32"/>
      <c r="D837" s="33"/>
      <c r="E837" s="34"/>
      <c r="F837" s="34"/>
      <c r="G837" s="34"/>
      <c r="H837" s="34"/>
      <c r="I837" s="34"/>
      <c r="J837" s="34"/>
      <c r="K837" s="34"/>
      <c r="L837" s="34"/>
    </row>
    <row r="838" spans="2:12" ht="13" customHeight="1" x14ac:dyDescent="0.15">
      <c r="B838" s="32"/>
      <c r="C838" s="32"/>
      <c r="D838" s="33"/>
      <c r="E838" s="34"/>
      <c r="F838" s="34"/>
      <c r="G838" s="34"/>
      <c r="H838" s="34"/>
      <c r="I838" s="34"/>
      <c r="J838" s="34"/>
      <c r="K838" s="34"/>
      <c r="L838" s="34"/>
    </row>
    <row r="839" spans="2:12" ht="13" customHeight="1" x14ac:dyDescent="0.15">
      <c r="B839" s="32"/>
      <c r="C839" s="32"/>
      <c r="D839" s="33"/>
      <c r="E839" s="34"/>
      <c r="F839" s="34"/>
      <c r="G839" s="34"/>
      <c r="H839" s="34"/>
      <c r="I839" s="34"/>
      <c r="J839" s="34"/>
      <c r="K839" s="34"/>
      <c r="L839" s="34"/>
    </row>
    <row r="840" spans="2:12" ht="13" customHeight="1" x14ac:dyDescent="0.15">
      <c r="B840" s="32"/>
      <c r="C840" s="32"/>
      <c r="D840" s="33"/>
      <c r="E840" s="34"/>
      <c r="F840" s="34"/>
      <c r="G840" s="34"/>
      <c r="H840" s="34"/>
      <c r="I840" s="34"/>
      <c r="J840" s="34"/>
      <c r="K840" s="34"/>
      <c r="L840" s="34"/>
    </row>
    <row r="841" spans="2:12" ht="13" customHeight="1" x14ac:dyDescent="0.15">
      <c r="B841" s="32"/>
      <c r="C841" s="32"/>
      <c r="D841" s="33"/>
      <c r="E841" s="34"/>
      <c r="F841" s="34"/>
      <c r="G841" s="34"/>
      <c r="H841" s="34"/>
      <c r="I841" s="34"/>
      <c r="J841" s="34"/>
      <c r="K841" s="34"/>
      <c r="L841" s="34"/>
    </row>
    <row r="842" spans="2:12" ht="13" customHeight="1" x14ac:dyDescent="0.15">
      <c r="B842" s="32"/>
      <c r="C842" s="32"/>
      <c r="D842" s="33"/>
      <c r="E842" s="34"/>
      <c r="F842" s="34"/>
      <c r="G842" s="34"/>
      <c r="H842" s="34"/>
      <c r="I842" s="34"/>
      <c r="J842" s="34"/>
      <c r="K842" s="34"/>
      <c r="L842" s="34"/>
    </row>
    <row r="843" spans="2:12" ht="13" customHeight="1" x14ac:dyDescent="0.15">
      <c r="B843" s="32"/>
      <c r="C843" s="32"/>
      <c r="D843" s="33"/>
      <c r="E843" s="34"/>
      <c r="F843" s="34"/>
      <c r="G843" s="34"/>
      <c r="H843" s="34"/>
      <c r="I843" s="34"/>
      <c r="J843" s="34"/>
      <c r="K843" s="34"/>
      <c r="L843" s="34"/>
    </row>
    <row r="844" spans="2:12" ht="13" customHeight="1" x14ac:dyDescent="0.15">
      <c r="B844" s="32"/>
      <c r="C844" s="32"/>
      <c r="D844" s="33"/>
      <c r="E844" s="34"/>
      <c r="F844" s="34"/>
      <c r="G844" s="34"/>
      <c r="H844" s="34"/>
      <c r="I844" s="34"/>
      <c r="J844" s="34"/>
      <c r="K844" s="34"/>
      <c r="L844" s="34"/>
    </row>
    <row r="845" spans="2:12" ht="13" customHeight="1" x14ac:dyDescent="0.15">
      <c r="B845" s="32"/>
      <c r="C845" s="32"/>
      <c r="D845" s="33"/>
      <c r="E845" s="34"/>
      <c r="F845" s="34"/>
      <c r="G845" s="34"/>
      <c r="H845" s="34"/>
      <c r="I845" s="34"/>
      <c r="J845" s="34"/>
      <c r="K845" s="34"/>
      <c r="L845" s="34"/>
    </row>
    <row r="846" spans="2:12" ht="13" customHeight="1" x14ac:dyDescent="0.15">
      <c r="B846" s="32"/>
      <c r="C846" s="32"/>
      <c r="D846" s="33"/>
      <c r="E846" s="34"/>
      <c r="F846" s="34"/>
      <c r="G846" s="34"/>
      <c r="H846" s="34"/>
      <c r="I846" s="34"/>
      <c r="J846" s="34"/>
      <c r="K846" s="34"/>
      <c r="L846" s="34"/>
    </row>
    <row r="847" spans="2:12" ht="13" customHeight="1" x14ac:dyDescent="0.15">
      <c r="B847" s="32"/>
      <c r="C847" s="32"/>
      <c r="D847" s="33"/>
      <c r="E847" s="34"/>
      <c r="F847" s="34"/>
      <c r="G847" s="34"/>
      <c r="H847" s="34"/>
      <c r="I847" s="34"/>
      <c r="J847" s="34"/>
      <c r="K847" s="34"/>
      <c r="L847" s="34"/>
    </row>
    <row r="848" spans="2:12" ht="13" customHeight="1" x14ac:dyDescent="0.15">
      <c r="B848" s="32"/>
      <c r="C848" s="32"/>
      <c r="D848" s="33"/>
      <c r="E848" s="34"/>
      <c r="F848" s="34"/>
      <c r="G848" s="34"/>
      <c r="H848" s="34"/>
      <c r="I848" s="34"/>
      <c r="J848" s="34"/>
      <c r="K848" s="34"/>
      <c r="L848" s="34"/>
    </row>
    <row r="849" spans="2:12" ht="13" customHeight="1" x14ac:dyDescent="0.15">
      <c r="B849" s="32"/>
      <c r="C849" s="32"/>
      <c r="D849" s="33"/>
      <c r="E849" s="34"/>
      <c r="F849" s="34"/>
      <c r="G849" s="34"/>
      <c r="H849" s="34"/>
      <c r="I849" s="34"/>
      <c r="J849" s="34"/>
      <c r="K849" s="34"/>
      <c r="L849" s="34"/>
    </row>
    <row r="850" spans="2:12" ht="13" customHeight="1" x14ac:dyDescent="0.15">
      <c r="B850" s="32"/>
      <c r="C850" s="32"/>
      <c r="D850" s="33"/>
      <c r="E850" s="34"/>
      <c r="F850" s="34"/>
      <c r="G850" s="34"/>
      <c r="H850" s="34"/>
      <c r="I850" s="34"/>
      <c r="J850" s="34"/>
      <c r="K850" s="34"/>
      <c r="L850" s="34"/>
    </row>
    <row r="851" spans="2:12" ht="13" customHeight="1" x14ac:dyDescent="0.15">
      <c r="B851" s="32"/>
      <c r="C851" s="32"/>
      <c r="D851" s="33"/>
      <c r="E851" s="34"/>
      <c r="F851" s="34"/>
      <c r="G851" s="34"/>
      <c r="H851" s="34"/>
      <c r="I851" s="34"/>
      <c r="J851" s="34"/>
      <c r="K851" s="34"/>
      <c r="L851" s="34"/>
    </row>
    <row r="852" spans="2:12" ht="13" customHeight="1" x14ac:dyDescent="0.15">
      <c r="B852" s="32"/>
      <c r="C852" s="32"/>
      <c r="D852" s="33"/>
      <c r="E852" s="34"/>
      <c r="F852" s="34"/>
      <c r="G852" s="34"/>
      <c r="H852" s="34"/>
      <c r="I852" s="34"/>
      <c r="J852" s="34"/>
      <c r="K852" s="34"/>
      <c r="L852" s="34"/>
    </row>
    <row r="853" spans="2:12" ht="13" customHeight="1" x14ac:dyDescent="0.15">
      <c r="B853" s="32"/>
      <c r="C853" s="32"/>
      <c r="D853" s="33"/>
      <c r="E853" s="34"/>
      <c r="F853" s="34"/>
      <c r="G853" s="34"/>
      <c r="H853" s="34"/>
      <c r="I853" s="34"/>
      <c r="J853" s="34"/>
      <c r="K853" s="34"/>
      <c r="L853" s="34"/>
    </row>
    <row r="854" spans="2:12" ht="13" customHeight="1" x14ac:dyDescent="0.15">
      <c r="B854" s="32"/>
      <c r="C854" s="32"/>
      <c r="D854" s="33"/>
      <c r="E854" s="34"/>
      <c r="F854" s="34"/>
      <c r="G854" s="34"/>
      <c r="H854" s="34"/>
      <c r="I854" s="34"/>
      <c r="J854" s="34"/>
      <c r="K854" s="34"/>
      <c r="L854" s="34"/>
    </row>
    <row r="855" spans="2:12" ht="13" customHeight="1" x14ac:dyDescent="0.15">
      <c r="B855" s="32"/>
      <c r="C855" s="32"/>
      <c r="D855" s="33"/>
      <c r="E855" s="34"/>
      <c r="F855" s="34"/>
      <c r="G855" s="34"/>
      <c r="H855" s="34"/>
      <c r="I855" s="34"/>
      <c r="J855" s="34"/>
      <c r="K855" s="34"/>
      <c r="L855" s="34"/>
    </row>
    <row r="856" spans="2:12" ht="13" customHeight="1" x14ac:dyDescent="0.15">
      <c r="B856" s="32"/>
      <c r="C856" s="32"/>
      <c r="D856" s="33"/>
      <c r="E856" s="34"/>
      <c r="F856" s="34"/>
      <c r="G856" s="34"/>
      <c r="H856" s="34"/>
      <c r="I856" s="34"/>
      <c r="J856" s="34"/>
      <c r="K856" s="34"/>
      <c r="L856" s="34"/>
    </row>
    <row r="857" spans="2:12" ht="13" customHeight="1" x14ac:dyDescent="0.15">
      <c r="B857" s="32"/>
      <c r="C857" s="32"/>
      <c r="D857" s="33"/>
      <c r="E857" s="34"/>
      <c r="F857" s="34"/>
      <c r="G857" s="34"/>
      <c r="H857" s="34"/>
      <c r="I857" s="34"/>
      <c r="J857" s="34"/>
      <c r="K857" s="34"/>
      <c r="L857" s="34"/>
    </row>
    <row r="858" spans="2:12" ht="13" customHeight="1" x14ac:dyDescent="0.15">
      <c r="B858" s="32"/>
      <c r="C858" s="32"/>
      <c r="D858" s="33"/>
      <c r="E858" s="34"/>
      <c r="F858" s="34"/>
      <c r="G858" s="34"/>
      <c r="H858" s="34"/>
      <c r="I858" s="34"/>
      <c r="J858" s="34"/>
      <c r="K858" s="34"/>
      <c r="L858" s="34"/>
    </row>
    <row r="859" spans="2:12" ht="13" customHeight="1" x14ac:dyDescent="0.15">
      <c r="B859" s="32"/>
      <c r="C859" s="32"/>
      <c r="D859" s="33"/>
      <c r="E859" s="34"/>
      <c r="F859" s="34"/>
      <c r="G859" s="34"/>
      <c r="H859" s="34"/>
      <c r="I859" s="34"/>
      <c r="J859" s="34"/>
      <c r="K859" s="34"/>
      <c r="L859" s="34"/>
    </row>
    <row r="860" spans="2:12" ht="13" customHeight="1" x14ac:dyDescent="0.15">
      <c r="B860" s="32"/>
      <c r="C860" s="32"/>
      <c r="D860" s="33"/>
      <c r="E860" s="34"/>
      <c r="F860" s="34"/>
      <c r="G860" s="34"/>
      <c r="H860" s="34"/>
      <c r="I860" s="34"/>
      <c r="J860" s="34"/>
      <c r="K860" s="34"/>
      <c r="L860" s="34"/>
    </row>
    <row r="861" spans="2:12" ht="13" customHeight="1" x14ac:dyDescent="0.15">
      <c r="B861" s="32"/>
      <c r="C861" s="32"/>
      <c r="D861" s="33"/>
      <c r="E861" s="34"/>
      <c r="F861" s="34"/>
      <c r="G861" s="34"/>
      <c r="H861" s="34"/>
      <c r="I861" s="34"/>
      <c r="J861" s="34"/>
      <c r="K861" s="34"/>
      <c r="L861" s="34"/>
    </row>
    <row r="862" spans="2:12" ht="13" customHeight="1" x14ac:dyDescent="0.15">
      <c r="B862" s="32"/>
      <c r="C862" s="32"/>
      <c r="D862" s="33"/>
      <c r="E862" s="34"/>
      <c r="F862" s="34"/>
      <c r="G862" s="34"/>
      <c r="H862" s="34"/>
      <c r="I862" s="34"/>
      <c r="J862" s="34"/>
      <c r="K862" s="34"/>
      <c r="L862" s="34"/>
    </row>
    <row r="863" spans="2:12" ht="13" customHeight="1" x14ac:dyDescent="0.15">
      <c r="B863" s="32"/>
      <c r="C863" s="32"/>
      <c r="D863" s="33"/>
      <c r="E863" s="34"/>
      <c r="F863" s="34"/>
      <c r="G863" s="34"/>
      <c r="H863" s="34"/>
      <c r="I863" s="34"/>
      <c r="J863" s="34"/>
      <c r="K863" s="34"/>
      <c r="L863" s="34"/>
    </row>
    <row r="864" spans="2:12" ht="13" customHeight="1" x14ac:dyDescent="0.15">
      <c r="B864" s="32"/>
      <c r="C864" s="32"/>
      <c r="D864" s="33"/>
      <c r="E864" s="34"/>
      <c r="F864" s="34"/>
      <c r="G864" s="34"/>
      <c r="H864" s="34"/>
      <c r="I864" s="34"/>
      <c r="J864" s="34"/>
      <c r="K864" s="34"/>
      <c r="L864" s="34"/>
    </row>
    <row r="865" spans="2:12" ht="13" customHeight="1" x14ac:dyDescent="0.15">
      <c r="B865" s="32"/>
      <c r="C865" s="32"/>
      <c r="D865" s="33"/>
      <c r="E865" s="34"/>
      <c r="F865" s="34"/>
      <c r="G865" s="34"/>
      <c r="H865" s="34"/>
      <c r="I865" s="34"/>
      <c r="J865" s="34"/>
      <c r="K865" s="34"/>
      <c r="L865" s="34"/>
    </row>
    <row r="866" spans="2:12" ht="13" customHeight="1" x14ac:dyDescent="0.15">
      <c r="B866" s="32"/>
      <c r="C866" s="32"/>
      <c r="D866" s="33"/>
      <c r="E866" s="34"/>
      <c r="F866" s="34"/>
      <c r="G866" s="34"/>
      <c r="H866" s="34"/>
      <c r="I866" s="34"/>
      <c r="J866" s="34"/>
      <c r="K866" s="34"/>
      <c r="L866" s="34"/>
    </row>
    <row r="867" spans="2:12" ht="13" customHeight="1" x14ac:dyDescent="0.15">
      <c r="B867" s="32"/>
      <c r="C867" s="32"/>
      <c r="D867" s="33"/>
      <c r="E867" s="34"/>
      <c r="F867" s="34"/>
      <c r="G867" s="34"/>
      <c r="H867" s="34"/>
      <c r="I867" s="34"/>
      <c r="J867" s="34"/>
      <c r="K867" s="34"/>
      <c r="L867" s="34"/>
    </row>
    <row r="868" spans="2:12" ht="13" customHeight="1" x14ac:dyDescent="0.15">
      <c r="B868" s="32"/>
      <c r="C868" s="32"/>
      <c r="D868" s="33"/>
      <c r="E868" s="34"/>
      <c r="F868" s="34"/>
      <c r="G868" s="34"/>
      <c r="H868" s="34"/>
      <c r="I868" s="34"/>
      <c r="J868" s="34"/>
      <c r="K868" s="34"/>
      <c r="L868" s="34"/>
    </row>
    <row r="869" spans="2:12" ht="13" customHeight="1" x14ac:dyDescent="0.15">
      <c r="B869" s="32"/>
      <c r="C869" s="32"/>
      <c r="D869" s="33"/>
      <c r="E869" s="34"/>
      <c r="F869" s="34"/>
      <c r="G869" s="34"/>
      <c r="H869" s="34"/>
      <c r="I869" s="34"/>
      <c r="J869" s="34"/>
      <c r="K869" s="34"/>
      <c r="L869" s="34"/>
    </row>
    <row r="870" spans="2:12" ht="13" customHeight="1" x14ac:dyDescent="0.15">
      <c r="B870" s="32"/>
      <c r="C870" s="32"/>
      <c r="D870" s="33"/>
      <c r="E870" s="34"/>
      <c r="F870" s="34"/>
      <c r="G870" s="34"/>
      <c r="H870" s="34"/>
      <c r="I870" s="34"/>
      <c r="J870" s="34"/>
      <c r="K870" s="34"/>
      <c r="L870" s="34"/>
    </row>
    <row r="871" spans="2:12" ht="13" customHeight="1" x14ac:dyDescent="0.15">
      <c r="B871" s="32"/>
      <c r="C871" s="32"/>
      <c r="D871" s="33"/>
      <c r="E871" s="34"/>
      <c r="F871" s="34"/>
      <c r="G871" s="34"/>
      <c r="H871" s="34"/>
      <c r="I871" s="34"/>
      <c r="J871" s="34"/>
      <c r="K871" s="34"/>
      <c r="L871" s="34"/>
    </row>
    <row r="872" spans="2:12" ht="13" customHeight="1" x14ac:dyDescent="0.15">
      <c r="B872" s="32"/>
      <c r="C872" s="32"/>
      <c r="D872" s="33"/>
      <c r="E872" s="34"/>
      <c r="F872" s="34"/>
      <c r="G872" s="34"/>
      <c r="H872" s="34"/>
      <c r="I872" s="34"/>
      <c r="J872" s="34"/>
      <c r="K872" s="34"/>
      <c r="L872" s="34"/>
    </row>
    <row r="873" spans="2:12" ht="13" customHeight="1" x14ac:dyDescent="0.15">
      <c r="B873" s="32"/>
      <c r="C873" s="32"/>
      <c r="D873" s="33"/>
      <c r="E873" s="34"/>
      <c r="F873" s="34"/>
      <c r="G873" s="34"/>
      <c r="H873" s="34"/>
      <c r="I873" s="34"/>
      <c r="J873" s="34"/>
      <c r="K873" s="34"/>
      <c r="L873" s="34"/>
    </row>
    <row r="874" spans="2:12" ht="13" customHeight="1" x14ac:dyDescent="0.15">
      <c r="B874" s="32"/>
      <c r="C874" s="32"/>
      <c r="D874" s="33"/>
      <c r="E874" s="34"/>
      <c r="F874" s="34"/>
      <c r="G874" s="34"/>
      <c r="H874" s="34"/>
      <c r="I874" s="34"/>
      <c r="J874" s="34"/>
      <c r="K874" s="34"/>
      <c r="L874" s="34"/>
    </row>
    <row r="875" spans="2:12" ht="13" customHeight="1" x14ac:dyDescent="0.15">
      <c r="B875" s="32"/>
      <c r="C875" s="32"/>
      <c r="D875" s="33"/>
      <c r="E875" s="34"/>
      <c r="F875" s="34"/>
      <c r="G875" s="34"/>
      <c r="H875" s="34"/>
      <c r="I875" s="34"/>
      <c r="J875" s="34"/>
      <c r="K875" s="34"/>
      <c r="L875" s="34"/>
    </row>
    <row r="876" spans="2:12" ht="13" customHeight="1" x14ac:dyDescent="0.15">
      <c r="B876" s="32"/>
      <c r="C876" s="32"/>
      <c r="D876" s="33"/>
      <c r="E876" s="34"/>
      <c r="F876" s="34"/>
      <c r="G876" s="34"/>
      <c r="H876" s="34"/>
      <c r="I876" s="34"/>
      <c r="J876" s="34"/>
      <c r="K876" s="34"/>
      <c r="L876" s="34"/>
    </row>
    <row r="877" spans="2:12" ht="13" customHeight="1" x14ac:dyDescent="0.15">
      <c r="B877" s="32"/>
      <c r="C877" s="32"/>
      <c r="D877" s="33"/>
      <c r="E877" s="34"/>
      <c r="F877" s="34"/>
      <c r="G877" s="34"/>
      <c r="H877" s="34"/>
      <c r="I877" s="34"/>
      <c r="J877" s="34"/>
      <c r="K877" s="34"/>
      <c r="L877" s="34"/>
    </row>
    <row r="878" spans="2:12" ht="13" customHeight="1" x14ac:dyDescent="0.15">
      <c r="B878" s="32"/>
      <c r="C878" s="32"/>
      <c r="D878" s="33"/>
      <c r="E878" s="34"/>
      <c r="F878" s="34"/>
      <c r="G878" s="34"/>
      <c r="H878" s="34"/>
      <c r="I878" s="34"/>
      <c r="J878" s="34"/>
      <c r="K878" s="34"/>
      <c r="L878" s="34"/>
    </row>
    <row r="879" spans="2:12" ht="13" customHeight="1" x14ac:dyDescent="0.15">
      <c r="B879" s="32"/>
      <c r="C879" s="32"/>
      <c r="D879" s="33"/>
      <c r="E879" s="34"/>
      <c r="F879" s="34"/>
      <c r="G879" s="34"/>
      <c r="H879" s="34"/>
      <c r="I879" s="34"/>
      <c r="J879" s="34"/>
      <c r="K879" s="34"/>
      <c r="L879" s="34"/>
    </row>
    <row r="880" spans="2:12" ht="13" customHeight="1" x14ac:dyDescent="0.15">
      <c r="B880" s="32"/>
      <c r="C880" s="32"/>
      <c r="D880" s="33"/>
      <c r="E880" s="34"/>
      <c r="F880" s="34"/>
      <c r="G880" s="34"/>
      <c r="H880" s="34"/>
      <c r="I880" s="34"/>
      <c r="J880" s="34"/>
      <c r="K880" s="34"/>
      <c r="L880" s="34"/>
    </row>
    <row r="881" spans="2:12" ht="13" customHeight="1" x14ac:dyDescent="0.15">
      <c r="B881" s="32"/>
      <c r="C881" s="32"/>
      <c r="D881" s="33"/>
      <c r="E881" s="34"/>
      <c r="F881" s="34"/>
      <c r="G881" s="34"/>
      <c r="H881" s="34"/>
      <c r="I881" s="34"/>
      <c r="J881" s="34"/>
      <c r="K881" s="34"/>
      <c r="L881" s="34"/>
    </row>
    <row r="882" spans="2:12" ht="13" customHeight="1" x14ac:dyDescent="0.15">
      <c r="B882" s="32"/>
      <c r="C882" s="32"/>
      <c r="D882" s="33"/>
      <c r="E882" s="34"/>
      <c r="F882" s="34"/>
      <c r="G882" s="34"/>
      <c r="H882" s="34"/>
      <c r="I882" s="34"/>
      <c r="J882" s="34"/>
      <c r="K882" s="34"/>
      <c r="L882" s="34"/>
    </row>
    <row r="883" spans="2:12" ht="13" customHeight="1" x14ac:dyDescent="0.15">
      <c r="B883" s="32"/>
      <c r="C883" s="32"/>
      <c r="D883" s="33"/>
      <c r="E883" s="34"/>
      <c r="F883" s="34"/>
      <c r="G883" s="34"/>
      <c r="H883" s="34"/>
      <c r="I883" s="34"/>
      <c r="J883" s="34"/>
      <c r="K883" s="34"/>
      <c r="L883" s="34"/>
    </row>
    <row r="884" spans="2:12" ht="13" customHeight="1" x14ac:dyDescent="0.15">
      <c r="B884" s="32"/>
      <c r="C884" s="32"/>
      <c r="D884" s="33"/>
      <c r="E884" s="34"/>
      <c r="F884" s="34"/>
      <c r="G884" s="34"/>
      <c r="H884" s="34"/>
      <c r="I884" s="34"/>
      <c r="J884" s="34"/>
      <c r="K884" s="34"/>
      <c r="L884" s="34"/>
    </row>
    <row r="885" spans="2:12" ht="13" customHeight="1" x14ac:dyDescent="0.15">
      <c r="B885" s="32"/>
      <c r="C885" s="32"/>
      <c r="D885" s="33"/>
      <c r="E885" s="34"/>
      <c r="F885" s="34"/>
      <c r="G885" s="34"/>
      <c r="H885" s="34"/>
      <c r="I885" s="34"/>
      <c r="J885" s="34"/>
      <c r="K885" s="34"/>
      <c r="L885" s="34"/>
    </row>
    <row r="886" spans="2:12" ht="13" customHeight="1" x14ac:dyDescent="0.15">
      <c r="B886" s="32"/>
      <c r="C886" s="32"/>
      <c r="D886" s="33"/>
      <c r="E886" s="34"/>
      <c r="F886" s="34"/>
      <c r="G886" s="34"/>
      <c r="H886" s="34"/>
      <c r="I886" s="34"/>
      <c r="J886" s="34"/>
      <c r="K886" s="34"/>
      <c r="L886" s="34"/>
    </row>
    <row r="887" spans="2:12" ht="13" customHeight="1" x14ac:dyDescent="0.15">
      <c r="B887" s="32"/>
      <c r="C887" s="32"/>
      <c r="D887" s="33"/>
      <c r="E887" s="34"/>
      <c r="F887" s="34"/>
      <c r="G887" s="34"/>
      <c r="H887" s="34"/>
      <c r="I887" s="34"/>
      <c r="J887" s="34"/>
      <c r="K887" s="34"/>
      <c r="L887" s="34"/>
    </row>
    <row r="888" spans="2:12" ht="13" customHeight="1" x14ac:dyDescent="0.15">
      <c r="B888" s="32"/>
      <c r="C888" s="32"/>
      <c r="D888" s="33"/>
      <c r="E888" s="34"/>
      <c r="F888" s="34"/>
      <c r="G888" s="34"/>
      <c r="H888" s="34"/>
      <c r="I888" s="34"/>
      <c r="J888" s="34"/>
      <c r="K888" s="34"/>
      <c r="L888" s="34"/>
    </row>
    <row r="889" spans="2:12" ht="13" customHeight="1" x14ac:dyDescent="0.15">
      <c r="B889" s="32"/>
      <c r="C889" s="32"/>
      <c r="D889" s="33"/>
      <c r="E889" s="34"/>
      <c r="F889" s="34"/>
      <c r="G889" s="34"/>
      <c r="H889" s="34"/>
      <c r="I889" s="34"/>
      <c r="J889" s="34"/>
      <c r="K889" s="34"/>
      <c r="L889" s="34"/>
    </row>
    <row r="890" spans="2:12" ht="13" customHeight="1" x14ac:dyDescent="0.15">
      <c r="B890" s="32"/>
      <c r="C890" s="32"/>
      <c r="D890" s="33"/>
      <c r="E890" s="34"/>
      <c r="F890" s="34"/>
      <c r="G890" s="34"/>
      <c r="H890" s="34"/>
      <c r="I890" s="34"/>
      <c r="J890" s="34"/>
      <c r="K890" s="34"/>
      <c r="L890" s="34"/>
    </row>
    <row r="891" spans="2:12" ht="13" customHeight="1" x14ac:dyDescent="0.15">
      <c r="B891" s="32"/>
      <c r="C891" s="32"/>
      <c r="D891" s="33"/>
      <c r="E891" s="34"/>
      <c r="F891" s="34"/>
      <c r="G891" s="34"/>
      <c r="H891" s="34"/>
      <c r="I891" s="34"/>
      <c r="J891" s="34"/>
      <c r="K891" s="34"/>
      <c r="L891" s="34"/>
    </row>
    <row r="892" spans="2:12" ht="13" customHeight="1" x14ac:dyDescent="0.15">
      <c r="B892" s="32"/>
      <c r="C892" s="32"/>
      <c r="D892" s="33"/>
      <c r="E892" s="34"/>
      <c r="F892" s="34"/>
      <c r="G892" s="34"/>
      <c r="H892" s="34"/>
      <c r="I892" s="34"/>
      <c r="J892" s="34"/>
      <c r="K892" s="34"/>
      <c r="L892" s="34"/>
    </row>
    <row r="893" spans="2:12" ht="13" customHeight="1" x14ac:dyDescent="0.15">
      <c r="B893" s="32"/>
      <c r="C893" s="32"/>
      <c r="D893" s="33"/>
      <c r="E893" s="34"/>
      <c r="F893" s="34"/>
      <c r="G893" s="34"/>
      <c r="H893" s="34"/>
      <c r="I893" s="34"/>
      <c r="J893" s="34"/>
      <c r="K893" s="34"/>
      <c r="L893" s="34"/>
    </row>
    <row r="894" spans="2:12" ht="13" customHeight="1" x14ac:dyDescent="0.15">
      <c r="B894" s="32"/>
      <c r="C894" s="32"/>
      <c r="D894" s="33"/>
      <c r="E894" s="34"/>
      <c r="F894" s="34"/>
      <c r="G894" s="34"/>
      <c r="H894" s="34"/>
      <c r="I894" s="34"/>
      <c r="J894" s="34"/>
      <c r="K894" s="34"/>
      <c r="L894" s="34"/>
    </row>
    <row r="895" spans="2:12" ht="13" customHeight="1" x14ac:dyDescent="0.15">
      <c r="B895" s="32"/>
      <c r="C895" s="32"/>
      <c r="D895" s="33"/>
      <c r="E895" s="34"/>
      <c r="F895" s="34"/>
      <c r="G895" s="34"/>
      <c r="H895" s="34"/>
      <c r="I895" s="34"/>
      <c r="J895" s="34"/>
      <c r="K895" s="34"/>
      <c r="L895" s="34"/>
    </row>
    <row r="896" spans="2:12" ht="13" customHeight="1" x14ac:dyDescent="0.15">
      <c r="B896" s="32"/>
      <c r="C896" s="32"/>
      <c r="D896" s="33"/>
      <c r="E896" s="34"/>
      <c r="F896" s="34"/>
      <c r="G896" s="34"/>
      <c r="H896" s="34"/>
      <c r="I896" s="34"/>
      <c r="J896" s="34"/>
      <c r="K896" s="34"/>
      <c r="L896" s="34"/>
    </row>
    <row r="897" spans="2:12" ht="13" customHeight="1" x14ac:dyDescent="0.15">
      <c r="B897" s="32"/>
      <c r="C897" s="32"/>
      <c r="D897" s="33"/>
      <c r="E897" s="34"/>
      <c r="F897" s="34"/>
      <c r="G897" s="34"/>
      <c r="H897" s="34"/>
      <c r="I897" s="34"/>
      <c r="J897" s="34"/>
      <c r="K897" s="34"/>
      <c r="L897" s="34"/>
    </row>
    <row r="898" spans="2:12" ht="13" customHeight="1" x14ac:dyDescent="0.15">
      <c r="B898" s="32"/>
      <c r="C898" s="32"/>
      <c r="D898" s="33"/>
      <c r="E898" s="34"/>
      <c r="F898" s="34"/>
      <c r="G898" s="34"/>
      <c r="H898" s="34"/>
      <c r="I898" s="34"/>
      <c r="J898" s="34"/>
      <c r="K898" s="34"/>
      <c r="L898" s="34"/>
    </row>
    <row r="899" spans="2:12" ht="13" customHeight="1" x14ac:dyDescent="0.15">
      <c r="B899" s="32"/>
      <c r="C899" s="32"/>
      <c r="D899" s="33"/>
      <c r="E899" s="34"/>
      <c r="F899" s="34"/>
      <c r="G899" s="34"/>
      <c r="H899" s="34"/>
      <c r="I899" s="34"/>
      <c r="J899" s="34"/>
      <c r="K899" s="34"/>
      <c r="L899" s="34"/>
    </row>
    <row r="900" spans="2:12" ht="13" customHeight="1" x14ac:dyDescent="0.15">
      <c r="B900" s="32"/>
      <c r="C900" s="32"/>
      <c r="D900" s="33"/>
      <c r="E900" s="34"/>
      <c r="F900" s="34"/>
      <c r="G900" s="34"/>
      <c r="H900" s="34"/>
      <c r="I900" s="34"/>
      <c r="J900" s="34"/>
      <c r="K900" s="34"/>
      <c r="L900" s="34"/>
    </row>
    <row r="901" spans="2:12" ht="13" customHeight="1" x14ac:dyDescent="0.15">
      <c r="B901" s="32"/>
      <c r="C901" s="32"/>
      <c r="D901" s="33"/>
      <c r="E901" s="34"/>
      <c r="F901" s="34"/>
      <c r="G901" s="34"/>
      <c r="H901" s="34"/>
      <c r="I901" s="34"/>
      <c r="J901" s="34"/>
      <c r="K901" s="34"/>
      <c r="L901" s="34"/>
    </row>
    <row r="902" spans="2:12" ht="13" customHeight="1" x14ac:dyDescent="0.15">
      <c r="B902" s="32"/>
      <c r="C902" s="32"/>
      <c r="D902" s="33"/>
      <c r="E902" s="34"/>
      <c r="F902" s="34"/>
      <c r="G902" s="34"/>
      <c r="H902" s="34"/>
      <c r="I902" s="34"/>
      <c r="J902" s="34"/>
      <c r="K902" s="34"/>
      <c r="L902" s="34"/>
    </row>
    <row r="903" spans="2:12" ht="13" customHeight="1" x14ac:dyDescent="0.15">
      <c r="B903" s="32"/>
      <c r="C903" s="32"/>
      <c r="D903" s="33"/>
      <c r="E903" s="34"/>
      <c r="F903" s="34"/>
      <c r="G903" s="34"/>
      <c r="H903" s="34"/>
      <c r="I903" s="34"/>
      <c r="J903" s="34"/>
      <c r="K903" s="34"/>
      <c r="L903" s="34"/>
    </row>
    <row r="904" spans="2:12" ht="13" customHeight="1" x14ac:dyDescent="0.15">
      <c r="B904" s="32"/>
      <c r="C904" s="32"/>
      <c r="D904" s="33"/>
      <c r="E904" s="34"/>
      <c r="F904" s="34"/>
      <c r="G904" s="34"/>
      <c r="H904" s="34"/>
      <c r="I904" s="34"/>
      <c r="J904" s="34"/>
      <c r="K904" s="34"/>
      <c r="L904" s="34"/>
    </row>
    <row r="905" spans="2:12" ht="13" customHeight="1" x14ac:dyDescent="0.15">
      <c r="B905" s="32"/>
      <c r="C905" s="32"/>
      <c r="D905" s="33"/>
      <c r="E905" s="34"/>
      <c r="F905" s="34"/>
      <c r="G905" s="34"/>
      <c r="H905" s="34"/>
      <c r="I905" s="34"/>
      <c r="J905" s="34"/>
      <c r="K905" s="34"/>
      <c r="L905" s="34"/>
    </row>
    <row r="906" spans="2:12" ht="13" customHeight="1" x14ac:dyDescent="0.15">
      <c r="B906" s="32"/>
      <c r="C906" s="32"/>
      <c r="D906" s="33"/>
      <c r="E906" s="34"/>
      <c r="F906" s="34"/>
      <c r="G906" s="34"/>
      <c r="H906" s="34"/>
      <c r="I906" s="34"/>
      <c r="J906" s="34"/>
      <c r="K906" s="34"/>
      <c r="L906" s="34"/>
    </row>
    <row r="907" spans="2:12" ht="13" customHeight="1" x14ac:dyDescent="0.15">
      <c r="B907" s="32"/>
      <c r="C907" s="32"/>
      <c r="D907" s="33"/>
      <c r="E907" s="34"/>
      <c r="F907" s="34"/>
      <c r="G907" s="34"/>
      <c r="H907" s="34"/>
      <c r="I907" s="34"/>
      <c r="J907" s="34"/>
      <c r="K907" s="34"/>
      <c r="L907" s="34"/>
    </row>
    <row r="908" spans="2:12" ht="13" customHeight="1" x14ac:dyDescent="0.15">
      <c r="B908" s="32"/>
      <c r="C908" s="32"/>
      <c r="D908" s="33"/>
      <c r="E908" s="34"/>
      <c r="F908" s="34"/>
      <c r="G908" s="34"/>
      <c r="H908" s="34"/>
      <c r="I908" s="34"/>
      <c r="J908" s="34"/>
      <c r="K908" s="34"/>
      <c r="L908" s="34"/>
    </row>
    <row r="909" spans="2:12" ht="13" customHeight="1" x14ac:dyDescent="0.15">
      <c r="B909" s="32"/>
      <c r="C909" s="32"/>
      <c r="D909" s="33"/>
      <c r="E909" s="34"/>
      <c r="F909" s="34"/>
      <c r="G909" s="34"/>
      <c r="H909" s="34"/>
      <c r="I909" s="34"/>
      <c r="J909" s="34"/>
      <c r="K909" s="34"/>
      <c r="L909" s="34"/>
    </row>
    <row r="910" spans="2:12" ht="13" customHeight="1" x14ac:dyDescent="0.15">
      <c r="B910" s="32"/>
      <c r="C910" s="32"/>
      <c r="D910" s="33"/>
      <c r="E910" s="34"/>
      <c r="F910" s="34"/>
      <c r="G910" s="34"/>
      <c r="H910" s="34"/>
      <c r="I910" s="34"/>
      <c r="J910" s="34"/>
      <c r="K910" s="34"/>
      <c r="L910" s="34"/>
    </row>
    <row r="911" spans="2:12" ht="13" customHeight="1" x14ac:dyDescent="0.15">
      <c r="B911" s="32"/>
      <c r="C911" s="32"/>
      <c r="D911" s="33"/>
      <c r="E911" s="34"/>
      <c r="F911" s="34"/>
      <c r="G911" s="34"/>
      <c r="H911" s="34"/>
      <c r="I911" s="34"/>
      <c r="J911" s="34"/>
      <c r="K911" s="34"/>
      <c r="L911" s="34"/>
    </row>
    <row r="912" spans="2:12" ht="13" customHeight="1" x14ac:dyDescent="0.15">
      <c r="B912" s="32"/>
      <c r="C912" s="32"/>
      <c r="D912" s="33"/>
      <c r="E912" s="34"/>
      <c r="F912" s="34"/>
      <c r="G912" s="34"/>
      <c r="H912" s="34"/>
      <c r="I912" s="34"/>
      <c r="J912" s="34"/>
      <c r="K912" s="34"/>
      <c r="L912" s="34"/>
    </row>
    <row r="913" spans="2:12" ht="13" customHeight="1" x14ac:dyDescent="0.15">
      <c r="B913" s="32"/>
      <c r="C913" s="32"/>
      <c r="D913" s="33"/>
      <c r="E913" s="34"/>
      <c r="F913" s="34"/>
      <c r="G913" s="34"/>
      <c r="H913" s="34"/>
      <c r="I913" s="34"/>
      <c r="J913" s="34"/>
      <c r="K913" s="34"/>
      <c r="L913" s="34"/>
    </row>
    <row r="914" spans="2:12" ht="13" customHeight="1" x14ac:dyDescent="0.15">
      <c r="B914" s="32"/>
      <c r="C914" s="32"/>
      <c r="D914" s="33"/>
      <c r="E914" s="34"/>
      <c r="F914" s="34"/>
      <c r="G914" s="34"/>
      <c r="H914" s="34"/>
      <c r="I914" s="34"/>
      <c r="J914" s="34"/>
      <c r="K914" s="34"/>
      <c r="L914" s="34"/>
    </row>
    <row r="915" spans="2:12" ht="13" customHeight="1" x14ac:dyDescent="0.15">
      <c r="B915" s="32"/>
      <c r="C915" s="32"/>
      <c r="D915" s="33"/>
      <c r="E915" s="34"/>
      <c r="F915" s="34"/>
      <c r="G915" s="34"/>
      <c r="H915" s="34"/>
      <c r="I915" s="34"/>
      <c r="J915" s="34"/>
      <c r="K915" s="34"/>
      <c r="L915" s="34"/>
    </row>
    <row r="916" spans="2:12" ht="13" customHeight="1" x14ac:dyDescent="0.15">
      <c r="B916" s="32"/>
      <c r="C916" s="32"/>
      <c r="D916" s="33"/>
      <c r="E916" s="34"/>
      <c r="F916" s="34"/>
      <c r="G916" s="34"/>
      <c r="H916" s="34"/>
      <c r="I916" s="34"/>
      <c r="J916" s="34"/>
      <c r="K916" s="34"/>
      <c r="L916" s="34"/>
    </row>
    <row r="917" spans="2:12" ht="13" customHeight="1" x14ac:dyDescent="0.15">
      <c r="B917" s="32"/>
      <c r="C917" s="32"/>
      <c r="D917" s="33"/>
      <c r="E917" s="34"/>
      <c r="F917" s="34"/>
      <c r="G917" s="34"/>
      <c r="H917" s="34"/>
      <c r="I917" s="34"/>
      <c r="J917" s="34"/>
      <c r="K917" s="34"/>
      <c r="L917" s="34"/>
    </row>
    <row r="918" spans="2:12" ht="13" customHeight="1" x14ac:dyDescent="0.15">
      <c r="B918" s="32"/>
      <c r="C918" s="32"/>
      <c r="D918" s="33"/>
      <c r="E918" s="34"/>
      <c r="F918" s="34"/>
      <c r="G918" s="34"/>
      <c r="H918" s="34"/>
      <c r="I918" s="34"/>
      <c r="J918" s="34"/>
      <c r="K918" s="34"/>
      <c r="L918" s="34"/>
    </row>
    <row r="919" spans="2:12" ht="13" customHeight="1" x14ac:dyDescent="0.15">
      <c r="B919" s="32"/>
      <c r="C919" s="32"/>
      <c r="D919" s="33"/>
      <c r="E919" s="34"/>
      <c r="F919" s="34"/>
      <c r="G919" s="34"/>
      <c r="H919" s="34"/>
      <c r="I919" s="34"/>
      <c r="J919" s="34"/>
      <c r="K919" s="34"/>
      <c r="L919" s="34"/>
    </row>
    <row r="920" spans="2:12" ht="13" customHeight="1" x14ac:dyDescent="0.15">
      <c r="B920" s="32"/>
      <c r="C920" s="32"/>
      <c r="D920" s="33"/>
      <c r="E920" s="34"/>
      <c r="F920" s="34"/>
      <c r="G920" s="34"/>
      <c r="H920" s="34"/>
      <c r="I920" s="34"/>
      <c r="J920" s="34"/>
      <c r="K920" s="34"/>
      <c r="L920" s="34"/>
    </row>
    <row r="921" spans="2:12" ht="13" customHeight="1" x14ac:dyDescent="0.15">
      <c r="B921" s="32"/>
      <c r="C921" s="32"/>
      <c r="D921" s="33"/>
      <c r="E921" s="34"/>
      <c r="F921" s="34"/>
      <c r="G921" s="34"/>
      <c r="H921" s="34"/>
      <c r="I921" s="34"/>
      <c r="J921" s="34"/>
      <c r="K921" s="34"/>
      <c r="L921" s="34"/>
    </row>
    <row r="922" spans="2:12" ht="13" customHeight="1" x14ac:dyDescent="0.15">
      <c r="B922" s="32"/>
      <c r="C922" s="32"/>
      <c r="D922" s="33"/>
      <c r="E922" s="34"/>
      <c r="F922" s="34"/>
      <c r="G922" s="34"/>
      <c r="H922" s="34"/>
      <c r="I922" s="34"/>
      <c r="J922" s="34"/>
      <c r="K922" s="34"/>
      <c r="L922" s="34"/>
    </row>
    <row r="923" spans="2:12" ht="13" customHeight="1" x14ac:dyDescent="0.15">
      <c r="B923" s="32"/>
      <c r="C923" s="32"/>
      <c r="D923" s="33"/>
      <c r="E923" s="34"/>
      <c r="F923" s="34"/>
      <c r="G923" s="34"/>
      <c r="H923" s="34"/>
      <c r="I923" s="34"/>
      <c r="J923" s="34"/>
      <c r="K923" s="34"/>
      <c r="L923" s="34"/>
    </row>
    <row r="924" spans="2:12" ht="13" customHeight="1" x14ac:dyDescent="0.15">
      <c r="B924" s="32"/>
      <c r="C924" s="32"/>
      <c r="D924" s="33"/>
      <c r="E924" s="34"/>
      <c r="F924" s="34"/>
      <c r="G924" s="34"/>
      <c r="H924" s="34"/>
      <c r="I924" s="34"/>
      <c r="J924" s="34"/>
      <c r="K924" s="34"/>
      <c r="L924" s="34"/>
    </row>
    <row r="925" spans="2:12" ht="13" customHeight="1" x14ac:dyDescent="0.15">
      <c r="B925" s="32"/>
      <c r="C925" s="32"/>
      <c r="D925" s="33"/>
      <c r="E925" s="34"/>
      <c r="F925" s="34"/>
      <c r="G925" s="34"/>
      <c r="H925" s="34"/>
      <c r="I925" s="34"/>
      <c r="J925" s="34"/>
      <c r="K925" s="34"/>
      <c r="L925" s="34"/>
    </row>
    <row r="926" spans="2:12" ht="13" customHeight="1" x14ac:dyDescent="0.15">
      <c r="B926" s="32"/>
      <c r="C926" s="32"/>
      <c r="D926" s="33"/>
      <c r="E926" s="34"/>
      <c r="F926" s="34"/>
      <c r="G926" s="34"/>
      <c r="H926" s="34"/>
      <c r="I926" s="34"/>
      <c r="J926" s="34"/>
      <c r="K926" s="34"/>
      <c r="L926" s="34"/>
    </row>
    <row r="927" spans="2:12" ht="13" customHeight="1" x14ac:dyDescent="0.15">
      <c r="B927" s="32"/>
      <c r="C927" s="32"/>
      <c r="D927" s="33"/>
      <c r="E927" s="34"/>
      <c r="F927" s="34"/>
      <c r="G927" s="34"/>
      <c r="H927" s="34"/>
      <c r="I927" s="34"/>
      <c r="J927" s="34"/>
      <c r="K927" s="34"/>
      <c r="L927" s="34"/>
    </row>
    <row r="928" spans="2:12" ht="13" customHeight="1" x14ac:dyDescent="0.15">
      <c r="B928" s="32"/>
      <c r="C928" s="32"/>
      <c r="D928" s="33"/>
      <c r="E928" s="34"/>
      <c r="F928" s="34"/>
      <c r="G928" s="34"/>
      <c r="H928" s="34"/>
      <c r="I928" s="34"/>
      <c r="J928" s="34"/>
      <c r="K928" s="34"/>
      <c r="L928" s="34"/>
    </row>
    <row r="929" spans="2:12" ht="13" customHeight="1" x14ac:dyDescent="0.15">
      <c r="B929" s="32"/>
      <c r="C929" s="32"/>
      <c r="D929" s="33"/>
      <c r="E929" s="34"/>
      <c r="F929" s="34"/>
      <c r="G929" s="34"/>
      <c r="H929" s="34"/>
      <c r="I929" s="34"/>
      <c r="J929" s="34"/>
      <c r="K929" s="34"/>
      <c r="L929" s="34"/>
    </row>
    <row r="930" spans="2:12" ht="13" customHeight="1" x14ac:dyDescent="0.15">
      <c r="B930" s="32"/>
      <c r="C930" s="32"/>
      <c r="D930" s="33"/>
      <c r="E930" s="34"/>
      <c r="F930" s="34"/>
      <c r="G930" s="34"/>
      <c r="H930" s="34"/>
      <c r="I930" s="34"/>
      <c r="J930" s="34"/>
      <c r="K930" s="34"/>
      <c r="L930" s="34"/>
    </row>
    <row r="931" spans="2:12" ht="13" customHeight="1" x14ac:dyDescent="0.15">
      <c r="B931" s="32"/>
      <c r="C931" s="32"/>
      <c r="D931" s="33"/>
      <c r="E931" s="34"/>
      <c r="F931" s="34"/>
      <c r="G931" s="34"/>
      <c r="H931" s="34"/>
      <c r="I931" s="34"/>
      <c r="J931" s="34"/>
      <c r="K931" s="34"/>
      <c r="L931" s="34"/>
    </row>
    <row r="932" spans="2:12" ht="13" customHeight="1" x14ac:dyDescent="0.15">
      <c r="B932" s="32"/>
      <c r="C932" s="32"/>
      <c r="D932" s="33"/>
      <c r="E932" s="34"/>
      <c r="F932" s="34"/>
      <c r="G932" s="34"/>
      <c r="H932" s="34"/>
      <c r="I932" s="34"/>
      <c r="J932" s="34"/>
      <c r="K932" s="34"/>
      <c r="L932" s="34"/>
    </row>
    <row r="933" spans="2:12" ht="13" customHeight="1" x14ac:dyDescent="0.15">
      <c r="B933" s="32"/>
      <c r="C933" s="32"/>
      <c r="D933" s="33"/>
      <c r="E933" s="34"/>
      <c r="F933" s="34"/>
      <c r="G933" s="34"/>
      <c r="H933" s="34"/>
      <c r="I933" s="34"/>
      <c r="J933" s="34"/>
      <c r="K933" s="34"/>
      <c r="L933" s="34"/>
    </row>
    <row r="934" spans="2:12" ht="13" customHeight="1" x14ac:dyDescent="0.15">
      <c r="B934" s="32"/>
      <c r="C934" s="32"/>
      <c r="D934" s="33"/>
      <c r="E934" s="34"/>
      <c r="F934" s="34"/>
      <c r="G934" s="34"/>
      <c r="H934" s="34"/>
      <c r="I934" s="34"/>
      <c r="J934" s="34"/>
      <c r="K934" s="34"/>
      <c r="L934" s="34"/>
    </row>
    <row r="935" spans="2:12" ht="13" customHeight="1" x14ac:dyDescent="0.15">
      <c r="B935" s="32"/>
      <c r="C935" s="32"/>
      <c r="D935" s="33"/>
      <c r="E935" s="34"/>
      <c r="F935" s="34"/>
      <c r="G935" s="34"/>
      <c r="H935" s="34"/>
      <c r="I935" s="34"/>
      <c r="J935" s="34"/>
      <c r="K935" s="34"/>
      <c r="L935" s="34"/>
    </row>
    <row r="936" spans="2:12" ht="13" customHeight="1" x14ac:dyDescent="0.15">
      <c r="B936" s="32"/>
      <c r="C936" s="32"/>
      <c r="D936" s="33"/>
      <c r="E936" s="34"/>
      <c r="F936" s="34"/>
      <c r="G936" s="34"/>
      <c r="H936" s="34"/>
      <c r="I936" s="34"/>
      <c r="J936" s="34"/>
      <c r="K936" s="34"/>
      <c r="L936" s="34"/>
    </row>
    <row r="937" spans="2:12" ht="13" customHeight="1" x14ac:dyDescent="0.15">
      <c r="B937" s="32"/>
      <c r="C937" s="32"/>
      <c r="D937" s="33"/>
      <c r="E937" s="34"/>
      <c r="F937" s="34"/>
      <c r="G937" s="34"/>
      <c r="H937" s="34"/>
      <c r="I937" s="34"/>
      <c r="J937" s="34"/>
      <c r="K937" s="34"/>
      <c r="L937" s="34"/>
    </row>
    <row r="938" spans="2:12" ht="13" customHeight="1" x14ac:dyDescent="0.15">
      <c r="B938" s="32"/>
      <c r="C938" s="32"/>
      <c r="D938" s="33"/>
      <c r="E938" s="34"/>
      <c r="F938" s="34"/>
      <c r="G938" s="34"/>
      <c r="H938" s="34"/>
      <c r="I938" s="34"/>
      <c r="J938" s="34"/>
      <c r="K938" s="34"/>
      <c r="L938" s="34"/>
    </row>
    <row r="939" spans="2:12" ht="13" customHeight="1" x14ac:dyDescent="0.15">
      <c r="B939" s="32"/>
      <c r="C939" s="32"/>
      <c r="D939" s="33"/>
      <c r="E939" s="34"/>
      <c r="F939" s="34"/>
      <c r="G939" s="34"/>
      <c r="H939" s="34"/>
      <c r="I939" s="34"/>
      <c r="J939" s="34"/>
      <c r="K939" s="34"/>
      <c r="L939" s="34"/>
    </row>
    <row r="940" spans="2:12" ht="13" customHeight="1" x14ac:dyDescent="0.15">
      <c r="B940" s="32"/>
      <c r="C940" s="32"/>
      <c r="D940" s="33"/>
      <c r="E940" s="34"/>
      <c r="F940" s="34"/>
      <c r="G940" s="34"/>
      <c r="H940" s="34"/>
      <c r="I940" s="34"/>
      <c r="J940" s="34"/>
      <c r="K940" s="34"/>
      <c r="L940" s="34"/>
    </row>
    <row r="941" spans="2:12" ht="13" customHeight="1" x14ac:dyDescent="0.15">
      <c r="B941" s="32"/>
      <c r="C941" s="32"/>
      <c r="D941" s="33"/>
      <c r="E941" s="34"/>
      <c r="F941" s="34"/>
      <c r="G941" s="34"/>
      <c r="H941" s="34"/>
      <c r="I941" s="34"/>
      <c r="J941" s="34"/>
      <c r="K941" s="34"/>
      <c r="L941" s="34"/>
    </row>
    <row r="942" spans="2:12" ht="13" customHeight="1" x14ac:dyDescent="0.15">
      <c r="B942" s="32"/>
      <c r="C942" s="32"/>
      <c r="D942" s="33"/>
      <c r="E942" s="34"/>
      <c r="F942" s="34"/>
      <c r="G942" s="34"/>
      <c r="H942" s="34"/>
      <c r="I942" s="34"/>
      <c r="J942" s="34"/>
      <c r="K942" s="34"/>
      <c r="L942" s="34"/>
    </row>
    <row r="943" spans="2:12" ht="13" customHeight="1" x14ac:dyDescent="0.15">
      <c r="B943" s="32"/>
      <c r="C943" s="32"/>
      <c r="D943" s="33"/>
      <c r="E943" s="34"/>
      <c r="F943" s="34"/>
      <c r="G943" s="34"/>
      <c r="H943" s="34"/>
      <c r="I943" s="34"/>
      <c r="J943" s="34"/>
      <c r="K943" s="34"/>
      <c r="L943" s="34"/>
    </row>
    <row r="944" spans="2:12" ht="13" customHeight="1" x14ac:dyDescent="0.15">
      <c r="B944" s="32"/>
      <c r="C944" s="32"/>
      <c r="D944" s="33"/>
      <c r="E944" s="34"/>
      <c r="F944" s="34"/>
      <c r="G944" s="34"/>
      <c r="H944" s="34"/>
      <c r="I944" s="34"/>
      <c r="J944" s="34"/>
      <c r="K944" s="34"/>
      <c r="L944" s="34"/>
    </row>
    <row r="945" spans="2:12" ht="13" customHeight="1" x14ac:dyDescent="0.15">
      <c r="B945" s="32"/>
      <c r="C945" s="32"/>
      <c r="D945" s="33"/>
      <c r="E945" s="34"/>
      <c r="F945" s="34"/>
      <c r="G945" s="34"/>
      <c r="H945" s="34"/>
      <c r="I945" s="34"/>
      <c r="J945" s="34"/>
      <c r="K945" s="34"/>
      <c r="L945" s="34"/>
    </row>
    <row r="946" spans="2:12" ht="13" customHeight="1" x14ac:dyDescent="0.15">
      <c r="B946" s="32"/>
      <c r="C946" s="32"/>
      <c r="D946" s="33"/>
      <c r="E946" s="34"/>
      <c r="F946" s="34"/>
      <c r="G946" s="34"/>
      <c r="H946" s="34"/>
      <c r="I946" s="34"/>
      <c r="J946" s="34"/>
      <c r="K946" s="34"/>
      <c r="L946" s="34"/>
    </row>
    <row r="947" spans="2:12" ht="13" customHeight="1" x14ac:dyDescent="0.15">
      <c r="B947" s="32"/>
      <c r="C947" s="32"/>
      <c r="D947" s="33"/>
      <c r="E947" s="34"/>
      <c r="F947" s="34"/>
      <c r="G947" s="34"/>
      <c r="H947" s="34"/>
      <c r="I947" s="34"/>
      <c r="J947" s="34"/>
      <c r="K947" s="34"/>
      <c r="L947" s="34"/>
    </row>
    <row r="948" spans="2:12" ht="13" customHeight="1" x14ac:dyDescent="0.15">
      <c r="B948" s="32"/>
      <c r="C948" s="32"/>
      <c r="D948" s="33"/>
      <c r="E948" s="34"/>
      <c r="F948" s="34"/>
      <c r="G948" s="34"/>
      <c r="H948" s="34"/>
      <c r="I948" s="34"/>
      <c r="J948" s="34"/>
      <c r="K948" s="34"/>
      <c r="L948" s="34"/>
    </row>
    <row r="949" spans="2:12" ht="13" customHeight="1" x14ac:dyDescent="0.15">
      <c r="B949" s="32"/>
      <c r="C949" s="32"/>
      <c r="D949" s="33"/>
      <c r="E949" s="34"/>
      <c r="F949" s="34"/>
      <c r="G949" s="34"/>
      <c r="H949" s="34"/>
      <c r="I949" s="34"/>
      <c r="J949" s="34"/>
      <c r="K949" s="34"/>
      <c r="L949" s="34"/>
    </row>
    <row r="950" spans="2:12" ht="13" customHeight="1" x14ac:dyDescent="0.15">
      <c r="B950" s="32"/>
      <c r="C950" s="32"/>
      <c r="D950" s="33"/>
      <c r="E950" s="34"/>
      <c r="F950" s="34"/>
      <c r="G950" s="34"/>
      <c r="H950" s="34"/>
      <c r="I950" s="34"/>
      <c r="J950" s="34"/>
      <c r="K950" s="34"/>
      <c r="L950" s="34"/>
    </row>
    <row r="951" spans="2:12" ht="13" customHeight="1" x14ac:dyDescent="0.15">
      <c r="B951" s="32"/>
      <c r="C951" s="32"/>
      <c r="D951" s="33"/>
      <c r="E951" s="34"/>
      <c r="F951" s="34"/>
      <c r="G951" s="34"/>
      <c r="H951" s="34"/>
      <c r="I951" s="34"/>
      <c r="J951" s="34"/>
      <c r="K951" s="34"/>
      <c r="L951" s="34"/>
    </row>
    <row r="952" spans="2:12" ht="13" customHeight="1" x14ac:dyDescent="0.15">
      <c r="B952" s="32"/>
      <c r="C952" s="32"/>
      <c r="D952" s="33"/>
      <c r="E952" s="34"/>
      <c r="F952" s="34"/>
      <c r="G952" s="34"/>
      <c r="H952" s="34"/>
      <c r="I952" s="34"/>
      <c r="J952" s="34"/>
      <c r="K952" s="34"/>
      <c r="L952" s="34"/>
    </row>
    <row r="953" spans="2:12" ht="13" customHeight="1" x14ac:dyDescent="0.15">
      <c r="B953" s="32"/>
      <c r="C953" s="32"/>
      <c r="D953" s="33"/>
      <c r="E953" s="34"/>
      <c r="F953" s="34"/>
      <c r="G953" s="34"/>
      <c r="H953" s="34"/>
      <c r="I953" s="34"/>
      <c r="J953" s="34"/>
      <c r="K953" s="34"/>
      <c r="L953" s="34"/>
    </row>
    <row r="954" spans="2:12" ht="13" customHeight="1" x14ac:dyDescent="0.15">
      <c r="B954" s="32"/>
      <c r="C954" s="32"/>
      <c r="D954" s="33"/>
      <c r="E954" s="34"/>
      <c r="F954" s="34"/>
      <c r="G954" s="34"/>
      <c r="H954" s="34"/>
      <c r="I954" s="34"/>
      <c r="J954" s="34"/>
      <c r="K954" s="34"/>
      <c r="L954" s="34"/>
    </row>
    <row r="955" spans="2:12" ht="13" customHeight="1" x14ac:dyDescent="0.15">
      <c r="B955" s="32"/>
      <c r="C955" s="32"/>
      <c r="D955" s="33"/>
      <c r="E955" s="34"/>
      <c r="F955" s="34"/>
      <c r="G955" s="34"/>
      <c r="H955" s="34"/>
      <c r="I955" s="34"/>
      <c r="J955" s="34"/>
      <c r="K955" s="34"/>
      <c r="L955" s="34"/>
    </row>
    <row r="956" spans="2:12" ht="13" customHeight="1" x14ac:dyDescent="0.15">
      <c r="B956" s="32"/>
      <c r="C956" s="32"/>
      <c r="D956" s="33"/>
      <c r="E956" s="34"/>
      <c r="F956" s="34"/>
      <c r="G956" s="34"/>
      <c r="H956" s="34"/>
      <c r="I956" s="34"/>
      <c r="J956" s="34"/>
      <c r="K956" s="34"/>
      <c r="L956" s="34"/>
    </row>
    <row r="957" spans="2:12" ht="13" customHeight="1" x14ac:dyDescent="0.15">
      <c r="B957" s="32"/>
      <c r="C957" s="32"/>
      <c r="D957" s="33"/>
      <c r="E957" s="34"/>
      <c r="F957" s="34"/>
      <c r="G957" s="34"/>
      <c r="H957" s="34"/>
      <c r="I957" s="34"/>
      <c r="J957" s="34"/>
      <c r="K957" s="34"/>
      <c r="L957" s="34"/>
    </row>
    <row r="958" spans="2:12" ht="13" customHeight="1" x14ac:dyDescent="0.15">
      <c r="B958" s="32"/>
      <c r="C958" s="32"/>
      <c r="D958" s="33"/>
      <c r="E958" s="34"/>
      <c r="F958" s="34"/>
      <c r="G958" s="34"/>
      <c r="H958" s="34"/>
      <c r="I958" s="34"/>
      <c r="J958" s="34"/>
      <c r="K958" s="34"/>
      <c r="L958" s="34"/>
    </row>
    <row r="959" spans="2:12" ht="13" customHeight="1" x14ac:dyDescent="0.15">
      <c r="B959" s="32"/>
      <c r="C959" s="32"/>
      <c r="D959" s="33"/>
      <c r="E959" s="34"/>
      <c r="F959" s="34"/>
      <c r="G959" s="34"/>
      <c r="H959" s="34"/>
      <c r="I959" s="34"/>
      <c r="J959" s="34"/>
      <c r="K959" s="34"/>
      <c r="L959" s="34"/>
    </row>
    <row r="960" spans="2:12" ht="13" customHeight="1" x14ac:dyDescent="0.15">
      <c r="B960" s="32"/>
      <c r="C960" s="32"/>
      <c r="D960" s="33"/>
      <c r="E960" s="34"/>
      <c r="F960" s="34"/>
      <c r="G960" s="34"/>
      <c r="H960" s="34"/>
      <c r="I960" s="34"/>
      <c r="J960" s="34"/>
      <c r="K960" s="34"/>
      <c r="L960" s="34"/>
    </row>
    <row r="961" spans="2:12" ht="13" customHeight="1" x14ac:dyDescent="0.15">
      <c r="B961" s="32"/>
      <c r="C961" s="32"/>
      <c r="D961" s="33"/>
      <c r="E961" s="34"/>
      <c r="F961" s="34"/>
      <c r="G961" s="34"/>
      <c r="H961" s="34"/>
      <c r="I961" s="34"/>
      <c r="J961" s="34"/>
      <c r="K961" s="34"/>
      <c r="L961" s="34"/>
    </row>
    <row r="962" spans="2:12" ht="13" customHeight="1" x14ac:dyDescent="0.15">
      <c r="B962" s="32"/>
      <c r="C962" s="32"/>
      <c r="D962" s="33"/>
      <c r="E962" s="34"/>
      <c r="F962" s="34"/>
      <c r="G962" s="34"/>
      <c r="H962" s="34"/>
      <c r="I962" s="34"/>
      <c r="J962" s="34"/>
      <c r="K962" s="34"/>
      <c r="L962" s="34"/>
    </row>
    <row r="963" spans="2:12" ht="13" customHeight="1" x14ac:dyDescent="0.15">
      <c r="B963" s="32"/>
      <c r="C963" s="32"/>
      <c r="D963" s="33"/>
      <c r="E963" s="34"/>
      <c r="F963" s="34"/>
      <c r="G963" s="34"/>
      <c r="H963" s="34"/>
      <c r="I963" s="34"/>
      <c r="J963" s="34"/>
      <c r="K963" s="34"/>
      <c r="L963" s="34"/>
    </row>
    <row r="964" spans="2:12" ht="13" customHeight="1" x14ac:dyDescent="0.15">
      <c r="B964" s="32"/>
      <c r="C964" s="32"/>
      <c r="D964" s="33"/>
      <c r="E964" s="34"/>
      <c r="F964" s="34"/>
      <c r="G964" s="34"/>
      <c r="H964" s="34"/>
      <c r="I964" s="34"/>
      <c r="J964" s="34"/>
      <c r="K964" s="34"/>
      <c r="L964" s="34"/>
    </row>
    <row r="965" spans="2:12" ht="13" customHeight="1" x14ac:dyDescent="0.15">
      <c r="B965" s="32"/>
      <c r="C965" s="32"/>
      <c r="D965" s="33"/>
      <c r="E965" s="34"/>
      <c r="F965" s="34"/>
      <c r="G965" s="34"/>
      <c r="H965" s="34"/>
      <c r="I965" s="34"/>
      <c r="J965" s="34"/>
      <c r="K965" s="34"/>
      <c r="L965" s="34"/>
    </row>
    <row r="966" spans="2:12" ht="13" customHeight="1" x14ac:dyDescent="0.15">
      <c r="B966" s="32"/>
      <c r="C966" s="32"/>
      <c r="D966" s="33"/>
      <c r="E966" s="34"/>
      <c r="F966" s="34"/>
      <c r="G966" s="34"/>
      <c r="H966" s="34"/>
      <c r="I966" s="34"/>
      <c r="J966" s="34"/>
      <c r="K966" s="34"/>
      <c r="L966" s="34"/>
    </row>
    <row r="967" spans="2:12" ht="13" customHeight="1" x14ac:dyDescent="0.15">
      <c r="B967" s="32"/>
      <c r="C967" s="32"/>
      <c r="D967" s="33"/>
      <c r="E967" s="34"/>
      <c r="F967" s="34"/>
      <c r="G967" s="34"/>
      <c r="H967" s="34"/>
      <c r="I967" s="34"/>
      <c r="J967" s="34"/>
      <c r="K967" s="34"/>
      <c r="L967" s="34"/>
    </row>
    <row r="968" spans="2:12" ht="13" customHeight="1" x14ac:dyDescent="0.15">
      <c r="B968" s="32"/>
      <c r="C968" s="32"/>
      <c r="D968" s="33"/>
      <c r="E968" s="34"/>
      <c r="F968" s="34"/>
      <c r="G968" s="34"/>
      <c r="H968" s="34"/>
      <c r="I968" s="34"/>
      <c r="J968" s="34"/>
      <c r="K968" s="34"/>
      <c r="L968" s="34"/>
    </row>
    <row r="969" spans="2:12" ht="13" customHeight="1" x14ac:dyDescent="0.15">
      <c r="B969" s="32"/>
      <c r="C969" s="32"/>
      <c r="D969" s="33"/>
      <c r="E969" s="34"/>
      <c r="F969" s="34"/>
      <c r="G969" s="34"/>
      <c r="H969" s="34"/>
      <c r="I969" s="34"/>
      <c r="J969" s="34"/>
      <c r="K969" s="34"/>
      <c r="L969" s="34"/>
    </row>
    <row r="970" spans="2:12" ht="13" customHeight="1" x14ac:dyDescent="0.15">
      <c r="B970" s="32"/>
      <c r="C970" s="32"/>
      <c r="D970" s="33"/>
      <c r="E970" s="34"/>
      <c r="F970" s="34"/>
      <c r="G970" s="34"/>
      <c r="H970" s="34"/>
      <c r="I970" s="34"/>
      <c r="J970" s="34"/>
      <c r="K970" s="34"/>
      <c r="L970" s="34"/>
    </row>
    <row r="971" spans="2:12" ht="13" customHeight="1" x14ac:dyDescent="0.15">
      <c r="B971" s="32"/>
      <c r="C971" s="32"/>
      <c r="D971" s="33"/>
      <c r="E971" s="34"/>
      <c r="F971" s="34"/>
      <c r="G971" s="34"/>
      <c r="H971" s="34"/>
      <c r="I971" s="34"/>
      <c r="J971" s="34"/>
      <c r="K971" s="34"/>
      <c r="L971" s="34"/>
    </row>
    <row r="972" spans="2:12" ht="13" customHeight="1" x14ac:dyDescent="0.15">
      <c r="B972" s="32"/>
      <c r="C972" s="32"/>
      <c r="D972" s="33"/>
      <c r="E972" s="34"/>
      <c r="F972" s="34"/>
      <c r="G972" s="34"/>
      <c r="H972" s="34"/>
      <c r="I972" s="34"/>
      <c r="J972" s="34"/>
      <c r="K972" s="34"/>
      <c r="L972" s="34"/>
    </row>
    <row r="973" spans="2:12" ht="13" customHeight="1" x14ac:dyDescent="0.15">
      <c r="B973" s="32"/>
      <c r="C973" s="32"/>
      <c r="D973" s="33"/>
      <c r="E973" s="34"/>
      <c r="F973" s="34"/>
      <c r="G973" s="34"/>
      <c r="H973" s="34"/>
      <c r="I973" s="34"/>
      <c r="J973" s="34"/>
      <c r="K973" s="34"/>
      <c r="L973" s="34"/>
    </row>
    <row r="974" spans="2:12" ht="13" customHeight="1" x14ac:dyDescent="0.15">
      <c r="B974" s="32"/>
      <c r="C974" s="32"/>
      <c r="D974" s="33"/>
      <c r="E974" s="34"/>
      <c r="F974" s="34"/>
      <c r="G974" s="34"/>
      <c r="H974" s="34"/>
      <c r="I974" s="34"/>
      <c r="J974" s="34"/>
      <c r="K974" s="34"/>
      <c r="L974" s="34"/>
    </row>
    <row r="975" spans="2:12" ht="13" customHeight="1" x14ac:dyDescent="0.15">
      <c r="B975" s="32"/>
      <c r="C975" s="32"/>
      <c r="D975" s="33"/>
      <c r="E975" s="34"/>
      <c r="F975" s="34"/>
      <c r="G975" s="34"/>
      <c r="H975" s="34"/>
      <c r="I975" s="34"/>
      <c r="J975" s="34"/>
      <c r="K975" s="34"/>
      <c r="L975" s="34"/>
    </row>
    <row r="976" spans="2:12" ht="13" customHeight="1" x14ac:dyDescent="0.15">
      <c r="B976" s="32"/>
      <c r="C976" s="32"/>
      <c r="D976" s="33"/>
      <c r="E976" s="34"/>
      <c r="F976" s="34"/>
      <c r="G976" s="34"/>
      <c r="H976" s="34"/>
      <c r="I976" s="34"/>
      <c r="J976" s="34"/>
      <c r="K976" s="34"/>
      <c r="L976" s="34"/>
    </row>
    <row r="977" spans="2:12" ht="13" customHeight="1" x14ac:dyDescent="0.15">
      <c r="B977" s="32"/>
      <c r="C977" s="32"/>
      <c r="D977" s="33"/>
      <c r="E977" s="34"/>
      <c r="F977" s="34"/>
      <c r="G977" s="34"/>
      <c r="H977" s="34"/>
      <c r="I977" s="34"/>
      <c r="J977" s="34"/>
      <c r="K977" s="34"/>
      <c r="L977" s="34"/>
    </row>
    <row r="978" spans="2:12" ht="13" customHeight="1" x14ac:dyDescent="0.15">
      <c r="B978" s="32"/>
      <c r="C978" s="32"/>
      <c r="D978" s="33"/>
      <c r="E978" s="34"/>
      <c r="F978" s="34"/>
      <c r="G978" s="34"/>
      <c r="H978" s="34"/>
      <c r="I978" s="34"/>
      <c r="J978" s="34"/>
      <c r="K978" s="34"/>
      <c r="L978" s="34"/>
    </row>
    <row r="979" spans="2:12" ht="13" customHeight="1" x14ac:dyDescent="0.15">
      <c r="B979" s="32"/>
      <c r="C979" s="32"/>
      <c r="D979" s="33"/>
      <c r="E979" s="34"/>
      <c r="F979" s="34"/>
      <c r="G979" s="34"/>
      <c r="H979" s="34"/>
      <c r="I979" s="34"/>
      <c r="J979" s="34"/>
      <c r="K979" s="34"/>
      <c r="L979" s="34"/>
    </row>
    <row r="980" spans="2:12" ht="13" customHeight="1" x14ac:dyDescent="0.15">
      <c r="B980" s="32"/>
      <c r="C980" s="32"/>
      <c r="D980" s="33"/>
      <c r="E980" s="34"/>
      <c r="F980" s="34"/>
      <c r="G980" s="34"/>
      <c r="H980" s="34"/>
      <c r="I980" s="34"/>
      <c r="J980" s="34"/>
      <c r="K980" s="34"/>
      <c r="L980" s="34"/>
    </row>
    <row r="981" spans="2:12" ht="13" customHeight="1" x14ac:dyDescent="0.15">
      <c r="B981" s="32"/>
      <c r="C981" s="32"/>
      <c r="D981" s="33"/>
      <c r="E981" s="34"/>
      <c r="F981" s="34"/>
      <c r="G981" s="34"/>
      <c r="H981" s="34"/>
      <c r="I981" s="34"/>
      <c r="J981" s="34"/>
      <c r="K981" s="34"/>
      <c r="L981" s="34"/>
    </row>
    <row r="982" spans="2:12" ht="13" customHeight="1" x14ac:dyDescent="0.15">
      <c r="B982" s="32"/>
      <c r="C982" s="32"/>
      <c r="D982" s="33"/>
      <c r="E982" s="34"/>
      <c r="F982" s="34"/>
      <c r="G982" s="34"/>
      <c r="H982" s="34"/>
      <c r="I982" s="34"/>
      <c r="J982" s="34"/>
      <c r="K982" s="34"/>
      <c r="L982" s="34"/>
    </row>
    <row r="983" spans="2:12" ht="13" customHeight="1" x14ac:dyDescent="0.15">
      <c r="B983" s="32"/>
      <c r="C983" s="32"/>
      <c r="D983" s="33"/>
      <c r="E983" s="34"/>
      <c r="F983" s="34"/>
      <c r="G983" s="34"/>
      <c r="H983" s="34"/>
      <c r="I983" s="34"/>
      <c r="J983" s="34"/>
      <c r="K983" s="34"/>
      <c r="L983" s="34"/>
    </row>
    <row r="984" spans="2:12" ht="13" customHeight="1" x14ac:dyDescent="0.15">
      <c r="B984" s="32"/>
      <c r="C984" s="32"/>
      <c r="D984" s="33"/>
      <c r="E984" s="34"/>
      <c r="F984" s="34"/>
      <c r="G984" s="34"/>
      <c r="H984" s="34"/>
      <c r="I984" s="34"/>
      <c r="J984" s="34"/>
      <c r="K984" s="34"/>
      <c r="L984" s="34"/>
    </row>
    <row r="985" spans="2:12" ht="13" customHeight="1" x14ac:dyDescent="0.15">
      <c r="B985" s="32"/>
      <c r="C985" s="32"/>
      <c r="D985" s="33"/>
      <c r="E985" s="34"/>
      <c r="F985" s="34"/>
      <c r="G985" s="34"/>
      <c r="H985" s="34"/>
      <c r="I985" s="34"/>
      <c r="J985" s="34"/>
      <c r="K985" s="34"/>
      <c r="L985" s="34"/>
    </row>
    <row r="986" spans="2:12" ht="13" customHeight="1" x14ac:dyDescent="0.15">
      <c r="B986" s="32"/>
      <c r="C986" s="32"/>
      <c r="D986" s="33"/>
      <c r="E986" s="34"/>
      <c r="F986" s="34"/>
      <c r="G986" s="34"/>
      <c r="H986" s="34"/>
      <c r="I986" s="34"/>
      <c r="J986" s="34"/>
      <c r="K986" s="34"/>
      <c r="L986" s="34"/>
    </row>
    <row r="987" spans="2:12" ht="13" customHeight="1" x14ac:dyDescent="0.15">
      <c r="B987" s="32"/>
      <c r="C987" s="32"/>
      <c r="D987" s="33"/>
      <c r="E987" s="34"/>
      <c r="F987" s="34"/>
      <c r="G987" s="34"/>
      <c r="H987" s="34"/>
      <c r="I987" s="34"/>
      <c r="J987" s="34"/>
      <c r="K987" s="34"/>
      <c r="L987" s="34"/>
    </row>
    <row r="988" spans="2:12" ht="13" customHeight="1" x14ac:dyDescent="0.15">
      <c r="B988" s="32"/>
      <c r="C988" s="32"/>
      <c r="D988" s="33"/>
      <c r="E988" s="34"/>
      <c r="F988" s="34"/>
      <c r="G988" s="34"/>
      <c r="H988" s="34"/>
      <c r="I988" s="34"/>
      <c r="J988" s="34"/>
      <c r="K988" s="34"/>
      <c r="L988" s="34"/>
    </row>
    <row r="989" spans="2:12" ht="13" customHeight="1" x14ac:dyDescent="0.15">
      <c r="B989" s="32"/>
      <c r="C989" s="32"/>
      <c r="D989" s="33"/>
      <c r="E989" s="34"/>
      <c r="F989" s="34"/>
      <c r="G989" s="34"/>
      <c r="H989" s="34"/>
      <c r="I989" s="34"/>
      <c r="J989" s="34"/>
      <c r="K989" s="34"/>
      <c r="L989" s="34"/>
    </row>
    <row r="990" spans="2:12" ht="13" customHeight="1" x14ac:dyDescent="0.15">
      <c r="B990" s="32"/>
      <c r="C990" s="32"/>
      <c r="D990" s="33"/>
      <c r="E990" s="34"/>
      <c r="F990" s="34"/>
      <c r="G990" s="34"/>
      <c r="H990" s="34"/>
      <c r="I990" s="34"/>
      <c r="J990" s="34"/>
      <c r="K990" s="34"/>
      <c r="L990" s="34"/>
    </row>
    <row r="991" spans="2:12" ht="13" customHeight="1" x14ac:dyDescent="0.15">
      <c r="B991" s="32"/>
      <c r="C991" s="32"/>
      <c r="D991" s="33"/>
      <c r="E991" s="34"/>
      <c r="F991" s="34"/>
      <c r="G991" s="34"/>
      <c r="H991" s="34"/>
      <c r="I991" s="34"/>
      <c r="J991" s="34"/>
      <c r="K991" s="34"/>
      <c r="L991" s="34"/>
    </row>
    <row r="992" spans="2:12" ht="13" customHeight="1" x14ac:dyDescent="0.15">
      <c r="B992" s="32"/>
      <c r="C992" s="32"/>
      <c r="D992" s="33"/>
      <c r="E992" s="34"/>
      <c r="F992" s="34"/>
      <c r="G992" s="34"/>
      <c r="H992" s="34"/>
      <c r="I992" s="34"/>
      <c r="J992" s="34"/>
      <c r="K992" s="34"/>
      <c r="L992" s="34"/>
    </row>
    <row r="993" spans="2:12" ht="13" customHeight="1" x14ac:dyDescent="0.15">
      <c r="B993" s="32"/>
      <c r="C993" s="32"/>
      <c r="D993" s="33"/>
      <c r="E993" s="34"/>
      <c r="F993" s="34"/>
      <c r="G993" s="34"/>
      <c r="H993" s="34"/>
      <c r="I993" s="34"/>
      <c r="J993" s="34"/>
      <c r="K993" s="34"/>
      <c r="L993" s="34"/>
    </row>
    <row r="994" spans="2:12" ht="13" customHeight="1" x14ac:dyDescent="0.15">
      <c r="B994" s="32"/>
      <c r="C994" s="32"/>
      <c r="D994" s="33"/>
      <c r="E994" s="34"/>
      <c r="F994" s="34"/>
      <c r="G994" s="34"/>
      <c r="H994" s="34"/>
      <c r="I994" s="34"/>
      <c r="J994" s="34"/>
      <c r="K994" s="34"/>
      <c r="L994" s="34"/>
    </row>
    <row r="995" spans="2:12" ht="13" customHeight="1" x14ac:dyDescent="0.15">
      <c r="B995" s="32"/>
      <c r="C995" s="32"/>
      <c r="D995" s="33"/>
      <c r="E995" s="34"/>
      <c r="F995" s="34"/>
      <c r="G995" s="34"/>
      <c r="H995" s="34"/>
      <c r="I995" s="34"/>
      <c r="J995" s="34"/>
      <c r="K995" s="34"/>
      <c r="L995" s="34"/>
    </row>
    <row r="996" spans="2:12" ht="13" customHeight="1" x14ac:dyDescent="0.15">
      <c r="B996" s="32"/>
      <c r="C996" s="32"/>
      <c r="D996" s="33"/>
      <c r="E996" s="34"/>
      <c r="F996" s="34"/>
      <c r="G996" s="34"/>
      <c r="H996" s="34"/>
      <c r="I996" s="34"/>
      <c r="J996" s="34"/>
      <c r="K996" s="34"/>
      <c r="L996" s="34"/>
    </row>
    <row r="997" spans="2:12" ht="13" customHeight="1" x14ac:dyDescent="0.15">
      <c r="B997" s="32"/>
      <c r="C997" s="32"/>
      <c r="D997" s="33"/>
      <c r="E997" s="34"/>
      <c r="F997" s="34"/>
      <c r="G997" s="34"/>
      <c r="H997" s="34"/>
      <c r="I997" s="34"/>
      <c r="J997" s="34"/>
      <c r="K997" s="34"/>
      <c r="L997" s="34"/>
    </row>
    <row r="998" spans="2:12" ht="13" customHeight="1" x14ac:dyDescent="0.15">
      <c r="B998" s="32"/>
      <c r="C998" s="32"/>
      <c r="D998" s="33"/>
      <c r="E998" s="34"/>
      <c r="F998" s="34"/>
      <c r="G998" s="34"/>
      <c r="H998" s="34"/>
      <c r="I998" s="34"/>
      <c r="J998" s="34"/>
      <c r="K998" s="34"/>
      <c r="L998" s="34"/>
    </row>
    <row r="999" spans="2:12" ht="13" customHeight="1" x14ac:dyDescent="0.15">
      <c r="B999" s="32"/>
      <c r="C999" s="32"/>
      <c r="D999" s="33"/>
      <c r="E999" s="34"/>
      <c r="F999" s="34"/>
      <c r="G999" s="34"/>
      <c r="H999" s="34"/>
      <c r="I999" s="34"/>
      <c r="J999" s="34"/>
      <c r="K999" s="34"/>
      <c r="L999" s="34"/>
    </row>
    <row r="1000" spans="2:12" ht="13" customHeight="1" x14ac:dyDescent="0.15">
      <c r="B1000" s="32"/>
      <c r="C1000" s="32"/>
      <c r="D1000" s="33"/>
      <c r="E1000" s="34"/>
      <c r="F1000" s="34"/>
      <c r="G1000" s="34"/>
      <c r="H1000" s="34"/>
      <c r="I1000" s="34"/>
      <c r="J1000" s="34"/>
      <c r="K1000" s="34"/>
      <c r="L1000" s="34"/>
    </row>
  </sheetData>
  <autoFilter ref="B6:L509" xr:uid="{00000000-0009-0000-0000-00000C000000}">
    <filterColumn colId="1">
      <filters>
        <filter val="Hilton Worldwide Holdings"/>
      </filters>
    </filterColumn>
    <sortState xmlns:xlrd2="http://schemas.microsoft.com/office/spreadsheetml/2017/richdata2" ref="B6:L509">
      <sortCondition descending="1" ref="K6:K509"/>
    </sortState>
  </autoFilter>
  <mergeCells count="1">
    <mergeCell ref="B2:B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Comparison</vt:lpstr>
      <vt:lpstr>Portfolio DCF</vt:lpstr>
      <vt:lpstr>SpaceX DCF</vt:lpstr>
      <vt:lpstr>SpaceX WACC</vt:lpstr>
      <vt:lpstr>SpaceX IPO Compare</vt:lpstr>
      <vt:lpstr>DPZ Summary</vt:lpstr>
      <vt:lpstr>DPZ DCF</vt:lpstr>
      <vt:lpstr>Per-Share Model</vt:lpstr>
      <vt:lpstr>WACC</vt:lpstr>
      <vt:lpstr>Peer Comparison</vt:lpstr>
      <vt:lpstr>Dashboard</vt:lpstr>
      <vt:lpstr>Все компании</vt:lpstr>
      <vt:lpstr>Venture</vt:lpstr>
      <vt:lpstr>COVID</vt:lpstr>
      <vt:lpstr>NVScriptsProperties</vt:lpstr>
      <vt:lpstr>S&amp;P 500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Andrey Semenov</cp:lastModifiedBy>
  <dcterms:created xsi:type="dcterms:W3CDTF">2026-03-01T22:21:25Z</dcterms:created>
  <dcterms:modified xsi:type="dcterms:W3CDTF">2026-05-24T13:50:30Z</dcterms:modified>
</cp:coreProperties>
</file>