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Все компании" sheetId="2" state="visible" r:id="rId2"/>
    <sheet name="Venture" sheetId="3" state="visible" r:id="rId3"/>
    <sheet name="COVID" sheetId="4" state="visible" r:id="rId4"/>
    <sheet name="NVScriptsProperties" sheetId="5" state="hidden" r:id="rId5"/>
    <sheet name="S&amp;P 500" sheetId="6" state="visible" r:id="rId6"/>
  </sheets>
  <definedNames>
    <definedName name="_xlnm._FilterDatabase" localSheetId="0" hidden="1">'Dashboard'!$A$5:$S$501</definedName>
    <definedName name="_xlnm._FilterDatabase" localSheetId="1" hidden="1">'Все компании'!$A$2:$M$25</definedName>
    <definedName name="_xlnm._FilterDatabase" localSheetId="5" hidden="1">'S&amp;P 500'!$B$6:$L$509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&quot;$&quot;#,##0"/>
    <numFmt numFmtId="166" formatCode="0.0"/>
    <numFmt numFmtId="167" formatCode="$#,##0.00"/>
    <numFmt numFmtId="168" formatCode="0.0%"/>
    <numFmt numFmtId="169" formatCode="#,##0.0"/>
  </numFmts>
  <fonts count="31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cheme val="minor"/>
    </font>
    <font>
      <color rgb="FF0000FF"/>
      <u val="single"/>
    </font>
    <font>
      <name val="Arial"/>
      <b val="1"/>
      <color theme="1"/>
      <scheme val="minor"/>
    </font>
    <font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001F4E79"/>
      <sz val="16"/>
    </font>
    <font>
      <name val="Arial"/>
      <color rgb="00666666"/>
      <sz val="10"/>
    </font>
    <font>
      <name val="Arial"/>
      <i val="1"/>
      <color rgb="00888888"/>
      <sz val="9"/>
    </font>
    <font>
      <name val="Arial"/>
      <b val="1"/>
      <color rgb="00FFFFFF"/>
      <sz val="10"/>
    </font>
    <font>
      <name val="Arial"/>
      <color rgb="00999999"/>
      <sz val="9"/>
    </font>
    <font>
      <name val="Arial"/>
      <b val="1"/>
      <color rgb="001F4E79"/>
      <sz val="9"/>
    </font>
    <font>
      <name val="Arial"/>
      <sz val="9"/>
    </font>
    <font>
      <name val="Arial"/>
      <color rgb="00666666"/>
      <sz val="8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b val="1"/>
      <color rgb="00FFFFFF"/>
      <sz val="11"/>
    </font>
    <font>
      <name val="Arial"/>
      <b val="1"/>
      <color rgb="008B0000"/>
      <sz val="9"/>
    </font>
    <font>
      <name val="Arial"/>
      <color rgb="00666666"/>
      <sz val="9"/>
    </font>
    <font>
      <name val="Arial"/>
      <b val="1"/>
      <color rgb="00FF4500"/>
      <sz val="9"/>
    </font>
    <font>
      <name val="Arial"/>
      <i val="1"/>
      <color rgb="008B0000"/>
      <sz val="9"/>
    </font>
    <font/>
    <font>
      <name val="Arial"/>
      <sz val="8"/>
    </font>
    <font>
      <name val="Arial"/>
      <i val="1"/>
      <color rgb="008B0000"/>
      <sz val="8"/>
    </font>
  </fonts>
  <fills count="15">
    <fill>
      <patternFill/>
    </fill>
    <fill>
      <patternFill patternType="lightGray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001F4E79"/>
      </patternFill>
    </fill>
    <fill>
      <patternFill patternType="solid">
        <fgColor rgb="00F2F7FB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2E75B6"/>
      </patternFill>
    </fill>
    <fill>
      <patternFill patternType="solid">
        <fgColor rgb="00C00000"/>
      </patternFill>
    </fill>
    <fill>
      <patternFill patternType="solid">
        <fgColor rgb="008B0000"/>
      </patternFill>
    </fill>
    <fill>
      <patternFill patternType="solid">
        <fgColor rgb="00FFD9CC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001F4E79"/>
      </left>
      <right style="thin">
        <color rgb="001F4E79"/>
      </right>
      <top style="medium">
        <color rgb="001F4E79"/>
      </top>
      <bottom style="medium">
        <color rgb="001F4E79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top style="medium">
        <color rgb="001F4E79"/>
      </top>
    </border>
    <border>
      <right style="medium">
        <color rgb="001F4E79"/>
      </right>
      <top style="medium">
        <color rgb="001F4E79"/>
      </top>
    </border>
    <border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8B0000"/>
      </left>
      <right style="thin">
        <color rgb="008B0000"/>
      </right>
      <top style="medium">
        <color rgb="008B0000"/>
      </top>
      <bottom style="medium">
        <color rgb="008B0000"/>
      </bottom>
    </border>
  </borders>
  <cellStyleXfs count="1">
    <xf numFmtId="0" fontId="0" fillId="0" borderId="0"/>
  </cellStyleXfs>
  <cellXfs count="13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1" fillId="3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1" fontId="1" fillId="3" borderId="2" applyAlignment="1" pivotButton="0" quotePrefix="0" xfId="0">
      <alignment horizontal="center"/>
    </xf>
    <xf numFmtId="9" fontId="1" fillId="3" borderId="2" applyAlignment="1" pivotButton="0" quotePrefix="0" xfId="0">
      <alignment horizontal="center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0" fillId="0" borderId="0" pivotButton="0" quotePrefix="0" xfId="0"/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/>
    </xf>
    <xf numFmtId="0" fontId="14" fillId="0" borderId="0" pivotButton="0" quotePrefix="0" xfId="0"/>
    <xf numFmtId="0" fontId="15" fillId="6" borderId="7" applyAlignment="1" pivotButton="0" quotePrefix="0" xfId="0">
      <alignment horizontal="center" vertical="center" wrapText="1"/>
    </xf>
    <xf numFmtId="0" fontId="16" fillId="7" borderId="8" applyAlignment="1" pivotButton="0" quotePrefix="0" xfId="0">
      <alignment horizontal="center"/>
    </xf>
    <xf numFmtId="0" fontId="17" fillId="7" borderId="8" applyAlignment="1" pivotButton="0" quotePrefix="0" xfId="0">
      <alignment horizontal="center"/>
    </xf>
    <xf numFmtId="0" fontId="18" fillId="7" borderId="8" applyAlignment="1" pivotButton="0" quotePrefix="0" xfId="0">
      <alignment horizontal="left"/>
    </xf>
    <xf numFmtId="0" fontId="19" fillId="7" borderId="8" applyAlignment="1" pivotButton="0" quotePrefix="0" xfId="0">
      <alignment horizontal="left"/>
    </xf>
    <xf numFmtId="0" fontId="18" fillId="7" borderId="8" applyAlignment="1" pivotButton="0" quotePrefix="0" xfId="0">
      <alignment horizontal="center"/>
    </xf>
    <xf numFmtId="0" fontId="16" fillId="8" borderId="8" applyAlignment="1" pivotButton="0" quotePrefix="0" xfId="0">
      <alignment horizontal="center"/>
    </xf>
    <xf numFmtId="0" fontId="17" fillId="8" borderId="8" applyAlignment="1" pivotButton="0" quotePrefix="0" xfId="0">
      <alignment horizontal="center"/>
    </xf>
    <xf numFmtId="0" fontId="18" fillId="8" borderId="8" applyAlignment="1" pivotButton="0" quotePrefix="0" xfId="0">
      <alignment horizontal="left"/>
    </xf>
    <xf numFmtId="0" fontId="19" fillId="8" borderId="8" applyAlignment="1" pivotButton="0" quotePrefix="0" xfId="0">
      <alignment horizontal="left"/>
    </xf>
    <xf numFmtId="0" fontId="18" fillId="8" borderId="8" applyAlignment="1" pivotButton="0" quotePrefix="0" xfId="0">
      <alignment horizontal="center"/>
    </xf>
    <xf numFmtId="167" fontId="18" fillId="7" borderId="8" applyAlignment="1" pivotButton="0" quotePrefix="0" xfId="0">
      <alignment horizontal="center"/>
    </xf>
    <xf numFmtId="168" fontId="20" fillId="9" borderId="8" applyAlignment="1" pivotButton="0" quotePrefix="0" xfId="0">
      <alignment horizontal="center"/>
    </xf>
    <xf numFmtId="169" fontId="18" fillId="7" borderId="8" applyAlignment="1" pivotButton="0" quotePrefix="0" xfId="0">
      <alignment horizontal="center"/>
    </xf>
    <xf numFmtId="168" fontId="18" fillId="7" borderId="8" applyAlignment="1" pivotButton="0" quotePrefix="0" xfId="0">
      <alignment horizontal="center"/>
    </xf>
    <xf numFmtId="166" fontId="18" fillId="7" borderId="8" applyAlignment="1" pivotButton="0" quotePrefix="0" xfId="0">
      <alignment horizontal="center"/>
    </xf>
    <xf numFmtId="0" fontId="21" fillId="7" borderId="8" applyAlignment="1" pivotButton="0" quotePrefix="0" xfId="0">
      <alignment horizontal="center"/>
    </xf>
    <xf numFmtId="0" fontId="21" fillId="8" borderId="8" applyAlignment="1" pivotButton="0" quotePrefix="0" xfId="0">
      <alignment horizontal="center"/>
    </xf>
    <xf numFmtId="167" fontId="18" fillId="8" borderId="8" applyAlignment="1" pivotButton="0" quotePrefix="0" xfId="0">
      <alignment horizontal="center"/>
    </xf>
    <xf numFmtId="169" fontId="18" fillId="8" borderId="8" applyAlignment="1" pivotButton="0" quotePrefix="0" xfId="0">
      <alignment horizontal="center"/>
    </xf>
    <xf numFmtId="168" fontId="18" fillId="8" borderId="8" applyAlignment="1" pivotButton="0" quotePrefix="0" xfId="0">
      <alignment horizontal="center"/>
    </xf>
    <xf numFmtId="166" fontId="18" fillId="8" borderId="8" applyAlignment="1" pivotButton="0" quotePrefix="0" xfId="0">
      <alignment horizontal="center"/>
    </xf>
    <xf numFmtId="3" fontId="18" fillId="8" borderId="8" applyAlignment="1" pivotButton="0" quotePrefix="0" xfId="0">
      <alignment horizontal="center"/>
    </xf>
    <xf numFmtId="168" fontId="22" fillId="10" borderId="8" applyAlignment="1" pivotButton="0" quotePrefix="0" xfId="0">
      <alignment horizontal="center"/>
    </xf>
    <xf numFmtId="3" fontId="18" fillId="7" borderId="8" applyAlignment="1" pivotButton="0" quotePrefix="0" xfId="0">
      <alignment horizontal="center"/>
    </xf>
    <xf numFmtId="0" fontId="14" fillId="0" borderId="0" applyAlignment="1" pivotButton="0" quotePrefix="0" xfId="0">
      <alignment horizontal="right" vertical="center"/>
    </xf>
    <xf numFmtId="0" fontId="23" fillId="11" borderId="9" applyAlignment="1" pivotButton="0" quotePrefix="0" xfId="0">
      <alignment horizontal="center" vertical="center"/>
    </xf>
    <xf numFmtId="0" fontId="0" fillId="0" borderId="12" pivotButton="0" quotePrefix="0" xfId="0"/>
    <xf numFmtId="167" fontId="21" fillId="8" borderId="8" applyAlignment="1" pivotButton="0" quotePrefix="0" xfId="0">
      <alignment horizontal="center"/>
    </xf>
    <xf numFmtId="168" fontId="21" fillId="8" borderId="8" applyAlignment="1" pivotButton="0" quotePrefix="0" xfId="0">
      <alignment horizontal="center"/>
    </xf>
    <xf numFmtId="169" fontId="21" fillId="8" borderId="8" applyAlignment="1" pivotButton="0" quotePrefix="0" xfId="0">
      <alignment horizontal="center"/>
    </xf>
    <xf numFmtId="166" fontId="21" fillId="8" borderId="8" applyAlignment="1" pivotButton="0" quotePrefix="0" xfId="0">
      <alignment horizontal="center"/>
    </xf>
    <xf numFmtId="3" fontId="21" fillId="8" borderId="8" applyAlignment="1" pivotButton="0" quotePrefix="0" xfId="0">
      <alignment horizontal="center"/>
    </xf>
    <xf numFmtId="167" fontId="21" fillId="7" borderId="8" applyAlignment="1" pivotButton="0" quotePrefix="0" xfId="0">
      <alignment horizontal="center"/>
    </xf>
    <xf numFmtId="168" fontId="21" fillId="7" borderId="8" applyAlignment="1" pivotButton="0" quotePrefix="0" xfId="0">
      <alignment horizontal="center"/>
    </xf>
    <xf numFmtId="169" fontId="21" fillId="7" borderId="8" applyAlignment="1" pivotButton="0" quotePrefix="0" xfId="0">
      <alignment horizontal="center"/>
    </xf>
    <xf numFmtId="166" fontId="21" fillId="7" borderId="8" applyAlignment="1" pivotButton="0" quotePrefix="0" xfId="0">
      <alignment horizontal="center"/>
    </xf>
    <xf numFmtId="3" fontId="21" fillId="7" borderId="8" applyAlignment="1" pivotButton="0" quotePrefix="0" xfId="0">
      <alignment horizontal="center"/>
    </xf>
    <xf numFmtId="0" fontId="15" fillId="12" borderId="0" pivotButton="0" quotePrefix="0" xfId="0"/>
    <xf numFmtId="0" fontId="18" fillId="0" borderId="0" pivotButton="0" quotePrefix="0" xfId="0"/>
    <xf numFmtId="0" fontId="27" fillId="0" borderId="0" applyAlignment="1" pivotButton="0" quotePrefix="0" xfId="0">
      <alignment horizontal="center" vertical="center"/>
    </xf>
    <xf numFmtId="0" fontId="15" fillId="13" borderId="13" applyAlignment="1" pivotButton="0" quotePrefix="0" xfId="0">
      <alignment horizontal="center" vertical="center" wrapText="1"/>
    </xf>
    <xf numFmtId="0" fontId="24" fillId="8" borderId="8" applyAlignment="1" pivotButton="0" quotePrefix="0" xfId="0">
      <alignment horizontal="center"/>
    </xf>
    <xf numFmtId="4" fontId="18" fillId="8" borderId="8" applyAlignment="1" pivotButton="0" quotePrefix="0" xfId="0">
      <alignment horizontal="center"/>
    </xf>
    <xf numFmtId="0" fontId="22" fillId="10" borderId="8" applyAlignment="1" pivotButton="0" quotePrefix="0" xfId="0">
      <alignment horizontal="center"/>
    </xf>
    <xf numFmtId="167" fontId="22" fillId="8" borderId="8" applyAlignment="1" pivotButton="0" quotePrefix="0" xfId="0">
      <alignment horizontal="center"/>
    </xf>
    <xf numFmtId="0" fontId="24" fillId="7" borderId="8" applyAlignment="1" pivotButton="0" quotePrefix="0" xfId="0">
      <alignment horizontal="center"/>
    </xf>
    <xf numFmtId="4" fontId="18" fillId="7" borderId="8" applyAlignment="1" pivotButton="0" quotePrefix="0" xfId="0">
      <alignment horizontal="center"/>
    </xf>
    <xf numFmtId="0" fontId="25" fillId="7" borderId="8" applyAlignment="1" pivotButton="0" quotePrefix="0" xfId="0">
      <alignment horizontal="center"/>
    </xf>
    <xf numFmtId="0" fontId="25" fillId="8" borderId="8" applyAlignment="1" pivotButton="0" quotePrefix="0" xfId="0">
      <alignment horizontal="center"/>
    </xf>
    <xf numFmtId="167" fontId="22" fillId="7" borderId="8" applyAlignment="1" pivotButton="0" quotePrefix="0" xfId="0">
      <alignment horizontal="center"/>
    </xf>
    <xf numFmtId="0" fontId="20" fillId="9" borderId="8" applyAlignment="1" pivotButton="0" quotePrefix="0" xfId="0">
      <alignment horizontal="center"/>
    </xf>
    <xf numFmtId="167" fontId="20" fillId="8" borderId="8" applyAlignment="1" pivotButton="0" quotePrefix="0" xfId="0">
      <alignment horizontal="center"/>
    </xf>
    <xf numFmtId="0" fontId="26" fillId="8" borderId="8" applyAlignment="1" pivotButton="0" quotePrefix="0" xfId="0">
      <alignment horizontal="center"/>
    </xf>
    <xf numFmtId="0" fontId="26" fillId="14" borderId="8" applyAlignment="1" pivotButton="0" quotePrefix="0" xfId="0">
      <alignment horizontal="center"/>
    </xf>
    <xf numFmtId="0" fontId="28" fillId="0" borderId="0" pivotButton="0" quotePrefix="0" xfId="0"/>
    <xf numFmtId="0" fontId="30" fillId="0" borderId="0" applyAlignment="1" pivotButton="0" quotePrefix="0" xfId="0">
      <alignment horizontal="center" vertical="center"/>
    </xf>
    <xf numFmtId="0" fontId="21" fillId="7" borderId="8" applyAlignment="1" pivotButton="0" quotePrefix="0" xfId="0">
      <alignment horizontal="center" vertical="center" wrapText="1"/>
    </xf>
    <xf numFmtId="0" fontId="21" fillId="8" borderId="8" applyAlignment="1" pivotButton="0" quotePrefix="0" xfId="0">
      <alignment horizontal="center" vertical="center" wrapText="1"/>
    </xf>
    <xf numFmtId="0" fontId="24" fillId="7" borderId="8" applyAlignment="1" pivotButton="0" quotePrefix="0" xfId="0">
      <alignment horizontal="center" vertical="center" wrapText="1"/>
    </xf>
    <xf numFmtId="4" fontId="18" fillId="7" borderId="8" applyAlignment="1" pivotButton="0" quotePrefix="0" xfId="0">
      <alignment horizontal="center" vertical="center" wrapText="1"/>
    </xf>
    <xf numFmtId="0" fontId="22" fillId="10" borderId="8" applyAlignment="1" pivotButton="0" quotePrefix="0" xfId="0">
      <alignment horizontal="center" vertical="center" wrapText="1"/>
    </xf>
    <xf numFmtId="167" fontId="18" fillId="7" borderId="8" applyAlignment="1" pivotButton="0" quotePrefix="0" xfId="0">
      <alignment horizontal="center" vertical="center" wrapText="1"/>
    </xf>
    <xf numFmtId="0" fontId="29" fillId="7" borderId="8" applyAlignment="1" pivotButton="0" quotePrefix="0" xfId="0">
      <alignment horizontal="left" vertical="center" wrapText="1"/>
    </xf>
    <xf numFmtId="0" fontId="24" fillId="8" borderId="8" applyAlignment="1" pivotButton="0" quotePrefix="0" xfId="0">
      <alignment horizontal="center" vertical="center" wrapText="1"/>
    </xf>
    <xf numFmtId="4" fontId="18" fillId="8" borderId="8" applyAlignment="1" pivotButton="0" quotePrefix="0" xfId="0">
      <alignment horizontal="center" vertical="center" wrapText="1"/>
    </xf>
    <xf numFmtId="0" fontId="25" fillId="8" borderId="8" applyAlignment="1" pivotButton="0" quotePrefix="0" xfId="0">
      <alignment horizontal="center" vertical="center" wrapText="1"/>
    </xf>
    <xf numFmtId="167" fontId="18" fillId="8" borderId="8" applyAlignment="1" pivotButton="0" quotePrefix="0" xfId="0">
      <alignment horizontal="center" vertical="center" wrapText="1"/>
    </xf>
    <xf numFmtId="0" fontId="29" fillId="8" borderId="8" applyAlignment="1" pivotButton="0" quotePrefix="0" xfId="0">
      <alignment horizontal="left" vertical="center" wrapText="1"/>
    </xf>
    <xf numFmtId="0" fontId="25" fillId="7" borderId="8" applyAlignment="1" pivotButton="0" quotePrefix="0" xfId="0">
      <alignment horizontal="center" vertical="center" wrapText="1"/>
    </xf>
    <xf numFmtId="0" fontId="20" fillId="9" borderId="8" applyAlignment="1" pivotButton="0" quotePrefix="0" xfId="0">
      <alignment horizontal="center" vertical="center" wrapText="1"/>
    </xf>
    <xf numFmtId="0" fontId="26" fillId="7" borderId="8" applyAlignment="1" pivotButton="0" quotePrefix="0" xfId="0">
      <alignment horizontal="center" vertical="center" wrapText="1"/>
    </xf>
    <xf numFmtId="0" fontId="26" fillId="14" borderId="8" applyAlignment="1" pivotButton="0" quotePrefix="0" xfId="0">
      <alignment horizontal="center" vertical="center" wrapText="1"/>
    </xf>
    <xf numFmtId="0" fontId="26" fillId="8" borderId="8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</cellXfs>
  <cellStyles count="1">
    <cellStyle name="Normal" xfId="0" builtinId="0"/>
  </cellStyles>
  <dxfs count="4">
    <dxf>
      <font>
        <color rgb="FFFFFFFF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theme="5"/>
          <bgColor theme="5"/>
        </patternFill>
      </fill>
      <border/>
    </dxf>
    <dxf>
      <font/>
      <fill>
        <patternFill/>
      </fill>
      <border/>
    </dxf>
    <dxf>
      <font>
        <color rgb="FFFFFFFF"/>
      </font>
      <fill>
        <patternFill patternType="solid">
          <fgColor theme="4"/>
          <bgColor theme="4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 /><Relationship Type="http://schemas.openxmlformats.org/officeDocument/2006/relationships/hyperlink" Target="https://venture.angellist.com/v/andrey-a-semenov/i/invest/daniel-gould-bioz-series-a" TargetMode="External" Id="rId2" /><Relationship Type="http://schemas.openxmlformats.org/officeDocument/2006/relationships/hyperlink" Target="https://venture.angellist.com/v/andrey-a-semenov/i/invest/zach-coelius-eventeny-seed-ext-prorata" TargetMode="External" Id="rId3" /><Relationship Type="http://schemas.openxmlformats.org/officeDocument/2006/relationships/hyperlink" Target="https://venture.angellist.com/v/andrey-a-semenov/i/invest/rv-inchfab-seed" TargetMode="External" Id="rId4" /><Relationship Type="http://schemas.openxmlformats.org/officeDocument/2006/relationships/hyperlink" Target="https://venture.angellist.com/v/andrey-a-semenov/i/invest/mana-ventures-anello-photonics-seed" TargetMode="External" Id="rId5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50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style="57" min="1" max="1"/>
    <col width="8" customWidth="1" style="57" min="2" max="2"/>
    <col width="28" customWidth="1" style="57" min="3" max="3"/>
    <col width="22" customWidth="1" style="57" min="4" max="4"/>
    <col width="14" customWidth="1" style="57" min="5" max="5"/>
    <col width="16" customWidth="1" style="57" min="6" max="6"/>
    <col width="14" customWidth="1" style="57" min="7" max="7"/>
    <col width="16" customWidth="1" style="57" min="8" max="8"/>
    <col width="14" customWidth="1" style="57" min="9" max="9"/>
    <col width="10" customWidth="1" style="57" min="10" max="10"/>
    <col width="14" customWidth="1" style="57" min="11" max="11"/>
    <col width="16" customWidth="1" style="57" min="12" max="12"/>
    <col width="18" customWidth="1" style="57" min="13" max="13"/>
    <col width="10" customWidth="1" style="57" min="14" max="14"/>
    <col width="7" customWidth="1" style="57" min="15" max="15"/>
    <col width="12" customWidth="1" style="57" min="16" max="16"/>
    <col width="10" customWidth="1" style="57" min="17" max="17"/>
    <col width="14" customWidth="1" style="57" min="18" max="18"/>
    <col width="45" customWidth="1" style="57" min="19" max="19"/>
  </cols>
  <sheetData>
    <row r="1" ht="30" customHeight="1" s="57">
      <c r="A1" s="58" t="inlineStr">
        <is>
          <t>S&amp;P 500 Dashboard</t>
        </is>
      </c>
    </row>
    <row r="2" ht="18" customHeight="1" s="57">
      <c r="A2" s="59" t="inlineStr">
        <is>
          <t>Last updated: 2026-03-04 21:29:39 | 471 full / 25 partial / 0 removed (no data) | 191s elapsed</t>
        </is>
      </c>
    </row>
    <row r="3" ht="18" customHeight="1" s="57">
      <c r="A3" s="135" t="inlineStr">
        <is>
          <t>IV Method: 15-yr DCF w/ decaying growth + liquid assets + 25% margin of safety | BRK: 13F Q1-Q4 2025 | Prices cross-verified</t>
        </is>
      </c>
    </row>
    <row r="4" ht="28" customHeight="1" s="57">
      <c r="J4" s="86" t="inlineStr">
        <is>
          <t>Run: python update_sp500_dashboard.py</t>
        </is>
      </c>
      <c r="M4" s="87" t="inlineStr">
        <is>
          <t>▶  UPDATE DATA</t>
        </is>
      </c>
      <c r="N4" s="88" t="n"/>
      <c r="O4" s="117" t="inlineStr">
        <is>
          <t>BRK: SEC 13F filings Q1-Q4 2025 | Avg cost = historical cost basis | Prices verified vs OHLC</t>
        </is>
      </c>
    </row>
    <row r="5" ht="32" customHeight="1" s="57">
      <c r="A5" s="61" t="inlineStr">
        <is>
          <t>#</t>
        </is>
      </c>
      <c r="B5" s="61" t="inlineStr">
        <is>
          <t>Ticker</t>
        </is>
      </c>
      <c r="C5" s="61" t="inlineStr">
        <is>
          <t>Company</t>
        </is>
      </c>
      <c r="D5" s="61" t="inlineStr">
        <is>
          <t>Industry</t>
        </is>
      </c>
      <c r="E5" s="61" t="inlineStr">
        <is>
          <t>Share Price ($)</t>
        </is>
      </c>
      <c r="F5" s="61" t="inlineStr">
        <is>
          <t>1Y Price Change (%)</t>
        </is>
      </c>
      <c r="G5" s="61" t="inlineStr">
        <is>
          <t>Market Cap ($B)</t>
        </is>
      </c>
      <c r="H5" s="61" t="inlineStr">
        <is>
          <t>Revenue Growth (%)</t>
        </is>
      </c>
      <c r="I5" s="61" t="inlineStr">
        <is>
          <t>Gross Margin (%)</t>
        </is>
      </c>
      <c r="J5" s="61" t="inlineStr">
        <is>
          <t>P/E</t>
        </is>
      </c>
      <c r="K5" s="61" t="inlineStr">
        <is>
          <t>FCF ($M)</t>
        </is>
      </c>
      <c r="L5" s="61" t="inlineStr">
        <is>
          <t>Intrinsic Value ($B)</t>
        </is>
      </c>
      <c r="M5" s="61" t="inlineStr">
        <is>
          <t>IV vs MCap Discount (%)</t>
        </is>
      </c>
      <c r="N5" s="61" t="inlineStr">
        <is>
          <t>P/FCF</t>
        </is>
      </c>
      <c r="O5" s="102" t="inlineStr">
        <is>
          <t>BRK?</t>
        </is>
      </c>
      <c r="P5" s="102" t="inlineStr">
        <is>
          <t>BRK Pos ($B)</t>
        </is>
      </c>
      <c r="Q5" s="102" t="inlineStr">
        <is>
          <t>BRK 2025 Net</t>
        </is>
      </c>
      <c r="R5" s="102" t="inlineStr">
        <is>
          <t>BRK Avg Cost ($)</t>
        </is>
      </c>
      <c r="S5" s="102" t="inlineStr">
        <is>
          <t>2025 Activity Detail</t>
        </is>
      </c>
    </row>
    <row r="6" ht="20" customHeight="1" s="57">
      <c r="A6" s="62" t="n">
        <v>1</v>
      </c>
      <c r="B6" s="63" t="inlineStr">
        <is>
          <t>MS</t>
        </is>
      </c>
      <c r="C6" s="64" t="inlineStr">
        <is>
          <t>Morgan Stanley</t>
        </is>
      </c>
      <c r="D6" s="65" t="inlineStr">
        <is>
          <t>Capital Markets</t>
        </is>
      </c>
      <c r="E6" s="72" t="n">
        <v>167.4</v>
      </c>
      <c r="F6" s="73" t="n">
        <v>0.3410101</v>
      </c>
      <c r="G6" s="74" t="n">
        <v>265.80779008</v>
      </c>
      <c r="H6" s="73" t="n">
        <v>0.11</v>
      </c>
      <c r="I6" s="75" t="n">
        <v>0.87059</v>
      </c>
      <c r="J6" s="76" t="n">
        <v>16.395689</v>
      </c>
      <c r="K6" s="77" t="inlineStr">
        <is>
          <t>—</t>
        </is>
      </c>
      <c r="L6" s="77" t="inlineStr">
        <is>
          <t>—</t>
        </is>
      </c>
      <c r="M6" s="77" t="inlineStr">
        <is>
          <t>—</t>
        </is>
      </c>
      <c r="N6" s="77" t="inlineStr">
        <is>
          <t>—</t>
        </is>
      </c>
      <c r="O6" s="118" t="inlineStr">
        <is>
          <t>—</t>
        </is>
      </c>
      <c r="P6" s="118" t="inlineStr">
        <is>
          <t>—</t>
        </is>
      </c>
      <c r="Q6" s="118" t="inlineStr">
        <is>
          <t>—</t>
        </is>
      </c>
      <c r="R6" s="118" t="inlineStr">
        <is>
          <t>—</t>
        </is>
      </c>
      <c r="S6" s="118" t="inlineStr">
        <is>
          <t>—</t>
        </is>
      </c>
    </row>
    <row r="7" ht="20" customHeight="1" s="57">
      <c r="A7" s="67" t="n">
        <v>2</v>
      </c>
      <c r="B7" s="68" t="inlineStr">
        <is>
          <t>SCHW</t>
        </is>
      </c>
      <c r="C7" s="69" t="inlineStr">
        <is>
          <t>Charles Schwab</t>
        </is>
      </c>
      <c r="D7" s="70" t="inlineStr">
        <is>
          <t>Capital Markets</t>
        </is>
      </c>
      <c r="E7" s="79" t="n">
        <v>95.95999999999999</v>
      </c>
      <c r="F7" s="73" t="n">
        <v>0.24107373</v>
      </c>
      <c r="G7" s="80" t="n">
        <v>174.188445696</v>
      </c>
      <c r="H7" s="73" t="n">
        <v>0.189</v>
      </c>
      <c r="I7" s="81" t="n">
        <v>0.97407997</v>
      </c>
      <c r="J7" s="82" t="n">
        <v>20.636559</v>
      </c>
      <c r="K7" s="78" t="inlineStr">
        <is>
          <t>—</t>
        </is>
      </c>
      <c r="L7" s="78" t="inlineStr">
        <is>
          <t>—</t>
        </is>
      </c>
      <c r="M7" s="78" t="inlineStr">
        <is>
          <t>—</t>
        </is>
      </c>
      <c r="N7" s="78" t="inlineStr">
        <is>
          <t>—</t>
        </is>
      </c>
      <c r="O7" s="119" t="inlineStr">
        <is>
          <t>—</t>
        </is>
      </c>
      <c r="P7" s="119" t="inlineStr">
        <is>
          <t>—</t>
        </is>
      </c>
      <c r="Q7" s="119" t="inlineStr">
        <is>
          <t>—</t>
        </is>
      </c>
      <c r="R7" s="119" t="inlineStr">
        <is>
          <t>—</t>
        </is>
      </c>
      <c r="S7" s="119" t="inlineStr">
        <is>
          <t>—</t>
        </is>
      </c>
    </row>
    <row r="8" ht="20" customHeight="1" s="57">
      <c r="A8" s="62" t="n">
        <v>3</v>
      </c>
      <c r="B8" s="63" t="inlineStr">
        <is>
          <t>O</t>
        </is>
      </c>
      <c r="C8" s="64" t="inlineStr">
        <is>
          <t>Realty Income</t>
        </is>
      </c>
      <c r="D8" s="65" t="inlineStr">
        <is>
          <t>REIT - Retail</t>
        </is>
      </c>
      <c r="E8" s="72" t="n">
        <v>65.94499999999999</v>
      </c>
      <c r="F8" s="73" t="n">
        <v>0.14541388</v>
      </c>
      <c r="G8" s="74" t="n">
        <v>61.70968064</v>
      </c>
      <c r="H8" s="73" t="n">
        <v>0.11</v>
      </c>
      <c r="I8" s="75" t="n">
        <v>0.92559</v>
      </c>
      <c r="J8" s="76" t="n">
        <v>56.36325</v>
      </c>
      <c r="K8" s="85" t="n">
        <v>2675.889408</v>
      </c>
      <c r="L8" s="74" t="n">
        <v>44.03222257347732</v>
      </c>
      <c r="M8" s="84" t="n">
        <v>-0.2864616683020754</v>
      </c>
      <c r="N8" s="76" t="n">
        <v>22.97918964519852</v>
      </c>
      <c r="O8" s="118" t="inlineStr">
        <is>
          <t>—</t>
        </is>
      </c>
      <c r="P8" s="118" t="inlineStr">
        <is>
          <t>—</t>
        </is>
      </c>
      <c r="Q8" s="118" t="inlineStr">
        <is>
          <t>—</t>
        </is>
      </c>
      <c r="R8" s="118" t="inlineStr">
        <is>
          <t>—</t>
        </is>
      </c>
      <c r="S8" s="118" t="inlineStr">
        <is>
          <t>—</t>
        </is>
      </c>
    </row>
    <row r="9" ht="20" customHeight="1" s="57">
      <c r="A9" s="67" t="n">
        <v>4</v>
      </c>
      <c r="B9" s="68" t="inlineStr">
        <is>
          <t>PLD</t>
        </is>
      </c>
      <c r="C9" s="69" t="inlineStr">
        <is>
          <t>Prologis</t>
        </is>
      </c>
      <c r="D9" s="70" t="inlineStr">
        <is>
          <t>REIT - Industrial</t>
        </is>
      </c>
      <c r="E9" s="79" t="n">
        <v>139.39</v>
      </c>
      <c r="F9" s="73" t="n">
        <v>0.13673007</v>
      </c>
      <c r="G9" s="80" t="n">
        <v>129.5712256</v>
      </c>
      <c r="H9" s="73" t="n">
        <v>0.04</v>
      </c>
      <c r="I9" s="81" t="n">
        <v>0.75691</v>
      </c>
      <c r="J9" s="82" t="n">
        <v>39.26479</v>
      </c>
      <c r="K9" s="83" t="n">
        <v>4769.768448</v>
      </c>
      <c r="L9" s="80" t="n">
        <v>53.97774810378687</v>
      </c>
      <c r="M9" s="84" t="n">
        <v>-0.5834125373605568</v>
      </c>
      <c r="N9" s="82" t="n">
        <v>27.16509835279954</v>
      </c>
      <c r="O9" s="119" t="inlineStr">
        <is>
          <t>—</t>
        </is>
      </c>
      <c r="P9" s="119" t="inlineStr">
        <is>
          <t>—</t>
        </is>
      </c>
      <c r="Q9" s="119" t="inlineStr">
        <is>
          <t>—</t>
        </is>
      </c>
      <c r="R9" s="119" t="inlineStr">
        <is>
          <t>—</t>
        </is>
      </c>
      <c r="S9" s="119" t="inlineStr">
        <is>
          <t>—</t>
        </is>
      </c>
    </row>
    <row r="10" ht="20" customHeight="1" s="57">
      <c r="A10" s="62" t="n">
        <v>5</v>
      </c>
      <c r="B10" s="63" t="inlineStr">
        <is>
          <t>BAC</t>
        </is>
      </c>
      <c r="C10" s="64" t="inlineStr">
        <is>
          <t>Bank of America</t>
        </is>
      </c>
      <c r="D10" s="65" t="inlineStr">
        <is>
          <t>Banks - Diversified</t>
        </is>
      </c>
      <c r="E10" s="72" t="n">
        <v>50.1999</v>
      </c>
      <c r="F10" s="73" t="n">
        <v>0.1816032</v>
      </c>
      <c r="G10" s="74" t="n">
        <v>366.584561664</v>
      </c>
      <c r="H10" s="73" t="n">
        <v>0.07199999999999999</v>
      </c>
      <c r="I10" s="75" t="n">
        <v>0</v>
      </c>
      <c r="J10" s="76" t="n">
        <v>13.175827</v>
      </c>
      <c r="K10" s="77" t="inlineStr">
        <is>
          <t>—</t>
        </is>
      </c>
      <c r="L10" s="77" t="inlineStr">
        <is>
          <t>—</t>
        </is>
      </c>
      <c r="M10" s="77" t="inlineStr">
        <is>
          <t>—</t>
        </is>
      </c>
      <c r="N10" s="77" t="inlineStr">
        <is>
          <t>—</t>
        </is>
      </c>
      <c r="O10" s="120" t="inlineStr">
        <is>
          <t>YES</t>
        </is>
      </c>
      <c r="P10" s="121" t="n">
        <v>28.45</v>
      </c>
      <c r="Q10" s="122" t="inlineStr">
        <is>
          <t>Sell</t>
        </is>
      </c>
      <c r="R10" s="123" t="n">
        <v>25.7</v>
      </c>
      <c r="S10" s="124" t="inlineStr">
        <is>
          <t>Sold 44M Q1 @~$46 → Sold 19M Q2 @~$42 → Hold Q3 → Sold 51M Q4 @~$47</t>
        </is>
      </c>
    </row>
    <row r="11" ht="20" customHeight="1" s="57">
      <c r="A11" s="67" t="n">
        <v>6</v>
      </c>
      <c r="B11" s="68" t="inlineStr">
        <is>
          <t>VRSN</t>
        </is>
      </c>
      <c r="C11" s="69" t="inlineStr">
        <is>
          <t>VeriSign</t>
        </is>
      </c>
      <c r="D11" s="70" t="inlineStr">
        <is>
          <t>Software - Infrastructure</t>
        </is>
      </c>
      <c r="E11" s="79" t="n">
        <v>238.345</v>
      </c>
      <c r="F11" s="84" t="n">
        <v>-0.022869706</v>
      </c>
      <c r="G11" s="80" t="n">
        <v>22.09458176</v>
      </c>
      <c r="H11" s="73" t="n">
        <v>0.076</v>
      </c>
      <c r="I11" s="81" t="n">
        <v>0.8815</v>
      </c>
      <c r="J11" s="82" t="n">
        <v>27.08466</v>
      </c>
      <c r="K11" s="83" t="n">
        <v>823.699968</v>
      </c>
      <c r="L11" s="80" t="n">
        <v>11.61515219638589</v>
      </c>
      <c r="M11" s="84" t="n">
        <v>-0.4742986166222007</v>
      </c>
      <c r="N11" s="82" t="n">
        <v>26.53422040681687</v>
      </c>
      <c r="O11" s="125" t="inlineStr">
        <is>
          <t>YES</t>
        </is>
      </c>
      <c r="P11" s="126" t="n">
        <v>5.48</v>
      </c>
      <c r="Q11" s="127" t="inlineStr">
        <is>
          <t>Hold</t>
        </is>
      </c>
      <c r="R11" s="128" t="n">
        <v>27</v>
      </c>
      <c r="S11" s="129" t="inlineStr">
        <is>
          <t>Mostly held. Minor trim Q3, added back Q4. Net unchanged</t>
        </is>
      </c>
    </row>
    <row r="12" ht="20" customHeight="1" s="57">
      <c r="A12" s="62" t="n">
        <v>7</v>
      </c>
      <c r="B12" s="63" t="inlineStr">
        <is>
          <t>COF</t>
        </is>
      </c>
      <c r="C12" s="64" t="inlineStr">
        <is>
          <t>Capital One Financial</t>
        </is>
      </c>
      <c r="D12" s="65" t="inlineStr">
        <is>
          <t>Credit Services</t>
        </is>
      </c>
      <c r="E12" s="72" t="n">
        <v>196.295</v>
      </c>
      <c r="F12" s="73" t="n">
        <v>0.041839242</v>
      </c>
      <c r="G12" s="74" t="n">
        <v>122.08205824</v>
      </c>
      <c r="H12" s="73" t="n">
        <v>0.516</v>
      </c>
      <c r="I12" s="75" t="n">
        <v>0</v>
      </c>
      <c r="J12" s="76" t="n">
        <v>58.595524</v>
      </c>
      <c r="K12" s="77" t="inlineStr">
        <is>
          <t>—</t>
        </is>
      </c>
      <c r="L12" s="77" t="inlineStr">
        <is>
          <t>—</t>
        </is>
      </c>
      <c r="M12" s="77" t="inlineStr">
        <is>
          <t>—</t>
        </is>
      </c>
      <c r="N12" s="77" t="inlineStr">
        <is>
          <t>—</t>
        </is>
      </c>
      <c r="O12" s="120" t="inlineStr">
        <is>
          <t>YES</t>
        </is>
      </c>
      <c r="P12" s="121" t="n">
        <v>4.11</v>
      </c>
      <c r="Q12" s="130" t="inlineStr">
        <is>
          <t>Hold</t>
        </is>
      </c>
      <c r="R12" s="123" t="n">
        <v>95</v>
      </c>
      <c r="S12" s="124" t="inlineStr">
        <is>
          <t>Held unchanged all year. ~9.9M shares</t>
        </is>
      </c>
    </row>
    <row r="13" ht="20" customHeight="1" s="57">
      <c r="A13" s="67" t="n">
        <v>8</v>
      </c>
      <c r="B13" s="68" t="inlineStr">
        <is>
          <t>ESS</t>
        </is>
      </c>
      <c r="C13" s="69" t="inlineStr">
        <is>
          <t>Essex Property Trust</t>
        </is>
      </c>
      <c r="D13" s="70" t="inlineStr">
        <is>
          <t>REIT - Residential</t>
        </is>
      </c>
      <c r="E13" s="79" t="n">
        <v>255.915</v>
      </c>
      <c r="F13" s="84" t="n">
        <v>-0.17104667</v>
      </c>
      <c r="G13" s="80" t="n">
        <v>17.693949952</v>
      </c>
      <c r="H13" s="73" t="n">
        <v>0.032</v>
      </c>
      <c r="I13" s="81" t="n">
        <v>0.6858300000000001</v>
      </c>
      <c r="J13" s="82" t="n">
        <v>24.607212</v>
      </c>
      <c r="K13" s="83" t="n">
        <v>984.058752</v>
      </c>
      <c r="L13" s="80" t="n">
        <v>10.54362902675058</v>
      </c>
      <c r="M13" s="84" t="n">
        <v>-0.4041110630835256</v>
      </c>
      <c r="N13" s="82" t="n">
        <v>16.76754470650753</v>
      </c>
      <c r="O13" s="119" t="inlineStr">
        <is>
          <t>—</t>
        </is>
      </c>
      <c r="P13" s="119" t="inlineStr">
        <is>
          <t>—</t>
        </is>
      </c>
      <c r="Q13" s="119" t="inlineStr">
        <is>
          <t>—</t>
        </is>
      </c>
      <c r="R13" s="119" t="inlineStr">
        <is>
          <t>—</t>
        </is>
      </c>
      <c r="S13" s="119" t="inlineStr">
        <is>
          <t>—</t>
        </is>
      </c>
    </row>
    <row r="14" ht="20" customHeight="1" s="57">
      <c r="A14" s="62" t="n">
        <v>9</v>
      </c>
      <c r="B14" s="63" t="inlineStr">
        <is>
          <t>REG</t>
        </is>
      </c>
      <c r="C14" s="64" t="inlineStr">
        <is>
          <t>Regency Centers</t>
        </is>
      </c>
      <c r="D14" s="65" t="inlineStr">
        <is>
          <t>REIT - Retail</t>
        </is>
      </c>
      <c r="E14" s="72" t="n">
        <v>79.375</v>
      </c>
      <c r="F14" s="73" t="n">
        <v>0.03463483</v>
      </c>
      <c r="G14" s="74" t="n">
        <v>14.822864896</v>
      </c>
      <c r="H14" s="73" t="n">
        <v>0.089</v>
      </c>
      <c r="I14" s="75" t="n">
        <v>0.71623003</v>
      </c>
      <c r="J14" s="76" t="n">
        <v>28.147163</v>
      </c>
      <c r="K14" s="85" t="n">
        <v>671.526016</v>
      </c>
      <c r="L14" s="74" t="n">
        <v>9.868411159357281</v>
      </c>
      <c r="M14" s="84" t="n">
        <v>-0.3342440055552078</v>
      </c>
      <c r="N14" s="76" t="n">
        <v>21.61972571942023</v>
      </c>
      <c r="O14" s="118" t="inlineStr">
        <is>
          <t>—</t>
        </is>
      </c>
      <c r="P14" s="118" t="inlineStr">
        <is>
          <t>—</t>
        </is>
      </c>
      <c r="Q14" s="118" t="inlineStr">
        <is>
          <t>—</t>
        </is>
      </c>
      <c r="R14" s="118" t="inlineStr">
        <is>
          <t>—</t>
        </is>
      </c>
      <c r="S14" s="118" t="inlineStr">
        <is>
          <t>—</t>
        </is>
      </c>
    </row>
    <row r="15" ht="20" customHeight="1" s="57">
      <c r="A15" s="67" t="n">
        <v>10</v>
      </c>
      <c r="B15" s="68" t="inlineStr">
        <is>
          <t>V</t>
        </is>
      </c>
      <c r="C15" s="69" t="inlineStr">
        <is>
          <t>Visa</t>
        </is>
      </c>
      <c r="D15" s="70" t="inlineStr">
        <is>
          <t>Credit Services</t>
        </is>
      </c>
      <c r="E15" s="79" t="n">
        <v>321.28</v>
      </c>
      <c r="F15" s="84" t="n">
        <v>-0.09030849000000001</v>
      </c>
      <c r="G15" s="80" t="n">
        <v>619.440570368</v>
      </c>
      <c r="H15" s="73" t="n">
        <v>0.146</v>
      </c>
      <c r="I15" s="81" t="n">
        <v>0.97777003</v>
      </c>
      <c r="J15" s="82" t="n">
        <v>30.167137</v>
      </c>
      <c r="K15" s="83" t="n">
        <v>22032.25088</v>
      </c>
      <c r="L15" s="80" t="n">
        <v>392.1128877377051</v>
      </c>
      <c r="M15" s="84" t="n">
        <v>-0.3669886886731411</v>
      </c>
      <c r="N15" s="82" t="n">
        <v>24.51414812891601</v>
      </c>
      <c r="O15" s="125" t="inlineStr">
        <is>
          <t>YES</t>
        </is>
      </c>
      <c r="P15" s="126" t="n">
        <v>3.29</v>
      </c>
      <c r="Q15" s="127" t="inlineStr">
        <is>
          <t>Hold</t>
        </is>
      </c>
      <c r="R15" s="128" t="n">
        <v>130</v>
      </c>
      <c r="S15" s="129" t="inlineStr">
        <is>
          <t>Held unchanged all year. ~8.3M shares</t>
        </is>
      </c>
    </row>
    <row r="16" ht="20" customHeight="1" s="57">
      <c r="A16" s="62" t="n">
        <v>11</v>
      </c>
      <c r="B16" s="63" t="inlineStr">
        <is>
          <t>EXR</t>
        </is>
      </c>
      <c r="C16" s="64" t="inlineStr">
        <is>
          <t>Extra Space Storage</t>
        </is>
      </c>
      <c r="D16" s="65" t="inlineStr">
        <is>
          <t>REIT - Industrial</t>
        </is>
      </c>
      <c r="E16" s="72" t="n">
        <v>150.007</v>
      </c>
      <c r="F16" s="84" t="n">
        <v>-0.04666114</v>
      </c>
      <c r="G16" s="74" t="n">
        <v>33.240864768</v>
      </c>
      <c r="H16" s="73" t="n">
        <v>0.046</v>
      </c>
      <c r="I16" s="75" t="n">
        <v>0.7502799999999999</v>
      </c>
      <c r="J16" s="76" t="n">
        <v>32.75262</v>
      </c>
      <c r="K16" s="85" t="n">
        <v>1142.858496</v>
      </c>
      <c r="L16" s="74" t="n">
        <v>13.26215228187947</v>
      </c>
      <c r="M16" s="84" t="n">
        <v>-0.601028662327505</v>
      </c>
      <c r="N16" s="76" t="n">
        <v>27.71307985595445</v>
      </c>
      <c r="O16" s="118" t="inlineStr">
        <is>
          <t>—</t>
        </is>
      </c>
      <c r="P16" s="118" t="inlineStr">
        <is>
          <t>—</t>
        </is>
      </c>
      <c r="Q16" s="118" t="inlineStr">
        <is>
          <t>—</t>
        </is>
      </c>
      <c r="R16" s="118" t="inlineStr">
        <is>
          <t>—</t>
        </is>
      </c>
      <c r="S16" s="118" t="inlineStr">
        <is>
          <t>—</t>
        </is>
      </c>
    </row>
    <row r="17" ht="20" customHeight="1" s="57">
      <c r="A17" s="67" t="n">
        <v>12</v>
      </c>
      <c r="B17" s="68" t="inlineStr">
        <is>
          <t>GS</t>
        </is>
      </c>
      <c r="C17" s="69" t="inlineStr">
        <is>
          <t>Goldman Sachs Group</t>
        </is>
      </c>
      <c r="D17" s="70" t="inlineStr">
        <is>
          <t>Capital Markets</t>
        </is>
      </c>
      <c r="E17" s="79" t="n">
        <v>869.03</v>
      </c>
      <c r="F17" s="73" t="n">
        <v>0.454432</v>
      </c>
      <c r="G17" s="80" t="n">
        <v>263.07371008</v>
      </c>
      <c r="H17" s="73" t="n">
        <v>0.152</v>
      </c>
      <c r="I17" s="81" t="n">
        <v>0.82883</v>
      </c>
      <c r="J17" s="82" t="n">
        <v>16.933556</v>
      </c>
      <c r="K17" s="78" t="inlineStr">
        <is>
          <t>—</t>
        </is>
      </c>
      <c r="L17" s="78" t="inlineStr">
        <is>
          <t>—</t>
        </is>
      </c>
      <c r="M17" s="78" t="inlineStr">
        <is>
          <t>—</t>
        </is>
      </c>
      <c r="N17" s="78" t="inlineStr">
        <is>
          <t>—</t>
        </is>
      </c>
      <c r="O17" s="119" t="inlineStr">
        <is>
          <t>—</t>
        </is>
      </c>
      <c r="P17" s="119" t="inlineStr">
        <is>
          <t>—</t>
        </is>
      </c>
      <c r="Q17" s="119" t="inlineStr">
        <is>
          <t>—</t>
        </is>
      </c>
      <c r="R17" s="119" t="inlineStr">
        <is>
          <t>—</t>
        </is>
      </c>
      <c r="S17" s="119" t="inlineStr">
        <is>
          <t>—</t>
        </is>
      </c>
    </row>
    <row r="18" ht="20" customHeight="1" s="57">
      <c r="A18" s="62" t="n">
        <v>13</v>
      </c>
      <c r="B18" s="63" t="inlineStr">
        <is>
          <t>SYF</t>
        </is>
      </c>
      <c r="C18" s="64" t="inlineStr">
        <is>
          <t>Synchrony Finl</t>
        </is>
      </c>
      <c r="D18" s="65" t="inlineStr">
        <is>
          <t>Credit Services</t>
        </is>
      </c>
      <c r="E18" s="72" t="n">
        <v>69.45999999999999</v>
      </c>
      <c r="F18" s="73" t="n">
        <v>0.22958457</v>
      </c>
      <c r="G18" s="74" t="n">
        <v>25.017485312</v>
      </c>
      <c r="H18" s="73" t="n">
        <v>0.05</v>
      </c>
      <c r="I18" s="75" t="n">
        <v>0</v>
      </c>
      <c r="J18" s="76" t="n">
        <v>7.484914</v>
      </c>
      <c r="K18" s="77" t="inlineStr">
        <is>
          <t>—</t>
        </is>
      </c>
      <c r="L18" s="77" t="inlineStr">
        <is>
          <t>—</t>
        </is>
      </c>
      <c r="M18" s="77" t="inlineStr">
        <is>
          <t>—</t>
        </is>
      </c>
      <c r="N18" s="77" t="inlineStr">
        <is>
          <t>—</t>
        </is>
      </c>
      <c r="O18" s="118" t="inlineStr">
        <is>
          <t>—</t>
        </is>
      </c>
      <c r="P18" s="118" t="inlineStr">
        <is>
          <t>—</t>
        </is>
      </c>
      <c r="Q18" s="118" t="inlineStr">
        <is>
          <t>—</t>
        </is>
      </c>
      <c r="R18" s="118" t="inlineStr">
        <is>
          <t>—</t>
        </is>
      </c>
      <c r="S18" s="118" t="inlineStr">
        <is>
          <t>—</t>
        </is>
      </c>
    </row>
    <row r="19" ht="20" customHeight="1" s="57">
      <c r="A19" s="62" t="n">
        <v>14</v>
      </c>
      <c r="B19" s="63" t="inlineStr">
        <is>
          <t>SPG</t>
        </is>
      </c>
      <c r="C19" s="64" t="inlineStr">
        <is>
          <t>Simon Property Group</t>
        </is>
      </c>
      <c r="D19" s="65" t="inlineStr">
        <is>
          <t>REIT - Retail</t>
        </is>
      </c>
      <c r="E19" s="79" t="n">
        <v>203.1</v>
      </c>
      <c r="F19" s="73" t="n">
        <v>0.10126519</v>
      </c>
      <c r="G19" s="80" t="n">
        <v>76.605906944</v>
      </c>
      <c r="H19" s="73" t="n">
        <v>0.132</v>
      </c>
      <c r="I19" s="81" t="n">
        <v>0.81899</v>
      </c>
      <c r="J19" s="82" t="n">
        <v>14.32299</v>
      </c>
      <c r="K19" s="83" t="n">
        <v>2338.524672</v>
      </c>
      <c r="L19" s="80" t="n">
        <v>40.93131073693913</v>
      </c>
      <c r="M19" s="84" t="n">
        <v>-0.4656898877672645</v>
      </c>
      <c r="N19" s="82" t="n">
        <v>28.2448776306945</v>
      </c>
      <c r="O19" s="119" t="inlineStr">
        <is>
          <t>—</t>
        </is>
      </c>
      <c r="P19" s="119" t="inlineStr">
        <is>
          <t>—</t>
        </is>
      </c>
      <c r="Q19" s="119" t="inlineStr">
        <is>
          <t>—</t>
        </is>
      </c>
      <c r="R19" s="119" t="inlineStr">
        <is>
          <t>—</t>
        </is>
      </c>
      <c r="S19" s="119" t="inlineStr">
        <is>
          <t>—</t>
        </is>
      </c>
    </row>
    <row r="20" ht="20" customHeight="1" s="57">
      <c r="A20" s="67" t="n">
        <v>15</v>
      </c>
      <c r="B20" s="68" t="inlineStr">
        <is>
          <t>AVB</t>
        </is>
      </c>
      <c r="C20" s="69" t="inlineStr">
        <is>
          <t>AvalonBay Communities</t>
        </is>
      </c>
      <c r="D20" s="70" t="inlineStr">
        <is>
          <t>REIT - Residential</t>
        </is>
      </c>
      <c r="E20" s="72" t="n">
        <v>177.76</v>
      </c>
      <c r="F20" s="84" t="n">
        <v>-0.21005034</v>
      </c>
      <c r="G20" s="74" t="n">
        <v>25.169915904</v>
      </c>
      <c r="H20" s="73" t="n">
        <v>0.037</v>
      </c>
      <c r="I20" s="75" t="n">
        <v>0.63141996</v>
      </c>
      <c r="J20" s="76" t="n">
        <v>24.054127</v>
      </c>
      <c r="K20" s="85" t="n">
        <v>1341.972736</v>
      </c>
      <c r="L20" s="74" t="n">
        <v>14.83947560091882</v>
      </c>
      <c r="M20" s="84" t="n">
        <v>-0.4104280817815313</v>
      </c>
      <c r="N20" s="76" t="n">
        <v>18.69573175853254</v>
      </c>
      <c r="O20" s="118" t="inlineStr">
        <is>
          <t>—</t>
        </is>
      </c>
      <c r="P20" s="118" t="inlineStr">
        <is>
          <t>—</t>
        </is>
      </c>
      <c r="Q20" s="118" t="inlineStr">
        <is>
          <t>—</t>
        </is>
      </c>
      <c r="R20" s="118" t="inlineStr">
        <is>
          <t>—</t>
        </is>
      </c>
      <c r="S20" s="118" t="inlineStr">
        <is>
          <t>—</t>
        </is>
      </c>
    </row>
    <row r="21" ht="20" customHeight="1" s="57">
      <c r="A21" s="62" t="n">
        <v>16</v>
      </c>
      <c r="B21" s="63" t="inlineStr">
        <is>
          <t>PSA</t>
        </is>
      </c>
      <c r="C21" s="64" t="inlineStr">
        <is>
          <t>Public Storage</t>
        </is>
      </c>
      <c r="D21" s="65" t="inlineStr">
        <is>
          <t>REIT - Industrial</t>
        </is>
      </c>
      <c r="E21" s="79" t="n">
        <v>309.56</v>
      </c>
      <c r="F21" s="84" t="n">
        <v>-0.016575634</v>
      </c>
      <c r="G21" s="80" t="n">
        <v>54.32977408</v>
      </c>
      <c r="H21" s="73" t="n">
        <v>0.033</v>
      </c>
      <c r="I21" s="81" t="n">
        <v>0.7472299999999999</v>
      </c>
      <c r="J21" s="82" t="n">
        <v>34.395554</v>
      </c>
      <c r="K21" s="83" t="n">
        <v>2376.998656</v>
      </c>
      <c r="L21" s="80" t="n">
        <v>25.70542433267513</v>
      </c>
      <c r="M21" s="84" t="n">
        <v>-0.5268630365584775</v>
      </c>
      <c r="N21" s="82" t="n">
        <v>22.85646043433017</v>
      </c>
      <c r="O21" s="119" t="inlineStr">
        <is>
          <t>—</t>
        </is>
      </c>
      <c r="P21" s="119" t="inlineStr">
        <is>
          <t>—</t>
        </is>
      </c>
      <c r="Q21" s="119" t="inlineStr">
        <is>
          <t>—</t>
        </is>
      </c>
      <c r="R21" s="119" t="inlineStr">
        <is>
          <t>—</t>
        </is>
      </c>
      <c r="S21" s="119" t="inlineStr">
        <is>
          <t>—</t>
        </is>
      </c>
    </row>
    <row r="22" ht="20" customHeight="1" s="57">
      <c r="A22" s="67" t="n">
        <v>17</v>
      </c>
      <c r="B22" s="68" t="inlineStr">
        <is>
          <t>KIM</t>
        </is>
      </c>
      <c r="C22" s="69" t="inlineStr">
        <is>
          <t>Kimco Realty</t>
        </is>
      </c>
      <c r="D22" s="70" t="inlineStr">
        <is>
          <t>REIT - Retail</t>
        </is>
      </c>
      <c r="E22" s="72" t="n">
        <v>23.475</v>
      </c>
      <c r="F22" s="73" t="n">
        <v>0.08383238</v>
      </c>
      <c r="G22" s="74" t="n">
        <v>15.897131008</v>
      </c>
      <c r="H22" s="73" t="n">
        <v>0.032</v>
      </c>
      <c r="I22" s="75" t="n">
        <v>0.69051003</v>
      </c>
      <c r="J22" s="76" t="n">
        <v>28.62805</v>
      </c>
      <c r="K22" s="85" t="n">
        <v>842.69664</v>
      </c>
      <c r="L22" s="74" t="n">
        <v>9.137499377119484</v>
      </c>
      <c r="M22" s="84" t="n">
        <v>-0.4252107897631862</v>
      </c>
      <c r="N22" s="76" t="n">
        <v>18.77747454012633</v>
      </c>
      <c r="O22" s="118" t="inlineStr">
        <is>
          <t>—</t>
        </is>
      </c>
      <c r="P22" s="118" t="inlineStr">
        <is>
          <t>—</t>
        </is>
      </c>
      <c r="Q22" s="118" t="inlineStr">
        <is>
          <t>—</t>
        </is>
      </c>
      <c r="R22" s="118" t="inlineStr">
        <is>
          <t>—</t>
        </is>
      </c>
      <c r="S22" s="118" t="inlineStr">
        <is>
          <t>—</t>
        </is>
      </c>
    </row>
    <row r="23" ht="20" customHeight="1" s="57">
      <c r="A23" s="62" t="n">
        <v>18</v>
      </c>
      <c r="B23" s="63" t="inlineStr">
        <is>
          <t>CME</t>
        </is>
      </c>
      <c r="C23" s="64" t="inlineStr">
        <is>
          <t>CME Group</t>
        </is>
      </c>
      <c r="D23" s="65" t="inlineStr">
        <is>
          <t>Financial Data &amp; Stock Exchanges</t>
        </is>
      </c>
      <c r="E23" s="79" t="n">
        <v>319.11</v>
      </c>
      <c r="F23" s="73" t="n">
        <v>0.27762496</v>
      </c>
      <c r="G23" s="80" t="n">
        <v>114.72400384</v>
      </c>
      <c r="H23" s="73" t="n">
        <v>0.08</v>
      </c>
      <c r="I23" s="81" t="n">
        <v>1</v>
      </c>
      <c r="J23" s="82" t="n">
        <v>28.61973</v>
      </c>
      <c r="K23" s="83" t="n">
        <v>837.262528</v>
      </c>
      <c r="L23" s="80" t="n">
        <v>15.02152667419437</v>
      </c>
      <c r="M23" s="84" t="n">
        <v>-0.8690637863794907</v>
      </c>
      <c r="N23" s="82" t="n">
        <v>137.0215498439099</v>
      </c>
      <c r="O23" s="119" t="inlineStr">
        <is>
          <t>—</t>
        </is>
      </c>
      <c r="P23" s="119" t="inlineStr">
        <is>
          <t>—</t>
        </is>
      </c>
      <c r="Q23" s="119" t="inlineStr">
        <is>
          <t>—</t>
        </is>
      </c>
      <c r="R23" s="119" t="inlineStr">
        <is>
          <t>—</t>
        </is>
      </c>
      <c r="S23" s="119" t="inlineStr">
        <is>
          <t>—</t>
        </is>
      </c>
    </row>
    <row r="24" ht="20" customHeight="1" s="57">
      <c r="A24" s="67" t="n">
        <v>19</v>
      </c>
      <c r="B24" s="68" t="inlineStr">
        <is>
          <t>MAA</t>
        </is>
      </c>
      <c r="C24" s="69" t="inlineStr">
        <is>
          <t>Mid-America Apartment</t>
        </is>
      </c>
      <c r="D24" s="70" t="inlineStr">
        <is>
          <t>REIT - Residential</t>
        </is>
      </c>
      <c r="E24" s="72" t="n">
        <v>133.55</v>
      </c>
      <c r="F24" s="84" t="n">
        <v>-0.21443278</v>
      </c>
      <c r="G24" s="74" t="n">
        <v>16.029150208</v>
      </c>
      <c r="H24" s="73" t="n">
        <v>0.01</v>
      </c>
      <c r="I24" s="75" t="n">
        <v>0.5869</v>
      </c>
      <c r="J24" s="76" t="n">
        <v>35.33069</v>
      </c>
      <c r="K24" s="85" t="n">
        <v>927.554112</v>
      </c>
      <c r="L24" s="74" t="n">
        <v>8.793845696508539</v>
      </c>
      <c r="M24" s="84" t="n">
        <v>-0.4513841605826607</v>
      </c>
      <c r="N24" s="76" t="n">
        <v>16.83150451172816</v>
      </c>
      <c r="O24" s="118" t="inlineStr">
        <is>
          <t>—</t>
        </is>
      </c>
      <c r="P24" s="118" t="inlineStr">
        <is>
          <t>—</t>
        </is>
      </c>
      <c r="Q24" s="118" t="inlineStr">
        <is>
          <t>—</t>
        </is>
      </c>
      <c r="R24" s="118" t="inlineStr">
        <is>
          <t>—</t>
        </is>
      </c>
      <c r="S24" s="118" t="inlineStr">
        <is>
          <t>—</t>
        </is>
      </c>
    </row>
    <row r="25" ht="20" customHeight="1" s="57">
      <c r="A25" s="62" t="n">
        <v>20</v>
      </c>
      <c r="B25" s="63" t="inlineStr">
        <is>
          <t>STT</t>
        </is>
      </c>
      <c r="C25" s="64" t="inlineStr">
        <is>
          <t>State Street</t>
        </is>
      </c>
      <c r="D25" s="65" t="inlineStr">
        <is>
          <t>Asset Management</t>
        </is>
      </c>
      <c r="E25" s="79" t="n">
        <v>127.14</v>
      </c>
      <c r="F25" s="73" t="n">
        <v>0.36060083</v>
      </c>
      <c r="G25" s="80" t="n">
        <v>35.511783424</v>
      </c>
      <c r="H25" s="73" t="n">
        <v>0.076</v>
      </c>
      <c r="I25" s="81" t="n">
        <v>0</v>
      </c>
      <c r="J25" s="82" t="n">
        <v>13.511159</v>
      </c>
      <c r="K25" s="78" t="inlineStr">
        <is>
          <t>—</t>
        </is>
      </c>
      <c r="L25" s="78" t="inlineStr">
        <is>
          <t>—</t>
        </is>
      </c>
      <c r="M25" s="78" t="inlineStr">
        <is>
          <t>—</t>
        </is>
      </c>
      <c r="N25" s="78" t="inlineStr">
        <is>
          <t>—</t>
        </is>
      </c>
      <c r="O25" s="119" t="inlineStr">
        <is>
          <t>—</t>
        </is>
      </c>
      <c r="P25" s="119" t="inlineStr">
        <is>
          <t>—</t>
        </is>
      </c>
      <c r="Q25" s="119" t="inlineStr">
        <is>
          <t>—</t>
        </is>
      </c>
      <c r="R25" s="119" t="inlineStr">
        <is>
          <t>—</t>
        </is>
      </c>
      <c r="S25" s="119" t="inlineStr">
        <is>
          <t>—</t>
        </is>
      </c>
    </row>
    <row r="26" ht="20" customHeight="1" s="57">
      <c r="A26" s="67" t="n">
        <v>21</v>
      </c>
      <c r="B26" s="68" t="inlineStr">
        <is>
          <t>DLR</t>
        </is>
      </c>
      <c r="C26" s="69" t="inlineStr">
        <is>
          <t>Digital Realty Trust</t>
        </is>
      </c>
      <c r="D26" s="70" t="inlineStr">
        <is>
          <t>REIT - Office</t>
        </is>
      </c>
      <c r="E26" s="72" t="n">
        <v>182.5</v>
      </c>
      <c r="F26" s="73" t="n">
        <v>0.1325661</v>
      </c>
      <c r="G26" s="74" t="n">
        <v>63.839309824</v>
      </c>
      <c r="H26" s="73" t="n">
        <v>0.171</v>
      </c>
      <c r="I26" s="75" t="n">
        <v>0.55158</v>
      </c>
      <c r="J26" s="76" t="n">
        <v>50.977654</v>
      </c>
      <c r="K26" s="85" t="n">
        <v>1958.43968</v>
      </c>
      <c r="L26" s="74" t="n">
        <v>36.37734894909548</v>
      </c>
      <c r="M26" s="84" t="n">
        <v>-0.4301732106849995</v>
      </c>
      <c r="N26" s="76" t="n">
        <v>32.0202961420798</v>
      </c>
      <c r="O26" s="118" t="inlineStr">
        <is>
          <t>—</t>
        </is>
      </c>
      <c r="P26" s="118" t="inlineStr">
        <is>
          <t>—</t>
        </is>
      </c>
      <c r="Q26" s="118" t="inlineStr">
        <is>
          <t>—</t>
        </is>
      </c>
      <c r="R26" s="118" t="inlineStr">
        <is>
          <t>—</t>
        </is>
      </c>
      <c r="S26" s="118" t="inlineStr">
        <is>
          <t>—</t>
        </is>
      </c>
    </row>
    <row r="27" ht="20" customHeight="1" s="57">
      <c r="A27" s="62" t="n">
        <v>22</v>
      </c>
      <c r="B27" s="63" t="inlineStr">
        <is>
          <t>EQR</t>
        </is>
      </c>
      <c r="C27" s="64" t="inlineStr">
        <is>
          <t>Equity Residential</t>
        </is>
      </c>
      <c r="D27" s="65" t="inlineStr">
        <is>
          <t>REIT - Residential</t>
        </is>
      </c>
      <c r="E27" s="79" t="n">
        <v>62.86</v>
      </c>
      <c r="F27" s="84" t="n">
        <v>-0.1486358</v>
      </c>
      <c r="G27" s="80" t="n">
        <v>24.6498304</v>
      </c>
      <c r="H27" s="73" t="n">
        <v>0.02</v>
      </c>
      <c r="I27" s="81" t="n">
        <v>0.62878</v>
      </c>
      <c r="J27" s="82" t="n">
        <v>21.380953</v>
      </c>
      <c r="K27" s="83" t="n">
        <v>1416.431232</v>
      </c>
      <c r="L27" s="80" t="n">
        <v>14.16371987171741</v>
      </c>
      <c r="M27" s="84" t="n">
        <v>-0.4254029483416888</v>
      </c>
      <c r="N27" s="82" t="n">
        <v>16.75521597710717</v>
      </c>
      <c r="O27" s="119" t="inlineStr">
        <is>
          <t>—</t>
        </is>
      </c>
      <c r="P27" s="119" t="inlineStr">
        <is>
          <t>—</t>
        </is>
      </c>
      <c r="Q27" s="119" t="inlineStr">
        <is>
          <t>—</t>
        </is>
      </c>
      <c r="R27" s="119" t="inlineStr">
        <is>
          <t>—</t>
        </is>
      </c>
      <c r="S27" s="119" t="inlineStr">
        <is>
          <t>—</t>
        </is>
      </c>
    </row>
    <row r="28" ht="20" customHeight="1" s="57">
      <c r="A28" s="67" t="n">
        <v>23</v>
      </c>
      <c r="B28" s="68" t="inlineStr">
        <is>
          <t>KEY</t>
        </is>
      </c>
      <c r="C28" s="69" t="inlineStr">
        <is>
          <t>KeyCorp</t>
        </is>
      </c>
      <c r="D28" s="70" t="inlineStr">
        <is>
          <t>Banks - Regional</t>
        </is>
      </c>
      <c r="E28" s="72" t="n">
        <v>20.69</v>
      </c>
      <c r="F28" s="73" t="n">
        <v>0.25891757</v>
      </c>
      <c r="G28" s="74" t="n">
        <v>22.544807936</v>
      </c>
      <c r="H28" s="73" t="n">
        <v>1.315</v>
      </c>
      <c r="I28" s="75" t="n">
        <v>0</v>
      </c>
      <c r="J28" s="76" t="n">
        <v>13.611842</v>
      </c>
      <c r="K28" s="77" t="inlineStr">
        <is>
          <t>—</t>
        </is>
      </c>
      <c r="L28" s="77" t="inlineStr">
        <is>
          <t>—</t>
        </is>
      </c>
      <c r="M28" s="77" t="inlineStr">
        <is>
          <t>—</t>
        </is>
      </c>
      <c r="N28" s="77" t="inlineStr">
        <is>
          <t>—</t>
        </is>
      </c>
      <c r="O28" s="118" t="inlineStr">
        <is>
          <t>—</t>
        </is>
      </c>
      <c r="P28" s="118" t="inlineStr">
        <is>
          <t>—</t>
        </is>
      </c>
      <c r="Q28" s="118" t="inlineStr">
        <is>
          <t>—</t>
        </is>
      </c>
      <c r="R28" s="118" t="inlineStr">
        <is>
          <t>—</t>
        </is>
      </c>
      <c r="S28" s="118" t="inlineStr">
        <is>
          <t>—</t>
        </is>
      </c>
    </row>
    <row r="29" ht="20" customHeight="1" s="57">
      <c r="A29" s="62" t="n">
        <v>24</v>
      </c>
      <c r="B29" s="63" t="inlineStr">
        <is>
          <t>MKTX</t>
        </is>
      </c>
      <c r="C29" s="64" t="inlineStr">
        <is>
          <t>MarketAxess Holdings</t>
        </is>
      </c>
      <c r="D29" s="65" t="inlineStr">
        <is>
          <t>Capital Markets</t>
        </is>
      </c>
      <c r="E29" s="79" t="n">
        <v>189.8</v>
      </c>
      <c r="F29" s="84" t="n">
        <v>-0.011437297</v>
      </c>
      <c r="G29" s="80" t="n">
        <v>7.055152128</v>
      </c>
      <c r="H29" s="73" t="n">
        <v>0.035</v>
      </c>
      <c r="I29" s="81" t="n">
        <v>0.62022996</v>
      </c>
      <c r="J29" s="82" t="n">
        <v>28.58434</v>
      </c>
      <c r="K29" s="83" t="n">
        <v>224.41112</v>
      </c>
      <c r="L29" s="80" t="n">
        <v>2.896415336519249</v>
      </c>
      <c r="M29" s="84" t="n">
        <v>-0.5894609664015384</v>
      </c>
      <c r="N29" s="82" t="n">
        <v>30.06562552247857</v>
      </c>
      <c r="O29" s="119" t="inlineStr">
        <is>
          <t>—</t>
        </is>
      </c>
      <c r="P29" s="119" t="inlineStr">
        <is>
          <t>—</t>
        </is>
      </c>
      <c r="Q29" s="119" t="inlineStr">
        <is>
          <t>—</t>
        </is>
      </c>
      <c r="R29" s="119" t="inlineStr">
        <is>
          <t>—</t>
        </is>
      </c>
      <c r="S29" s="119" t="inlineStr">
        <is>
          <t>—</t>
        </is>
      </c>
    </row>
    <row r="30" ht="20" customHeight="1" s="57">
      <c r="A30" s="67" t="n">
        <v>25</v>
      </c>
      <c r="B30" s="68" t="inlineStr">
        <is>
          <t>ARE</t>
        </is>
      </c>
      <c r="C30" s="69" t="inlineStr">
        <is>
          <t>Alexandria Real Estate</t>
        </is>
      </c>
      <c r="D30" s="70" t="inlineStr">
        <is>
          <t>REIT - Office</t>
        </is>
      </c>
      <c r="E30" s="72" t="n">
        <v>53.455</v>
      </c>
      <c r="F30" s="84" t="n">
        <v>-0.48899108</v>
      </c>
      <c r="G30" s="74" t="n">
        <v>9.263771648000001</v>
      </c>
      <c r="H30" s="84" t="n">
        <v>-0.052</v>
      </c>
      <c r="I30" s="75" t="n">
        <v>0.69418997</v>
      </c>
      <c r="J30" s="76" t="n">
        <v>-668.18756</v>
      </c>
      <c r="K30" s="85" t="n">
        <v>1345.210624</v>
      </c>
      <c r="L30" s="74" t="n">
        <v>10.56642086066998</v>
      </c>
      <c r="M30" s="73" t="n">
        <v>0.1406175866771515</v>
      </c>
      <c r="N30" s="76" t="n">
        <v>6.88648352308508</v>
      </c>
      <c r="O30" s="118" t="inlineStr">
        <is>
          <t>—</t>
        </is>
      </c>
      <c r="P30" s="118" t="inlineStr">
        <is>
          <t>—</t>
        </is>
      </c>
      <c r="Q30" s="118" t="inlineStr">
        <is>
          <t>—</t>
        </is>
      </c>
      <c r="R30" s="118" t="inlineStr">
        <is>
          <t>—</t>
        </is>
      </c>
      <c r="S30" s="118" t="inlineStr">
        <is>
          <t>—</t>
        </is>
      </c>
    </row>
    <row r="31" ht="20" customHeight="1" s="57">
      <c r="A31" s="62" t="n">
        <v>26</v>
      </c>
      <c r="B31" s="63" t="inlineStr">
        <is>
          <t>BIIB</t>
        </is>
      </c>
      <c r="C31" s="64" t="inlineStr">
        <is>
          <t>Biogen</t>
        </is>
      </c>
      <c r="D31" s="65" t="inlineStr">
        <is>
          <t>Drug Manufacturers - General</t>
        </is>
      </c>
      <c r="E31" s="79" t="n">
        <v>189.69</v>
      </c>
      <c r="F31" s="73" t="n">
        <v>0.279961</v>
      </c>
      <c r="G31" s="80" t="n">
        <v>27.838625792</v>
      </c>
      <c r="H31" s="84" t="n">
        <v>-0.07099999999999999</v>
      </c>
      <c r="I31" s="81" t="n">
        <v>0.7894600000000001</v>
      </c>
      <c r="J31" s="82" t="n">
        <v>21.555681</v>
      </c>
      <c r="K31" s="83" t="n">
        <v>1981.887488</v>
      </c>
      <c r="L31" s="80" t="n">
        <v>17.8224975445791</v>
      </c>
      <c r="M31" s="84" t="n">
        <v>-0.3597924812186397</v>
      </c>
      <c r="N31" s="82" t="n">
        <v>14.04652148261607</v>
      </c>
      <c r="O31" s="119" t="inlineStr">
        <is>
          <t>—</t>
        </is>
      </c>
      <c r="P31" s="119" t="inlineStr">
        <is>
          <t>—</t>
        </is>
      </c>
      <c r="Q31" s="119" t="inlineStr">
        <is>
          <t>—</t>
        </is>
      </c>
      <c r="R31" s="119" t="inlineStr">
        <is>
          <t>—</t>
        </is>
      </c>
      <c r="S31" s="119" t="inlineStr">
        <is>
          <t>—</t>
        </is>
      </c>
    </row>
    <row r="32" ht="20" customHeight="1" s="57">
      <c r="A32" s="67" t="n">
        <v>27</v>
      </c>
      <c r="B32" s="68" t="inlineStr">
        <is>
          <t>MA</t>
        </is>
      </c>
      <c r="C32" s="69" t="inlineStr">
        <is>
          <t>Mastercard</t>
        </is>
      </c>
      <c r="D32" s="70" t="inlineStr">
        <is>
          <t>Credit Services</t>
        </is>
      </c>
      <c r="E32" s="72" t="n">
        <v>523.405</v>
      </c>
      <c r="F32" s="84" t="n">
        <v>-0.060863316</v>
      </c>
      <c r="G32" s="74" t="n">
        <v>467.10636544</v>
      </c>
      <c r="H32" s="73" t="n">
        <v>0.176</v>
      </c>
      <c r="I32" s="75" t="n">
        <v>1</v>
      </c>
      <c r="J32" s="76" t="n">
        <v>31.683113</v>
      </c>
      <c r="K32" s="85" t="n">
        <v>16269.375488</v>
      </c>
      <c r="L32" s="74" t="n">
        <v>288.6421242602698</v>
      </c>
      <c r="M32" s="84" t="n">
        <v>-0.3820633893773259</v>
      </c>
      <c r="N32" s="76" t="n">
        <v>28.47845529510776</v>
      </c>
      <c r="O32" s="118" t="inlineStr">
        <is>
          <t>—</t>
        </is>
      </c>
      <c r="P32" s="118" t="inlineStr">
        <is>
          <t>—</t>
        </is>
      </c>
      <c r="Q32" s="118" t="inlineStr">
        <is>
          <t>—</t>
        </is>
      </c>
      <c r="R32" s="118" t="inlineStr">
        <is>
          <t>—</t>
        </is>
      </c>
      <c r="S32" s="118" t="inlineStr">
        <is>
          <t>—</t>
        </is>
      </c>
    </row>
    <row r="33" ht="20" customHeight="1" s="57">
      <c r="A33" s="62" t="n">
        <v>28</v>
      </c>
      <c r="B33" s="63" t="inlineStr">
        <is>
          <t>RF</t>
        </is>
      </c>
      <c r="C33" s="64" t="inlineStr">
        <is>
          <t>Regions Financial</t>
        </is>
      </c>
      <c r="D33" s="65" t="inlineStr">
        <is>
          <t>Banks - Regional</t>
        </is>
      </c>
      <c r="E33" s="79" t="n">
        <v>27.8962</v>
      </c>
      <c r="F33" s="73" t="n">
        <v>0.25577188</v>
      </c>
      <c r="G33" s="80" t="n">
        <v>24.461520896</v>
      </c>
      <c r="H33" s="73" t="n">
        <v>0.156</v>
      </c>
      <c r="I33" s="81" t="n">
        <v>0</v>
      </c>
      <c r="J33" s="82" t="n">
        <v>12.128783</v>
      </c>
      <c r="K33" s="78" t="inlineStr">
        <is>
          <t>—</t>
        </is>
      </c>
      <c r="L33" s="78" t="inlineStr">
        <is>
          <t>—</t>
        </is>
      </c>
      <c r="M33" s="78" t="inlineStr">
        <is>
          <t>—</t>
        </is>
      </c>
      <c r="N33" s="78" t="inlineStr">
        <is>
          <t>—</t>
        </is>
      </c>
      <c r="O33" s="119" t="inlineStr">
        <is>
          <t>—</t>
        </is>
      </c>
      <c r="P33" s="119" t="inlineStr">
        <is>
          <t>—</t>
        </is>
      </c>
      <c r="Q33" s="119" t="inlineStr">
        <is>
          <t>—</t>
        </is>
      </c>
      <c r="R33" s="119" t="inlineStr">
        <is>
          <t>—</t>
        </is>
      </c>
      <c r="S33" s="119" t="inlineStr">
        <is>
          <t>—</t>
        </is>
      </c>
    </row>
    <row r="34" ht="20" customHeight="1" s="57">
      <c r="A34" s="67" t="n">
        <v>29</v>
      </c>
      <c r="B34" s="68" t="inlineStr">
        <is>
          <t>MSCI</t>
        </is>
      </c>
      <c r="C34" s="69" t="inlineStr">
        <is>
          <t>MSCI</t>
        </is>
      </c>
      <c r="D34" s="70" t="inlineStr">
        <is>
          <t>Financial Data &amp; Stock Exchanges</t>
        </is>
      </c>
      <c r="E34" s="72" t="n">
        <v>575.37</v>
      </c>
      <c r="F34" s="84" t="n">
        <v>-0.012914717</v>
      </c>
      <c r="G34" s="74" t="n">
        <v>43.23303424</v>
      </c>
      <c r="H34" s="73" t="n">
        <v>0.106</v>
      </c>
      <c r="I34" s="75" t="n">
        <v>0.82441</v>
      </c>
      <c r="J34" s="76" t="n">
        <v>36.717934</v>
      </c>
      <c r="K34" s="85" t="n">
        <v>1164.579328</v>
      </c>
      <c r="L34" s="74" t="n">
        <v>18.99572961766312</v>
      </c>
      <c r="M34" s="84" t="n">
        <v>-0.5606200223604034</v>
      </c>
      <c r="N34" s="76" t="n">
        <v>36.30045504769598</v>
      </c>
      <c r="O34" s="118" t="inlineStr">
        <is>
          <t>—</t>
        </is>
      </c>
      <c r="P34" s="118" t="inlineStr">
        <is>
          <t>—</t>
        </is>
      </c>
      <c r="Q34" s="118" t="inlineStr">
        <is>
          <t>—</t>
        </is>
      </c>
      <c r="R34" s="118" t="inlineStr">
        <is>
          <t>—</t>
        </is>
      </c>
      <c r="S34" s="118" t="inlineStr">
        <is>
          <t>—</t>
        </is>
      </c>
    </row>
    <row r="35" ht="20" customHeight="1" s="57">
      <c r="A35" s="62" t="n">
        <v>30</v>
      </c>
      <c r="B35" s="63" t="inlineStr">
        <is>
          <t>AVGO</t>
        </is>
      </c>
      <c r="C35" s="64" t="inlineStr">
        <is>
          <t>Broadcom</t>
        </is>
      </c>
      <c r="D35" s="65" t="inlineStr">
        <is>
          <t>Semiconductors</t>
        </is>
      </c>
      <c r="E35" s="79" t="n">
        <v>319.205</v>
      </c>
      <c r="F35" s="73" t="n">
        <v>0.6381668</v>
      </c>
      <c r="G35" s="80" t="n">
        <v>1513.27277056</v>
      </c>
      <c r="H35" s="73" t="n">
        <v>0.164</v>
      </c>
      <c r="I35" s="81" t="n">
        <v>0.77325994</v>
      </c>
      <c r="J35" s="82" t="n">
        <v>66.91197</v>
      </c>
      <c r="K35" s="83" t="n">
        <v>25044.125696</v>
      </c>
      <c r="L35" s="80" t="n">
        <v>440.0657575335701</v>
      </c>
      <c r="M35" s="84" t="n">
        <v>-0.7091960113901211</v>
      </c>
      <c r="N35" s="82" t="n">
        <v>60.43086995253017</v>
      </c>
      <c r="O35" s="119" t="inlineStr">
        <is>
          <t>—</t>
        </is>
      </c>
      <c r="P35" s="119" t="inlineStr">
        <is>
          <t>—</t>
        </is>
      </c>
      <c r="Q35" s="119" t="inlineStr">
        <is>
          <t>—</t>
        </is>
      </c>
      <c r="R35" s="119" t="inlineStr">
        <is>
          <t>—</t>
        </is>
      </c>
      <c r="S35" s="119" t="inlineStr">
        <is>
          <t>—</t>
        </is>
      </c>
    </row>
    <row r="36" ht="20" customHeight="1" s="57">
      <c r="A36" s="67" t="n">
        <v>31</v>
      </c>
      <c r="B36" s="68" t="inlineStr">
        <is>
          <t>PNC</t>
        </is>
      </c>
      <c r="C36" s="69" t="inlineStr">
        <is>
          <t>PNC Financial Services Gr</t>
        </is>
      </c>
      <c r="D36" s="70" t="inlineStr">
        <is>
          <t>Banks - Regional</t>
        </is>
      </c>
      <c r="E36" s="72" t="n">
        <v>214.32</v>
      </c>
      <c r="F36" s="73" t="n">
        <v>0.18052864</v>
      </c>
      <c r="G36" s="74" t="n">
        <v>86.65255936</v>
      </c>
      <c r="H36" s="73" t="n">
        <v>0.096</v>
      </c>
      <c r="I36" s="75" t="n">
        <v>0</v>
      </c>
      <c r="J36" s="76" t="n">
        <v>12.910844</v>
      </c>
      <c r="K36" s="77" t="inlineStr">
        <is>
          <t>—</t>
        </is>
      </c>
      <c r="L36" s="77" t="inlineStr">
        <is>
          <t>—</t>
        </is>
      </c>
      <c r="M36" s="77" t="inlineStr">
        <is>
          <t>—</t>
        </is>
      </c>
      <c r="N36" s="77" t="inlineStr">
        <is>
          <t>—</t>
        </is>
      </c>
      <c r="O36" s="118" t="inlineStr">
        <is>
          <t>—</t>
        </is>
      </c>
      <c r="P36" s="118" t="inlineStr">
        <is>
          <t>—</t>
        </is>
      </c>
      <c r="Q36" s="118" t="inlineStr">
        <is>
          <t>—</t>
        </is>
      </c>
      <c r="R36" s="118" t="inlineStr">
        <is>
          <t>—</t>
        </is>
      </c>
      <c r="S36" s="118" t="inlineStr">
        <is>
          <t>—</t>
        </is>
      </c>
    </row>
    <row r="37" ht="20" customHeight="1" s="57">
      <c r="A37" s="62" t="n">
        <v>32</v>
      </c>
      <c r="B37" s="63" t="inlineStr">
        <is>
          <t>SBAC</t>
        </is>
      </c>
      <c r="C37" s="64" t="inlineStr">
        <is>
          <t>SBA Communications</t>
        </is>
      </c>
      <c r="D37" s="65" t="inlineStr">
        <is>
          <t>REIT - Specialty</t>
        </is>
      </c>
      <c r="E37" s="79" t="n">
        <v>196.92</v>
      </c>
      <c r="F37" s="84" t="n">
        <v>-0.10436517</v>
      </c>
      <c r="G37" s="80" t="n">
        <v>20.984385536</v>
      </c>
      <c r="H37" s="73" t="n">
        <v>0.037</v>
      </c>
      <c r="I37" s="81" t="n">
        <v>0.74485</v>
      </c>
      <c r="J37" s="82" t="n">
        <v>24.769812</v>
      </c>
      <c r="K37" s="83" t="n">
        <v>918.47872</v>
      </c>
      <c r="L37" s="80" t="n">
        <v>10.25881274239339</v>
      </c>
      <c r="M37" s="84" t="n">
        <v>-0.5111216039757861</v>
      </c>
      <c r="N37" s="82" t="n">
        <v>22.8468940031621</v>
      </c>
      <c r="O37" s="119" t="inlineStr">
        <is>
          <t>—</t>
        </is>
      </c>
      <c r="P37" s="119" t="inlineStr">
        <is>
          <t>—</t>
        </is>
      </c>
      <c r="Q37" s="119" t="inlineStr">
        <is>
          <t>—</t>
        </is>
      </c>
      <c r="R37" s="119" t="inlineStr">
        <is>
          <t>—</t>
        </is>
      </c>
      <c r="S37" s="119" t="inlineStr">
        <is>
          <t>—</t>
        </is>
      </c>
    </row>
    <row r="38" ht="20" customHeight="1" s="57">
      <c r="A38" s="67" t="n">
        <v>33</v>
      </c>
      <c r="B38" s="68" t="inlineStr">
        <is>
          <t>TXN</t>
        </is>
      </c>
      <c r="C38" s="69" t="inlineStr">
        <is>
          <t>Texas Instruments</t>
        </is>
      </c>
      <c r="D38" s="70" t="inlineStr">
        <is>
          <t>Semiconductors</t>
        </is>
      </c>
      <c r="E38" s="72" t="n">
        <v>202.905</v>
      </c>
      <c r="F38" s="73" t="n">
        <v>0.036304116</v>
      </c>
      <c r="G38" s="74" t="n">
        <v>184.36415488</v>
      </c>
      <c r="H38" s="73" t="n">
        <v>0.104</v>
      </c>
      <c r="I38" s="75" t="n">
        <v>0.57023996</v>
      </c>
      <c r="J38" s="76" t="n">
        <v>37.230278</v>
      </c>
      <c r="K38" s="85" t="n">
        <v>-300.624992</v>
      </c>
      <c r="L38" s="77" t="inlineStr">
        <is>
          <t>—</t>
        </is>
      </c>
      <c r="M38" s="77" t="inlineStr">
        <is>
          <t>—</t>
        </is>
      </c>
      <c r="N38" s="76" t="n">
        <v>-612.5458451520558</v>
      </c>
      <c r="O38" s="118" t="inlineStr">
        <is>
          <t>—</t>
        </is>
      </c>
      <c r="P38" s="118" t="inlineStr">
        <is>
          <t>—</t>
        </is>
      </c>
      <c r="Q38" s="118" t="inlineStr">
        <is>
          <t>—</t>
        </is>
      </c>
      <c r="R38" s="118" t="inlineStr">
        <is>
          <t>—</t>
        </is>
      </c>
      <c r="S38" s="118" t="inlineStr">
        <is>
          <t>—</t>
        </is>
      </c>
    </row>
    <row r="39" ht="20" customHeight="1" s="57">
      <c r="A39" s="62" t="n">
        <v>34</v>
      </c>
      <c r="B39" s="63" t="inlineStr">
        <is>
          <t>BXP</t>
        </is>
      </c>
      <c r="C39" s="64" t="inlineStr">
        <is>
          <t>Boston Properties</t>
        </is>
      </c>
      <c r="D39" s="65" t="inlineStr">
        <is>
          <t>REIT - Office</t>
        </is>
      </c>
      <c r="E39" s="79" t="n">
        <v>56.26</v>
      </c>
      <c r="F39" s="84" t="n">
        <v>-0.18365842</v>
      </c>
      <c r="G39" s="80" t="n">
        <v>9.956678655999999</v>
      </c>
      <c r="H39" s="84" t="n">
        <v>-0.319</v>
      </c>
      <c r="I39" s="81" t="n">
        <v>0.5644400000000001</v>
      </c>
      <c r="J39" s="82" t="n">
        <v>32.333332</v>
      </c>
      <c r="K39" s="83" t="n">
        <v>946.378112</v>
      </c>
      <c r="L39" s="80" t="n">
        <v>8.252602071689669</v>
      </c>
      <c r="M39" s="84" t="n">
        <v>-0.1711490993317773</v>
      </c>
      <c r="N39" s="82" t="n">
        <v>9.425331305084113</v>
      </c>
      <c r="O39" s="119" t="inlineStr">
        <is>
          <t>—</t>
        </is>
      </c>
      <c r="P39" s="119" t="inlineStr">
        <is>
          <t>—</t>
        </is>
      </c>
      <c r="Q39" s="119" t="inlineStr">
        <is>
          <t>—</t>
        </is>
      </c>
      <c r="R39" s="119" t="inlineStr">
        <is>
          <t>—</t>
        </is>
      </c>
      <c r="S39" s="119" t="inlineStr">
        <is>
          <t>—</t>
        </is>
      </c>
    </row>
    <row r="40" ht="20" customHeight="1" s="57">
      <c r="A40" s="67" t="n">
        <v>35</v>
      </c>
      <c r="B40" s="68" t="inlineStr">
        <is>
          <t>SPGI</t>
        </is>
      </c>
      <c r="C40" s="69" t="inlineStr">
        <is>
          <t>S&amp;P Global</t>
        </is>
      </c>
      <c r="D40" s="70" t="inlineStr">
        <is>
          <t>Financial Data &amp; Stock Exchanges</t>
        </is>
      </c>
      <c r="E40" s="72" t="n">
        <v>447.535</v>
      </c>
      <c r="F40" s="84" t="n">
        <v>-0.15090841</v>
      </c>
      <c r="G40" s="74" t="n">
        <v>135.518134272</v>
      </c>
      <c r="H40" s="73" t="n">
        <v>0.09</v>
      </c>
      <c r="I40" s="75" t="n">
        <v>0.70246005</v>
      </c>
      <c r="J40" s="76" t="n">
        <v>30.549488</v>
      </c>
      <c r="K40" s="85" t="n">
        <v>4877.74976</v>
      </c>
      <c r="L40" s="74" t="n">
        <v>72.81299364922342</v>
      </c>
      <c r="M40" s="84" t="n">
        <v>-0.4627066404037143</v>
      </c>
      <c r="N40" s="76" t="n">
        <v>27.41498940691865</v>
      </c>
      <c r="O40" s="118" t="inlineStr">
        <is>
          <t>—</t>
        </is>
      </c>
      <c r="P40" s="118" t="inlineStr">
        <is>
          <t>—</t>
        </is>
      </c>
      <c r="Q40" s="118" t="inlineStr">
        <is>
          <t>—</t>
        </is>
      </c>
      <c r="R40" s="118" t="inlineStr">
        <is>
          <t>—</t>
        </is>
      </c>
      <c r="S40" s="118" t="inlineStr">
        <is>
          <t>—</t>
        </is>
      </c>
    </row>
    <row r="41" ht="20" customHeight="1" s="57">
      <c r="A41" s="62" t="n">
        <v>36</v>
      </c>
      <c r="B41" s="63" t="inlineStr">
        <is>
          <t>NVDA</t>
        </is>
      </c>
      <c r="C41" s="64" t="inlineStr">
        <is>
          <t>NVIDIA</t>
        </is>
      </c>
      <c r="D41" s="65" t="inlineStr">
        <is>
          <t>Semiconductors</t>
        </is>
      </c>
      <c r="E41" s="79" t="n">
        <v>182.66</v>
      </c>
      <c r="F41" s="73" t="n">
        <v>0.5349531</v>
      </c>
      <c r="G41" s="80" t="n">
        <v>4439.551246336</v>
      </c>
      <c r="H41" s="73" t="n">
        <v>0.732</v>
      </c>
      <c r="I41" s="81" t="n">
        <v>0.71068</v>
      </c>
      <c r="J41" s="82" t="n">
        <v>37.27755</v>
      </c>
      <c r="K41" s="83" t="n">
        <v>58128.9984</v>
      </c>
      <c r="L41" s="80" t="n">
        <v>1049.005877449819</v>
      </c>
      <c r="M41" s="84" t="n">
        <v>-0.763713533363181</v>
      </c>
      <c r="N41" s="82" t="n">
        <v>76.35841184560991</v>
      </c>
      <c r="O41" s="119" t="inlineStr">
        <is>
          <t>—</t>
        </is>
      </c>
      <c r="P41" s="119" t="inlineStr">
        <is>
          <t>—</t>
        </is>
      </c>
      <c r="Q41" s="119" t="inlineStr">
        <is>
          <t>—</t>
        </is>
      </c>
      <c r="R41" s="119" t="inlineStr">
        <is>
          <t>—</t>
        </is>
      </c>
      <c r="S41" s="119" t="inlineStr">
        <is>
          <t>—</t>
        </is>
      </c>
    </row>
    <row r="42" ht="20" customHeight="1" s="57">
      <c r="A42" s="67" t="n">
        <v>37</v>
      </c>
      <c r="B42" s="68" t="inlineStr">
        <is>
          <t>UDR</t>
        </is>
      </c>
      <c r="C42" s="69" t="inlineStr">
        <is>
          <t>UDR</t>
        </is>
      </c>
      <c r="D42" s="70" t="inlineStr">
        <is>
          <t>REIT - Residential</t>
        </is>
      </c>
      <c r="E42" s="72" t="n">
        <v>37.755</v>
      </c>
      <c r="F42" s="84" t="n">
        <v>-0.17087209</v>
      </c>
      <c r="G42" s="74" t="n">
        <v>14.214344704</v>
      </c>
      <c r="H42" s="73" t="n">
        <v>0.015</v>
      </c>
      <c r="I42" s="75" t="n">
        <v>0.66621</v>
      </c>
      <c r="J42" s="76" t="n">
        <v>33.411507</v>
      </c>
      <c r="K42" s="85" t="n">
        <v>892.476032</v>
      </c>
      <c r="L42" s="74" t="n">
        <v>8.655780965733769</v>
      </c>
      <c r="M42" s="84" t="n">
        <v>-0.391053112473206</v>
      </c>
      <c r="N42" s="76" t="n">
        <v>13.89979572983647</v>
      </c>
      <c r="O42" s="118" t="inlineStr">
        <is>
          <t>—</t>
        </is>
      </c>
      <c r="P42" s="118" t="inlineStr">
        <is>
          <t>—</t>
        </is>
      </c>
      <c r="Q42" s="118" t="inlineStr">
        <is>
          <t>—</t>
        </is>
      </c>
      <c r="R42" s="118" t="inlineStr">
        <is>
          <t>—</t>
        </is>
      </c>
      <c r="S42" s="118" t="inlineStr">
        <is>
          <t>—</t>
        </is>
      </c>
    </row>
    <row r="43" ht="20" customHeight="1" s="57">
      <c r="A43" s="62" t="n">
        <v>38</v>
      </c>
      <c r="B43" s="63" t="inlineStr">
        <is>
          <t>ABBV</t>
        </is>
      </c>
      <c r="C43" s="64" t="inlineStr">
        <is>
          <t>AbbVie</t>
        </is>
      </c>
      <c r="D43" s="65" t="inlineStr">
        <is>
          <t>Drug Manufacturers - General</t>
        </is>
      </c>
      <c r="E43" s="79" t="n">
        <v>235.63</v>
      </c>
      <c r="F43" s="73" t="n">
        <v>0.105511904</v>
      </c>
      <c r="G43" s="80" t="n">
        <v>416.6336512</v>
      </c>
      <c r="H43" s="73" t="n">
        <v>0.1</v>
      </c>
      <c r="I43" s="81" t="n">
        <v>0.71620005</v>
      </c>
      <c r="J43" s="82" t="n">
        <v>99.84322</v>
      </c>
      <c r="K43" s="83" t="n">
        <v>18337.748992</v>
      </c>
      <c r="L43" s="80" t="n">
        <v>287.6228543006494</v>
      </c>
      <c r="M43" s="84" t="n">
        <v>-0.3096504483681769</v>
      </c>
      <c r="N43" s="82" t="n">
        <v>22.72000039259563</v>
      </c>
      <c r="O43" s="119" t="inlineStr">
        <is>
          <t>—</t>
        </is>
      </c>
      <c r="P43" s="119" t="inlineStr">
        <is>
          <t>—</t>
        </is>
      </c>
      <c r="Q43" s="119" t="inlineStr">
        <is>
          <t>—</t>
        </is>
      </c>
      <c r="R43" s="119" t="inlineStr">
        <is>
          <t>—</t>
        </is>
      </c>
      <c r="S43" s="119" t="inlineStr">
        <is>
          <t>—</t>
        </is>
      </c>
    </row>
    <row r="44" ht="20" customHeight="1" s="57">
      <c r="A44" s="67" t="n">
        <v>39</v>
      </c>
      <c r="B44" s="68" t="inlineStr">
        <is>
          <t>MO</t>
        </is>
      </c>
      <c r="C44" s="69" t="inlineStr">
        <is>
          <t>Altria Group</t>
        </is>
      </c>
      <c r="D44" s="70" t="inlineStr">
        <is>
          <t>Tobacco</t>
        </is>
      </c>
      <c r="E44" s="72" t="n">
        <v>68.56</v>
      </c>
      <c r="F44" s="73" t="n">
        <v>0.23127794</v>
      </c>
      <c r="G44" s="74" t="n">
        <v>115.089719296</v>
      </c>
      <c r="H44" s="84" t="n">
        <v>-0.005</v>
      </c>
      <c r="I44" s="75" t="n">
        <v>0.72306997</v>
      </c>
      <c r="J44" s="76" t="n">
        <v>16.640776</v>
      </c>
      <c r="K44" s="85" t="n">
        <v>7334.750208</v>
      </c>
      <c r="L44" s="74" t="n">
        <v>67.00189139436965</v>
      </c>
      <c r="M44" s="84" t="n">
        <v>-0.417829048465684</v>
      </c>
      <c r="N44" s="76" t="n">
        <v>15.65033016627033</v>
      </c>
      <c r="O44" s="118" t="inlineStr">
        <is>
          <t>—</t>
        </is>
      </c>
      <c r="P44" s="118" t="inlineStr">
        <is>
          <t>—</t>
        </is>
      </c>
      <c r="Q44" s="118" t="inlineStr">
        <is>
          <t>—</t>
        </is>
      </c>
      <c r="R44" s="118" t="inlineStr">
        <is>
          <t>—</t>
        </is>
      </c>
      <c r="S44" s="118" t="inlineStr">
        <is>
          <t>—</t>
        </is>
      </c>
    </row>
    <row r="45" ht="20" customHeight="1" s="57">
      <c r="A45" s="62" t="n">
        <v>40</v>
      </c>
      <c r="B45" s="63" t="inlineStr">
        <is>
          <t>AXP</t>
        </is>
      </c>
      <c r="C45" s="64" t="inlineStr">
        <is>
          <t>American Express</t>
        </is>
      </c>
      <c r="D45" s="65" t="inlineStr">
        <is>
          <t>Credit Services</t>
        </is>
      </c>
      <c r="E45" s="79" t="n">
        <v>311.59</v>
      </c>
      <c r="F45" s="73" t="n">
        <v>0.08318674600000001</v>
      </c>
      <c r="G45" s="80" t="n">
        <v>214.639280128</v>
      </c>
      <c r="H45" s="73" t="n">
        <v>0.106</v>
      </c>
      <c r="I45" s="81" t="n">
        <v>0.63469005</v>
      </c>
      <c r="J45" s="82" t="n">
        <v>20.246264</v>
      </c>
      <c r="K45" s="78" t="inlineStr">
        <is>
          <t>—</t>
        </is>
      </c>
      <c r="L45" s="78" t="inlineStr">
        <is>
          <t>—</t>
        </is>
      </c>
      <c r="M45" s="78" t="inlineStr">
        <is>
          <t>—</t>
        </is>
      </c>
      <c r="N45" s="78" t="inlineStr">
        <is>
          <t>—</t>
        </is>
      </c>
      <c r="O45" s="125" t="inlineStr">
        <is>
          <t>YES</t>
        </is>
      </c>
      <c r="P45" s="126" t="n">
        <v>56.1</v>
      </c>
      <c r="Q45" s="127" t="inlineStr">
        <is>
          <t>Hold</t>
        </is>
      </c>
      <c r="R45" s="128" t="n">
        <v>8.49</v>
      </c>
      <c r="S45" s="129" t="inlineStr">
        <is>
          <t>Held unchanged all 4 quarters. 151.6M shares since 1990s</t>
        </is>
      </c>
    </row>
    <row r="46" ht="20" customHeight="1" s="57">
      <c r="A46" s="67" t="n">
        <v>41</v>
      </c>
      <c r="B46" s="68" t="inlineStr">
        <is>
          <t>NTRS</t>
        </is>
      </c>
      <c r="C46" s="69" t="inlineStr">
        <is>
          <t>Northern Trust</t>
        </is>
      </c>
      <c r="D46" s="70" t="inlineStr">
        <is>
          <t>Asset Management</t>
        </is>
      </c>
      <c r="E46" s="72" t="n">
        <v>144.88</v>
      </c>
      <c r="F46" s="73" t="n">
        <v>0.34990978</v>
      </c>
      <c r="G46" s="74" t="n">
        <v>26.922733568</v>
      </c>
      <c r="H46" s="73" t="n">
        <v>0.082</v>
      </c>
      <c r="I46" s="75" t="n">
        <v>0</v>
      </c>
      <c r="J46" s="76" t="n">
        <v>16.57666</v>
      </c>
      <c r="K46" s="77" t="inlineStr">
        <is>
          <t>—</t>
        </is>
      </c>
      <c r="L46" s="77" t="inlineStr">
        <is>
          <t>—</t>
        </is>
      </c>
      <c r="M46" s="77" t="inlineStr">
        <is>
          <t>—</t>
        </is>
      </c>
      <c r="N46" s="77" t="inlineStr">
        <is>
          <t>—</t>
        </is>
      </c>
      <c r="O46" s="118" t="inlineStr">
        <is>
          <t>—</t>
        </is>
      </c>
      <c r="P46" s="118" t="inlineStr">
        <is>
          <t>—</t>
        </is>
      </c>
      <c r="Q46" s="118" t="inlineStr">
        <is>
          <t>—</t>
        </is>
      </c>
      <c r="R46" s="118" t="inlineStr">
        <is>
          <t>—</t>
        </is>
      </c>
      <c r="S46" s="118" t="inlineStr">
        <is>
          <t>—</t>
        </is>
      </c>
    </row>
    <row r="47" ht="20" customHeight="1" s="57">
      <c r="A47" s="62" t="n">
        <v>42</v>
      </c>
      <c r="B47" s="63" t="inlineStr">
        <is>
          <t>GILD</t>
        </is>
      </c>
      <c r="C47" s="64" t="inlineStr">
        <is>
          <t>Gilead Sciences</t>
        </is>
      </c>
      <c r="D47" s="65" t="inlineStr">
        <is>
          <t>Drug Manufacturers - General</t>
        </is>
      </c>
      <c r="E47" s="79" t="n">
        <v>148.59</v>
      </c>
      <c r="F47" s="73" t="n">
        <v>0.2805786</v>
      </c>
      <c r="G47" s="80" t="n">
        <v>184.462671872</v>
      </c>
      <c r="H47" s="73" t="n">
        <v>0.047</v>
      </c>
      <c r="I47" s="81" t="n">
        <v>0.78839993</v>
      </c>
      <c r="J47" s="82" t="n">
        <v>21.883652</v>
      </c>
      <c r="K47" s="83" t="n">
        <v>7540.624896</v>
      </c>
      <c r="L47" s="80" t="n">
        <v>94.48958603680667</v>
      </c>
      <c r="M47" s="84" t="n">
        <v>-0.4877576851842757</v>
      </c>
      <c r="N47" s="82" t="n">
        <v>24.46251853123871</v>
      </c>
      <c r="O47" s="119" t="inlineStr">
        <is>
          <t>—</t>
        </is>
      </c>
      <c r="P47" s="119" t="inlineStr">
        <is>
          <t>—</t>
        </is>
      </c>
      <c r="Q47" s="119" t="inlineStr">
        <is>
          <t>—</t>
        </is>
      </c>
      <c r="R47" s="119" t="inlineStr">
        <is>
          <t>—</t>
        </is>
      </c>
      <c r="S47" s="119" t="inlineStr">
        <is>
          <t>—</t>
        </is>
      </c>
    </row>
    <row r="48" ht="20" customHeight="1" s="57">
      <c r="A48" s="67" t="n">
        <v>43</v>
      </c>
      <c r="B48" s="68" t="inlineStr">
        <is>
          <t>ADBE</t>
        </is>
      </c>
      <c r="C48" s="69" t="inlineStr">
        <is>
          <t>Adobe</t>
        </is>
      </c>
      <c r="D48" s="70" t="inlineStr">
        <is>
          <t>Software - Infrastructure</t>
        </is>
      </c>
      <c r="E48" s="72" t="n">
        <v>273.7</v>
      </c>
      <c r="F48" s="84" t="n">
        <v>-0.39945483</v>
      </c>
      <c r="G48" s="74" t="n">
        <v>114.570821632</v>
      </c>
      <c r="H48" s="73" t="n">
        <v>0.105</v>
      </c>
      <c r="I48" s="75" t="n">
        <v>0.89268</v>
      </c>
      <c r="J48" s="76" t="n">
        <v>16.399042</v>
      </c>
      <c r="K48" s="85" t="n">
        <v>8805.874688</v>
      </c>
      <c r="L48" s="74" t="n">
        <v>144.9197242392257</v>
      </c>
      <c r="M48" s="73" t="n">
        <v>0.2648920743948752</v>
      </c>
      <c r="N48" s="76" t="n">
        <v>12.75896534765679</v>
      </c>
      <c r="O48" s="118" t="inlineStr">
        <is>
          <t>—</t>
        </is>
      </c>
      <c r="P48" s="118" t="inlineStr">
        <is>
          <t>—</t>
        </is>
      </c>
      <c r="Q48" s="118" t="inlineStr">
        <is>
          <t>—</t>
        </is>
      </c>
      <c r="R48" s="118" t="inlineStr">
        <is>
          <t>—</t>
        </is>
      </c>
      <c r="S48" s="118" t="inlineStr">
        <is>
          <t>—</t>
        </is>
      </c>
    </row>
    <row r="49" ht="20" customHeight="1" s="57">
      <c r="A49" s="62" t="n">
        <v>44</v>
      </c>
      <c r="B49" s="63" t="inlineStr">
        <is>
          <t>AMGN</t>
        </is>
      </c>
      <c r="C49" s="64" t="inlineStr">
        <is>
          <t>Amgen</t>
        </is>
      </c>
      <c r="D49" s="65" t="inlineStr">
        <is>
          <t>Drug Manufacturers - General</t>
        </is>
      </c>
      <c r="E49" s="79" t="n">
        <v>379.5825</v>
      </c>
      <c r="F49" s="73" t="n">
        <v>0.19088984</v>
      </c>
      <c r="G49" s="80" t="n">
        <v>204.620644352</v>
      </c>
      <c r="H49" s="73" t="n">
        <v>0.08599999999999999</v>
      </c>
      <c r="I49" s="81" t="n">
        <v>0.70783997</v>
      </c>
      <c r="J49" s="82" t="n">
        <v>26.712349</v>
      </c>
      <c r="K49" s="83" t="n">
        <v>7501.8752</v>
      </c>
      <c r="L49" s="80" t="n">
        <v>114.3834997031197</v>
      </c>
      <c r="M49" s="84" t="n">
        <v>-0.4409972656212011</v>
      </c>
      <c r="N49" s="82" t="n">
        <v>27.27593438846963</v>
      </c>
      <c r="O49" s="119" t="inlineStr">
        <is>
          <t>—</t>
        </is>
      </c>
      <c r="P49" s="119" t="inlineStr">
        <is>
          <t>—</t>
        </is>
      </c>
      <c r="Q49" s="119" t="inlineStr">
        <is>
          <t>—</t>
        </is>
      </c>
      <c r="R49" s="119" t="inlineStr">
        <is>
          <t>—</t>
        </is>
      </c>
      <c r="S49" s="119" t="inlineStr">
        <is>
          <t>—</t>
        </is>
      </c>
    </row>
    <row r="50" ht="20" customHeight="1" s="57">
      <c r="A50" s="67" t="n">
        <v>45</v>
      </c>
      <c r="B50" s="68" t="inlineStr">
        <is>
          <t>AMT</t>
        </is>
      </c>
      <c r="C50" s="69" t="inlineStr">
        <is>
          <t>American Tower</t>
        </is>
      </c>
      <c r="D50" s="70" t="inlineStr">
        <is>
          <t>REIT - Specialty</t>
        </is>
      </c>
      <c r="E50" s="72" t="n">
        <v>189.9801</v>
      </c>
      <c r="F50" s="84" t="n">
        <v>-0.08836073</v>
      </c>
      <c r="G50" s="74" t="n">
        <v>88.958418944</v>
      </c>
      <c r="H50" s="73" t="n">
        <v>0.075</v>
      </c>
      <c r="I50" s="75" t="n">
        <v>0.74183</v>
      </c>
      <c r="J50" s="76" t="n">
        <v>30.251608</v>
      </c>
      <c r="K50" s="85" t="n">
        <v>4508.987392</v>
      </c>
      <c r="L50" s="74" t="n">
        <v>61.97103314090147</v>
      </c>
      <c r="M50" s="84" t="n">
        <v>-0.3033707896729516</v>
      </c>
      <c r="N50" s="76" t="n">
        <v>19.72472631216492</v>
      </c>
      <c r="O50" s="118" t="inlineStr">
        <is>
          <t>—</t>
        </is>
      </c>
      <c r="P50" s="118" t="inlineStr">
        <is>
          <t>—</t>
        </is>
      </c>
      <c r="Q50" s="118" t="inlineStr">
        <is>
          <t>—</t>
        </is>
      </c>
      <c r="R50" s="118" t="inlineStr">
        <is>
          <t>—</t>
        </is>
      </c>
      <c r="S50" s="118" t="inlineStr">
        <is>
          <t>—</t>
        </is>
      </c>
    </row>
    <row r="51" ht="20" customHeight="1" s="57">
      <c r="A51" s="62" t="n">
        <v>46</v>
      </c>
      <c r="B51" s="63" t="inlineStr">
        <is>
          <t>ICE</t>
        </is>
      </c>
      <c r="C51" s="64" t="inlineStr">
        <is>
          <t>Intercontinental Exchange</t>
        </is>
      </c>
      <c r="D51" s="65" t="inlineStr">
        <is>
          <t>Financial Data &amp; Stock Exchanges</t>
        </is>
      </c>
      <c r="E51" s="79" t="n">
        <v>165.515</v>
      </c>
      <c r="F51" s="84" t="n">
        <v>-0.03979957</v>
      </c>
      <c r="G51" s="80" t="n">
        <v>94.373101568</v>
      </c>
      <c r="H51" s="73" t="n">
        <v>0.078</v>
      </c>
      <c r="I51" s="81" t="n">
        <v>1</v>
      </c>
      <c r="J51" s="82" t="n">
        <v>28.685442</v>
      </c>
      <c r="K51" s="83" t="n">
        <v>3485.12512</v>
      </c>
      <c r="L51" s="80" t="n">
        <v>48.45026792357022</v>
      </c>
      <c r="M51" s="84" t="n">
        <v>-0.4866093503490541</v>
      </c>
      <c r="N51" s="82" t="n">
        <v>26.97044958580856</v>
      </c>
      <c r="O51" s="119" t="inlineStr">
        <is>
          <t>—</t>
        </is>
      </c>
      <c r="P51" s="119" t="inlineStr">
        <is>
          <t>—</t>
        </is>
      </c>
      <c r="Q51" s="119" t="inlineStr">
        <is>
          <t>—</t>
        </is>
      </c>
      <c r="R51" s="119" t="inlineStr">
        <is>
          <t>—</t>
        </is>
      </c>
      <c r="S51" s="119" t="inlineStr">
        <is>
          <t>—</t>
        </is>
      </c>
    </row>
    <row r="52" ht="20" customHeight="1" s="57">
      <c r="A52" s="67" t="n">
        <v>47</v>
      </c>
      <c r="B52" s="68" t="inlineStr">
        <is>
          <t>VRTX</t>
        </is>
      </c>
      <c r="C52" s="69" t="inlineStr">
        <is>
          <t>Vertex Pharmaceuticals</t>
        </is>
      </c>
      <c r="D52" s="70" t="inlineStr">
        <is>
          <t>Biotechnology</t>
        </is>
      </c>
      <c r="E52" s="72" t="n">
        <v>478.8825</v>
      </c>
      <c r="F52" s="84" t="n">
        <v>-0.035330713</v>
      </c>
      <c r="G52" s="74" t="n">
        <v>121.652527104</v>
      </c>
      <c r="H52" s="73" t="n">
        <v>0.095</v>
      </c>
      <c r="I52" s="75" t="n">
        <v>0.53665</v>
      </c>
      <c r="J52" s="76" t="n">
        <v>31.25865</v>
      </c>
      <c r="K52" s="85" t="n">
        <v>2573.112576</v>
      </c>
      <c r="L52" s="74" t="n">
        <v>43.69412091960367</v>
      </c>
      <c r="M52" s="84" t="n">
        <v>-0.6408284976912165</v>
      </c>
      <c r="N52" s="76" t="n">
        <v>47.27835428863685</v>
      </c>
      <c r="O52" s="118" t="inlineStr">
        <is>
          <t>—</t>
        </is>
      </c>
      <c r="P52" s="118" t="inlineStr">
        <is>
          <t>—</t>
        </is>
      </c>
      <c r="Q52" s="118" t="inlineStr">
        <is>
          <t>—</t>
        </is>
      </c>
      <c r="R52" s="118" t="inlineStr">
        <is>
          <t>—</t>
        </is>
      </c>
      <c r="S52" s="118" t="inlineStr">
        <is>
          <t>—</t>
        </is>
      </c>
    </row>
    <row r="53" ht="20" customHeight="1" s="57">
      <c r="A53" s="62" t="n">
        <v>48</v>
      </c>
      <c r="B53" s="63" t="inlineStr">
        <is>
          <t>MTB</t>
        </is>
      </c>
      <c r="C53" s="64" t="inlineStr">
        <is>
          <t>M&amp;T Bank</t>
        </is>
      </c>
      <c r="D53" s="65" t="inlineStr">
        <is>
          <t>Banks - Regional</t>
        </is>
      </c>
      <c r="E53" s="79" t="n">
        <v>219.3</v>
      </c>
      <c r="F53" s="73" t="n">
        <v>0.22884405</v>
      </c>
      <c r="G53" s="80" t="n">
        <v>33.704388608</v>
      </c>
      <c r="H53" s="73" t="n">
        <v>0.047</v>
      </c>
      <c r="I53" s="81" t="n">
        <v>0</v>
      </c>
      <c r="J53" s="82" t="n">
        <v>12.907593</v>
      </c>
      <c r="K53" s="78" t="inlineStr">
        <is>
          <t>—</t>
        </is>
      </c>
      <c r="L53" s="78" t="inlineStr">
        <is>
          <t>—</t>
        </is>
      </c>
      <c r="M53" s="78" t="inlineStr">
        <is>
          <t>—</t>
        </is>
      </c>
      <c r="N53" s="78" t="inlineStr">
        <is>
          <t>—</t>
        </is>
      </c>
      <c r="O53" s="119" t="inlineStr">
        <is>
          <t>—</t>
        </is>
      </c>
      <c r="P53" s="119" t="inlineStr">
        <is>
          <t>—</t>
        </is>
      </c>
      <c r="Q53" s="119" t="inlineStr">
        <is>
          <t>—</t>
        </is>
      </c>
      <c r="R53" s="119" t="inlineStr">
        <is>
          <t>—</t>
        </is>
      </c>
      <c r="S53" s="119" t="inlineStr">
        <is>
          <t>—</t>
        </is>
      </c>
    </row>
    <row r="54" ht="20" customHeight="1" s="57">
      <c r="A54" s="67" t="n">
        <v>49</v>
      </c>
      <c r="B54" s="68" t="inlineStr">
        <is>
          <t>ADI</t>
        </is>
      </c>
      <c r="C54" s="69" t="inlineStr">
        <is>
          <t>Analog Devices</t>
        </is>
      </c>
      <c r="D54" s="70" t="inlineStr">
        <is>
          <t>Semiconductors</t>
        </is>
      </c>
      <c r="E54" s="72" t="n">
        <v>341.02</v>
      </c>
      <c r="F54" s="73" t="n">
        <v>0.4772737</v>
      </c>
      <c r="G54" s="74" t="n">
        <v>166.487375872</v>
      </c>
      <c r="H54" s="73" t="n">
        <v>0.304</v>
      </c>
      <c r="I54" s="75" t="n">
        <v>0.62842</v>
      </c>
      <c r="J54" s="76" t="n">
        <v>62.457874</v>
      </c>
      <c r="K54" s="85" t="n">
        <v>4139.530752</v>
      </c>
      <c r="L54" s="74" t="n">
        <v>74.3982248586033</v>
      </c>
      <c r="M54" s="84" t="n">
        <v>-0.5531299327115188</v>
      </c>
      <c r="N54" s="76" t="n">
        <v>40.21890199503946</v>
      </c>
      <c r="O54" s="118" t="inlineStr">
        <is>
          <t>—</t>
        </is>
      </c>
      <c r="P54" s="118" t="inlineStr">
        <is>
          <t>—</t>
        </is>
      </c>
      <c r="Q54" s="118" t="inlineStr">
        <is>
          <t>—</t>
        </is>
      </c>
      <c r="R54" s="118" t="inlineStr">
        <is>
          <t>—</t>
        </is>
      </c>
      <c r="S54" s="118" t="inlineStr">
        <is>
          <t>—</t>
        </is>
      </c>
    </row>
    <row r="55" ht="20" customHeight="1" s="57">
      <c r="A55" s="62" t="n">
        <v>50</v>
      </c>
      <c r="B55" s="63" t="inlineStr">
        <is>
          <t>MCO</t>
        </is>
      </c>
      <c r="C55" s="64" t="inlineStr">
        <is>
          <t>Moody's</t>
        </is>
      </c>
      <c r="D55" s="65" t="inlineStr">
        <is>
          <t>Financial Data &amp; Stock Exchanges</t>
        </is>
      </c>
      <c r="E55" s="79" t="n">
        <v>472.8</v>
      </c>
      <c r="F55" s="84" t="n">
        <v>-0.0370816</v>
      </c>
      <c r="G55" s="80" t="n">
        <v>83.82744166400001</v>
      </c>
      <c r="H55" s="73" t="n">
        <v>0.13</v>
      </c>
      <c r="I55" s="81" t="n">
        <v>0.74435997</v>
      </c>
      <c r="J55" s="82" t="n">
        <v>34.637363</v>
      </c>
      <c r="K55" s="83" t="n">
        <v>2058.249984</v>
      </c>
      <c r="L55" s="80" t="n">
        <v>37.31828031368392</v>
      </c>
      <c r="M55" s="84" t="n">
        <v>-0.5548202405691406</v>
      </c>
      <c r="N55" s="82" t="n">
        <v>40.72753098585716</v>
      </c>
      <c r="O55" s="125" t="inlineStr">
        <is>
          <t>YES</t>
        </is>
      </c>
      <c r="P55" s="126" t="n">
        <v>11.51</v>
      </c>
      <c r="Q55" s="127" t="inlineStr">
        <is>
          <t>Hold</t>
        </is>
      </c>
      <c r="R55" s="128" t="n">
        <v>10.05</v>
      </c>
      <c r="S55" s="129" t="inlineStr">
        <is>
          <t>Held unchanged all year. 24.7M shares since 2000</t>
        </is>
      </c>
    </row>
    <row r="56" ht="20" customHeight="1" s="57">
      <c r="A56" s="67" t="n">
        <v>51</v>
      </c>
      <c r="B56" s="68" t="inlineStr">
        <is>
          <t>FTNT</t>
        </is>
      </c>
      <c r="C56" s="69" t="inlineStr">
        <is>
          <t>Fortinet</t>
        </is>
      </c>
      <c r="D56" s="70" t="inlineStr">
        <is>
          <t>Software - Infrastructure</t>
        </is>
      </c>
      <c r="E56" s="72" t="n">
        <v>82.98999999999999</v>
      </c>
      <c r="F56" s="84" t="n">
        <v>-0.2406367</v>
      </c>
      <c r="G56" s="74" t="n">
        <v>61.715357696</v>
      </c>
      <c r="H56" s="73" t="n">
        <v>0.148</v>
      </c>
      <c r="I56" s="75" t="n">
        <v>0.8045600000000001</v>
      </c>
      <c r="J56" s="76" t="n">
        <v>34.29339</v>
      </c>
      <c r="K56" s="85" t="n">
        <v>1746.974976</v>
      </c>
      <c r="L56" s="74" t="n">
        <v>32.80306906266311</v>
      </c>
      <c r="M56" s="84" t="n">
        <v>-0.4684780209126262</v>
      </c>
      <c r="N56" s="76" t="n">
        <v>35.15005022783451</v>
      </c>
      <c r="O56" s="118" t="inlineStr">
        <is>
          <t>—</t>
        </is>
      </c>
      <c r="P56" s="118" t="inlineStr">
        <is>
          <t>—</t>
        </is>
      </c>
      <c r="Q56" s="118" t="inlineStr">
        <is>
          <t>—</t>
        </is>
      </c>
      <c r="R56" s="118" t="inlineStr">
        <is>
          <t>—</t>
        </is>
      </c>
      <c r="S56" s="118" t="inlineStr">
        <is>
          <t>—</t>
        </is>
      </c>
    </row>
    <row r="57" ht="20" customHeight="1" s="57">
      <c r="A57" s="62" t="n">
        <v>52</v>
      </c>
      <c r="B57" s="63" t="inlineStr">
        <is>
          <t>EA</t>
        </is>
      </c>
      <c r="C57" s="64" t="inlineStr">
        <is>
          <t>Electronic Arts</t>
        </is>
      </c>
      <c r="D57" s="65" t="inlineStr">
        <is>
          <t>Electronic Gaming &amp; Multimedia</t>
        </is>
      </c>
      <c r="E57" s="79" t="n">
        <v>201.61</v>
      </c>
      <c r="F57" s="73" t="n">
        <v>0.5010817</v>
      </c>
      <c r="G57" s="80" t="n">
        <v>50.453651456</v>
      </c>
      <c r="H57" s="73" t="n">
        <v>0.01</v>
      </c>
      <c r="I57" s="81" t="n">
        <v>0.78264</v>
      </c>
      <c r="J57" s="82" t="n">
        <v>75.22761</v>
      </c>
      <c r="K57" s="83" t="n">
        <v>2209.874944</v>
      </c>
      <c r="L57" s="80" t="n">
        <v>23.01769953813043</v>
      </c>
      <c r="M57" s="84" t="n">
        <v>-0.5437852588686494</v>
      </c>
      <c r="N57" s="82" t="n">
        <v>22.8309982946845</v>
      </c>
      <c r="O57" s="119" t="inlineStr">
        <is>
          <t>—</t>
        </is>
      </c>
      <c r="P57" s="119" t="inlineStr">
        <is>
          <t>—</t>
        </is>
      </c>
      <c r="Q57" s="119" t="inlineStr">
        <is>
          <t>—</t>
        </is>
      </c>
      <c r="R57" s="119" t="inlineStr">
        <is>
          <t>—</t>
        </is>
      </c>
      <c r="S57" s="119" t="inlineStr">
        <is>
          <t>—</t>
        </is>
      </c>
    </row>
    <row r="58" ht="20" customHeight="1" s="57">
      <c r="A58" s="67" t="n">
        <v>53</v>
      </c>
      <c r="B58" s="68" t="inlineStr">
        <is>
          <t>HBAN</t>
        </is>
      </c>
      <c r="C58" s="69" t="inlineStr">
        <is>
          <t>Huntington Bancshares</t>
        </is>
      </c>
      <c r="D58" s="70" t="inlineStr">
        <is>
          <t>Banks - Regional</t>
        </is>
      </c>
      <c r="E58" s="72" t="n">
        <v>16.865</v>
      </c>
      <c r="F58" s="73" t="n">
        <v>0.08907676</v>
      </c>
      <c r="G58" s="74" t="n">
        <v>34.232449024</v>
      </c>
      <c r="H58" s="73" t="n">
        <v>0.103</v>
      </c>
      <c r="I58" s="75" t="n">
        <v>0</v>
      </c>
      <c r="J58" s="76" t="n">
        <v>12.133094</v>
      </c>
      <c r="K58" s="77" t="inlineStr">
        <is>
          <t>—</t>
        </is>
      </c>
      <c r="L58" s="77" t="inlineStr">
        <is>
          <t>—</t>
        </is>
      </c>
      <c r="M58" s="77" t="inlineStr">
        <is>
          <t>—</t>
        </is>
      </c>
      <c r="N58" s="77" t="inlineStr">
        <is>
          <t>—</t>
        </is>
      </c>
      <c r="O58" s="118" t="inlineStr">
        <is>
          <t>—</t>
        </is>
      </c>
      <c r="P58" s="118" t="inlineStr">
        <is>
          <t>—</t>
        </is>
      </c>
      <c r="Q58" s="118" t="inlineStr">
        <is>
          <t>—</t>
        </is>
      </c>
      <c r="R58" s="118" t="inlineStr">
        <is>
          <t>—</t>
        </is>
      </c>
      <c r="S58" s="118" t="inlineStr">
        <is>
          <t>—</t>
        </is>
      </c>
    </row>
    <row r="59" ht="20" customHeight="1" s="57">
      <c r="A59" s="62" t="n">
        <v>54</v>
      </c>
      <c r="B59" s="63" t="inlineStr">
        <is>
          <t>ORCL</t>
        </is>
      </c>
      <c r="C59" s="64" t="inlineStr">
        <is>
          <t>Oracle</t>
        </is>
      </c>
      <c r="D59" s="65" t="inlineStr">
        <is>
          <t>Software - Infrastructure</t>
        </is>
      </c>
      <c r="E59" s="79" t="n">
        <v>152.47</v>
      </c>
      <c r="F59" s="84" t="n">
        <v>-0.07768011</v>
      </c>
      <c r="G59" s="80" t="n">
        <v>438.212657152</v>
      </c>
      <c r="H59" s="73" t="n">
        <v>0.142</v>
      </c>
      <c r="I59" s="81" t="n">
        <v>0.68543</v>
      </c>
      <c r="J59" s="82" t="n">
        <v>28.659773</v>
      </c>
      <c r="K59" s="83" t="n">
        <v>-10208</v>
      </c>
      <c r="L59" s="78" t="inlineStr">
        <is>
          <t>—</t>
        </is>
      </c>
      <c r="M59" s="78" t="inlineStr">
        <is>
          <t>—</t>
        </is>
      </c>
      <c r="N59" s="82" t="n">
        <v>-42.92835567887931</v>
      </c>
      <c r="O59" s="119" t="inlineStr">
        <is>
          <t>—</t>
        </is>
      </c>
      <c r="P59" s="119" t="inlineStr">
        <is>
          <t>—</t>
        </is>
      </c>
      <c r="Q59" s="119" t="inlineStr">
        <is>
          <t>—</t>
        </is>
      </c>
      <c r="R59" s="119" t="inlineStr">
        <is>
          <t>—</t>
        </is>
      </c>
      <c r="S59" s="119" t="inlineStr">
        <is>
          <t>—</t>
        </is>
      </c>
    </row>
    <row r="60" ht="20" customHeight="1" s="57">
      <c r="A60" s="67" t="n">
        <v>55</v>
      </c>
      <c r="B60" s="68" t="inlineStr">
        <is>
          <t>PM</t>
        </is>
      </c>
      <c r="C60" s="69" t="inlineStr">
        <is>
          <t>Philip Morris Intl</t>
        </is>
      </c>
      <c r="D60" s="70" t="inlineStr">
        <is>
          <t>Tobacco</t>
        </is>
      </c>
      <c r="E60" s="72" t="n">
        <v>178.815</v>
      </c>
      <c r="F60" s="73" t="n">
        <v>0.16187799</v>
      </c>
      <c r="G60" s="74" t="n">
        <v>278.357671936</v>
      </c>
      <c r="H60" s="73" t="n">
        <v>0.068</v>
      </c>
      <c r="I60" s="75" t="n">
        <v>0.67117995</v>
      </c>
      <c r="J60" s="76" t="n">
        <v>24.630165</v>
      </c>
      <c r="K60" s="85" t="n">
        <v>8938.874879999999</v>
      </c>
      <c r="L60" s="74" t="n">
        <v>119.7777348864387</v>
      </c>
      <c r="M60" s="84" t="n">
        <v>-0.5696984600662344</v>
      </c>
      <c r="N60" s="76" t="n">
        <v>31.14012251605484</v>
      </c>
      <c r="O60" s="118" t="inlineStr">
        <is>
          <t>—</t>
        </is>
      </c>
      <c r="P60" s="118" t="inlineStr">
        <is>
          <t>—</t>
        </is>
      </c>
      <c r="Q60" s="118" t="inlineStr">
        <is>
          <t>—</t>
        </is>
      </c>
      <c r="R60" s="118" t="inlineStr">
        <is>
          <t>—</t>
        </is>
      </c>
      <c r="S60" s="118" t="inlineStr">
        <is>
          <t>—</t>
        </is>
      </c>
    </row>
    <row r="61" ht="20" customHeight="1" s="57">
      <c r="A61" s="62" t="n">
        <v>56</v>
      </c>
      <c r="B61" s="63" t="inlineStr">
        <is>
          <t>PRU</t>
        </is>
      </c>
      <c r="C61" s="64" t="inlineStr">
        <is>
          <t>Prudential Financial</t>
        </is>
      </c>
      <c r="D61" s="65" t="inlineStr">
        <is>
          <t>Insurance - Life</t>
        </is>
      </c>
      <c r="E61" s="79" t="n">
        <v>99.15000000000001</v>
      </c>
      <c r="F61" s="84" t="n">
        <v>-0.10786885</v>
      </c>
      <c r="G61" s="80" t="n">
        <v>34.504200192</v>
      </c>
      <c r="H61" s="73" t="n">
        <v>0.312</v>
      </c>
      <c r="I61" s="81" t="n">
        <v>0.29603</v>
      </c>
      <c r="J61" s="82" t="n">
        <v>9.924925</v>
      </c>
      <c r="K61" s="83" t="n">
        <v>12618.87488</v>
      </c>
      <c r="L61" s="80" t="n">
        <v>248.2837015778179</v>
      </c>
      <c r="M61" s="73" t="n">
        <v>6.195752986483772</v>
      </c>
      <c r="N61" s="82" t="n">
        <v>2.734332523946858</v>
      </c>
      <c r="O61" s="119" t="inlineStr">
        <is>
          <t>—</t>
        </is>
      </c>
      <c r="P61" s="119" t="inlineStr">
        <is>
          <t>—</t>
        </is>
      </c>
      <c r="Q61" s="119" t="inlineStr">
        <is>
          <t>—</t>
        </is>
      </c>
      <c r="R61" s="119" t="inlineStr">
        <is>
          <t>—</t>
        </is>
      </c>
      <c r="S61" s="119" t="inlineStr">
        <is>
          <t>—</t>
        </is>
      </c>
    </row>
    <row r="62" ht="20" customHeight="1" s="57">
      <c r="A62" s="67" t="n">
        <v>57</v>
      </c>
      <c r="B62" s="68" t="inlineStr">
        <is>
          <t>MSFT</t>
        </is>
      </c>
      <c r="C62" s="69" t="inlineStr">
        <is>
          <t>Microsoft</t>
        </is>
      </c>
      <c r="D62" s="70" t="inlineStr">
        <is>
          <t>Software - Infrastructure</t>
        </is>
      </c>
      <c r="E62" s="72" t="n">
        <v>407.75</v>
      </c>
      <c r="F62" s="73" t="n">
        <v>0.007256508</v>
      </c>
      <c r="G62" s="74" t="n">
        <v>3030.552150016</v>
      </c>
      <c r="H62" s="73" t="n">
        <v>0.167</v>
      </c>
      <c r="I62" s="75" t="n">
        <v>0.68586</v>
      </c>
      <c r="J62" s="76" t="n">
        <v>25.484375</v>
      </c>
      <c r="K62" s="85" t="n">
        <v>53640.626176</v>
      </c>
      <c r="L62" s="74" t="n">
        <v>991.8100893207982</v>
      </c>
      <c r="M62" s="84" t="n">
        <v>-0.6727295752638469</v>
      </c>
      <c r="N62" s="76" t="n">
        <v>56.44602741594588</v>
      </c>
      <c r="O62" s="118" t="inlineStr">
        <is>
          <t>—</t>
        </is>
      </c>
      <c r="P62" s="118" t="inlineStr">
        <is>
          <t>—</t>
        </is>
      </c>
      <c r="Q62" s="118" t="inlineStr">
        <is>
          <t>—</t>
        </is>
      </c>
      <c r="R62" s="118" t="inlineStr">
        <is>
          <t>—</t>
        </is>
      </c>
      <c r="S62" s="118" t="inlineStr">
        <is>
          <t>—</t>
        </is>
      </c>
    </row>
    <row r="63" ht="20" customHeight="1" s="57">
      <c r="A63" s="62" t="n">
        <v>58</v>
      </c>
      <c r="B63" s="63" t="inlineStr">
        <is>
          <t>BKNG</t>
        </is>
      </c>
      <c r="C63" s="64" t="inlineStr">
        <is>
          <t>Booking Holdings</t>
        </is>
      </c>
      <c r="D63" s="65" t="inlineStr">
        <is>
          <t>Travel Services</t>
        </is>
      </c>
      <c r="E63" s="79" t="n">
        <v>4274.04</v>
      </c>
      <c r="F63" s="84" t="n">
        <v>-0.15528136</v>
      </c>
      <c r="G63" s="80" t="n">
        <v>137.768615936</v>
      </c>
      <c r="H63" s="73" t="n">
        <v>0.16</v>
      </c>
      <c r="I63" s="81" t="n">
        <v>0.87357</v>
      </c>
      <c r="J63" s="82" t="n">
        <v>25.787619</v>
      </c>
      <c r="K63" s="83" t="n">
        <v>6550.750208</v>
      </c>
      <c r="L63" s="80" t="n">
        <v>125.8309787089921</v>
      </c>
      <c r="M63" s="84" t="n">
        <v>-0.08664990314306079</v>
      </c>
      <c r="N63" s="82" t="n">
        <v>20.66528923244817</v>
      </c>
      <c r="O63" s="119" t="inlineStr">
        <is>
          <t>—</t>
        </is>
      </c>
      <c r="P63" s="119" t="inlineStr">
        <is>
          <t>—</t>
        </is>
      </c>
      <c r="Q63" s="119" t="inlineStr">
        <is>
          <t>—</t>
        </is>
      </c>
      <c r="R63" s="119" t="inlineStr">
        <is>
          <t>—</t>
        </is>
      </c>
      <c r="S63" s="119" t="inlineStr">
        <is>
          <t>—</t>
        </is>
      </c>
    </row>
    <row r="64" ht="20" customHeight="1" s="57">
      <c r="A64" s="62" t="n">
        <v>59</v>
      </c>
      <c r="B64" s="63" t="inlineStr">
        <is>
          <t>INTU</t>
        </is>
      </c>
      <c r="C64" s="64" t="inlineStr">
        <is>
          <t>Intuit</t>
        </is>
      </c>
      <c r="D64" s="65" t="inlineStr">
        <is>
          <t>Software - Application</t>
        </is>
      </c>
      <c r="E64" s="72" t="n">
        <v>439.38</v>
      </c>
      <c r="F64" s="84" t="n">
        <v>-0.29823</v>
      </c>
      <c r="G64" s="74" t="n">
        <v>122.32339456</v>
      </c>
      <c r="H64" s="73" t="n">
        <v>0.41</v>
      </c>
      <c r="I64" s="75" t="n">
        <v>0.80896</v>
      </c>
      <c r="J64" s="76" t="n">
        <v>30.177197</v>
      </c>
      <c r="K64" s="85" t="n">
        <v>5301.374976</v>
      </c>
      <c r="L64" s="74" t="n">
        <v>91.39068354603782</v>
      </c>
      <c r="M64" s="84" t="n">
        <v>-0.2528764928837025</v>
      </c>
      <c r="N64" s="76" t="n">
        <v>23.06346268765803</v>
      </c>
      <c r="O64" s="118" t="inlineStr">
        <is>
          <t>—</t>
        </is>
      </c>
      <c r="P64" s="118" t="inlineStr">
        <is>
          <t>—</t>
        </is>
      </c>
      <c r="Q64" s="118" t="inlineStr">
        <is>
          <t>—</t>
        </is>
      </c>
      <c r="R64" s="118" t="inlineStr">
        <is>
          <t>—</t>
        </is>
      </c>
      <c r="S64" s="118" t="inlineStr">
        <is>
          <t>—</t>
        </is>
      </c>
    </row>
    <row r="65" ht="20" customHeight="1" s="57">
      <c r="A65" s="67" t="n">
        <v>60</v>
      </c>
      <c r="B65" s="68" t="inlineStr">
        <is>
          <t>WELL</t>
        </is>
      </c>
      <c r="C65" s="69" t="inlineStr">
        <is>
          <t>Welltower</t>
        </is>
      </c>
      <c r="D65" s="70" t="inlineStr">
        <is>
          <t>REIT - Healthcare Facilities</t>
        </is>
      </c>
      <c r="E65" s="79" t="n">
        <v>207.18</v>
      </c>
      <c r="F65" s="73" t="n">
        <v>0.34323537</v>
      </c>
      <c r="G65" s="80" t="n">
        <v>144.560357376</v>
      </c>
      <c r="H65" s="73" t="n">
        <v>0.413</v>
      </c>
      <c r="I65" s="81" t="n">
        <v>0.40223</v>
      </c>
      <c r="J65" s="82" t="n">
        <v>146.93617</v>
      </c>
      <c r="K65" s="83" t="n">
        <v>2285.443328</v>
      </c>
      <c r="L65" s="80" t="n">
        <v>43.17413675280103</v>
      </c>
      <c r="M65" s="84" t="n">
        <v>-0.701341795659058</v>
      </c>
      <c r="N65" s="82" t="n">
        <v>63.25265973315791</v>
      </c>
      <c r="O65" s="119" t="inlineStr">
        <is>
          <t>—</t>
        </is>
      </c>
      <c r="P65" s="119" t="inlineStr">
        <is>
          <t>—</t>
        </is>
      </c>
      <c r="Q65" s="119" t="inlineStr">
        <is>
          <t>—</t>
        </is>
      </c>
      <c r="R65" s="119" t="inlineStr">
        <is>
          <t>—</t>
        </is>
      </c>
      <c r="S65" s="119" t="inlineStr">
        <is>
          <t>—</t>
        </is>
      </c>
    </row>
    <row r="66" ht="20" customHeight="1" s="57">
      <c r="A66" s="62" t="n">
        <v>61</v>
      </c>
      <c r="B66" s="63" t="inlineStr">
        <is>
          <t>INCY</t>
        </is>
      </c>
      <c r="C66" s="64" t="inlineStr">
        <is>
          <t>Incyte</t>
        </is>
      </c>
      <c r="D66" s="65" t="inlineStr">
        <is>
          <t>Biotechnology</t>
        </is>
      </c>
      <c r="E66" s="72" t="n">
        <v>98.86</v>
      </c>
      <c r="F66" s="73" t="n">
        <v>0.40481305</v>
      </c>
      <c r="G66" s="74" t="n">
        <v>19.674570752</v>
      </c>
      <c r="H66" s="73" t="n">
        <v>0.278</v>
      </c>
      <c r="I66" s="75" t="n">
        <v>0.52884996</v>
      </c>
      <c r="J66" s="76" t="n">
        <v>15.422777</v>
      </c>
      <c r="K66" s="85" t="n">
        <v>609.552</v>
      </c>
      <c r="L66" s="74" t="n">
        <v>13.19355208888728</v>
      </c>
      <c r="M66" s="84" t="n">
        <v>-0.3294109307291441</v>
      </c>
      <c r="N66" s="76" t="n">
        <v>32.27710201256004</v>
      </c>
      <c r="O66" s="118" t="inlineStr">
        <is>
          <t>—</t>
        </is>
      </c>
      <c r="P66" s="118" t="inlineStr">
        <is>
          <t>—</t>
        </is>
      </c>
      <c r="Q66" s="118" t="inlineStr">
        <is>
          <t>—</t>
        </is>
      </c>
      <c r="R66" s="118" t="inlineStr">
        <is>
          <t>—</t>
        </is>
      </c>
      <c r="S66" s="118" t="inlineStr">
        <is>
          <t>—</t>
        </is>
      </c>
    </row>
    <row r="67" ht="20" customHeight="1" s="57">
      <c r="A67" s="67" t="n">
        <v>62</v>
      </c>
      <c r="B67" s="68" t="inlineStr">
        <is>
          <t>GL</t>
        </is>
      </c>
      <c r="C67" s="69" t="inlineStr">
        <is>
          <t>Globe Life</t>
        </is>
      </c>
      <c r="D67" s="70" t="inlineStr">
        <is>
          <t>Insurance - Life</t>
        </is>
      </c>
      <c r="E67" s="79" t="n">
        <v>145</v>
      </c>
      <c r="F67" s="73" t="n">
        <v>0.14633179</v>
      </c>
      <c r="G67" s="80" t="n">
        <v>11.745512448</v>
      </c>
      <c r="H67" s="73" t="n">
        <v>0.036</v>
      </c>
      <c r="I67" s="81" t="n">
        <v>0.33810002</v>
      </c>
      <c r="J67" s="82" t="n">
        <v>10.312944</v>
      </c>
      <c r="K67" s="83" t="n">
        <v>1136.790528</v>
      </c>
      <c r="L67" s="80" t="n">
        <v>12.72759307614867</v>
      </c>
      <c r="M67" s="73" t="n">
        <v>0.08361326357590275</v>
      </c>
      <c r="N67" s="82" t="n">
        <v>10.15388562421238</v>
      </c>
      <c r="O67" s="119" t="inlineStr">
        <is>
          <t>—</t>
        </is>
      </c>
      <c r="P67" s="119" t="inlineStr">
        <is>
          <t>—</t>
        </is>
      </c>
      <c r="Q67" s="119" t="inlineStr">
        <is>
          <t>—</t>
        </is>
      </c>
      <c r="R67" s="119" t="inlineStr">
        <is>
          <t>—</t>
        </is>
      </c>
      <c r="S67" s="119" t="inlineStr">
        <is>
          <t>—</t>
        </is>
      </c>
    </row>
    <row r="68" ht="20" customHeight="1" s="57">
      <c r="A68" s="62" t="n">
        <v>63</v>
      </c>
      <c r="B68" s="63" t="inlineStr">
        <is>
          <t>CSCO</t>
        </is>
      </c>
      <c r="C68" s="64" t="inlineStr">
        <is>
          <t>Cisco Systems</t>
        </is>
      </c>
      <c r="D68" s="65" t="inlineStr">
        <is>
          <t>Communication Equipment</t>
        </is>
      </c>
      <c r="E68" s="72" t="n">
        <v>80.575</v>
      </c>
      <c r="F68" s="73" t="n">
        <v>0.23452163</v>
      </c>
      <c r="G68" s="74" t="n">
        <v>318.359437312</v>
      </c>
      <c r="H68" s="73" t="n">
        <v>0.097</v>
      </c>
      <c r="I68" s="75" t="n">
        <v>0.64814</v>
      </c>
      <c r="J68" s="76" t="n">
        <v>28.983812</v>
      </c>
      <c r="K68" s="85" t="n">
        <v>10129.50016</v>
      </c>
      <c r="L68" s="74" t="n">
        <v>165.9994850175797</v>
      </c>
      <c r="M68" s="84" t="n">
        <v>-0.4785784067871178</v>
      </c>
      <c r="N68" s="76" t="n">
        <v>31.41938169031531</v>
      </c>
      <c r="O68" s="118" t="inlineStr">
        <is>
          <t>—</t>
        </is>
      </c>
      <c r="P68" s="118" t="inlineStr">
        <is>
          <t>—</t>
        </is>
      </c>
      <c r="Q68" s="118" t="inlineStr">
        <is>
          <t>—</t>
        </is>
      </c>
      <c r="R68" s="118" t="inlineStr">
        <is>
          <t>—</t>
        </is>
      </c>
      <c r="S68" s="118" t="inlineStr">
        <is>
          <t>—</t>
        </is>
      </c>
    </row>
    <row r="69" ht="20" customHeight="1" s="57">
      <c r="A69" s="67" t="n">
        <v>64</v>
      </c>
      <c r="B69" s="68" t="inlineStr">
        <is>
          <t>QCOM</t>
        </is>
      </c>
      <c r="C69" s="69" t="inlineStr">
        <is>
          <t>Qualcomm</t>
        </is>
      </c>
      <c r="D69" s="70" t="inlineStr">
        <is>
          <t>Semiconductors</t>
        </is>
      </c>
      <c r="E69" s="79" t="n">
        <v>139.42</v>
      </c>
      <c r="F69" s="84" t="n">
        <v>-0.12846237</v>
      </c>
      <c r="G69" s="80" t="n">
        <v>148.906852352</v>
      </c>
      <c r="H69" s="73" t="n">
        <v>0.05</v>
      </c>
      <c r="I69" s="81" t="n">
        <v>0.55101</v>
      </c>
      <c r="J69" s="82" t="n">
        <v>28.10887</v>
      </c>
      <c r="K69" s="83" t="n">
        <v>10423.374848</v>
      </c>
      <c r="L69" s="80" t="n">
        <v>131.5235439311531</v>
      </c>
      <c r="M69" s="84" t="n">
        <v>-0.1167394793877892</v>
      </c>
      <c r="N69" s="82" t="n">
        <v>14.2718785584636</v>
      </c>
      <c r="O69" s="119" t="inlineStr">
        <is>
          <t>—</t>
        </is>
      </c>
      <c r="P69" s="119" t="inlineStr">
        <is>
          <t>—</t>
        </is>
      </c>
      <c r="Q69" s="119" t="inlineStr">
        <is>
          <t>—</t>
        </is>
      </c>
      <c r="R69" s="119" t="inlineStr">
        <is>
          <t>—</t>
        </is>
      </c>
      <c r="S69" s="119" t="inlineStr">
        <is>
          <t>—</t>
        </is>
      </c>
    </row>
    <row r="70" ht="20" customHeight="1" s="57">
      <c r="A70" s="62" t="n">
        <v>65</v>
      </c>
      <c r="B70" s="63" t="inlineStr">
        <is>
          <t>TTWO</t>
        </is>
      </c>
      <c r="C70" s="64" t="inlineStr">
        <is>
          <t>Take-Two Interactive</t>
        </is>
      </c>
      <c r="D70" s="65" t="inlineStr">
        <is>
          <t>Electronic Gaming &amp; Multimedia</t>
        </is>
      </c>
      <c r="E70" s="72" t="n">
        <v>214.335</v>
      </c>
      <c r="F70" s="73" t="n">
        <v>0.010427833</v>
      </c>
      <c r="G70" s="74" t="n">
        <v>39.68958464</v>
      </c>
      <c r="H70" s="73" t="n">
        <v>0.249</v>
      </c>
      <c r="I70" s="75" t="n">
        <v>0.59289</v>
      </c>
      <c r="J70" s="76" t="n">
        <v>27.319204</v>
      </c>
      <c r="K70" s="85" t="n">
        <v>1487.41248</v>
      </c>
      <c r="L70" s="74" t="n">
        <v>27.41083244454907</v>
      </c>
      <c r="M70" s="84" t="n">
        <v>-0.3093696320287552</v>
      </c>
      <c r="N70" s="76" t="n">
        <v>26.68364148844576</v>
      </c>
      <c r="O70" s="118" t="inlineStr">
        <is>
          <t>—</t>
        </is>
      </c>
      <c r="P70" s="118" t="inlineStr">
        <is>
          <t>—</t>
        </is>
      </c>
      <c r="Q70" s="118" t="inlineStr">
        <is>
          <t>—</t>
        </is>
      </c>
      <c r="R70" s="118" t="inlineStr">
        <is>
          <t>—</t>
        </is>
      </c>
      <c r="S70" s="118" t="inlineStr">
        <is>
          <t>—</t>
        </is>
      </c>
    </row>
    <row r="71" ht="20" customHeight="1" s="57">
      <c r="A71" s="67" t="n">
        <v>66</v>
      </c>
      <c r="B71" s="68" t="inlineStr">
        <is>
          <t>PAYX</t>
        </is>
      </c>
      <c r="C71" s="69" t="inlineStr">
        <is>
          <t>Paychex</t>
        </is>
      </c>
      <c r="D71" s="70" t="inlineStr">
        <is>
          <t>Staffing &amp; Employment Services</t>
        </is>
      </c>
      <c r="E71" s="79" t="n">
        <v>95.83</v>
      </c>
      <c r="F71" s="84" t="n">
        <v>-0.37172914</v>
      </c>
      <c r="G71" s="80" t="n">
        <v>34.399850496</v>
      </c>
      <c r="H71" s="73" t="n">
        <v>0.183</v>
      </c>
      <c r="I71" s="81" t="n">
        <v>0.73362</v>
      </c>
      <c r="J71" s="82" t="n">
        <v>21.680996</v>
      </c>
      <c r="K71" s="83" t="n">
        <v>2057.250048</v>
      </c>
      <c r="L71" s="80" t="n">
        <v>36.60744236410367</v>
      </c>
      <c r="M71" s="73" t="n">
        <v>0.06417446111750885</v>
      </c>
      <c r="N71" s="82" t="n">
        <v>16.72127837203968</v>
      </c>
      <c r="O71" s="119" t="inlineStr">
        <is>
          <t>—</t>
        </is>
      </c>
      <c r="P71" s="119" t="inlineStr">
        <is>
          <t>—</t>
        </is>
      </c>
      <c r="Q71" s="119" t="inlineStr">
        <is>
          <t>—</t>
        </is>
      </c>
      <c r="R71" s="119" t="inlineStr">
        <is>
          <t>—</t>
        </is>
      </c>
      <c r="S71" s="119" t="inlineStr">
        <is>
          <t>—</t>
        </is>
      </c>
    </row>
    <row r="72" ht="20" customHeight="1" s="57">
      <c r="A72" s="62" t="n">
        <v>67</v>
      </c>
      <c r="B72" s="63" t="inlineStr">
        <is>
          <t>MCHP</t>
        </is>
      </c>
      <c r="C72" s="64" t="inlineStr">
        <is>
          <t>Microchip Technology</t>
        </is>
      </c>
      <c r="D72" s="65" t="inlineStr">
        <is>
          <t>Semiconductors</t>
        </is>
      </c>
      <c r="E72" s="72" t="n">
        <v>70.55</v>
      </c>
      <c r="F72" s="73" t="n">
        <v>0.1970154</v>
      </c>
      <c r="G72" s="74" t="n">
        <v>38.177112064</v>
      </c>
      <c r="H72" s="73" t="n">
        <v>0.156</v>
      </c>
      <c r="I72" s="75" t="n">
        <v>0.55407</v>
      </c>
      <c r="J72" s="76" t="n">
        <v>26.560402</v>
      </c>
      <c r="K72" s="85" t="n">
        <v>996.41248</v>
      </c>
      <c r="L72" s="74" t="n">
        <v>17.36523243264827</v>
      </c>
      <c r="M72" s="84" t="n">
        <v>-0.545140229477357</v>
      </c>
      <c r="N72" s="76" t="n">
        <v>38.31456081511544</v>
      </c>
      <c r="O72" s="118" t="inlineStr">
        <is>
          <t>—</t>
        </is>
      </c>
      <c r="P72" s="118" t="inlineStr">
        <is>
          <t>—</t>
        </is>
      </c>
      <c r="Q72" s="118" t="inlineStr">
        <is>
          <t>—</t>
        </is>
      </c>
      <c r="R72" s="118" t="inlineStr">
        <is>
          <t>—</t>
        </is>
      </c>
      <c r="S72" s="118" t="inlineStr">
        <is>
          <t>—</t>
        </is>
      </c>
    </row>
    <row r="73" ht="20" customHeight="1" s="57">
      <c r="A73" s="67" t="n">
        <v>68</v>
      </c>
      <c r="B73" s="68" t="inlineStr">
        <is>
          <t>VRSK</t>
        </is>
      </c>
      <c r="C73" s="69" t="inlineStr">
        <is>
          <t>Verisk Analytics</t>
        </is>
      </c>
      <c r="D73" s="70" t="inlineStr">
        <is>
          <t>Consulting Services</t>
        </is>
      </c>
      <c r="E73" s="79" t="n">
        <v>214.99</v>
      </c>
      <c r="F73" s="84" t="n">
        <v>-0.27666813</v>
      </c>
      <c r="G73" s="80" t="n">
        <v>29.963710464</v>
      </c>
      <c r="H73" s="78" t="inlineStr">
        <is>
          <t>—</t>
        </is>
      </c>
      <c r="I73" s="81" t="n">
        <v>0.69879997</v>
      </c>
      <c r="J73" s="82" t="n">
        <v>33.12635</v>
      </c>
      <c r="K73" s="83" t="n">
        <v>1013.18752</v>
      </c>
      <c r="L73" s="80" t="n">
        <v>12.31073705468503</v>
      </c>
      <c r="M73" s="84" t="n">
        <v>-0.5891451070628984</v>
      </c>
      <c r="N73" s="82" t="n">
        <v>29.27012612741223</v>
      </c>
      <c r="O73" s="119" t="inlineStr">
        <is>
          <t>—</t>
        </is>
      </c>
      <c r="P73" s="119" t="inlineStr">
        <is>
          <t>—</t>
        </is>
      </c>
      <c r="Q73" s="119" t="inlineStr">
        <is>
          <t>—</t>
        </is>
      </c>
      <c r="R73" s="119" t="inlineStr">
        <is>
          <t>—</t>
        </is>
      </c>
      <c r="S73" s="119" t="inlineStr">
        <is>
          <t>—</t>
        </is>
      </c>
    </row>
    <row r="74" ht="20" customHeight="1" s="57">
      <c r="A74" s="62" t="n">
        <v>69</v>
      </c>
      <c r="B74" s="63" t="inlineStr">
        <is>
          <t>CDNS</t>
        </is>
      </c>
      <c r="C74" s="64" t="inlineStr">
        <is>
          <t>Cadence Design Systems</t>
        </is>
      </c>
      <c r="D74" s="65" t="inlineStr">
        <is>
          <t>Software - Application</t>
        </is>
      </c>
      <c r="E74" s="72" t="n">
        <v>304.8</v>
      </c>
      <c r="F74" s="73" t="n">
        <v>0.22856557</v>
      </c>
      <c r="G74" s="74" t="n">
        <v>83.104022528</v>
      </c>
      <c r="H74" s="73" t="n">
        <v>0.062</v>
      </c>
      <c r="I74" s="75" t="n">
        <v>0.86364</v>
      </c>
      <c r="J74" s="76" t="n">
        <v>75.07389000000001</v>
      </c>
      <c r="K74" s="85" t="n">
        <v>1510.117504</v>
      </c>
      <c r="L74" s="74" t="n">
        <v>21.34911706586875</v>
      </c>
      <c r="M74" s="84" t="n">
        <v>-0.7431036860017738</v>
      </c>
      <c r="N74" s="76" t="n">
        <v>55.03149561532398</v>
      </c>
      <c r="O74" s="118" t="inlineStr">
        <is>
          <t>—</t>
        </is>
      </c>
      <c r="P74" s="118" t="inlineStr">
        <is>
          <t>—</t>
        </is>
      </c>
      <c r="Q74" s="118" t="inlineStr">
        <is>
          <t>—</t>
        </is>
      </c>
      <c r="R74" s="118" t="inlineStr">
        <is>
          <t>—</t>
        </is>
      </c>
      <c r="S74" s="118" t="inlineStr">
        <is>
          <t>—</t>
        </is>
      </c>
    </row>
    <row r="75" ht="20" customHeight="1" s="57">
      <c r="A75" s="67" t="n">
        <v>70</v>
      </c>
      <c r="B75" s="68" t="inlineStr">
        <is>
          <t>BMY</t>
        </is>
      </c>
      <c r="C75" s="69" t="inlineStr">
        <is>
          <t>Bristol-Myers Squibb</t>
        </is>
      </c>
      <c r="D75" s="70" t="inlineStr">
        <is>
          <t>Drug Manufacturers - General</t>
        </is>
      </c>
      <c r="E75" s="79" t="n">
        <v>62.495</v>
      </c>
      <c r="F75" s="73" t="n">
        <v>0.023403525</v>
      </c>
      <c r="G75" s="80" t="n">
        <v>127.269421056</v>
      </c>
      <c r="H75" s="73" t="n">
        <v>0.013</v>
      </c>
      <c r="I75" s="81" t="n">
        <v>0.72623</v>
      </c>
      <c r="J75" s="82" t="n">
        <v>18.062138</v>
      </c>
      <c r="K75" s="83" t="n">
        <v>11146.87488</v>
      </c>
      <c r="L75" s="80" t="n">
        <v>114.9070938305725</v>
      </c>
      <c r="M75" s="84" t="n">
        <v>-0.09713509437579633</v>
      </c>
      <c r="N75" s="82" t="n">
        <v>11.41749822834425</v>
      </c>
      <c r="O75" s="119" t="inlineStr">
        <is>
          <t>—</t>
        </is>
      </c>
      <c r="P75" s="119" t="inlineStr">
        <is>
          <t>—</t>
        </is>
      </c>
      <c r="Q75" s="119" t="inlineStr">
        <is>
          <t>—</t>
        </is>
      </c>
      <c r="R75" s="119" t="inlineStr">
        <is>
          <t>—</t>
        </is>
      </c>
      <c r="S75" s="119" t="inlineStr">
        <is>
          <t>—</t>
        </is>
      </c>
    </row>
    <row r="76" ht="20" customHeight="1" s="57">
      <c r="A76" s="62" t="n">
        <v>71</v>
      </c>
      <c r="B76" s="63" t="inlineStr">
        <is>
          <t>MCD</t>
        </is>
      </c>
      <c r="C76" s="64" t="inlineStr">
        <is>
          <t>McDonald's</t>
        </is>
      </c>
      <c r="D76" s="65" t="inlineStr">
        <is>
          <t>Restaurants</t>
        </is>
      </c>
      <c r="E76" s="72" t="n">
        <v>331.555</v>
      </c>
      <c r="F76" s="73" t="n">
        <v>0.08040333</v>
      </c>
      <c r="G76" s="74" t="n">
        <v>236.599099392</v>
      </c>
      <c r="H76" s="73" t="n">
        <v>0.097</v>
      </c>
      <c r="I76" s="75" t="n">
        <v>0.5740700399999999</v>
      </c>
      <c r="J76" s="76" t="n">
        <v>27.721989</v>
      </c>
      <c r="K76" s="85" t="n">
        <v>6296.124928</v>
      </c>
      <c r="L76" s="74" t="n">
        <v>96.40487494102929</v>
      </c>
      <c r="M76" s="84" t="n">
        <v>-0.5925391297398616</v>
      </c>
      <c r="N76" s="76" t="n">
        <v>37.50216811362641</v>
      </c>
      <c r="O76" s="118" t="inlineStr">
        <is>
          <t>—</t>
        </is>
      </c>
      <c r="P76" s="118" t="inlineStr">
        <is>
          <t>—</t>
        </is>
      </c>
      <c r="Q76" s="118" t="inlineStr">
        <is>
          <t>—</t>
        </is>
      </c>
      <c r="R76" s="118" t="inlineStr">
        <is>
          <t>—</t>
        </is>
      </c>
      <c r="S76" s="118" t="inlineStr">
        <is>
          <t>—</t>
        </is>
      </c>
    </row>
    <row r="77" ht="20" customHeight="1" s="57">
      <c r="A77" s="67" t="n">
        <v>72</v>
      </c>
      <c r="B77" s="68" t="inlineStr">
        <is>
          <t>CSX</t>
        </is>
      </c>
      <c r="C77" s="69" t="inlineStr">
        <is>
          <t>CSX</t>
        </is>
      </c>
      <c r="D77" s="70" t="inlineStr">
        <is>
          <t>Railroads</t>
        </is>
      </c>
      <c r="E77" s="79" t="n">
        <v>42.815</v>
      </c>
      <c r="F77" s="73" t="n">
        <v>0.37968957</v>
      </c>
      <c r="G77" s="80" t="n">
        <v>79.616917504</v>
      </c>
      <c r="H77" s="84" t="n">
        <v>-0.008999999999999999</v>
      </c>
      <c r="I77" s="81" t="n">
        <v>0.45586</v>
      </c>
      <c r="J77" s="82" t="n">
        <v>27.801949</v>
      </c>
      <c r="K77" s="83" t="n">
        <v>970.499968</v>
      </c>
      <c r="L77" s="80" t="n">
        <v>8.742198752636464</v>
      </c>
      <c r="M77" s="84" t="n">
        <v>-0.8901967191558596</v>
      </c>
      <c r="N77" s="82" t="n">
        <v>82.03701903592952</v>
      </c>
      <c r="O77" s="119" t="inlineStr">
        <is>
          <t>—</t>
        </is>
      </c>
      <c r="P77" s="119" t="inlineStr">
        <is>
          <t>—</t>
        </is>
      </c>
      <c r="Q77" s="119" t="inlineStr">
        <is>
          <t>—</t>
        </is>
      </c>
      <c r="R77" s="119" t="inlineStr">
        <is>
          <t>—</t>
        </is>
      </c>
      <c r="S77" s="119" t="inlineStr">
        <is>
          <t>—</t>
        </is>
      </c>
    </row>
    <row r="78" ht="20" customHeight="1" s="57">
      <c r="A78" s="62" t="n">
        <v>73</v>
      </c>
      <c r="B78" s="63" t="inlineStr">
        <is>
          <t>ISRG</t>
        </is>
      </c>
      <c r="C78" s="64" t="inlineStr">
        <is>
          <t>Intuitive Surgical</t>
        </is>
      </c>
      <c r="D78" s="65" t="inlineStr">
        <is>
          <t>Medical Instruments &amp; Supplies</t>
        </is>
      </c>
      <c r="E78" s="72" t="n">
        <v>501.4512</v>
      </c>
      <c r="F78" s="84" t="n">
        <v>-0.12429142</v>
      </c>
      <c r="G78" s="74" t="n">
        <v>178.08048128</v>
      </c>
      <c r="H78" s="73" t="n">
        <v>0.188</v>
      </c>
      <c r="I78" s="75" t="n">
        <v>0.65996003</v>
      </c>
      <c r="J78" s="76" t="n">
        <v>63.797863</v>
      </c>
      <c r="K78" s="85" t="n">
        <v>2274.837504</v>
      </c>
      <c r="L78" s="74" t="n">
        <v>43.66721919203292</v>
      </c>
      <c r="M78" s="84" t="n">
        <v>-0.7547894138753255</v>
      </c>
      <c r="N78" s="76" t="n">
        <v>78.28272709009039</v>
      </c>
      <c r="O78" s="118" t="inlineStr">
        <is>
          <t>—</t>
        </is>
      </c>
      <c r="P78" s="118" t="inlineStr">
        <is>
          <t>—</t>
        </is>
      </c>
      <c r="Q78" s="118" t="inlineStr">
        <is>
          <t>—</t>
        </is>
      </c>
      <c r="R78" s="118" t="inlineStr">
        <is>
          <t>—</t>
        </is>
      </c>
      <c r="S78" s="118" t="inlineStr">
        <is>
          <t>—</t>
        </is>
      </c>
    </row>
    <row r="79" ht="20" customHeight="1" s="57">
      <c r="A79" s="67" t="n">
        <v>74</v>
      </c>
      <c r="B79" s="68" t="inlineStr">
        <is>
          <t>ROP</t>
        </is>
      </c>
      <c r="C79" s="69" t="inlineStr">
        <is>
          <t>Roper Technologies</t>
        </is>
      </c>
      <c r="D79" s="70" t="inlineStr">
        <is>
          <t>Specialty Industrial Machinery</t>
        </is>
      </c>
      <c r="E79" s="79" t="n">
        <v>364.56</v>
      </c>
      <c r="F79" s="84" t="n">
        <v>-0.40048164</v>
      </c>
      <c r="G79" s="80" t="n">
        <v>39.240302592</v>
      </c>
      <c r="H79" s="73" t="n">
        <v>0.097</v>
      </c>
      <c r="I79" s="81" t="n">
        <v>0.69244003</v>
      </c>
      <c r="J79" s="82" t="n">
        <v>25.673239</v>
      </c>
      <c r="K79" s="83" t="n">
        <v>2118.599936</v>
      </c>
      <c r="L79" s="80" t="n">
        <v>32.46725051045477</v>
      </c>
      <c r="M79" s="84" t="n">
        <v>-0.1726044814681441</v>
      </c>
      <c r="N79" s="82" t="n">
        <v>17.71134522888988</v>
      </c>
      <c r="O79" s="119" t="inlineStr">
        <is>
          <t>—</t>
        </is>
      </c>
      <c r="P79" s="119" t="inlineStr">
        <is>
          <t>—</t>
        </is>
      </c>
      <c r="Q79" s="119" t="inlineStr">
        <is>
          <t>—</t>
        </is>
      </c>
      <c r="R79" s="119" t="inlineStr">
        <is>
          <t>—</t>
        </is>
      </c>
      <c r="S79" s="119" t="inlineStr">
        <is>
          <t>—</t>
        </is>
      </c>
    </row>
    <row r="80" ht="20" customHeight="1" s="57">
      <c r="A80" s="62" t="n">
        <v>75</v>
      </c>
      <c r="B80" s="63" t="inlineStr">
        <is>
          <t>FFIV</t>
        </is>
      </c>
      <c r="C80" s="64" t="inlineStr">
        <is>
          <t>F5 Networks</t>
        </is>
      </c>
      <c r="D80" s="65" t="inlineStr">
        <is>
          <t>Software - Infrastructure</t>
        </is>
      </c>
      <c r="E80" s="72" t="n">
        <v>286.195</v>
      </c>
      <c r="F80" s="84" t="n">
        <v>-0.004208982</v>
      </c>
      <c r="G80" s="74" t="n">
        <v>16.259050496</v>
      </c>
      <c r="H80" s="73" t="n">
        <v>0.073</v>
      </c>
      <c r="I80" s="75" t="n">
        <v>0.81385005</v>
      </c>
      <c r="J80" s="76" t="n">
        <v>23.691639</v>
      </c>
      <c r="K80" s="85" t="n">
        <v>681.564736</v>
      </c>
      <c r="L80" s="74" t="n">
        <v>9.999799247112664</v>
      </c>
      <c r="M80" s="84" t="n">
        <v>-0.3849702816549599</v>
      </c>
      <c r="N80" s="76" t="n">
        <v>23.73293758002615</v>
      </c>
      <c r="O80" s="118" t="inlineStr">
        <is>
          <t>—</t>
        </is>
      </c>
      <c r="P80" s="118" t="inlineStr">
        <is>
          <t>—</t>
        </is>
      </c>
      <c r="Q80" s="118" t="inlineStr">
        <is>
          <t>—</t>
        </is>
      </c>
      <c r="R80" s="118" t="inlineStr">
        <is>
          <t>—</t>
        </is>
      </c>
      <c r="S80" s="118" t="inlineStr">
        <is>
          <t>—</t>
        </is>
      </c>
    </row>
    <row r="81" ht="20" customHeight="1" s="57">
      <c r="A81" s="67" t="n">
        <v>76</v>
      </c>
      <c r="B81" s="68" t="inlineStr">
        <is>
          <t>NOW</t>
        </is>
      </c>
      <c r="C81" s="69" t="inlineStr">
        <is>
          <t>ServiceNow</t>
        </is>
      </c>
      <c r="D81" s="70" t="inlineStr">
        <is>
          <t>Software - Application</t>
        </is>
      </c>
      <c r="E81" s="79" t="n">
        <v>113.97</v>
      </c>
      <c r="F81" s="84" t="n">
        <v>-0.38200897</v>
      </c>
      <c r="G81" s="80" t="n">
        <v>120.254644224</v>
      </c>
      <c r="H81" s="73" t="n">
        <v>0.207</v>
      </c>
      <c r="I81" s="81" t="n">
        <v>0.7753399600000001</v>
      </c>
      <c r="J81" s="82" t="n">
        <v>67.83929000000001</v>
      </c>
      <c r="K81" s="83" t="n">
        <v>4951.625216</v>
      </c>
      <c r="L81" s="80" t="n">
        <v>90.07432913075814</v>
      </c>
      <c r="M81" s="84" t="n">
        <v>-0.2509700584787775</v>
      </c>
      <c r="N81" s="82" t="n">
        <v>24.07545296740003</v>
      </c>
      <c r="O81" s="119" t="inlineStr">
        <is>
          <t>—</t>
        </is>
      </c>
      <c r="P81" s="119" t="inlineStr">
        <is>
          <t>—</t>
        </is>
      </c>
      <c r="Q81" s="119" t="inlineStr">
        <is>
          <t>—</t>
        </is>
      </c>
      <c r="R81" s="119" t="inlineStr">
        <is>
          <t>—</t>
        </is>
      </c>
      <c r="S81" s="119" t="inlineStr">
        <is>
          <t>—</t>
        </is>
      </c>
    </row>
    <row r="82" ht="20" customHeight="1" s="57">
      <c r="A82" s="62" t="n">
        <v>77</v>
      </c>
      <c r="B82" s="63" t="inlineStr">
        <is>
          <t>REGN</t>
        </is>
      </c>
      <c r="C82" s="64" t="inlineStr">
        <is>
          <t>Regeneron Pharmaceuticals</t>
        </is>
      </c>
      <c r="D82" s="65" t="inlineStr">
        <is>
          <t>Biotechnology</t>
        </is>
      </c>
      <c r="E82" s="72" t="n">
        <v>789.0599999999999</v>
      </c>
      <c r="F82" s="73" t="n">
        <v>0.11570978</v>
      </c>
      <c r="G82" s="74" t="n">
        <v>83.41927526400001</v>
      </c>
      <c r="H82" s="73" t="n">
        <v>0.025</v>
      </c>
      <c r="I82" s="75" t="n">
        <v>0.44566002</v>
      </c>
      <c r="J82" s="76" t="n">
        <v>19.022661</v>
      </c>
      <c r="K82" s="85" t="n">
        <v>3258.374912</v>
      </c>
      <c r="L82" s="74" t="n">
        <v>39.85224313599995</v>
      </c>
      <c r="M82" s="84" t="n">
        <v>-0.5222657711916328</v>
      </c>
      <c r="N82" s="76" t="n">
        <v>25.16144860975409</v>
      </c>
      <c r="O82" s="118" t="inlineStr">
        <is>
          <t>—</t>
        </is>
      </c>
      <c r="P82" s="118" t="inlineStr">
        <is>
          <t>—</t>
        </is>
      </c>
      <c r="Q82" s="118" t="inlineStr">
        <is>
          <t>—</t>
        </is>
      </c>
      <c r="R82" s="118" t="inlineStr">
        <is>
          <t>—</t>
        </is>
      </c>
      <c r="S82" s="118" t="inlineStr">
        <is>
          <t>—</t>
        </is>
      </c>
    </row>
    <row r="83" ht="20" customHeight="1" s="57">
      <c r="A83" s="67" t="n">
        <v>78</v>
      </c>
      <c r="B83" s="68" t="inlineStr">
        <is>
          <t>ALGN</t>
        </is>
      </c>
      <c r="C83" s="69" t="inlineStr">
        <is>
          <t>Align Tech</t>
        </is>
      </c>
      <c r="D83" s="70" t="inlineStr">
        <is>
          <t>Medical Devices</t>
        </is>
      </c>
      <c r="E83" s="79" t="n">
        <v>182.257</v>
      </c>
      <c r="F83" s="73" t="n">
        <v>0.048510194</v>
      </c>
      <c r="G83" s="80" t="n">
        <v>13.211148288</v>
      </c>
      <c r="H83" s="73" t="n">
        <v>0.053</v>
      </c>
      <c r="I83" s="81" t="n">
        <v>0.6980499999999999</v>
      </c>
      <c r="J83" s="82" t="n">
        <v>32.31507</v>
      </c>
      <c r="K83" s="83" t="n">
        <v>483.692384</v>
      </c>
      <c r="L83" s="80" t="n">
        <v>6.60781213916338</v>
      </c>
      <c r="M83" s="84" t="n">
        <v>-0.4998305979832645</v>
      </c>
      <c r="N83" s="82" t="n">
        <v>27.03565173090466</v>
      </c>
      <c r="O83" s="119" t="inlineStr">
        <is>
          <t>—</t>
        </is>
      </c>
      <c r="P83" s="119" t="inlineStr">
        <is>
          <t>—</t>
        </is>
      </c>
      <c r="Q83" s="119" t="inlineStr">
        <is>
          <t>—</t>
        </is>
      </c>
      <c r="R83" s="119" t="inlineStr">
        <is>
          <t>—</t>
        </is>
      </c>
      <c r="S83" s="119" t="inlineStr">
        <is>
          <t>—</t>
        </is>
      </c>
    </row>
    <row r="84" ht="20" customHeight="1" s="57">
      <c r="A84" s="62" t="n">
        <v>79</v>
      </c>
      <c r="B84" s="63" t="inlineStr">
        <is>
          <t>SWKS</t>
        </is>
      </c>
      <c r="C84" s="64" t="inlineStr">
        <is>
          <t>Skyworks Solutions</t>
        </is>
      </c>
      <c r="D84" s="65" t="inlineStr">
        <is>
          <t>Semiconductors</t>
        </is>
      </c>
      <c r="E84" s="72" t="n">
        <v>56.945</v>
      </c>
      <c r="F84" s="84" t="n">
        <v>-0.13711232</v>
      </c>
      <c r="G84" s="74" t="n">
        <v>8.563025408</v>
      </c>
      <c r="H84" s="84" t="n">
        <v>-0.031</v>
      </c>
      <c r="I84" s="75" t="n">
        <v>0.41132</v>
      </c>
      <c r="J84" s="76" t="n">
        <v>21.818008</v>
      </c>
      <c r="K84" s="85" t="n">
        <v>1099.687552</v>
      </c>
      <c r="L84" s="74" t="n">
        <v>9.47026335221326</v>
      </c>
      <c r="M84" s="73" t="n">
        <v>0.1059482952562157</v>
      </c>
      <c r="N84" s="76" t="n">
        <v>7.786780272056768</v>
      </c>
      <c r="O84" s="118" t="inlineStr">
        <is>
          <t>—</t>
        </is>
      </c>
      <c r="P84" s="118" t="inlineStr">
        <is>
          <t>—</t>
        </is>
      </c>
      <c r="Q84" s="118" t="inlineStr">
        <is>
          <t>—</t>
        </is>
      </c>
      <c r="R84" s="118" t="inlineStr">
        <is>
          <t>—</t>
        </is>
      </c>
      <c r="S84" s="118" t="inlineStr">
        <is>
          <t>—</t>
        </is>
      </c>
    </row>
    <row r="85" ht="20" customHeight="1" s="57">
      <c r="A85" s="67" t="n">
        <v>80</v>
      </c>
      <c r="B85" s="68" t="inlineStr">
        <is>
          <t>AFL</t>
        </is>
      </c>
      <c r="C85" s="69" t="inlineStr">
        <is>
          <t>Aflac</t>
        </is>
      </c>
      <c r="D85" s="70" t="inlineStr">
        <is>
          <t>Insurance - Life</t>
        </is>
      </c>
      <c r="E85" s="79" t="n">
        <v>112.53</v>
      </c>
      <c r="F85" s="73" t="n">
        <v>0.03947854</v>
      </c>
      <c r="G85" s="80" t="n">
        <v>58.978537472</v>
      </c>
      <c r="H85" s="84" t="n">
        <v>-0.099</v>
      </c>
      <c r="I85" s="81" t="n">
        <v>0.46644002</v>
      </c>
      <c r="J85" s="82" t="n">
        <v>16.5</v>
      </c>
      <c r="K85" s="83" t="n">
        <v>5175.124992</v>
      </c>
      <c r="L85" s="80" t="n">
        <v>44.78959263924882</v>
      </c>
      <c r="M85" s="84" t="n">
        <v>-0.2405781058827944</v>
      </c>
      <c r="N85" s="82" t="n">
        <v>11.2786040511541</v>
      </c>
      <c r="O85" s="119" t="inlineStr">
        <is>
          <t>—</t>
        </is>
      </c>
      <c r="P85" s="119" t="inlineStr">
        <is>
          <t>—</t>
        </is>
      </c>
      <c r="Q85" s="119" t="inlineStr">
        <is>
          <t>—</t>
        </is>
      </c>
      <c r="R85" s="119" t="inlineStr">
        <is>
          <t>—</t>
        </is>
      </c>
      <c r="S85" s="119" t="inlineStr">
        <is>
          <t>—</t>
        </is>
      </c>
    </row>
    <row r="86" ht="20" customHeight="1" s="57">
      <c r="A86" s="62" t="n">
        <v>81</v>
      </c>
      <c r="B86" s="63" t="inlineStr">
        <is>
          <t>JNJ</t>
        </is>
      </c>
      <c r="C86" s="64" t="inlineStr">
        <is>
          <t>Johnson &amp; Johnson</t>
        </is>
      </c>
      <c r="D86" s="65" t="inlineStr">
        <is>
          <t>Drug Manufacturers - General</t>
        </is>
      </c>
      <c r="E86" s="72" t="n">
        <v>245.6527</v>
      </c>
      <c r="F86" s="73" t="n">
        <v>0.49436772</v>
      </c>
      <c r="G86" s="74" t="n">
        <v>591.9981567999999</v>
      </c>
      <c r="H86" s="73" t="n">
        <v>0.091</v>
      </c>
      <c r="I86" s="75" t="n">
        <v>0.68081003</v>
      </c>
      <c r="J86" s="76" t="n">
        <v>22.271324</v>
      </c>
      <c r="K86" s="85" t="n">
        <v>16633.249792</v>
      </c>
      <c r="L86" s="74" t="n">
        <v>260.0956408482177</v>
      </c>
      <c r="M86" s="84" t="n">
        <v>-0.5606478873952168</v>
      </c>
      <c r="N86" s="76" t="n">
        <v>35.59125172521952</v>
      </c>
      <c r="O86" s="118" t="inlineStr">
        <is>
          <t>—</t>
        </is>
      </c>
      <c r="P86" s="118" t="inlineStr">
        <is>
          <t>—</t>
        </is>
      </c>
      <c r="Q86" s="118" t="inlineStr">
        <is>
          <t>—</t>
        </is>
      </c>
      <c r="R86" s="118" t="inlineStr">
        <is>
          <t>—</t>
        </is>
      </c>
      <c r="S86" s="118" t="inlineStr">
        <is>
          <t>—</t>
        </is>
      </c>
    </row>
    <row r="87" ht="20" customHeight="1" s="57">
      <c r="A87" s="67" t="n">
        <v>82</v>
      </c>
      <c r="B87" s="68" t="inlineStr">
        <is>
          <t>LRCX</t>
        </is>
      </c>
      <c r="C87" s="69" t="inlineStr">
        <is>
          <t>Lam Research</t>
        </is>
      </c>
      <c r="D87" s="70" t="inlineStr">
        <is>
          <t>Semiconductor Equipment &amp; Materials</t>
        </is>
      </c>
      <c r="E87" s="79" t="n">
        <v>223.015</v>
      </c>
      <c r="F87" s="73" t="n">
        <v>1.7485137</v>
      </c>
      <c r="G87" s="80" t="n">
        <v>280.113512448</v>
      </c>
      <c r="H87" s="73" t="n">
        <v>0.221</v>
      </c>
      <c r="I87" s="81" t="n">
        <v>0.49800998</v>
      </c>
      <c r="J87" s="82" t="n">
        <v>45.793636</v>
      </c>
      <c r="K87" s="83" t="n">
        <v>4816.94976</v>
      </c>
      <c r="L87" s="80" t="n">
        <v>87.67498167918518</v>
      </c>
      <c r="M87" s="84" t="n">
        <v>-0.6870019553395837</v>
      </c>
      <c r="N87" s="82" t="n">
        <v>57.81556346666152</v>
      </c>
      <c r="O87" s="119" t="inlineStr">
        <is>
          <t>—</t>
        </is>
      </c>
      <c r="P87" s="119" t="inlineStr">
        <is>
          <t>—</t>
        </is>
      </c>
      <c r="Q87" s="119" t="inlineStr">
        <is>
          <t>—</t>
        </is>
      </c>
      <c r="R87" s="119" t="inlineStr">
        <is>
          <t>—</t>
        </is>
      </c>
      <c r="S87" s="119" t="inlineStr">
        <is>
          <t>—</t>
        </is>
      </c>
    </row>
    <row r="88" ht="20" customHeight="1" s="57">
      <c r="A88" s="62" t="n">
        <v>83</v>
      </c>
      <c r="B88" s="63" t="inlineStr">
        <is>
          <t>QRVO</t>
        </is>
      </c>
      <c r="C88" s="64" t="inlineStr">
        <is>
          <t>Qorvo</t>
        </is>
      </c>
      <c r="D88" s="65" t="inlineStr">
        <is>
          <t>Semiconductors</t>
        </is>
      </c>
      <c r="E88" s="72" t="n">
        <v>79.95</v>
      </c>
      <c r="F88" s="73" t="n">
        <v>0.14239526</v>
      </c>
      <c r="G88" s="74" t="n">
        <v>7.411819008</v>
      </c>
      <c r="H88" s="73" t="n">
        <v>0.08400000000000001</v>
      </c>
      <c r="I88" s="75" t="n">
        <v>0.44684</v>
      </c>
      <c r="J88" s="76" t="n">
        <v>22.024792</v>
      </c>
      <c r="K88" s="85" t="n">
        <v>566.845632</v>
      </c>
      <c r="L88" s="74" t="n">
        <v>9.026229101532444</v>
      </c>
      <c r="M88" s="73" t="n">
        <v>0.2178156390205857</v>
      </c>
      <c r="N88" s="76" t="n">
        <v>13.07555111591651</v>
      </c>
      <c r="O88" s="118" t="inlineStr">
        <is>
          <t>—</t>
        </is>
      </c>
      <c r="P88" s="118" t="inlineStr">
        <is>
          <t>—</t>
        </is>
      </c>
      <c r="Q88" s="118" t="inlineStr">
        <is>
          <t>—</t>
        </is>
      </c>
      <c r="R88" s="118" t="inlineStr">
        <is>
          <t>—</t>
        </is>
      </c>
      <c r="S88" s="118" t="inlineStr">
        <is>
          <t>—</t>
        </is>
      </c>
    </row>
    <row r="89" ht="20" customHeight="1" s="57">
      <c r="A89" s="67" t="n">
        <v>84</v>
      </c>
      <c r="B89" s="68" t="inlineStr">
        <is>
          <t>AAPL</t>
        </is>
      </c>
      <c r="C89" s="69" t="inlineStr">
        <is>
          <t>Apple</t>
        </is>
      </c>
      <c r="D89" s="70" t="inlineStr">
        <is>
          <t>Consumer Electronics</t>
        </is>
      </c>
      <c r="E89" s="79" t="n">
        <v>262.58</v>
      </c>
      <c r="F89" s="73" t="n">
        <v>0.11881733</v>
      </c>
      <c r="G89" s="80" t="n">
        <v>3859.381223424</v>
      </c>
      <c r="H89" s="73" t="n">
        <v>0.157</v>
      </c>
      <c r="I89" s="81" t="n">
        <v>0.47325</v>
      </c>
      <c r="J89" s="82" t="n">
        <v>33.195953</v>
      </c>
      <c r="K89" s="83" t="n">
        <v>106312.753152</v>
      </c>
      <c r="L89" s="80" t="n">
        <v>1882.911423990912</v>
      </c>
      <c r="M89" s="84" t="n">
        <v>-0.512120903588681</v>
      </c>
      <c r="N89" s="82" t="n">
        <v>36.26068958715024</v>
      </c>
      <c r="O89" s="125" t="inlineStr">
        <is>
          <t>YES</t>
        </is>
      </c>
      <c r="P89" s="126" t="n">
        <v>61.96</v>
      </c>
      <c r="Q89" s="122" t="inlineStr">
        <is>
          <t>Sell</t>
        </is>
      </c>
      <c r="R89" s="128" t="n">
        <v>39</v>
      </c>
      <c r="S89" s="129" t="inlineStr">
        <is>
          <t>Hold Q1 → Sold 20M Q2 @~$198 → Sold 42M Q3 @~$228 → Sold 10M Q4 @~$237</t>
        </is>
      </c>
    </row>
    <row r="90" ht="20" customHeight="1" s="57">
      <c r="A90" s="62" t="n">
        <v>85</v>
      </c>
      <c r="B90" s="63" t="inlineStr">
        <is>
          <t>CF</t>
        </is>
      </c>
      <c r="C90" s="64" t="inlineStr">
        <is>
          <t>CF Industries Holdings</t>
        </is>
      </c>
      <c r="D90" s="65" t="inlineStr">
        <is>
          <t>Agricultural Inputs</t>
        </is>
      </c>
      <c r="E90" s="72" t="n">
        <v>104.8475</v>
      </c>
      <c r="F90" s="73" t="n">
        <v>0.39300227</v>
      </c>
      <c r="G90" s="74" t="n">
        <v>16.35355136</v>
      </c>
      <c r="H90" s="73" t="n">
        <v>0.228</v>
      </c>
      <c r="I90" s="75" t="n">
        <v>0.38452998</v>
      </c>
      <c r="J90" s="76" t="n">
        <v>11.688684</v>
      </c>
      <c r="K90" s="85" t="n">
        <v>1307.874944</v>
      </c>
      <c r="L90" s="74" t="n">
        <v>24.03302531956568</v>
      </c>
      <c r="M90" s="73" t="n">
        <v>0.4695905978165271</v>
      </c>
      <c r="N90" s="76" t="n">
        <v>12.31906137793362</v>
      </c>
      <c r="O90" s="118" t="inlineStr">
        <is>
          <t>—</t>
        </is>
      </c>
      <c r="P90" s="118" t="inlineStr">
        <is>
          <t>—</t>
        </is>
      </c>
      <c r="Q90" s="118" t="inlineStr">
        <is>
          <t>—</t>
        </is>
      </c>
      <c r="R90" s="118" t="inlineStr">
        <is>
          <t>—</t>
        </is>
      </c>
      <c r="S90" s="118" t="inlineStr">
        <is>
          <t>—</t>
        </is>
      </c>
    </row>
    <row r="91" ht="20" customHeight="1" s="57">
      <c r="A91" s="67" t="n">
        <v>86</v>
      </c>
      <c r="B91" s="68" t="inlineStr">
        <is>
          <t>MNST</t>
        </is>
      </c>
      <c r="C91" s="69" t="inlineStr">
        <is>
          <t>Monster Beverage</t>
        </is>
      </c>
      <c r="D91" s="70" t="inlineStr">
        <is>
          <t>Beverages - Non-Alcoholic</t>
        </is>
      </c>
      <c r="E91" s="79" t="n">
        <v>78.69499999999999</v>
      </c>
      <c r="F91" s="73" t="n">
        <v>0.4271003</v>
      </c>
      <c r="G91" s="80" t="n">
        <v>76.886679552</v>
      </c>
      <c r="H91" s="73" t="n">
        <v>0.176</v>
      </c>
      <c r="I91" s="81" t="n">
        <v>0.55848</v>
      </c>
      <c r="J91" s="82" t="n">
        <v>44.71307</v>
      </c>
      <c r="K91" s="83" t="n">
        <v>1490.915712</v>
      </c>
      <c r="L91" s="80" t="n">
        <v>27.77587547024669</v>
      </c>
      <c r="M91" s="84" t="n">
        <v>-0.6387426842713203</v>
      </c>
      <c r="N91" s="82" t="n">
        <v>51.57010820549995</v>
      </c>
      <c r="O91" s="119" t="inlineStr">
        <is>
          <t>—</t>
        </is>
      </c>
      <c r="P91" s="119" t="inlineStr">
        <is>
          <t>—</t>
        </is>
      </c>
      <c r="Q91" s="119" t="inlineStr">
        <is>
          <t>—</t>
        </is>
      </c>
      <c r="R91" s="119" t="inlineStr">
        <is>
          <t>—</t>
        </is>
      </c>
      <c r="S91" s="119" t="inlineStr">
        <is>
          <t>—</t>
        </is>
      </c>
    </row>
    <row r="92" ht="20" customHeight="1" s="57">
      <c r="A92" s="62" t="n">
        <v>87</v>
      </c>
      <c r="B92" s="63" t="inlineStr">
        <is>
          <t>EBAY</t>
        </is>
      </c>
      <c r="C92" s="64" t="inlineStr">
        <is>
          <t>eBay</t>
        </is>
      </c>
      <c r="D92" s="65" t="inlineStr">
        <is>
          <t>Internet Retail</t>
        </is>
      </c>
      <c r="E92" s="72" t="n">
        <v>90.62</v>
      </c>
      <c r="F92" s="73" t="n">
        <v>0.34680688</v>
      </c>
      <c r="G92" s="74" t="n">
        <v>40.960241664</v>
      </c>
      <c r="H92" s="73" t="n">
        <v>0.15</v>
      </c>
      <c r="I92" s="75" t="n">
        <v>0.71449995</v>
      </c>
      <c r="J92" s="76" t="n">
        <v>21.2723</v>
      </c>
      <c r="K92" s="85" t="n">
        <v>741.124992</v>
      </c>
      <c r="L92" s="74" t="n">
        <v>14.96554297550708</v>
      </c>
      <c r="M92" s="84" t="n">
        <v>-0.6346324541180549</v>
      </c>
      <c r="N92" s="76" t="n">
        <v>54.7785602134977</v>
      </c>
      <c r="O92" s="118" t="inlineStr">
        <is>
          <t>—</t>
        </is>
      </c>
      <c r="P92" s="118" t="inlineStr">
        <is>
          <t>—</t>
        </is>
      </c>
      <c r="Q92" s="118" t="inlineStr">
        <is>
          <t>—</t>
        </is>
      </c>
      <c r="R92" s="118" t="inlineStr">
        <is>
          <t>—</t>
        </is>
      </c>
      <c r="S92" s="118" t="inlineStr">
        <is>
          <t>—</t>
        </is>
      </c>
    </row>
    <row r="93" ht="20" customHeight="1" s="57">
      <c r="A93" s="67" t="n">
        <v>88</v>
      </c>
      <c r="B93" s="68" t="inlineStr">
        <is>
          <t>UNP</t>
        </is>
      </c>
      <c r="C93" s="69" t="inlineStr">
        <is>
          <t>Union Pacific</t>
        </is>
      </c>
      <c r="D93" s="70" t="inlineStr">
        <is>
          <t>Railroads</t>
        </is>
      </c>
      <c r="E93" s="79" t="n">
        <v>266.22</v>
      </c>
      <c r="F93" s="73" t="n">
        <v>0.091252446</v>
      </c>
      <c r="G93" s="80" t="n">
        <v>157.972676608</v>
      </c>
      <c r="H93" s="84" t="n">
        <v>-0.006</v>
      </c>
      <c r="I93" s="81" t="n">
        <v>0.56353</v>
      </c>
      <c r="J93" s="82" t="n">
        <v>22.203503</v>
      </c>
      <c r="K93" s="83" t="n">
        <v>3918.000128</v>
      </c>
      <c r="L93" s="80" t="n">
        <v>34.94627110218008</v>
      </c>
      <c r="M93" s="84" t="n">
        <v>-0.7787828132525905</v>
      </c>
      <c r="N93" s="82" t="n">
        <v>40.31972162334754</v>
      </c>
      <c r="O93" s="119" t="inlineStr">
        <is>
          <t>—</t>
        </is>
      </c>
      <c r="P93" s="119" t="inlineStr">
        <is>
          <t>—</t>
        </is>
      </c>
      <c r="Q93" s="119" t="inlineStr">
        <is>
          <t>—</t>
        </is>
      </c>
      <c r="R93" s="119" t="inlineStr">
        <is>
          <t>—</t>
        </is>
      </c>
      <c r="S93" s="119" t="inlineStr">
        <is>
          <t>—</t>
        </is>
      </c>
    </row>
    <row r="94" ht="20" customHeight="1" s="57">
      <c r="A94" s="67" t="n">
        <v>89</v>
      </c>
      <c r="B94" s="68" t="inlineStr">
        <is>
          <t>KLAC</t>
        </is>
      </c>
      <c r="C94" s="69" t="inlineStr">
        <is>
          <t>KLA</t>
        </is>
      </c>
      <c r="D94" s="70" t="inlineStr">
        <is>
          <t>Semiconductor Equipment &amp; Materials</t>
        </is>
      </c>
      <c r="E94" s="72" t="n">
        <v>1471.365</v>
      </c>
      <c r="F94" s="73" t="n">
        <v>1.013593</v>
      </c>
      <c r="G94" s="74" t="n">
        <v>193.326088192</v>
      </c>
      <c r="H94" s="73" t="n">
        <v>0.07199999999999999</v>
      </c>
      <c r="I94" s="75" t="n">
        <v>0.61574</v>
      </c>
      <c r="J94" s="76" t="n">
        <v>42.89694</v>
      </c>
      <c r="K94" s="85" t="n">
        <v>3222.999808</v>
      </c>
      <c r="L94" s="74" t="n">
        <v>46.70291749525092</v>
      </c>
      <c r="M94" s="84" t="n">
        <v>-0.7584241323454062</v>
      </c>
      <c r="N94" s="76" t="n">
        <v>59.83914031434377</v>
      </c>
      <c r="O94" s="118" t="inlineStr">
        <is>
          <t>—</t>
        </is>
      </c>
      <c r="P94" s="118" t="inlineStr">
        <is>
          <t>—</t>
        </is>
      </c>
      <c r="Q94" s="118" t="inlineStr">
        <is>
          <t>—</t>
        </is>
      </c>
      <c r="R94" s="118" t="inlineStr">
        <is>
          <t>—</t>
        </is>
      </c>
      <c r="S94" s="118" t="inlineStr">
        <is>
          <t>—</t>
        </is>
      </c>
    </row>
    <row r="95" ht="20" customHeight="1" s="57">
      <c r="A95" s="62" t="n">
        <v>90</v>
      </c>
      <c r="B95" s="63" t="inlineStr">
        <is>
          <t>TROW</t>
        </is>
      </c>
      <c r="C95" s="64" t="inlineStr">
        <is>
          <t>T. Rowe Price Group</t>
        </is>
      </c>
      <c r="D95" s="65" t="inlineStr">
        <is>
          <t>Asset Management</t>
        </is>
      </c>
      <c r="E95" s="79" t="n">
        <v>92.95999999999999</v>
      </c>
      <c r="F95" s="84" t="n">
        <v>-0.071833074</v>
      </c>
      <c r="G95" s="80" t="n">
        <v>20.287309824</v>
      </c>
      <c r="H95" s="73" t="n">
        <v>0.06</v>
      </c>
      <c r="I95" s="81" t="n">
        <v>0.5127</v>
      </c>
      <c r="J95" s="82" t="n">
        <v>10.060606</v>
      </c>
      <c r="K95" s="83" t="n">
        <v>1994.37504</v>
      </c>
      <c r="L95" s="80" t="n">
        <v>27.32946969371989</v>
      </c>
      <c r="M95" s="73" t="n">
        <v>0.3471214237280968</v>
      </c>
      <c r="N95" s="82" t="n">
        <v>10.16461621830165</v>
      </c>
      <c r="O95" s="119" t="inlineStr">
        <is>
          <t>—</t>
        </is>
      </c>
      <c r="P95" s="119" t="inlineStr">
        <is>
          <t>—</t>
        </is>
      </c>
      <c r="Q95" s="119" t="inlineStr">
        <is>
          <t>—</t>
        </is>
      </c>
      <c r="R95" s="119" t="inlineStr">
        <is>
          <t>—</t>
        </is>
      </c>
      <c r="S95" s="119" t="inlineStr">
        <is>
          <t>—</t>
        </is>
      </c>
    </row>
    <row r="96" ht="20" customHeight="1" s="57">
      <c r="A96" s="67" t="n">
        <v>91</v>
      </c>
      <c r="B96" s="68" t="inlineStr">
        <is>
          <t>KO</t>
        </is>
      </c>
      <c r="C96" s="69" t="inlineStr">
        <is>
          <t>Coca-Cola</t>
        </is>
      </c>
      <c r="D96" s="70" t="inlineStr">
        <is>
          <t>Beverages - Non-Alcoholic</t>
        </is>
      </c>
      <c r="E96" s="72" t="n">
        <v>78.259</v>
      </c>
      <c r="F96" s="73" t="n">
        <v>0.13213468</v>
      </c>
      <c r="G96" s="74" t="n">
        <v>336.639623168</v>
      </c>
      <c r="H96" s="73" t="n">
        <v>0.024</v>
      </c>
      <c r="I96" s="75" t="n">
        <v>0.61626</v>
      </c>
      <c r="J96" s="76" t="n">
        <v>25.743093</v>
      </c>
      <c r="K96" s="85" t="n">
        <v>-1461.250048</v>
      </c>
      <c r="L96" s="77" t="inlineStr">
        <is>
          <t>—</t>
        </is>
      </c>
      <c r="M96" s="77" t="inlineStr">
        <is>
          <t>—</t>
        </is>
      </c>
      <c r="N96" s="76" t="n">
        <v>-230.3303853556972</v>
      </c>
      <c r="O96" s="120" t="inlineStr">
        <is>
          <t>YES</t>
        </is>
      </c>
      <c r="P96" s="121" t="n">
        <v>27.96</v>
      </c>
      <c r="Q96" s="130" t="inlineStr">
        <is>
          <t>Hold</t>
        </is>
      </c>
      <c r="R96" s="123" t="n">
        <v>3.25</v>
      </c>
      <c r="S96" s="124" t="inlineStr">
        <is>
          <t>Held unchanged all year. 400M shares (9.3% of KO) since 1988</t>
        </is>
      </c>
    </row>
    <row r="97" ht="20" customHeight="1" s="57">
      <c r="A97" s="67" t="n">
        <v>92</v>
      </c>
      <c r="B97" s="68" t="inlineStr">
        <is>
          <t>CFG</t>
        </is>
      </c>
      <c r="C97" s="69" t="inlineStr">
        <is>
          <t>Citizens Financial Group</t>
        </is>
      </c>
      <c r="D97" s="70" t="inlineStr">
        <is>
          <t>Banks - Regional</t>
        </is>
      </c>
      <c r="E97" s="79" t="n">
        <v>60.315</v>
      </c>
      <c r="F97" s="73" t="n">
        <v>0.37701893</v>
      </c>
      <c r="G97" s="80" t="n">
        <v>25.904459776</v>
      </c>
      <c r="H97" s="73" t="n">
        <v>0.107</v>
      </c>
      <c r="I97" s="81" t="n">
        <v>0</v>
      </c>
      <c r="J97" s="82" t="n">
        <v>15.625648</v>
      </c>
      <c r="K97" s="78" t="inlineStr">
        <is>
          <t>—</t>
        </is>
      </c>
      <c r="L97" s="78" t="inlineStr">
        <is>
          <t>—</t>
        </is>
      </c>
      <c r="M97" s="78" t="inlineStr">
        <is>
          <t>—</t>
        </is>
      </c>
      <c r="N97" s="78" t="inlineStr">
        <is>
          <t>—</t>
        </is>
      </c>
      <c r="O97" s="119" t="inlineStr">
        <is>
          <t>—</t>
        </is>
      </c>
      <c r="P97" s="119" t="inlineStr">
        <is>
          <t>—</t>
        </is>
      </c>
      <c r="Q97" s="119" t="inlineStr">
        <is>
          <t>—</t>
        </is>
      </c>
      <c r="R97" s="119" t="inlineStr">
        <is>
          <t>—</t>
        </is>
      </c>
      <c r="S97" s="119" t="inlineStr">
        <is>
          <t>—</t>
        </is>
      </c>
    </row>
    <row r="98" ht="20" customHeight="1" s="57">
      <c r="A98" s="62" t="n">
        <v>93</v>
      </c>
      <c r="B98" s="63" t="inlineStr">
        <is>
          <t>PYPL</t>
        </is>
      </c>
      <c r="C98" s="64" t="inlineStr">
        <is>
          <t>PayPal Holdings</t>
        </is>
      </c>
      <c r="D98" s="65" t="inlineStr">
        <is>
          <t>Credit Services</t>
        </is>
      </c>
      <c r="E98" s="72" t="n">
        <v>47.0668</v>
      </c>
      <c r="F98" s="84" t="n">
        <v>-0.33266187</v>
      </c>
      <c r="G98" s="74" t="n">
        <v>44.038144</v>
      </c>
      <c r="H98" s="73" t="n">
        <v>0.037</v>
      </c>
      <c r="I98" s="75" t="n">
        <v>0.41484</v>
      </c>
      <c r="J98" s="76" t="n">
        <v>8.699964</v>
      </c>
      <c r="K98" s="85" t="n">
        <v>3274.249984</v>
      </c>
      <c r="L98" s="74" t="n">
        <v>43.68039118061822</v>
      </c>
      <c r="M98" s="84" t="n">
        <v>-0.008123703382726116</v>
      </c>
      <c r="N98" s="76" t="n">
        <v>13.23439996248179</v>
      </c>
      <c r="O98" s="118" t="inlineStr">
        <is>
          <t>—</t>
        </is>
      </c>
      <c r="P98" s="118" t="inlineStr">
        <is>
          <t>—</t>
        </is>
      </c>
      <c r="Q98" s="118" t="inlineStr">
        <is>
          <t>—</t>
        </is>
      </c>
      <c r="R98" s="118" t="inlineStr">
        <is>
          <t>—</t>
        </is>
      </c>
      <c r="S98" s="118" t="inlineStr">
        <is>
          <t>—</t>
        </is>
      </c>
    </row>
    <row r="99" ht="20" customHeight="1" s="57">
      <c r="A99" s="67" t="n">
        <v>94</v>
      </c>
      <c r="B99" s="68" t="inlineStr">
        <is>
          <t>CRM</t>
        </is>
      </c>
      <c r="C99" s="69" t="inlineStr">
        <is>
          <t>Salesforce</t>
        </is>
      </c>
      <c r="D99" s="70" t="inlineStr">
        <is>
          <t>Software - Application</t>
        </is>
      </c>
      <c r="E99" s="79" t="n">
        <v>194.09</v>
      </c>
      <c r="F99" s="84" t="n">
        <v>-0.3285269</v>
      </c>
      <c r="G99" s="80" t="n">
        <v>184.77367296</v>
      </c>
      <c r="H99" s="73" t="n">
        <v>0.121</v>
      </c>
      <c r="I99" s="81" t="n">
        <v>0.77676004</v>
      </c>
      <c r="J99" s="82" t="n">
        <v>25.913218</v>
      </c>
      <c r="K99" s="83" t="n">
        <v>16366.999552</v>
      </c>
      <c r="L99" s="80" t="n">
        <v>289.3253205178906</v>
      </c>
      <c r="M99" s="73" t="n">
        <v>0.5658362789623395</v>
      </c>
      <c r="N99" s="82" t="n">
        <v>11.11152532400338</v>
      </c>
      <c r="O99" s="119" t="inlineStr">
        <is>
          <t>—</t>
        </is>
      </c>
      <c r="P99" s="119" t="inlineStr">
        <is>
          <t>—</t>
        </is>
      </c>
      <c r="Q99" s="119" t="inlineStr">
        <is>
          <t>—</t>
        </is>
      </c>
      <c r="R99" s="119" t="inlineStr">
        <is>
          <t>—</t>
        </is>
      </c>
      <c r="S99" s="119" t="inlineStr">
        <is>
          <t>—</t>
        </is>
      </c>
    </row>
    <row r="100" ht="20" customHeight="1" s="57">
      <c r="A100" s="62" t="n">
        <v>95</v>
      </c>
      <c r="B100" s="63" t="inlineStr">
        <is>
          <t>MDT</t>
        </is>
      </c>
      <c r="C100" s="64" t="inlineStr">
        <is>
          <t>Medtronic</t>
        </is>
      </c>
      <c r="D100" s="65" t="inlineStr">
        <is>
          <t>Medical Devices</t>
        </is>
      </c>
      <c r="E100" s="72" t="n">
        <v>95.991</v>
      </c>
      <c r="F100" s="73" t="n">
        <v>0.028173566</v>
      </c>
      <c r="G100" s="74" t="n">
        <v>123.241398272</v>
      </c>
      <c r="H100" s="73" t="n">
        <v>0.08699999999999999</v>
      </c>
      <c r="I100" s="75" t="n">
        <v>0.65159</v>
      </c>
      <c r="J100" s="76" t="n">
        <v>26.813128</v>
      </c>
      <c r="K100" s="85" t="n">
        <v>4073.12512</v>
      </c>
      <c r="L100" s="74" t="n">
        <v>64.99337005929034</v>
      </c>
      <c r="M100" s="84" t="n">
        <v>-0.4726336201099675</v>
      </c>
      <c r="N100" s="76" t="n">
        <v>30.25720986919351</v>
      </c>
      <c r="O100" s="118" t="inlineStr">
        <is>
          <t>—</t>
        </is>
      </c>
      <c r="P100" s="118" t="inlineStr">
        <is>
          <t>—</t>
        </is>
      </c>
      <c r="Q100" s="118" t="inlineStr">
        <is>
          <t>—</t>
        </is>
      </c>
      <c r="R100" s="118" t="inlineStr">
        <is>
          <t>—</t>
        </is>
      </c>
      <c r="S100" s="118" t="inlineStr">
        <is>
          <t>—</t>
        </is>
      </c>
    </row>
    <row r="101" ht="20" customHeight="1" s="57">
      <c r="A101" s="67" t="n">
        <v>96</v>
      </c>
      <c r="B101" s="68" t="inlineStr">
        <is>
          <t>MRK</t>
        </is>
      </c>
      <c r="C101" s="69" t="inlineStr">
        <is>
          <t>Merck &amp; Co</t>
        </is>
      </c>
      <c r="D101" s="70" t="inlineStr">
        <is>
          <t>Drug Manufacturers - General</t>
        </is>
      </c>
      <c r="E101" s="79" t="n">
        <v>120.61</v>
      </c>
      <c r="F101" s="73" t="n">
        <v>0.28586757</v>
      </c>
      <c r="G101" s="80" t="n">
        <v>298.19518976</v>
      </c>
      <c r="H101" s="73" t="n">
        <v>0.05</v>
      </c>
      <c r="I101" s="81" t="n">
        <v>0.77212</v>
      </c>
      <c r="J101" s="82" t="n">
        <v>16.544582</v>
      </c>
      <c r="K101" s="83" t="n">
        <v>11886.749696</v>
      </c>
      <c r="L101" s="80" t="n">
        <v>150.8010547388279</v>
      </c>
      <c r="M101" s="84" t="n">
        <v>-0.4942874334753725</v>
      </c>
      <c r="N101" s="82" t="n">
        <v>25.08635304924234</v>
      </c>
      <c r="O101" s="119" t="inlineStr">
        <is>
          <t>—</t>
        </is>
      </c>
      <c r="P101" s="119" t="inlineStr">
        <is>
          <t>—</t>
        </is>
      </c>
      <c r="Q101" s="119" t="inlineStr">
        <is>
          <t>—</t>
        </is>
      </c>
      <c r="R101" s="119" t="inlineStr">
        <is>
          <t>—</t>
        </is>
      </c>
      <c r="S101" s="119" t="inlineStr">
        <is>
          <t>—</t>
        </is>
      </c>
    </row>
    <row r="102" ht="20" customHeight="1" s="57">
      <c r="A102" s="62" t="n">
        <v>97</v>
      </c>
      <c r="B102" s="63" t="inlineStr">
        <is>
          <t>SNPS</t>
        </is>
      </c>
      <c r="C102" s="64" t="inlineStr">
        <is>
          <t>Synopsys</t>
        </is>
      </c>
      <c r="D102" s="65" t="inlineStr">
        <is>
          <t>Software - Infrastructure</t>
        </is>
      </c>
      <c r="E102" s="72" t="n">
        <v>431.865</v>
      </c>
      <c r="F102" s="84" t="n">
        <v>-0.05277258</v>
      </c>
      <c r="G102" s="74" t="n">
        <v>82.728935424</v>
      </c>
      <c r="H102" s="73" t="n">
        <v>0.655</v>
      </c>
      <c r="I102" s="75" t="n">
        <v>0.82024</v>
      </c>
      <c r="J102" s="76" t="n">
        <v>66.13552</v>
      </c>
      <c r="K102" s="85" t="n">
        <v>3096.222464</v>
      </c>
      <c r="L102" s="74" t="n">
        <v>55.02855436800983</v>
      </c>
      <c r="M102" s="84" t="n">
        <v>-0.3348330413539224</v>
      </c>
      <c r="N102" s="76" t="n">
        <v>26.71931224330623</v>
      </c>
      <c r="O102" s="118" t="inlineStr">
        <is>
          <t>—</t>
        </is>
      </c>
      <c r="P102" s="118" t="inlineStr">
        <is>
          <t>—</t>
        </is>
      </c>
      <c r="Q102" s="118" t="inlineStr">
        <is>
          <t>—</t>
        </is>
      </c>
      <c r="R102" s="118" t="inlineStr">
        <is>
          <t>—</t>
        </is>
      </c>
      <c r="S102" s="118" t="inlineStr">
        <is>
          <t>—</t>
        </is>
      </c>
    </row>
    <row r="103" ht="20" customHeight="1" s="57">
      <c r="A103" s="67" t="n">
        <v>98</v>
      </c>
      <c r="B103" s="68" t="inlineStr">
        <is>
          <t>USB</t>
        </is>
      </c>
      <c r="C103" s="69" t="inlineStr">
        <is>
          <t>U.S. Bancorp</t>
        </is>
      </c>
      <c r="D103" s="70" t="inlineStr">
        <is>
          <t>Banks - Regional</t>
        </is>
      </c>
      <c r="E103" s="79" t="n">
        <v>54.545</v>
      </c>
      <c r="F103" s="73" t="n">
        <v>0.20864117</v>
      </c>
      <c r="G103" s="80" t="n">
        <v>84.746330112</v>
      </c>
      <c r="H103" s="73" t="n">
        <v>0.053</v>
      </c>
      <c r="I103" s="81" t="n">
        <v>0</v>
      </c>
      <c r="J103" s="82" t="n">
        <v>11.806277</v>
      </c>
      <c r="K103" s="78" t="inlineStr">
        <is>
          <t>—</t>
        </is>
      </c>
      <c r="L103" s="78" t="inlineStr">
        <is>
          <t>—</t>
        </is>
      </c>
      <c r="M103" s="78" t="inlineStr">
        <is>
          <t>—</t>
        </is>
      </c>
      <c r="N103" s="78" t="inlineStr">
        <is>
          <t>—</t>
        </is>
      </c>
      <c r="O103" s="119" t="inlineStr">
        <is>
          <t>—</t>
        </is>
      </c>
      <c r="P103" s="119" t="inlineStr">
        <is>
          <t>—</t>
        </is>
      </c>
      <c r="Q103" s="119" t="inlineStr">
        <is>
          <t>—</t>
        </is>
      </c>
      <c r="R103" s="119" t="inlineStr">
        <is>
          <t>—</t>
        </is>
      </c>
      <c r="S103" s="119" t="inlineStr">
        <is>
          <t>—</t>
        </is>
      </c>
    </row>
    <row r="104" ht="20" customHeight="1" s="57">
      <c r="A104" s="62" t="n">
        <v>99</v>
      </c>
      <c r="B104" s="63" t="inlineStr">
        <is>
          <t>ZTS</t>
        </is>
      </c>
      <c r="C104" s="64" t="inlineStr">
        <is>
          <t>Zoetis</t>
        </is>
      </c>
      <c r="D104" s="65" t="inlineStr">
        <is>
          <t>Drug Manufacturers - Specialty &amp; Generic</t>
        </is>
      </c>
      <c r="E104" s="72" t="n">
        <v>125.75</v>
      </c>
      <c r="F104" s="84" t="n">
        <v>-0.24592817</v>
      </c>
      <c r="G104" s="74" t="n">
        <v>55.417171968</v>
      </c>
      <c r="H104" s="73" t="n">
        <v>0.03</v>
      </c>
      <c r="I104" s="75" t="n">
        <v>0.71892</v>
      </c>
      <c r="J104" s="76" t="n">
        <v>20.888704</v>
      </c>
      <c r="K104" s="85" t="n">
        <v>1790.875008</v>
      </c>
      <c r="L104" s="74" t="n">
        <v>20.60551965519428</v>
      </c>
      <c r="M104" s="84" t="n">
        <v>-0.6281744642780996</v>
      </c>
      <c r="N104" s="76" t="n">
        <v>29.64057188225054</v>
      </c>
      <c r="O104" s="118" t="inlineStr">
        <is>
          <t>—</t>
        </is>
      </c>
      <c r="P104" s="118" t="inlineStr">
        <is>
          <t>—</t>
        </is>
      </c>
      <c r="Q104" s="118" t="inlineStr">
        <is>
          <t>—</t>
        </is>
      </c>
      <c r="R104" s="118" t="inlineStr">
        <is>
          <t>—</t>
        </is>
      </c>
      <c r="S104" s="118" t="inlineStr">
        <is>
          <t>—</t>
        </is>
      </c>
    </row>
    <row r="105" ht="20" customHeight="1" s="57">
      <c r="A105" s="67" t="n">
        <v>100</v>
      </c>
      <c r="B105" s="68" t="inlineStr">
        <is>
          <t>EW</t>
        </is>
      </c>
      <c r="C105" s="69" t="inlineStr">
        <is>
          <t>Edwards Lifesciences</t>
        </is>
      </c>
      <c r="D105" s="70" t="inlineStr">
        <is>
          <t>Medical Devices</t>
        </is>
      </c>
      <c r="E105" s="79" t="n">
        <v>85.655</v>
      </c>
      <c r="F105" s="73" t="n">
        <v>0.17062461</v>
      </c>
      <c r="G105" s="80" t="n">
        <v>50.288054272</v>
      </c>
      <c r="H105" s="73" t="n">
        <v>0.133</v>
      </c>
      <c r="I105" s="81" t="n">
        <v>0.78011</v>
      </c>
      <c r="J105" s="82" t="n">
        <v>47.323204</v>
      </c>
      <c r="K105" s="83" t="n">
        <v>1169.737472</v>
      </c>
      <c r="L105" s="80" t="n">
        <v>23.33489106309858</v>
      </c>
      <c r="M105" s="84" t="n">
        <v>-0.5359754637376919</v>
      </c>
      <c r="N105" s="82" t="n">
        <v>42.49295050368362</v>
      </c>
      <c r="O105" s="119" t="inlineStr">
        <is>
          <t>—</t>
        </is>
      </c>
      <c r="P105" s="119" t="inlineStr">
        <is>
          <t>—</t>
        </is>
      </c>
      <c r="Q105" s="119" t="inlineStr">
        <is>
          <t>—</t>
        </is>
      </c>
      <c r="R105" s="119" t="inlineStr">
        <is>
          <t>—</t>
        </is>
      </c>
      <c r="S105" s="119" t="inlineStr">
        <is>
          <t>—</t>
        </is>
      </c>
    </row>
    <row r="106" ht="20" customHeight="1" s="57">
      <c r="A106" s="62" t="n">
        <v>101</v>
      </c>
      <c r="B106" s="63" t="inlineStr">
        <is>
          <t>FITB</t>
        </is>
      </c>
      <c r="C106" s="64" t="inlineStr">
        <is>
          <t>Fifth Third Bancorp</t>
        </is>
      </c>
      <c r="D106" s="65" t="inlineStr">
        <is>
          <t>Banks - Regional</t>
        </is>
      </c>
      <c r="E106" s="72" t="n">
        <v>49.7</v>
      </c>
      <c r="F106" s="73" t="n">
        <v>0.22546351</v>
      </c>
      <c r="G106" s="74" t="n">
        <v>44.732407808</v>
      </c>
      <c r="H106" s="73" t="n">
        <v>0.116</v>
      </c>
      <c r="I106" s="75" t="n">
        <v>0</v>
      </c>
      <c r="J106" s="76" t="n">
        <v>14.079321</v>
      </c>
      <c r="K106" s="77" t="inlineStr">
        <is>
          <t>—</t>
        </is>
      </c>
      <c r="L106" s="77" t="inlineStr">
        <is>
          <t>—</t>
        </is>
      </c>
      <c r="M106" s="77" t="inlineStr">
        <is>
          <t>—</t>
        </is>
      </c>
      <c r="N106" s="77" t="inlineStr">
        <is>
          <t>—</t>
        </is>
      </c>
      <c r="O106" s="118" t="inlineStr">
        <is>
          <t>—</t>
        </is>
      </c>
      <c r="P106" s="118" t="inlineStr">
        <is>
          <t>—</t>
        </is>
      </c>
      <c r="Q106" s="118" t="inlineStr">
        <is>
          <t>—</t>
        </is>
      </c>
      <c r="R106" s="118" t="inlineStr">
        <is>
          <t>—</t>
        </is>
      </c>
      <c r="S106" s="118" t="inlineStr">
        <is>
          <t>—</t>
        </is>
      </c>
    </row>
    <row r="107" ht="20" customHeight="1" s="57">
      <c r="A107" s="67" t="n">
        <v>102</v>
      </c>
      <c r="B107" s="68" t="inlineStr">
        <is>
          <t>MSI</t>
        </is>
      </c>
      <c r="C107" s="69" t="inlineStr">
        <is>
          <t>Motorola Solutions</t>
        </is>
      </c>
      <c r="D107" s="70" t="inlineStr">
        <is>
          <t>Communication Equipment</t>
        </is>
      </c>
      <c r="E107" s="79" t="n">
        <v>478.17</v>
      </c>
      <c r="F107" s="73" t="n">
        <v>0.12701249</v>
      </c>
      <c r="G107" s="80" t="n">
        <v>79.6416</v>
      </c>
      <c r="H107" s="73" t="n">
        <v>0.123</v>
      </c>
      <c r="I107" s="81" t="n">
        <v>0.51798</v>
      </c>
      <c r="J107" s="82" t="n">
        <v>37.444794</v>
      </c>
      <c r="K107" s="83" t="n">
        <v>1996.249984</v>
      </c>
      <c r="L107" s="80" t="n">
        <v>35.28720898714656</v>
      </c>
      <c r="M107" s="84" t="n">
        <v>-0.5569249112631267</v>
      </c>
      <c r="N107" s="82" t="n">
        <v>39.68096309877792</v>
      </c>
      <c r="O107" s="119" t="inlineStr">
        <is>
          <t>—</t>
        </is>
      </c>
      <c r="P107" s="119" t="inlineStr">
        <is>
          <t>—</t>
        </is>
      </c>
      <c r="Q107" s="119" t="inlineStr">
        <is>
          <t>—</t>
        </is>
      </c>
      <c r="R107" s="119" t="inlineStr">
        <is>
          <t>—</t>
        </is>
      </c>
      <c r="S107" s="119" t="inlineStr">
        <is>
          <t>—</t>
        </is>
      </c>
    </row>
    <row r="108" ht="20" customHeight="1" s="57">
      <c r="A108" s="62" t="n">
        <v>103</v>
      </c>
      <c r="B108" s="63" t="inlineStr">
        <is>
          <t>YUM</t>
        </is>
      </c>
      <c r="C108" s="64" t="inlineStr">
        <is>
          <t>Yum Brands</t>
        </is>
      </c>
      <c r="D108" s="65" t="inlineStr">
        <is>
          <t>Restaurants</t>
        </is>
      </c>
      <c r="E108" s="72" t="n">
        <v>159.57</v>
      </c>
      <c r="F108" s="73" t="n">
        <v>0.006964922</v>
      </c>
      <c r="G108" s="74" t="n">
        <v>44.305063936</v>
      </c>
      <c r="H108" s="73" t="n">
        <v>0.065</v>
      </c>
      <c r="I108" s="75" t="n">
        <v>0.46165</v>
      </c>
      <c r="J108" s="76" t="n">
        <v>28.751352</v>
      </c>
      <c r="K108" s="85" t="n">
        <v>1310</v>
      </c>
      <c r="L108" s="74" t="n">
        <v>17.27208542770438</v>
      </c>
      <c r="M108" s="84" t="n">
        <v>-0.6101555015775528</v>
      </c>
      <c r="N108" s="76" t="n">
        <v>33.67172201839695</v>
      </c>
      <c r="O108" s="118" t="inlineStr">
        <is>
          <t>—</t>
        </is>
      </c>
      <c r="P108" s="118" t="inlineStr">
        <is>
          <t>—</t>
        </is>
      </c>
      <c r="Q108" s="118" t="inlineStr">
        <is>
          <t>—</t>
        </is>
      </c>
      <c r="R108" s="118" t="inlineStr">
        <is>
          <t>—</t>
        </is>
      </c>
      <c r="S108" s="118" t="inlineStr">
        <is>
          <t>—</t>
        </is>
      </c>
    </row>
    <row r="109" ht="20" customHeight="1" s="57">
      <c r="A109" s="67" t="n">
        <v>104</v>
      </c>
      <c r="B109" s="68" t="inlineStr">
        <is>
          <t>AMAT</t>
        </is>
      </c>
      <c r="C109" s="69" t="inlineStr">
        <is>
          <t>Applied Materials</t>
        </is>
      </c>
      <c r="D109" s="70" t="inlineStr">
        <is>
          <t>Semiconductor Equipment &amp; Materials</t>
        </is>
      </c>
      <c r="E109" s="79" t="n">
        <v>358.325</v>
      </c>
      <c r="F109" s="73" t="n">
        <v>1.2619109</v>
      </c>
      <c r="G109" s="80" t="n">
        <v>284.370272256</v>
      </c>
      <c r="H109" s="84" t="n">
        <v>-0.021</v>
      </c>
      <c r="I109" s="81" t="n">
        <v>0.48724</v>
      </c>
      <c r="J109" s="82" t="n">
        <v>36.67605</v>
      </c>
      <c r="K109" s="83" t="n">
        <v>4341.74976</v>
      </c>
      <c r="L109" s="80" t="n">
        <v>40.84543829885927</v>
      </c>
      <c r="M109" s="84" t="n">
        <v>-0.8563653015667939</v>
      </c>
      <c r="N109" s="82" t="n">
        <v>65.49669403166502</v>
      </c>
      <c r="O109" s="119" t="inlineStr">
        <is>
          <t>—</t>
        </is>
      </c>
      <c r="P109" s="119" t="inlineStr">
        <is>
          <t>—</t>
        </is>
      </c>
      <c r="Q109" s="119" t="inlineStr">
        <is>
          <t>—</t>
        </is>
      </c>
      <c r="R109" s="119" t="inlineStr">
        <is>
          <t>—</t>
        </is>
      </c>
      <c r="S109" s="119" t="inlineStr">
        <is>
          <t>—</t>
        </is>
      </c>
    </row>
    <row r="110" ht="20" customHeight="1" s="57">
      <c r="A110" s="62" t="n">
        <v>105</v>
      </c>
      <c r="B110" s="63" t="inlineStr">
        <is>
          <t>MET</t>
        </is>
      </c>
      <c r="C110" s="64" t="inlineStr">
        <is>
          <t>MetLife</t>
        </is>
      </c>
      <c r="D110" s="65" t="inlineStr">
        <is>
          <t>Insurance - Life</t>
        </is>
      </c>
      <c r="E110" s="72" t="n">
        <v>73.72</v>
      </c>
      <c r="F110" s="84" t="n">
        <v>-0.1250903</v>
      </c>
      <c r="G110" s="74" t="n">
        <v>48.573493248</v>
      </c>
      <c r="H110" s="73" t="n">
        <v>0.276</v>
      </c>
      <c r="I110" s="75" t="n">
        <v>0.23363</v>
      </c>
      <c r="J110" s="76" t="n">
        <v>15.651805</v>
      </c>
      <c r="K110" s="85" t="n">
        <v>-12738.499584</v>
      </c>
      <c r="L110" s="77" t="inlineStr">
        <is>
          <t>—</t>
        </is>
      </c>
      <c r="M110" s="77" t="inlineStr">
        <is>
          <t>—</t>
        </is>
      </c>
      <c r="N110" s="76" t="n">
        <v>-3.773553608748149</v>
      </c>
      <c r="O110" s="118" t="inlineStr">
        <is>
          <t>—</t>
        </is>
      </c>
      <c r="P110" s="118" t="inlineStr">
        <is>
          <t>—</t>
        </is>
      </c>
      <c r="Q110" s="118" t="inlineStr">
        <is>
          <t>—</t>
        </is>
      </c>
      <c r="R110" s="118" t="inlineStr">
        <is>
          <t>—</t>
        </is>
      </c>
      <c r="S110" s="118" t="inlineStr">
        <is>
          <t>—</t>
        </is>
      </c>
    </row>
    <row r="111" ht="20" customHeight="1" s="57">
      <c r="A111" s="67" t="n">
        <v>106</v>
      </c>
      <c r="B111" s="68" t="inlineStr">
        <is>
          <t>WAT</t>
        </is>
      </c>
      <c r="C111" s="69" t="inlineStr">
        <is>
          <t>Waters</t>
        </is>
      </c>
      <c r="D111" s="70" t="inlineStr">
        <is>
          <t>Diagnostics &amp; Research</t>
        </is>
      </c>
      <c r="E111" s="79" t="n">
        <v>317.82</v>
      </c>
      <c r="F111" s="84" t="n">
        <v>-0.1761725</v>
      </c>
      <c r="G111" s="80" t="n">
        <v>31.178737664</v>
      </c>
      <c r="H111" s="73" t="n">
        <v>0.068</v>
      </c>
      <c r="I111" s="81" t="n">
        <v>0.59283</v>
      </c>
      <c r="J111" s="82" t="n">
        <v>29.509748</v>
      </c>
      <c r="K111" s="83" t="n">
        <v>427.162368</v>
      </c>
      <c r="L111" s="80" t="n">
        <v>5.990082751206893</v>
      </c>
      <c r="M111" s="84" t="n">
        <v>-0.8078792407903274</v>
      </c>
      <c r="N111" s="82" t="n">
        <v>72.99036379819863</v>
      </c>
      <c r="O111" s="119" t="inlineStr">
        <is>
          <t>—</t>
        </is>
      </c>
      <c r="P111" s="119" t="inlineStr">
        <is>
          <t>—</t>
        </is>
      </c>
      <c r="Q111" s="119" t="inlineStr">
        <is>
          <t>—</t>
        </is>
      </c>
      <c r="R111" s="119" t="inlineStr">
        <is>
          <t>—</t>
        </is>
      </c>
      <c r="S111" s="119" t="inlineStr">
        <is>
          <t>—</t>
        </is>
      </c>
    </row>
    <row r="112" ht="20" customHeight="1" s="57">
      <c r="A112" s="62" t="n">
        <v>107</v>
      </c>
      <c r="B112" s="63" t="inlineStr">
        <is>
          <t>AME</t>
        </is>
      </c>
      <c r="C112" s="64" t="inlineStr">
        <is>
          <t>AMETEK</t>
        </is>
      </c>
      <c r="D112" s="65" t="inlineStr">
        <is>
          <t>Specialty Industrial Machinery</t>
        </is>
      </c>
      <c r="E112" s="72" t="n">
        <v>234.37</v>
      </c>
      <c r="F112" s="73" t="n">
        <v>0.2713467</v>
      </c>
      <c r="G112" s="74" t="n">
        <v>53.95288064</v>
      </c>
      <c r="H112" s="73" t="n">
        <v>0.134</v>
      </c>
      <c r="I112" s="75" t="n">
        <v>0.36383</v>
      </c>
      <c r="J112" s="76" t="n">
        <v>36.62031</v>
      </c>
      <c r="K112" s="85" t="n">
        <v>1349.580928</v>
      </c>
      <c r="L112" s="74" t="n">
        <v>23.60896023913889</v>
      </c>
      <c r="M112" s="84" t="n">
        <v>-0.5624152045435827</v>
      </c>
      <c r="N112" s="76" t="n">
        <v>39.76448223247269</v>
      </c>
      <c r="O112" s="118" t="inlineStr">
        <is>
          <t>—</t>
        </is>
      </c>
      <c r="P112" s="118" t="inlineStr">
        <is>
          <t>—</t>
        </is>
      </c>
      <c r="Q112" s="118" t="inlineStr">
        <is>
          <t>—</t>
        </is>
      </c>
      <c r="R112" s="118" t="inlineStr">
        <is>
          <t>—</t>
        </is>
      </c>
      <c r="S112" s="118" t="inlineStr">
        <is>
          <t>—</t>
        </is>
      </c>
    </row>
    <row r="113" ht="20" customHeight="1" s="57">
      <c r="A113" s="67" t="n">
        <v>108</v>
      </c>
      <c r="B113" s="68" t="inlineStr">
        <is>
          <t>NDAQ</t>
        </is>
      </c>
      <c r="C113" s="69" t="inlineStr">
        <is>
          <t>Nasdaq</t>
        </is>
      </c>
      <c r="D113" s="70" t="inlineStr">
        <is>
          <t>Financial Data &amp; Stock Exchanges</t>
        </is>
      </c>
      <c r="E113" s="79" t="n">
        <v>89.185</v>
      </c>
      <c r="F113" s="73" t="n">
        <v>0.109390855</v>
      </c>
      <c r="G113" s="80" t="n">
        <v>50.924228608</v>
      </c>
      <c r="H113" s="73" t="n">
        <v>0.046</v>
      </c>
      <c r="I113" s="81" t="n">
        <v>0.63532</v>
      </c>
      <c r="J113" s="82" t="n">
        <v>28.86246</v>
      </c>
      <c r="K113" s="83" t="n">
        <v>1668.749952</v>
      </c>
      <c r="L113" s="80" t="n">
        <v>19.66947578321037</v>
      </c>
      <c r="M113" s="84" t="n">
        <v>-0.6137501476041923</v>
      </c>
      <c r="N113" s="82" t="n">
        <v>30.38002502208312</v>
      </c>
      <c r="O113" s="119" t="inlineStr">
        <is>
          <t>—</t>
        </is>
      </c>
      <c r="P113" s="119" t="inlineStr">
        <is>
          <t>—</t>
        </is>
      </c>
      <c r="Q113" s="119" t="inlineStr">
        <is>
          <t>—</t>
        </is>
      </c>
      <c r="R113" s="119" t="inlineStr">
        <is>
          <t>—</t>
        </is>
      </c>
      <c r="S113" s="119" t="inlineStr">
        <is>
          <t>—</t>
        </is>
      </c>
    </row>
    <row r="114" ht="20" customHeight="1" s="57">
      <c r="A114" s="62" t="n">
        <v>109</v>
      </c>
      <c r="B114" s="63" t="inlineStr">
        <is>
          <t>PFE</t>
        </is>
      </c>
      <c r="C114" s="64" t="inlineStr">
        <is>
          <t>Pfizer</t>
        </is>
      </c>
      <c r="D114" s="65" t="inlineStr">
        <is>
          <t>Drug Manufacturers - General</t>
        </is>
      </c>
      <c r="E114" s="72" t="n">
        <v>26.64</v>
      </c>
      <c r="F114" s="73" t="n">
        <v>0.02467227</v>
      </c>
      <c r="G114" s="74" t="n">
        <v>151.467245568</v>
      </c>
      <c r="H114" s="84" t="n">
        <v>-0.012</v>
      </c>
      <c r="I114" s="75" t="n">
        <v>0.75807</v>
      </c>
      <c r="J114" s="76" t="n">
        <v>19.588234</v>
      </c>
      <c r="K114" s="85" t="n">
        <v>13430.124544</v>
      </c>
      <c r="L114" s="74" t="n">
        <v>122.2805963169087</v>
      </c>
      <c r="M114" s="84" t="n">
        <v>-0.1926928105257466</v>
      </c>
      <c r="N114" s="76" t="n">
        <v>11.27817159766765</v>
      </c>
      <c r="O114" s="118" t="inlineStr">
        <is>
          <t>—</t>
        </is>
      </c>
      <c r="P114" s="118" t="inlineStr">
        <is>
          <t>—</t>
        </is>
      </c>
      <c r="Q114" s="118" t="inlineStr">
        <is>
          <t>—</t>
        </is>
      </c>
      <c r="R114" s="118" t="inlineStr">
        <is>
          <t>—</t>
        </is>
      </c>
      <c r="S114" s="118" t="inlineStr">
        <is>
          <t>—</t>
        </is>
      </c>
    </row>
    <row r="115" ht="20" customHeight="1" s="57">
      <c r="A115" s="67" t="n">
        <v>110</v>
      </c>
      <c r="B115" s="68" t="inlineStr">
        <is>
          <t>IEX</t>
        </is>
      </c>
      <c r="C115" s="69" t="inlineStr">
        <is>
          <t>IDEX</t>
        </is>
      </c>
      <c r="D115" s="70" t="inlineStr">
        <is>
          <t>Specialty Industrial Machinery</t>
        </is>
      </c>
      <c r="E115" s="79" t="n">
        <v>208.46</v>
      </c>
      <c r="F115" s="73" t="n">
        <v>0.10895288</v>
      </c>
      <c r="G115" s="80" t="n">
        <v>15.603115008</v>
      </c>
      <c r="H115" s="73" t="n">
        <v>0.042</v>
      </c>
      <c r="I115" s="81" t="n">
        <v>0.44522998</v>
      </c>
      <c r="J115" s="82" t="n">
        <v>32.470406</v>
      </c>
      <c r="K115" s="83" t="n">
        <v>538.912512</v>
      </c>
      <c r="L115" s="80" t="n">
        <v>6.503077422211919</v>
      </c>
      <c r="M115" s="84" t="n">
        <v>-0.583219285451804</v>
      </c>
      <c r="N115" s="82" t="n">
        <v>28.75893033828838</v>
      </c>
      <c r="O115" s="119" t="inlineStr">
        <is>
          <t>—</t>
        </is>
      </c>
      <c r="P115" s="119" t="inlineStr">
        <is>
          <t>—</t>
        </is>
      </c>
      <c r="Q115" s="119" t="inlineStr">
        <is>
          <t>—</t>
        </is>
      </c>
      <c r="R115" s="119" t="inlineStr">
        <is>
          <t>—</t>
        </is>
      </c>
      <c r="S115" s="119" t="inlineStr">
        <is>
          <t>—</t>
        </is>
      </c>
    </row>
    <row r="116" ht="20" customHeight="1" s="57">
      <c r="A116" s="62" t="n">
        <v>111</v>
      </c>
      <c r="B116" s="63" t="inlineStr">
        <is>
          <t>ITW</t>
        </is>
      </c>
      <c r="C116" s="64" t="inlineStr">
        <is>
          <t>Illinois Tool Works</t>
        </is>
      </c>
      <c r="D116" s="65" t="inlineStr">
        <is>
          <t>Specialty Industrial Machinery</t>
        </is>
      </c>
      <c r="E116" s="72" t="n">
        <v>287.45</v>
      </c>
      <c r="F116" s="73" t="n">
        <v>0.09549892</v>
      </c>
      <c r="G116" s="74" t="n">
        <v>82.843090944</v>
      </c>
      <c r="H116" s="73" t="n">
        <v>0.041</v>
      </c>
      <c r="I116" s="75" t="n">
        <v>0.44097</v>
      </c>
      <c r="J116" s="76" t="n">
        <v>27.376192</v>
      </c>
      <c r="K116" s="85" t="n">
        <v>2166.749952</v>
      </c>
      <c r="L116" s="74" t="n">
        <v>24.90129230172204</v>
      </c>
      <c r="M116" s="84" t="n">
        <v>-0.6994161852488733</v>
      </c>
      <c r="N116" s="76" t="n">
        <v>38.23380262384794</v>
      </c>
      <c r="O116" s="118" t="inlineStr">
        <is>
          <t>—</t>
        </is>
      </c>
      <c r="P116" s="118" t="inlineStr">
        <is>
          <t>—</t>
        </is>
      </c>
      <c r="Q116" s="118" t="inlineStr">
        <is>
          <t>—</t>
        </is>
      </c>
      <c r="R116" s="118" t="inlineStr">
        <is>
          <t>—</t>
        </is>
      </c>
      <c r="S116" s="118" t="inlineStr">
        <is>
          <t>—</t>
        </is>
      </c>
    </row>
    <row r="117" ht="20" customHeight="1" s="57">
      <c r="A117" s="67" t="n">
        <v>112</v>
      </c>
      <c r="B117" s="68" t="inlineStr">
        <is>
          <t>KEYS</t>
        </is>
      </c>
      <c r="C117" s="69" t="inlineStr">
        <is>
          <t>Keysight Technologies</t>
        </is>
      </c>
      <c r="D117" s="70" t="inlineStr">
        <is>
          <t>Scientific &amp; Technical Instruments</t>
        </is>
      </c>
      <c r="E117" s="79" t="n">
        <v>300.68</v>
      </c>
      <c r="F117" s="73" t="n">
        <v>0.93341005</v>
      </c>
      <c r="G117" s="80" t="n">
        <v>51.656822784</v>
      </c>
      <c r="H117" s="73" t="n">
        <v>0.233</v>
      </c>
      <c r="I117" s="81" t="n">
        <v>0.61864</v>
      </c>
      <c r="J117" s="82" t="n">
        <v>52.843582</v>
      </c>
      <c r="K117" s="83" t="n">
        <v>1075.374976</v>
      </c>
      <c r="L117" s="80" t="n">
        <v>20.17194598070023</v>
      </c>
      <c r="M117" s="84" t="n">
        <v>-0.6095008385427022</v>
      </c>
      <c r="N117" s="82" t="n">
        <v>48.03610382691293</v>
      </c>
      <c r="O117" s="119" t="inlineStr">
        <is>
          <t>—</t>
        </is>
      </c>
      <c r="P117" s="119" t="inlineStr">
        <is>
          <t>—</t>
        </is>
      </c>
      <c r="Q117" s="119" t="inlineStr">
        <is>
          <t>—</t>
        </is>
      </c>
      <c r="R117" s="119" t="inlineStr">
        <is>
          <t>—</t>
        </is>
      </c>
      <c r="S117" s="119" t="inlineStr">
        <is>
          <t>—</t>
        </is>
      </c>
    </row>
    <row r="118" ht="20" customHeight="1" s="57">
      <c r="A118" s="62" t="n">
        <v>113</v>
      </c>
      <c r="B118" s="63" t="inlineStr">
        <is>
          <t>KMI</t>
        </is>
      </c>
      <c r="C118" s="64" t="inlineStr">
        <is>
          <t>Kinder Morgan</t>
        </is>
      </c>
      <c r="D118" s="65" t="inlineStr">
        <is>
          <t>Oil &amp; Gas Midstream</t>
        </is>
      </c>
      <c r="E118" s="72" t="n">
        <v>33.9301</v>
      </c>
      <c r="F118" s="73" t="n">
        <v>0.27048266</v>
      </c>
      <c r="G118" s="74" t="n">
        <v>75.48790374399999</v>
      </c>
      <c r="H118" s="73" t="n">
        <v>0.131</v>
      </c>
      <c r="I118" s="75" t="n">
        <v>0.49306</v>
      </c>
      <c r="J118" s="76" t="n">
        <v>24.766497</v>
      </c>
      <c r="K118" s="85" t="n">
        <v>455.875008</v>
      </c>
      <c r="L118" s="74" t="n">
        <v>7.909103369416036</v>
      </c>
      <c r="M118" s="84" t="n">
        <v>-0.8952268777228475</v>
      </c>
      <c r="N118" s="76" t="n">
        <v>165.5890369205098</v>
      </c>
      <c r="O118" s="118" t="inlineStr">
        <is>
          <t>—</t>
        </is>
      </c>
      <c r="P118" s="118" t="inlineStr">
        <is>
          <t>—</t>
        </is>
      </c>
      <c r="Q118" s="118" t="inlineStr">
        <is>
          <t>—</t>
        </is>
      </c>
      <c r="R118" s="118" t="inlineStr">
        <is>
          <t>—</t>
        </is>
      </c>
      <c r="S118" s="118" t="inlineStr">
        <is>
          <t>—</t>
        </is>
      </c>
    </row>
    <row r="119" ht="20" customHeight="1" s="57">
      <c r="A119" s="67" t="n">
        <v>114</v>
      </c>
      <c r="B119" s="68" t="inlineStr">
        <is>
          <t>WMB</t>
        </is>
      </c>
      <c r="C119" s="69" t="inlineStr">
        <is>
          <t>Williams Companies</t>
        </is>
      </c>
      <c r="D119" s="70" t="inlineStr">
        <is>
          <t>Oil &amp; Gas Midstream</t>
        </is>
      </c>
      <c r="E119" s="79" t="n">
        <v>75.73</v>
      </c>
      <c r="F119" s="73" t="n">
        <v>0.3496976</v>
      </c>
      <c r="G119" s="80" t="n">
        <v>92.54206668800001</v>
      </c>
      <c r="H119" s="73" t="n">
        <v>0.08699999999999999</v>
      </c>
      <c r="I119" s="81" t="n">
        <v>0.62122</v>
      </c>
      <c r="J119" s="82" t="n">
        <v>35.38785</v>
      </c>
      <c r="K119" s="83" t="n">
        <v>-353.5</v>
      </c>
      <c r="L119" s="78" t="inlineStr">
        <is>
          <t>—</t>
        </is>
      </c>
      <c r="M119" s="78" t="inlineStr">
        <is>
          <t>—</t>
        </is>
      </c>
      <c r="N119" s="82" t="n">
        <v>-261.7880056577087</v>
      </c>
      <c r="O119" s="119" t="inlineStr">
        <is>
          <t>—</t>
        </is>
      </c>
      <c r="P119" s="119" t="inlineStr">
        <is>
          <t>—</t>
        </is>
      </c>
      <c r="Q119" s="119" t="inlineStr">
        <is>
          <t>—</t>
        </is>
      </c>
      <c r="R119" s="119" t="inlineStr">
        <is>
          <t>—</t>
        </is>
      </c>
      <c r="S119" s="119" t="inlineStr">
        <is>
          <t>—</t>
        </is>
      </c>
    </row>
    <row r="120" ht="20" customHeight="1" s="57">
      <c r="A120" s="62" t="n">
        <v>115</v>
      </c>
      <c r="B120" s="63" t="inlineStr">
        <is>
          <t>STZ</t>
        </is>
      </c>
      <c r="C120" s="64" t="inlineStr">
        <is>
          <t>Constellation Brands</t>
        </is>
      </c>
      <c r="D120" s="65" t="inlineStr">
        <is>
          <t>Beverages - Wineries &amp; Distilleries</t>
        </is>
      </c>
      <c r="E120" s="72" t="n">
        <v>152.69</v>
      </c>
      <c r="F120" s="84" t="n">
        <v>-0.10425997</v>
      </c>
      <c r="G120" s="74" t="n">
        <v>26.582392832</v>
      </c>
      <c r="H120" s="84" t="n">
        <v>-0.098</v>
      </c>
      <c r="I120" s="75" t="n">
        <v>0.52141</v>
      </c>
      <c r="J120" s="76" t="n">
        <v>23.970173</v>
      </c>
      <c r="K120" s="85" t="n">
        <v>1969.687552</v>
      </c>
      <c r="L120" s="74" t="n">
        <v>14.9829286132181</v>
      </c>
      <c r="M120" s="84" t="n">
        <v>-0.4363589196837998</v>
      </c>
      <c r="N120" s="76" t="n">
        <v>13.44076037053109</v>
      </c>
      <c r="O120" s="120" t="inlineStr">
        <is>
          <t>YES</t>
        </is>
      </c>
      <c r="P120" s="121" t="n">
        <v>1.1</v>
      </c>
      <c r="Q120" s="131" t="inlineStr">
        <is>
          <t>Buy</t>
        </is>
      </c>
      <c r="R120" s="123" t="n">
        <v>218</v>
      </c>
      <c r="S120" s="124" t="inlineStr">
        <is>
          <t>Added 2.6M Q1 (+113%) @~$215 → Hold Q2-Q3 → Trimmed 0.2M Q4 @~$230</t>
        </is>
      </c>
    </row>
    <row r="121" ht="20" customHeight="1" s="57">
      <c r="A121" s="67" t="n">
        <v>116</v>
      </c>
      <c r="B121" s="68" t="inlineStr">
        <is>
          <t>CB</t>
        </is>
      </c>
      <c r="C121" s="69" t="inlineStr">
        <is>
          <t>Chubb</t>
        </is>
      </c>
      <c r="D121" s="70" t="inlineStr">
        <is>
          <t>Insurance - Property &amp; Casualty</t>
        </is>
      </c>
      <c r="E121" s="79" t="n">
        <v>335.57</v>
      </c>
      <c r="F121" s="73" t="n">
        <v>0.17870462</v>
      </c>
      <c r="G121" s="80" t="n">
        <v>132.063862784</v>
      </c>
      <c r="H121" s="73" t="n">
        <v>0.055</v>
      </c>
      <c r="I121" s="81" t="n">
        <v>0.29548</v>
      </c>
      <c r="J121" s="82" t="n">
        <v>13.067368</v>
      </c>
      <c r="K121" s="83" t="n">
        <v>12136.875008</v>
      </c>
      <c r="L121" s="80" t="n">
        <v>152.1394340738449</v>
      </c>
      <c r="M121" s="73" t="n">
        <v>0.1520141154941068</v>
      </c>
      <c r="N121" s="82" t="n">
        <v>10.81347864733567</v>
      </c>
      <c r="O121" s="125" t="inlineStr">
        <is>
          <t>YES</t>
        </is>
      </c>
      <c r="P121" s="126" t="n">
        <v>10.7</v>
      </c>
      <c r="Q121" s="131" t="inlineStr">
        <is>
          <t>Buy</t>
        </is>
      </c>
      <c r="R121" s="128" t="n">
        <v>255</v>
      </c>
      <c r="S121" s="129" t="inlineStr">
        <is>
          <t>Hold Q1-Q2 → Added 4.3M Q3 @~$273 → Added 2.9M Q4 @~$280</t>
        </is>
      </c>
    </row>
    <row r="122" ht="20" customHeight="1" s="57">
      <c r="A122" s="62" t="n">
        <v>117</v>
      </c>
      <c r="B122" s="63" t="inlineStr">
        <is>
          <t>DHR</t>
        </is>
      </c>
      <c r="C122" s="64" t="inlineStr">
        <is>
          <t>Danaher</t>
        </is>
      </c>
      <c r="D122" s="65" t="inlineStr">
        <is>
          <t>Diagnostics &amp; Research</t>
        </is>
      </c>
      <c r="E122" s="72" t="n">
        <v>204.93</v>
      </c>
      <c r="F122" s="84" t="n">
        <v>-0.031107545</v>
      </c>
      <c r="G122" s="74" t="n">
        <v>144.914055168</v>
      </c>
      <c r="H122" s="73" t="n">
        <v>0.046</v>
      </c>
      <c r="I122" s="75" t="n">
        <v>0.59231997</v>
      </c>
      <c r="J122" s="76" t="n">
        <v>40.660713</v>
      </c>
      <c r="K122" s="85" t="n">
        <v>4554.87488</v>
      </c>
      <c r="L122" s="74" t="n">
        <v>55.89240137813841</v>
      </c>
      <c r="M122" s="84" t="n">
        <v>-0.6143065535407045</v>
      </c>
      <c r="N122" s="76" t="n">
        <v>31.81515893255009</v>
      </c>
      <c r="O122" s="118" t="inlineStr">
        <is>
          <t>—</t>
        </is>
      </c>
      <c r="P122" s="118" t="inlineStr">
        <is>
          <t>—</t>
        </is>
      </c>
      <c r="Q122" s="118" t="inlineStr">
        <is>
          <t>—</t>
        </is>
      </c>
      <c r="R122" s="118" t="inlineStr">
        <is>
          <t>—</t>
        </is>
      </c>
      <c r="S122" s="118" t="inlineStr">
        <is>
          <t>—</t>
        </is>
      </c>
    </row>
    <row r="123" ht="20" customHeight="1" s="57">
      <c r="A123" s="67" t="n">
        <v>118</v>
      </c>
      <c r="B123" s="68" t="inlineStr">
        <is>
          <t>PG</t>
        </is>
      </c>
      <c r="C123" s="69" t="inlineStr">
        <is>
          <t>Procter &amp; Gamble</t>
        </is>
      </c>
      <c r="D123" s="70" t="inlineStr">
        <is>
          <t>Household &amp; Personal Products</t>
        </is>
      </c>
      <c r="E123" s="79" t="n">
        <v>158.225</v>
      </c>
      <c r="F123" s="84" t="n">
        <v>-0.08527577</v>
      </c>
      <c r="G123" s="80" t="n">
        <v>369.729667072</v>
      </c>
      <c r="H123" s="73" t="n">
        <v>0.015</v>
      </c>
      <c r="I123" s="81" t="n">
        <v>0.51189</v>
      </c>
      <c r="J123" s="82" t="n">
        <v>23.406065</v>
      </c>
      <c r="K123" s="83" t="n">
        <v>13253.374976</v>
      </c>
      <c r="L123" s="80" t="n">
        <v>136.6414848262206</v>
      </c>
      <c r="M123" s="84" t="n">
        <v>-0.6304286699297746</v>
      </c>
      <c r="N123" s="82" t="n">
        <v>27.74500902977583</v>
      </c>
      <c r="O123" s="119" t="inlineStr">
        <is>
          <t>—</t>
        </is>
      </c>
      <c r="P123" s="119" t="inlineStr">
        <is>
          <t>—</t>
        </is>
      </c>
      <c r="Q123" s="119" t="inlineStr">
        <is>
          <t>—</t>
        </is>
      </c>
      <c r="R123" s="119" t="inlineStr">
        <is>
          <t>—</t>
        </is>
      </c>
      <c r="S123" s="119" t="inlineStr">
        <is>
          <t>—</t>
        </is>
      </c>
    </row>
    <row r="124" ht="20" customHeight="1" s="57">
      <c r="A124" s="62" t="n">
        <v>119</v>
      </c>
      <c r="B124" s="63" t="inlineStr">
        <is>
          <t>BLK</t>
        </is>
      </c>
      <c r="C124" s="64" t="inlineStr">
        <is>
          <t>BlackRock</t>
        </is>
      </c>
      <c r="D124" s="65" t="inlineStr">
        <is>
          <t>Asset Management</t>
        </is>
      </c>
      <c r="E124" s="72" t="n">
        <v>1052.25</v>
      </c>
      <c r="F124" s="73" t="n">
        <v>0.08722913</v>
      </c>
      <c r="G124" s="74" t="n">
        <v>163.2575488</v>
      </c>
      <c r="H124" s="73" t="n">
        <v>0.234</v>
      </c>
      <c r="I124" s="75" t="n">
        <v>0.46705002</v>
      </c>
      <c r="J124" s="76" t="n">
        <v>29.8426</v>
      </c>
      <c r="K124" s="85" t="n">
        <v>7034.25024</v>
      </c>
      <c r="L124" s="74" t="n">
        <v>131.9565621919453</v>
      </c>
      <c r="M124" s="84" t="n">
        <v>-0.191727652645332</v>
      </c>
      <c r="N124" s="76" t="n">
        <v>23.20133197308602</v>
      </c>
      <c r="O124" s="118" t="inlineStr">
        <is>
          <t>—</t>
        </is>
      </c>
      <c r="P124" s="118" t="inlineStr">
        <is>
          <t>—</t>
        </is>
      </c>
      <c r="Q124" s="118" t="inlineStr">
        <is>
          <t>—</t>
        </is>
      </c>
      <c r="R124" s="118" t="inlineStr">
        <is>
          <t>—</t>
        </is>
      </c>
      <c r="S124" s="118" t="inlineStr">
        <is>
          <t>—</t>
        </is>
      </c>
    </row>
    <row r="125" ht="20" customHeight="1" s="57">
      <c r="A125" s="67" t="n">
        <v>120</v>
      </c>
      <c r="B125" s="68" t="inlineStr">
        <is>
          <t>CHD</t>
        </is>
      </c>
      <c r="C125" s="69" t="inlineStr">
        <is>
          <t>Church &amp; Dwight Co</t>
        </is>
      </c>
      <c r="D125" s="70" t="inlineStr">
        <is>
          <t>Household &amp; Personal Products</t>
        </is>
      </c>
      <c r="E125" s="79" t="n">
        <v>102.96</v>
      </c>
      <c r="F125" s="84" t="n">
        <v>-0.0690403</v>
      </c>
      <c r="G125" s="80" t="n">
        <v>24.723791872</v>
      </c>
      <c r="H125" s="73" t="n">
        <v>0.039</v>
      </c>
      <c r="I125" s="81" t="n">
        <v>0.45134997</v>
      </c>
      <c r="J125" s="82" t="n">
        <v>34.092716</v>
      </c>
      <c r="K125" s="83" t="n">
        <v>1135.912448</v>
      </c>
      <c r="L125" s="80" t="n">
        <v>12.88693236530118</v>
      </c>
      <c r="M125" s="84" t="n">
        <v>-0.4787639197086193</v>
      </c>
      <c r="N125" s="82" t="n">
        <v>21.4541526472998</v>
      </c>
      <c r="O125" s="119" t="inlineStr">
        <is>
          <t>—</t>
        </is>
      </c>
      <c r="P125" s="119" t="inlineStr">
        <is>
          <t>—</t>
        </is>
      </c>
      <c r="Q125" s="119" t="inlineStr">
        <is>
          <t>—</t>
        </is>
      </c>
      <c r="R125" s="119" t="inlineStr">
        <is>
          <t>—</t>
        </is>
      </c>
      <c r="S125" s="119" t="inlineStr">
        <is>
          <t>—</t>
        </is>
      </c>
    </row>
    <row r="126" ht="20" customHeight="1" s="57">
      <c r="A126" s="62" t="n">
        <v>121</v>
      </c>
      <c r="B126" s="63" t="inlineStr">
        <is>
          <t>HSY</t>
        </is>
      </c>
      <c r="C126" s="64" t="inlineStr">
        <is>
          <t>Hershey</t>
        </is>
      </c>
      <c r="D126" s="65" t="inlineStr">
        <is>
          <t>Confectioners</t>
        </is>
      </c>
      <c r="E126" s="72" t="n">
        <v>231.85</v>
      </c>
      <c r="F126" s="73" t="n">
        <v>0.3227136</v>
      </c>
      <c r="G126" s="74" t="n">
        <v>47.0157312</v>
      </c>
      <c r="H126" s="73" t="n">
        <v>0.07000000000000001</v>
      </c>
      <c r="I126" s="75" t="n">
        <v>0.33549</v>
      </c>
      <c r="J126" s="76" t="n">
        <v>53.545036</v>
      </c>
      <c r="K126" s="85" t="n">
        <v>1449.271296</v>
      </c>
      <c r="L126" s="74" t="n">
        <v>19.72918838945959</v>
      </c>
      <c r="M126" s="84" t="n">
        <v>-0.5803704869433235</v>
      </c>
      <c r="N126" s="76" t="n">
        <v>23.68897672579034</v>
      </c>
      <c r="O126" s="118" t="inlineStr">
        <is>
          <t>—</t>
        </is>
      </c>
      <c r="P126" s="118" t="inlineStr">
        <is>
          <t>—</t>
        </is>
      </c>
      <c r="Q126" s="118" t="inlineStr">
        <is>
          <t>—</t>
        </is>
      </c>
      <c r="R126" s="118" t="inlineStr">
        <is>
          <t>—</t>
        </is>
      </c>
      <c r="S126" s="118" t="inlineStr">
        <is>
          <t>—</t>
        </is>
      </c>
    </row>
    <row r="127" ht="20" customHeight="1" s="57">
      <c r="A127" s="67" t="n">
        <v>122</v>
      </c>
      <c r="B127" s="68" t="inlineStr">
        <is>
          <t>LNT</t>
        </is>
      </c>
      <c r="C127" s="69" t="inlineStr">
        <is>
          <t>Alliant Energy</t>
        </is>
      </c>
      <c r="D127" s="70" t="inlineStr">
        <is>
          <t>Utilities - Regulated Electric</t>
        </is>
      </c>
      <c r="E127" s="79" t="n">
        <v>72.22</v>
      </c>
      <c r="F127" s="73" t="n">
        <v>0.13855612</v>
      </c>
      <c r="G127" s="80" t="n">
        <v>18.57071104</v>
      </c>
      <c r="H127" s="73" t="n">
        <v>0.09</v>
      </c>
      <c r="I127" s="81" t="n">
        <v>0.45667</v>
      </c>
      <c r="J127" s="82" t="n">
        <v>23</v>
      </c>
      <c r="K127" s="83" t="n">
        <v>-1369.250048</v>
      </c>
      <c r="L127" s="78" t="inlineStr">
        <is>
          <t>—</t>
        </is>
      </c>
      <c r="M127" s="78" t="inlineStr">
        <is>
          <t>—</t>
        </is>
      </c>
      <c r="N127" s="82" t="n">
        <v>-13.56268761684937</v>
      </c>
      <c r="O127" s="119" t="inlineStr">
        <is>
          <t>—</t>
        </is>
      </c>
      <c r="P127" s="119" t="inlineStr">
        <is>
          <t>—</t>
        </is>
      </c>
      <c r="Q127" s="119" t="inlineStr">
        <is>
          <t>—</t>
        </is>
      </c>
      <c r="R127" s="119" t="inlineStr">
        <is>
          <t>—</t>
        </is>
      </c>
      <c r="S127" s="119" t="inlineStr">
        <is>
          <t>—</t>
        </is>
      </c>
    </row>
    <row r="128" ht="20" customHeight="1" s="57">
      <c r="A128" s="62" t="n">
        <v>123</v>
      </c>
      <c r="B128" s="63" t="inlineStr">
        <is>
          <t>CL</t>
        </is>
      </c>
      <c r="C128" s="64" t="inlineStr">
        <is>
          <t>Colgate-Palmolive</t>
        </is>
      </c>
      <c r="D128" s="65" t="inlineStr">
        <is>
          <t>Household &amp; Personal Products</t>
        </is>
      </c>
      <c r="E128" s="72" t="n">
        <v>95.73</v>
      </c>
      <c r="F128" s="73" t="n">
        <v>0.040980935</v>
      </c>
      <c r="G128" s="74" t="n">
        <v>76.732194816</v>
      </c>
      <c r="H128" s="73" t="n">
        <v>0.058</v>
      </c>
      <c r="I128" s="75" t="n">
        <v>0.60107</v>
      </c>
      <c r="J128" s="76" t="n">
        <v>36.39924</v>
      </c>
      <c r="K128" s="85" t="n">
        <v>3075.875072</v>
      </c>
      <c r="L128" s="74" t="n">
        <v>38.87026025547641</v>
      </c>
      <c r="M128" s="84" t="n">
        <v>-0.4934295786965906</v>
      </c>
      <c r="N128" s="76" t="n">
        <v>24.94645943814196</v>
      </c>
      <c r="O128" s="118" t="inlineStr">
        <is>
          <t>—</t>
        </is>
      </c>
      <c r="P128" s="118" t="inlineStr">
        <is>
          <t>—</t>
        </is>
      </c>
      <c r="Q128" s="118" t="inlineStr">
        <is>
          <t>—</t>
        </is>
      </c>
      <c r="R128" s="118" t="inlineStr">
        <is>
          <t>—</t>
        </is>
      </c>
      <c r="S128" s="118" t="inlineStr">
        <is>
          <t>—</t>
        </is>
      </c>
    </row>
    <row r="129" ht="20" customHeight="1" s="57">
      <c r="A129" s="67" t="n">
        <v>124</v>
      </c>
      <c r="B129" s="68" t="inlineStr">
        <is>
          <t>TDG</t>
        </is>
      </c>
      <c r="C129" s="69" t="inlineStr">
        <is>
          <t>TransDigm Gr</t>
        </is>
      </c>
      <c r="D129" s="70" t="inlineStr">
        <is>
          <t>Aerospace &amp; Defense</t>
        </is>
      </c>
      <c r="E129" s="79" t="n">
        <v>1320.555</v>
      </c>
      <c r="F129" s="84" t="n">
        <v>-0.035403132</v>
      </c>
      <c r="G129" s="80" t="n">
        <v>74.58336767999999</v>
      </c>
      <c r="H129" s="73" t="n">
        <v>0.139</v>
      </c>
      <c r="I129" s="81" t="n">
        <v>0.59693</v>
      </c>
      <c r="J129" s="82" t="n">
        <v>42.5476</v>
      </c>
      <c r="K129" s="83" t="n">
        <v>1326.749952</v>
      </c>
      <c r="L129" s="80" t="n">
        <v>24.77091258058122</v>
      </c>
      <c r="M129" s="84" t="n">
        <v>-0.6678761853867896</v>
      </c>
      <c r="N129" s="82" t="n">
        <v>56.20987276091117</v>
      </c>
      <c r="O129" s="119" t="inlineStr">
        <is>
          <t>—</t>
        </is>
      </c>
      <c r="P129" s="119" t="inlineStr">
        <is>
          <t>—</t>
        </is>
      </c>
      <c r="Q129" s="119" t="inlineStr">
        <is>
          <t>—</t>
        </is>
      </c>
      <c r="R129" s="119" t="inlineStr">
        <is>
          <t>—</t>
        </is>
      </c>
      <c r="S129" s="119" t="inlineStr">
        <is>
          <t>—</t>
        </is>
      </c>
    </row>
    <row r="130" ht="20" customHeight="1" s="57">
      <c r="A130" s="62" t="n">
        <v>125</v>
      </c>
      <c r="B130" s="63" t="inlineStr">
        <is>
          <t>GOOG</t>
        </is>
      </c>
      <c r="C130" s="64" t="inlineStr">
        <is>
          <t>Alphabet</t>
        </is>
      </c>
      <c r="D130" s="65" t="inlineStr">
        <is>
          <t>Internet Content &amp; Information</t>
        </is>
      </c>
      <c r="E130" s="72" t="n">
        <v>302.575</v>
      </c>
      <c r="F130" s="73" t="n">
        <v>0.73472774</v>
      </c>
      <c r="G130" s="74" t="n">
        <v>3660.250087424</v>
      </c>
      <c r="H130" s="73" t="n">
        <v>0.18</v>
      </c>
      <c r="I130" s="75" t="n">
        <v>0.5965200000000001</v>
      </c>
      <c r="J130" s="76" t="n">
        <v>27.990286</v>
      </c>
      <c r="K130" s="85" t="n">
        <v>38088.37632</v>
      </c>
      <c r="L130" s="74" t="n">
        <v>751.7397856399183</v>
      </c>
      <c r="M130" s="84" t="n">
        <v>-0.7946206494952984</v>
      </c>
      <c r="N130" s="76" t="n">
        <v>43.19960599465113</v>
      </c>
      <c r="O130" s="118" t="inlineStr">
        <is>
          <t>—</t>
        </is>
      </c>
      <c r="P130" s="118" t="inlineStr">
        <is>
          <t>—</t>
        </is>
      </c>
      <c r="Q130" s="118" t="inlineStr">
        <is>
          <t>—</t>
        </is>
      </c>
      <c r="R130" s="118" t="inlineStr">
        <is>
          <t>—</t>
        </is>
      </c>
      <c r="S130" s="118" t="inlineStr">
        <is>
          <t>—</t>
        </is>
      </c>
    </row>
    <row r="131" ht="20" customHeight="1" s="57">
      <c r="A131" s="67" t="n">
        <v>126</v>
      </c>
      <c r="B131" s="68" t="inlineStr">
        <is>
          <t>GOOGL</t>
        </is>
      </c>
      <c r="C131" s="69" t="inlineStr">
        <is>
          <t>Alphabet</t>
        </is>
      </c>
      <c r="D131" s="70" t="inlineStr">
        <is>
          <t>Internet Content &amp; Information</t>
        </is>
      </c>
      <c r="E131" s="79" t="n">
        <v>302.5255</v>
      </c>
      <c r="F131" s="73" t="n">
        <v>0.7545948</v>
      </c>
      <c r="G131" s="80" t="n">
        <v>3659.651350528</v>
      </c>
      <c r="H131" s="73" t="n">
        <v>0.18</v>
      </c>
      <c r="I131" s="81" t="n">
        <v>0.5965200000000001</v>
      </c>
      <c r="J131" s="82" t="n">
        <v>27.985708</v>
      </c>
      <c r="K131" s="83" t="n">
        <v>38088.37632</v>
      </c>
      <c r="L131" s="80" t="n">
        <v>751.7397856399183</v>
      </c>
      <c r="M131" s="84" t="n">
        <v>-0.794587048427042</v>
      </c>
      <c r="N131" s="82" t="n">
        <v>46.24254513246733</v>
      </c>
      <c r="O131" s="125" t="inlineStr">
        <is>
          <t>YES</t>
        </is>
      </c>
      <c r="P131" s="126" t="n">
        <v>1.92</v>
      </c>
      <c r="Q131" s="122" t="inlineStr">
        <is>
          <t>Sell</t>
        </is>
      </c>
      <c r="R131" s="128" t="n">
        <v>163</v>
      </c>
      <c r="S131" s="129" t="inlineStr">
        <is>
          <t>New 17.85M Q3 @~$163 → Sold 8.85M Q4 @~$175. Net: reduced</t>
        </is>
      </c>
    </row>
    <row r="132" ht="20" customHeight="1" s="57">
      <c r="A132" s="62" t="n">
        <v>127</v>
      </c>
      <c r="B132" s="63" t="inlineStr">
        <is>
          <t>PAYC</t>
        </is>
      </c>
      <c r="C132" s="64" t="inlineStr">
        <is>
          <t>Paycom Software</t>
        </is>
      </c>
      <c r="D132" s="65" t="inlineStr">
        <is>
          <t>Software - Application</t>
        </is>
      </c>
      <c r="E132" s="72" t="n">
        <v>134.45</v>
      </c>
      <c r="F132" s="84" t="n">
        <v>-0.39367038</v>
      </c>
      <c r="G132" s="74" t="n">
        <v>7.382127616</v>
      </c>
      <c r="H132" s="73" t="n">
        <v>0.102</v>
      </c>
      <c r="I132" s="75" t="n">
        <v>0.87181</v>
      </c>
      <c r="J132" s="76" t="n">
        <v>16.63985</v>
      </c>
      <c r="K132" s="85" t="n">
        <v>260.975008</v>
      </c>
      <c r="L132" s="74" t="n">
        <v>4.35879764918098</v>
      </c>
      <c r="M132" s="84" t="n">
        <v>-0.4095472367974599</v>
      </c>
      <c r="N132" s="76" t="n">
        <v>27.3876962505927</v>
      </c>
      <c r="O132" s="118" t="inlineStr">
        <is>
          <t>—</t>
        </is>
      </c>
      <c r="P132" s="118" t="inlineStr">
        <is>
          <t>—</t>
        </is>
      </c>
      <c r="Q132" s="118" t="inlineStr">
        <is>
          <t>—</t>
        </is>
      </c>
      <c r="R132" s="118" t="inlineStr">
        <is>
          <t>—</t>
        </is>
      </c>
      <c r="S132" s="118" t="inlineStr">
        <is>
          <t>—</t>
        </is>
      </c>
    </row>
    <row r="133" ht="20" customHeight="1" s="57">
      <c r="A133" s="67" t="n">
        <v>128</v>
      </c>
      <c r="B133" s="68" t="inlineStr">
        <is>
          <t>AKAM</t>
        </is>
      </c>
      <c r="C133" s="69" t="inlineStr">
        <is>
          <t>Akamai Technologies</t>
        </is>
      </c>
      <c r="D133" s="70" t="inlineStr">
        <is>
          <t>Software - Infrastructure</t>
        </is>
      </c>
      <c r="E133" s="79" t="n">
        <v>102.25</v>
      </c>
      <c r="F133" s="73" t="n">
        <v>0.23255253</v>
      </c>
      <c r="G133" s="80" t="n">
        <v>14.814809088</v>
      </c>
      <c r="H133" s="73" t="n">
        <v>0.074</v>
      </c>
      <c r="I133" s="81" t="n">
        <v>0.58949</v>
      </c>
      <c r="J133" s="82" t="n">
        <v>33.30619</v>
      </c>
      <c r="K133" s="83" t="n">
        <v>578.661888</v>
      </c>
      <c r="L133" s="80" t="n">
        <v>8.658385614542954</v>
      </c>
      <c r="M133" s="84" t="n">
        <v>-0.4155587450967391</v>
      </c>
      <c r="N133" s="82" t="n">
        <v>25.60184101238062</v>
      </c>
      <c r="O133" s="119" t="inlineStr">
        <is>
          <t>—</t>
        </is>
      </c>
      <c r="P133" s="119" t="inlineStr">
        <is>
          <t>—</t>
        </is>
      </c>
      <c r="Q133" s="119" t="inlineStr">
        <is>
          <t>—</t>
        </is>
      </c>
      <c r="R133" s="119" t="inlineStr">
        <is>
          <t>—</t>
        </is>
      </c>
      <c r="S133" s="119" t="inlineStr">
        <is>
          <t>—</t>
        </is>
      </c>
    </row>
    <row r="134" ht="20" customHeight="1" s="57">
      <c r="A134" s="62" t="n">
        <v>129</v>
      </c>
      <c r="B134" s="63" t="inlineStr">
        <is>
          <t>CE</t>
        </is>
      </c>
      <c r="C134" s="64" t="inlineStr">
        <is>
          <t>Celanese</t>
        </is>
      </c>
      <c r="D134" s="65" t="inlineStr">
        <is>
          <t>Chemicals</t>
        </is>
      </c>
      <c r="E134" s="72" t="n">
        <v>51.68</v>
      </c>
      <c r="F134" s="84" t="n">
        <v>-0.05540216</v>
      </c>
      <c r="G134" s="74" t="n">
        <v>5.662679552</v>
      </c>
      <c r="H134" s="84" t="n">
        <v>-0.065</v>
      </c>
      <c r="I134" s="75" t="n">
        <v>0.20568001</v>
      </c>
      <c r="J134" s="76" t="n">
        <v>8.700775999999999</v>
      </c>
      <c r="K134" s="85" t="n">
        <v>368.624992</v>
      </c>
      <c r="L134" s="74" t="n">
        <v>3.729898543713543</v>
      </c>
      <c r="M134" s="84" t="n">
        <v>-0.3413191565120118</v>
      </c>
      <c r="N134" s="76" t="n">
        <v>15.36162668254463</v>
      </c>
      <c r="O134" s="118" t="inlineStr">
        <is>
          <t>—</t>
        </is>
      </c>
      <c r="P134" s="118" t="inlineStr">
        <is>
          <t>—</t>
        </is>
      </c>
      <c r="Q134" s="118" t="inlineStr">
        <is>
          <t>—</t>
        </is>
      </c>
      <c r="R134" s="118" t="inlineStr">
        <is>
          <t>—</t>
        </is>
      </c>
      <c r="S134" s="118" t="inlineStr">
        <is>
          <t>—</t>
        </is>
      </c>
    </row>
    <row r="135" ht="20" customHeight="1" s="57">
      <c r="A135" s="67" t="n">
        <v>130</v>
      </c>
      <c r="B135" s="68" t="inlineStr">
        <is>
          <t>MTD</t>
        </is>
      </c>
      <c r="C135" s="69" t="inlineStr">
        <is>
          <t>Mettler-Toledo Intl</t>
        </is>
      </c>
      <c r="D135" s="70" t="inlineStr">
        <is>
          <t>Diagnostics &amp; Research</t>
        </is>
      </c>
      <c r="E135" s="79" t="n">
        <v>1294.35</v>
      </c>
      <c r="F135" s="73" t="n">
        <v>0.0468024</v>
      </c>
      <c r="G135" s="80" t="n">
        <v>26.441555968</v>
      </c>
      <c r="H135" s="73" t="n">
        <v>0.081</v>
      </c>
      <c r="I135" s="81" t="n">
        <v>0.59374</v>
      </c>
      <c r="J135" s="82" t="n">
        <v>30.817856</v>
      </c>
      <c r="K135" s="83" t="n">
        <v>687.0784</v>
      </c>
      <c r="L135" s="80" t="n">
        <v>9.634022653863834</v>
      </c>
      <c r="M135" s="84" t="n">
        <v>-0.6356484215405824</v>
      </c>
      <c r="N135" s="82" t="n">
        <v>38.28964400205275</v>
      </c>
      <c r="O135" s="119" t="inlineStr">
        <is>
          <t>—</t>
        </is>
      </c>
      <c r="P135" s="119" t="inlineStr">
        <is>
          <t>—</t>
        </is>
      </c>
      <c r="Q135" s="119" t="inlineStr">
        <is>
          <t>—</t>
        </is>
      </c>
      <c r="R135" s="119" t="inlineStr">
        <is>
          <t>—</t>
        </is>
      </c>
      <c r="S135" s="119" t="inlineStr">
        <is>
          <t>—</t>
        </is>
      </c>
    </row>
    <row r="136" ht="20" customHeight="1" s="57">
      <c r="A136" s="62" t="n">
        <v>131</v>
      </c>
      <c r="B136" s="63" t="inlineStr">
        <is>
          <t>NTAP</t>
        </is>
      </c>
      <c r="C136" s="64" t="inlineStr">
        <is>
          <t>NetApp</t>
        </is>
      </c>
      <c r="D136" s="65" t="inlineStr">
        <is>
          <t>Computer Hardware</t>
        </is>
      </c>
      <c r="E136" s="72" t="n">
        <v>99.34999999999999</v>
      </c>
      <c r="F136" s="73" t="n">
        <v>0.041319728</v>
      </c>
      <c r="G136" s="74" t="n">
        <v>19.832086528</v>
      </c>
      <c r="H136" s="73" t="n">
        <v>0.044</v>
      </c>
      <c r="I136" s="75" t="n">
        <v>0.70458</v>
      </c>
      <c r="J136" s="76" t="n">
        <v>17.308363</v>
      </c>
      <c r="K136" s="85" t="n">
        <v>1116</v>
      </c>
      <c r="L136" s="74" t="n">
        <v>14.96664550250385</v>
      </c>
      <c r="M136" s="84" t="n">
        <v>-0.2453317767964988</v>
      </c>
      <c r="N136" s="76" t="n">
        <v>17.6319852811828</v>
      </c>
      <c r="O136" s="118" t="inlineStr">
        <is>
          <t>—</t>
        </is>
      </c>
      <c r="P136" s="118" t="inlineStr">
        <is>
          <t>—</t>
        </is>
      </c>
      <c r="Q136" s="118" t="inlineStr">
        <is>
          <t>—</t>
        </is>
      </c>
      <c r="R136" s="118" t="inlineStr">
        <is>
          <t>—</t>
        </is>
      </c>
      <c r="S136" s="118" t="inlineStr">
        <is>
          <t>—</t>
        </is>
      </c>
    </row>
    <row r="137" ht="20" customHeight="1" s="57">
      <c r="A137" s="67" t="n">
        <v>132</v>
      </c>
      <c r="B137" s="68" t="inlineStr">
        <is>
          <t>HON</t>
        </is>
      </c>
      <c r="C137" s="69" t="inlineStr">
        <is>
          <t>Honeywell International</t>
        </is>
      </c>
      <c r="D137" s="70" t="inlineStr">
        <is>
          <t>Specialty Industrial Machinery</t>
        </is>
      </c>
      <c r="E137" s="79" t="n">
        <v>246.65</v>
      </c>
      <c r="F137" s="73" t="n">
        <v>0.2342565</v>
      </c>
      <c r="G137" s="80" t="n">
        <v>166.209961984</v>
      </c>
      <c r="H137" s="84" t="n">
        <v>-0.033</v>
      </c>
      <c r="I137" s="81" t="n">
        <v>0.36933997</v>
      </c>
      <c r="J137" s="82" t="n">
        <v>32.62566</v>
      </c>
      <c r="K137" s="83" t="n">
        <v>4661.000192</v>
      </c>
      <c r="L137" s="80" t="n">
        <v>44.88210608715681</v>
      </c>
      <c r="M137" s="84" t="n">
        <v>-0.7299674125942142</v>
      </c>
      <c r="N137" s="82" t="n">
        <v>33.5968511912904</v>
      </c>
      <c r="O137" s="119" t="inlineStr">
        <is>
          <t>—</t>
        </is>
      </c>
      <c r="P137" s="119" t="inlineStr">
        <is>
          <t>—</t>
        </is>
      </c>
      <c r="Q137" s="119" t="inlineStr">
        <is>
          <t>—</t>
        </is>
      </c>
      <c r="R137" s="119" t="inlineStr">
        <is>
          <t>—</t>
        </is>
      </c>
      <c r="S137" s="119" t="inlineStr">
        <is>
          <t>—</t>
        </is>
      </c>
    </row>
    <row r="138" ht="20" customHeight="1" s="57">
      <c r="A138" s="62" t="n">
        <v>133</v>
      </c>
      <c r="B138" s="63" t="inlineStr">
        <is>
          <t>NSC</t>
        </is>
      </c>
      <c r="C138" s="64" t="inlineStr">
        <is>
          <t>Norfolk Southern</t>
        </is>
      </c>
      <c r="D138" s="65" t="inlineStr">
        <is>
          <t>Railroads</t>
        </is>
      </c>
      <c r="E138" s="72" t="n">
        <v>318.5</v>
      </c>
      <c r="F138" s="73" t="n">
        <v>0.32945025</v>
      </c>
      <c r="G138" s="74" t="n">
        <v>71.5261952</v>
      </c>
      <c r="H138" s="84" t="n">
        <v>-0.017</v>
      </c>
      <c r="I138" s="75" t="n">
        <v>0.45951998</v>
      </c>
      <c r="J138" s="76" t="n">
        <v>24.980392</v>
      </c>
      <c r="K138" s="85" t="n">
        <v>1452.499968</v>
      </c>
      <c r="L138" s="74" t="n">
        <v>12.93654744082983</v>
      </c>
      <c r="M138" s="84" t="n">
        <v>-0.8191355292329344</v>
      </c>
      <c r="N138" s="76" t="n">
        <v>49.24350536199117</v>
      </c>
      <c r="O138" s="118" t="inlineStr">
        <is>
          <t>—</t>
        </is>
      </c>
      <c r="P138" s="118" t="inlineStr">
        <is>
          <t>—</t>
        </is>
      </c>
      <c r="Q138" s="118" t="inlineStr">
        <is>
          <t>—</t>
        </is>
      </c>
      <c r="R138" s="118" t="inlineStr">
        <is>
          <t>—</t>
        </is>
      </c>
      <c r="S138" s="118" t="inlineStr">
        <is>
          <t>—</t>
        </is>
      </c>
    </row>
    <row r="139" ht="20" customHeight="1" s="57">
      <c r="A139" s="67" t="n">
        <v>134</v>
      </c>
      <c r="B139" s="68" t="inlineStr">
        <is>
          <t>TRV</t>
        </is>
      </c>
      <c r="C139" s="69" t="inlineStr">
        <is>
          <t>Travelers Companies</t>
        </is>
      </c>
      <c r="D139" s="70" t="inlineStr">
        <is>
          <t>Insurance - Property &amp; Casualty</t>
        </is>
      </c>
      <c r="E139" s="79" t="n">
        <v>312.12</v>
      </c>
      <c r="F139" s="73" t="n">
        <v>0.20516992</v>
      </c>
      <c r="G139" s="80" t="n">
        <v>69.622554624</v>
      </c>
      <c r="H139" s="73" t="n">
        <v>0.035</v>
      </c>
      <c r="I139" s="81" t="n">
        <v>0.2937</v>
      </c>
      <c r="J139" s="82" t="n">
        <v>11.378782</v>
      </c>
      <c r="K139" s="83" t="n">
        <v>12100.50048</v>
      </c>
      <c r="L139" s="80" t="n">
        <v>135.9036923981347</v>
      </c>
      <c r="M139" s="73" t="n">
        <v>0.9520066899597298</v>
      </c>
      <c r="N139" s="82" t="n">
        <v>5.577634915497314</v>
      </c>
      <c r="O139" s="119" t="inlineStr">
        <is>
          <t>—</t>
        </is>
      </c>
      <c r="P139" s="119" t="inlineStr">
        <is>
          <t>—</t>
        </is>
      </c>
      <c r="Q139" s="119" t="inlineStr">
        <is>
          <t>—</t>
        </is>
      </c>
      <c r="R139" s="119" t="inlineStr">
        <is>
          <t>—</t>
        </is>
      </c>
      <c r="S139" s="119" t="inlineStr">
        <is>
          <t>—</t>
        </is>
      </c>
    </row>
    <row r="140" ht="20" customHeight="1" s="57">
      <c r="A140" s="62" t="n">
        <v>135</v>
      </c>
      <c r="B140" s="63" t="inlineStr">
        <is>
          <t>FOX</t>
        </is>
      </c>
      <c r="C140" s="64" t="inlineStr">
        <is>
          <t>Fox</t>
        </is>
      </c>
      <c r="D140" s="65" t="inlineStr">
        <is>
          <t>Broadcasting</t>
        </is>
      </c>
      <c r="E140" s="72" t="n">
        <v>53.11</v>
      </c>
      <c r="F140" s="84" t="n">
        <v>-0.0036142468</v>
      </c>
      <c r="G140" s="74" t="n">
        <v>24.794611712</v>
      </c>
      <c r="H140" s="73" t="n">
        <v>0.02</v>
      </c>
      <c r="I140" s="75" t="n">
        <v>0.35439</v>
      </c>
      <c r="J140" s="76" t="n">
        <v>12.736211</v>
      </c>
      <c r="K140" s="85" t="n">
        <v>1765.500032</v>
      </c>
      <c r="L140" s="74" t="n">
        <v>19.11475097975934</v>
      </c>
      <c r="M140" s="84" t="n">
        <v>-0.2290764137875869</v>
      </c>
      <c r="N140" s="76" t="n">
        <v>6.759521265429237</v>
      </c>
      <c r="O140" s="118" t="inlineStr">
        <is>
          <t>—</t>
        </is>
      </c>
      <c r="P140" s="118" t="inlineStr">
        <is>
          <t>—</t>
        </is>
      </c>
      <c r="Q140" s="118" t="inlineStr">
        <is>
          <t>—</t>
        </is>
      </c>
      <c r="R140" s="118" t="inlineStr">
        <is>
          <t>—</t>
        </is>
      </c>
      <c r="S140" s="118" t="inlineStr">
        <is>
          <t>—</t>
        </is>
      </c>
    </row>
    <row r="141" ht="20" customHeight="1" s="57">
      <c r="A141" s="67" t="n">
        <v>136</v>
      </c>
      <c r="B141" s="68" t="inlineStr">
        <is>
          <t>FOXA</t>
        </is>
      </c>
      <c r="C141" s="69" t="inlineStr">
        <is>
          <t>Fox</t>
        </is>
      </c>
      <c r="D141" s="70" t="inlineStr">
        <is>
          <t>Broadcasting</t>
        </is>
      </c>
      <c r="E141" s="79" t="n">
        <v>58.32</v>
      </c>
      <c r="F141" s="73" t="n">
        <v>0.018104315</v>
      </c>
      <c r="G141" s="80" t="n">
        <v>24.809099264</v>
      </c>
      <c r="H141" s="73" t="n">
        <v>0.02</v>
      </c>
      <c r="I141" s="81" t="n">
        <v>0.35439</v>
      </c>
      <c r="J141" s="82" t="n">
        <v>13.985611</v>
      </c>
      <c r="K141" s="83" t="n">
        <v>1765.500032</v>
      </c>
      <c r="L141" s="80" t="n">
        <v>19.11475097975934</v>
      </c>
      <c r="M141" s="84" t="n">
        <v>-0.2295266032694552</v>
      </c>
      <c r="N141" s="82" t="n">
        <v>6.629547136660714</v>
      </c>
      <c r="O141" s="119" t="inlineStr">
        <is>
          <t>—</t>
        </is>
      </c>
      <c r="P141" s="119" t="inlineStr">
        <is>
          <t>—</t>
        </is>
      </c>
      <c r="Q141" s="119" t="inlineStr">
        <is>
          <t>—</t>
        </is>
      </c>
      <c r="R141" s="119" t="inlineStr">
        <is>
          <t>—</t>
        </is>
      </c>
      <c r="S141" s="119" t="inlineStr">
        <is>
          <t>—</t>
        </is>
      </c>
    </row>
    <row r="142" ht="20" customHeight="1" s="57">
      <c r="A142" s="62" t="n">
        <v>137</v>
      </c>
      <c r="B142" s="63" t="inlineStr">
        <is>
          <t>IVZ</t>
        </is>
      </c>
      <c r="C142" s="64" t="inlineStr">
        <is>
          <t>Invesco</t>
        </is>
      </c>
      <c r="D142" s="65" t="inlineStr">
        <is>
          <t>Asset Management</t>
        </is>
      </c>
      <c r="E142" s="72" t="n">
        <v>25.41</v>
      </c>
      <c r="F142" s="73" t="n">
        <v>0.543571</v>
      </c>
      <c r="G142" s="74" t="n">
        <v>11.273750528</v>
      </c>
      <c r="H142" s="73" t="n">
        <v>0.062</v>
      </c>
      <c r="I142" s="75" t="n">
        <v>0.28573</v>
      </c>
      <c r="J142" s="76" t="n">
        <v>8.341321000000001</v>
      </c>
      <c r="K142" s="85" t="n">
        <v>745.699968</v>
      </c>
      <c r="L142" s="74" t="n">
        <v>10.15171808499249</v>
      </c>
      <c r="M142" s="84" t="n">
        <v>-0.09952610182572143</v>
      </c>
      <c r="N142" s="76" t="n">
        <v>15.11834673106758</v>
      </c>
      <c r="O142" s="118" t="inlineStr">
        <is>
          <t>—</t>
        </is>
      </c>
      <c r="P142" s="118" t="inlineStr">
        <is>
          <t>—</t>
        </is>
      </c>
      <c r="Q142" s="118" t="inlineStr">
        <is>
          <t>—</t>
        </is>
      </c>
      <c r="R142" s="118" t="inlineStr">
        <is>
          <t>—</t>
        </is>
      </c>
      <c r="S142" s="118" t="inlineStr">
        <is>
          <t>—</t>
        </is>
      </c>
    </row>
    <row r="143" ht="20" customHeight="1" s="57">
      <c r="A143" s="67" t="n">
        <v>138</v>
      </c>
      <c r="B143" s="68" t="inlineStr">
        <is>
          <t>BDX</t>
        </is>
      </c>
      <c r="C143" s="69" t="inlineStr">
        <is>
          <t>Becton, Dickinson</t>
        </is>
      </c>
      <c r="D143" s="70" t="inlineStr">
        <is>
          <t>Medical Instruments &amp; Supplies</t>
        </is>
      </c>
      <c r="E143" s="79" t="n">
        <v>171.245</v>
      </c>
      <c r="F143" s="84" t="n">
        <v>-0.011265755</v>
      </c>
      <c r="G143" s="80" t="n">
        <v>62.041223168</v>
      </c>
      <c r="H143" s="73" t="n">
        <v>0.016</v>
      </c>
      <c r="I143" s="81" t="n">
        <v>0.46784002</v>
      </c>
      <c r="J143" s="82" t="n">
        <v>28.027004</v>
      </c>
      <c r="K143" s="83" t="n">
        <v>3105.250048</v>
      </c>
      <c r="L143" s="80" t="n">
        <v>30.84347477479865</v>
      </c>
      <c r="M143" s="84" t="n">
        <v>-0.5028551469515951</v>
      </c>
      <c r="N143" s="82" t="n">
        <v>15.6874617909192</v>
      </c>
      <c r="O143" s="119" t="inlineStr">
        <is>
          <t>—</t>
        </is>
      </c>
      <c r="P143" s="119" t="inlineStr">
        <is>
          <t>—</t>
        </is>
      </c>
      <c r="Q143" s="119" t="inlineStr">
        <is>
          <t>—</t>
        </is>
      </c>
      <c r="R143" s="119" t="inlineStr">
        <is>
          <t>—</t>
        </is>
      </c>
      <c r="S143" s="119" t="inlineStr">
        <is>
          <t>—</t>
        </is>
      </c>
    </row>
    <row r="144" ht="20" customHeight="1" s="57">
      <c r="A144" s="62" t="n">
        <v>139</v>
      </c>
      <c r="B144" s="63" t="inlineStr">
        <is>
          <t>IP</t>
        </is>
      </c>
      <c r="C144" s="64" t="inlineStr">
        <is>
          <t>International Paper</t>
        </is>
      </c>
      <c r="D144" s="65" t="inlineStr">
        <is>
          <t>Packaging &amp; Containers</t>
        </is>
      </c>
      <c r="E144" s="72" t="n">
        <v>42.765</v>
      </c>
      <c r="F144" s="84" t="n">
        <v>-0.19920015</v>
      </c>
      <c r="G144" s="74" t="n">
        <v>22.581557248</v>
      </c>
      <c r="H144" s="73" t="n">
        <v>0.311</v>
      </c>
      <c r="I144" s="75" t="n">
        <v>0.29737</v>
      </c>
      <c r="J144" s="76" t="n">
        <v>14.704467</v>
      </c>
      <c r="K144" s="85" t="n">
        <v>-156.375008</v>
      </c>
      <c r="L144" s="77" t="inlineStr">
        <is>
          <t>—</t>
        </is>
      </c>
      <c r="M144" s="77" t="inlineStr">
        <is>
          <t>—</t>
        </is>
      </c>
      <c r="N144" s="76" t="n">
        <v>-144.4064426618926</v>
      </c>
      <c r="O144" s="118" t="inlineStr">
        <is>
          <t>—</t>
        </is>
      </c>
      <c r="P144" s="118" t="inlineStr">
        <is>
          <t>—</t>
        </is>
      </c>
      <c r="Q144" s="118" t="inlineStr">
        <is>
          <t>—</t>
        </is>
      </c>
      <c r="R144" s="118" t="inlineStr">
        <is>
          <t>—</t>
        </is>
      </c>
      <c r="S144" s="118" t="inlineStr">
        <is>
          <t>—</t>
        </is>
      </c>
    </row>
    <row r="145" ht="20" customHeight="1" s="57">
      <c r="A145" s="67" t="n">
        <v>140</v>
      </c>
      <c r="B145" s="68" t="inlineStr">
        <is>
          <t>T</t>
        </is>
      </c>
      <c r="C145" s="69" t="inlineStr">
        <is>
          <t>AT&amp;T</t>
        </is>
      </c>
      <c r="D145" s="70" t="inlineStr">
        <is>
          <t>Telecom Services</t>
        </is>
      </c>
      <c r="E145" s="79" t="n">
        <v>28.94</v>
      </c>
      <c r="F145" s="73" t="n">
        <v>0.095110774</v>
      </c>
      <c r="G145" s="80" t="n">
        <v>205.168672768</v>
      </c>
      <c r="H145" s="73" t="n">
        <v>0.036</v>
      </c>
      <c r="I145" s="81" t="n">
        <v>0.59554</v>
      </c>
      <c r="J145" s="82" t="n">
        <v>9.519736999999999</v>
      </c>
      <c r="K145" s="83" t="n">
        <v>12586.25024</v>
      </c>
      <c r="L145" s="80" t="n">
        <v>150.7772200036121</v>
      </c>
      <c r="M145" s="84" t="n">
        <v>-0.2651060321762304</v>
      </c>
      <c r="N145" s="82" t="n">
        <v>16.09666901052652</v>
      </c>
      <c r="O145" s="119" t="inlineStr">
        <is>
          <t>—</t>
        </is>
      </c>
      <c r="P145" s="119" t="inlineStr">
        <is>
          <t>—</t>
        </is>
      </c>
      <c r="Q145" s="119" t="inlineStr">
        <is>
          <t>—</t>
        </is>
      </c>
      <c r="R145" s="119" t="inlineStr">
        <is>
          <t>—</t>
        </is>
      </c>
      <c r="S145" s="119" t="inlineStr">
        <is>
          <t>—</t>
        </is>
      </c>
    </row>
    <row r="146" ht="20" customHeight="1" s="57">
      <c r="A146" s="62" t="n">
        <v>141</v>
      </c>
      <c r="B146" s="63" t="inlineStr">
        <is>
          <t>ROK</t>
        </is>
      </c>
      <c r="C146" s="64" t="inlineStr">
        <is>
          <t>Rockwell Automation</t>
        </is>
      </c>
      <c r="D146" s="65" t="inlineStr">
        <is>
          <t>Specialty Industrial Machinery</t>
        </is>
      </c>
      <c r="E146" s="72" t="n">
        <v>388.085</v>
      </c>
      <c r="F146" s="73" t="n">
        <v>0.45618653</v>
      </c>
      <c r="G146" s="74" t="n">
        <v>43.633631232</v>
      </c>
      <c r="H146" s="73" t="n">
        <v>0.119</v>
      </c>
      <c r="I146" s="75" t="n">
        <v>0.48494</v>
      </c>
      <c r="J146" s="76" t="n">
        <v>44.251423</v>
      </c>
      <c r="K146" s="85" t="n">
        <v>1025.500032</v>
      </c>
      <c r="L146" s="74" t="n">
        <v>17.91647785516117</v>
      </c>
      <c r="M146" s="84" t="n">
        <v>-0.5893883376357274</v>
      </c>
      <c r="N146" s="76" t="n">
        <v>42.52015345249643</v>
      </c>
      <c r="O146" s="118" t="inlineStr">
        <is>
          <t>—</t>
        </is>
      </c>
      <c r="P146" s="118" t="inlineStr">
        <is>
          <t>—</t>
        </is>
      </c>
      <c r="Q146" s="118" t="inlineStr">
        <is>
          <t>—</t>
        </is>
      </c>
      <c r="R146" s="118" t="inlineStr">
        <is>
          <t>—</t>
        </is>
      </c>
      <c r="S146" s="118" t="inlineStr">
        <is>
          <t>—</t>
        </is>
      </c>
    </row>
    <row r="147" ht="20" customHeight="1" s="57">
      <c r="A147" s="67" t="n">
        <v>142</v>
      </c>
      <c r="B147" s="68" t="inlineStr">
        <is>
          <t>HOLX</t>
        </is>
      </c>
      <c r="C147" s="69" t="inlineStr">
        <is>
          <t>Hologic</t>
        </is>
      </c>
      <c r="D147" s="70" t="inlineStr">
        <is>
          <t>Medical Instruments &amp; Supplies</t>
        </is>
      </c>
      <c r="E147" s="79" t="n">
        <v>75.6151</v>
      </c>
      <c r="F147" s="73" t="n">
        <v>0.21552837</v>
      </c>
      <c r="G147" s="80" t="n">
        <v>16.88068608</v>
      </c>
      <c r="H147" s="73" t="n">
        <v>0.025</v>
      </c>
      <c r="I147" s="81" t="n">
        <v>0.60378</v>
      </c>
      <c r="J147" s="82" t="n">
        <v>31.375557</v>
      </c>
      <c r="K147" s="83" t="n">
        <v>848.61248</v>
      </c>
      <c r="L147" s="80" t="n">
        <v>10.47322787199999</v>
      </c>
      <c r="M147" s="84" t="n">
        <v>-0.3795733288110535</v>
      </c>
      <c r="N147" s="82" t="n">
        <v>19.89210177072284</v>
      </c>
      <c r="O147" s="119" t="inlineStr">
        <is>
          <t>—</t>
        </is>
      </c>
      <c r="P147" s="119" t="inlineStr">
        <is>
          <t>—</t>
        </is>
      </c>
      <c r="Q147" s="119" t="inlineStr">
        <is>
          <t>—</t>
        </is>
      </c>
      <c r="R147" s="119" t="inlineStr">
        <is>
          <t>—</t>
        </is>
      </c>
      <c r="S147" s="119" t="inlineStr">
        <is>
          <t>—</t>
        </is>
      </c>
    </row>
    <row r="148" ht="20" customHeight="1" s="57">
      <c r="A148" s="62" t="n">
        <v>143</v>
      </c>
      <c r="B148" s="63" t="inlineStr">
        <is>
          <t>TMO</t>
        </is>
      </c>
      <c r="C148" s="64" t="inlineStr">
        <is>
          <t>Thermo Fisher Scientific</t>
        </is>
      </c>
      <c r="D148" s="65" t="inlineStr">
        <is>
          <t>Diagnostics &amp; Research</t>
        </is>
      </c>
      <c r="E148" s="72" t="n">
        <v>513.22</v>
      </c>
      <c r="F148" s="84" t="n">
        <v>-0.030694962</v>
      </c>
      <c r="G148" s="74" t="n">
        <v>192.820887552</v>
      </c>
      <c r="H148" s="73" t="n">
        <v>0.07199999999999999</v>
      </c>
      <c r="I148" s="75" t="n">
        <v>0.41076002</v>
      </c>
      <c r="J148" s="76" t="n">
        <v>28.946417</v>
      </c>
      <c r="K148" s="85" t="n">
        <v>4390.875136</v>
      </c>
      <c r="L148" s="74" t="n">
        <v>65.88396170021844</v>
      </c>
      <c r="M148" s="84" t="n">
        <v>-0.6583152243687768</v>
      </c>
      <c r="N148" s="76" t="n">
        <v>43.9139998446041</v>
      </c>
      <c r="O148" s="118" t="inlineStr">
        <is>
          <t>—</t>
        </is>
      </c>
      <c r="P148" s="118" t="inlineStr">
        <is>
          <t>—</t>
        </is>
      </c>
      <c r="Q148" s="118" t="inlineStr">
        <is>
          <t>—</t>
        </is>
      </c>
      <c r="R148" s="118" t="inlineStr">
        <is>
          <t>—</t>
        </is>
      </c>
      <c r="S148" s="118" t="inlineStr">
        <is>
          <t>—</t>
        </is>
      </c>
    </row>
    <row r="149" ht="20" customHeight="1" s="57">
      <c r="A149" s="67" t="n">
        <v>144</v>
      </c>
      <c r="B149" s="68" t="inlineStr">
        <is>
          <t>LLY</t>
        </is>
      </c>
      <c r="C149" s="69" t="inlineStr">
        <is>
          <t>Eli Lilly</t>
        </is>
      </c>
      <c r="D149" s="70" t="inlineStr">
        <is>
          <t>Drug Manufacturers - General</t>
        </is>
      </c>
      <c r="E149" s="79" t="n">
        <v>1005.725</v>
      </c>
      <c r="F149" s="73" t="n">
        <v>0.08390701</v>
      </c>
      <c r="G149" s="80" t="n">
        <v>900.142727168</v>
      </c>
      <c r="H149" s="73" t="n">
        <v>0.426</v>
      </c>
      <c r="I149" s="81" t="n">
        <v>0.83044</v>
      </c>
      <c r="J149" s="82" t="n">
        <v>43.765232</v>
      </c>
      <c r="K149" s="83" t="n">
        <v>1951.000064</v>
      </c>
      <c r="L149" s="80" t="n">
        <v>39.0843930794673</v>
      </c>
      <c r="M149" s="84" t="n">
        <v>-0.9565797824058043</v>
      </c>
      <c r="N149" s="82" t="n">
        <v>460.330482902793</v>
      </c>
      <c r="O149" s="119" t="inlineStr">
        <is>
          <t>—</t>
        </is>
      </c>
      <c r="P149" s="119" t="inlineStr">
        <is>
          <t>—</t>
        </is>
      </c>
      <c r="Q149" s="119" t="inlineStr">
        <is>
          <t>—</t>
        </is>
      </c>
      <c r="R149" s="119" t="inlineStr">
        <is>
          <t>—</t>
        </is>
      </c>
      <c r="S149" s="119" t="inlineStr">
        <is>
          <t>—</t>
        </is>
      </c>
    </row>
    <row r="150" ht="20" customHeight="1" s="57">
      <c r="A150" s="62" t="n">
        <v>145</v>
      </c>
      <c r="B150" s="63" t="inlineStr">
        <is>
          <t>ADP</t>
        </is>
      </c>
      <c r="C150" s="64" t="inlineStr">
        <is>
          <t>Automatic Data Processing</t>
        </is>
      </c>
      <c r="D150" s="65" t="inlineStr">
        <is>
          <t>Staffing &amp; Employment Services</t>
        </is>
      </c>
      <c r="E150" s="72" t="n">
        <v>216.83</v>
      </c>
      <c r="F150" s="84" t="n">
        <v>-0.30332118</v>
      </c>
      <c r="G150" s="74" t="n">
        <v>87.696621568</v>
      </c>
      <c r="H150" s="73" t="n">
        <v>0.062</v>
      </c>
      <c r="I150" s="75" t="n">
        <v>0.48351002</v>
      </c>
      <c r="J150" s="76" t="n">
        <v>20.84904</v>
      </c>
      <c r="K150" s="85" t="n">
        <v>3457.787392</v>
      </c>
      <c r="L150" s="74" t="n">
        <v>45.28358231692364</v>
      </c>
      <c r="M150" s="84" t="n">
        <v>-0.4836336735981245</v>
      </c>
      <c r="N150" s="76" t="n">
        <v>25.24891427625404</v>
      </c>
      <c r="O150" s="118" t="inlineStr">
        <is>
          <t>—</t>
        </is>
      </c>
      <c r="P150" s="118" t="inlineStr">
        <is>
          <t>—</t>
        </is>
      </c>
      <c r="Q150" s="118" t="inlineStr">
        <is>
          <t>—</t>
        </is>
      </c>
      <c r="R150" s="118" t="inlineStr">
        <is>
          <t>—</t>
        </is>
      </c>
      <c r="S150" s="118" t="inlineStr">
        <is>
          <t>—</t>
        </is>
      </c>
    </row>
    <row r="151" ht="20" customHeight="1" s="57">
      <c r="A151" s="67" t="n">
        <v>146</v>
      </c>
      <c r="B151" s="68" t="inlineStr">
        <is>
          <t>FIS</t>
        </is>
      </c>
      <c r="C151" s="69" t="inlineStr">
        <is>
          <t>Fidelity National Info</t>
        </is>
      </c>
      <c r="D151" s="70" t="inlineStr">
        <is>
          <t>Information Technology Services</t>
        </is>
      </c>
      <c r="E151" s="79" t="n">
        <v>50.27</v>
      </c>
      <c r="F151" s="84" t="n">
        <v>-0.27835202</v>
      </c>
      <c r="G151" s="80" t="n">
        <v>26.032357376</v>
      </c>
      <c r="H151" s="73" t="n">
        <v>0.082</v>
      </c>
      <c r="I151" s="81" t="n">
        <v>0.36863998</v>
      </c>
      <c r="J151" s="82" t="n">
        <v>68.86301400000001</v>
      </c>
      <c r="K151" s="83" t="n">
        <v>1885.374976</v>
      </c>
      <c r="L151" s="80" t="n">
        <v>26.89182374244025</v>
      </c>
      <c r="M151" s="73" t="n">
        <v>0.03301531067764993</v>
      </c>
      <c r="N151" s="82" t="n">
        <v>13.71561292842788</v>
      </c>
      <c r="O151" s="119" t="inlineStr">
        <is>
          <t>—</t>
        </is>
      </c>
      <c r="P151" s="119" t="inlineStr">
        <is>
          <t>—</t>
        </is>
      </c>
      <c r="Q151" s="119" t="inlineStr">
        <is>
          <t>—</t>
        </is>
      </c>
      <c r="R151" s="119" t="inlineStr">
        <is>
          <t>—</t>
        </is>
      </c>
      <c r="S151" s="119" t="inlineStr">
        <is>
          <t>—</t>
        </is>
      </c>
    </row>
    <row r="152" ht="20" customHeight="1" s="57">
      <c r="A152" s="62" t="n">
        <v>147</v>
      </c>
      <c r="B152" s="63" t="inlineStr">
        <is>
          <t>GRMN</t>
        </is>
      </c>
      <c r="C152" s="64" t="inlineStr">
        <is>
          <t>Garmin</t>
        </is>
      </c>
      <c r="D152" s="65" t="inlineStr">
        <is>
          <t>Scientific &amp; Technical Instruments</t>
        </is>
      </c>
      <c r="E152" s="72" t="n">
        <v>250.64</v>
      </c>
      <c r="F152" s="73" t="n">
        <v>0.11511946</v>
      </c>
      <c r="G152" s="74" t="n">
        <v>48.243396608</v>
      </c>
      <c r="H152" s="73" t="n">
        <v>0.166</v>
      </c>
      <c r="I152" s="75" t="n">
        <v>0.58744</v>
      </c>
      <c r="J152" s="76" t="n">
        <v>29.144184</v>
      </c>
      <c r="K152" s="85" t="n">
        <v>790.871488</v>
      </c>
      <c r="L152" s="74" t="n">
        <v>15.68726145062763</v>
      </c>
      <c r="M152" s="84" t="n">
        <v>-0.6748309084019536</v>
      </c>
      <c r="N152" s="76" t="n">
        <v>61.00029646181909</v>
      </c>
      <c r="O152" s="118" t="inlineStr">
        <is>
          <t>—</t>
        </is>
      </c>
      <c r="P152" s="118" t="inlineStr">
        <is>
          <t>—</t>
        </is>
      </c>
      <c r="Q152" s="118" t="inlineStr">
        <is>
          <t>—</t>
        </is>
      </c>
      <c r="R152" s="118" t="inlineStr">
        <is>
          <t>—</t>
        </is>
      </c>
      <c r="S152" s="118" t="inlineStr">
        <is>
          <t>—</t>
        </is>
      </c>
    </row>
    <row r="153" ht="20" customHeight="1" s="57">
      <c r="A153" s="67" t="n">
        <v>148</v>
      </c>
      <c r="B153" s="68" t="inlineStr">
        <is>
          <t>IBM</t>
        </is>
      </c>
      <c r="C153" s="69" t="inlineStr">
        <is>
          <t>IBM</t>
        </is>
      </c>
      <c r="D153" s="70" t="inlineStr">
        <is>
          <t>Information Technology Services</t>
        </is>
      </c>
      <c r="E153" s="79" t="n">
        <v>250.525</v>
      </c>
      <c r="F153" s="84" t="n">
        <v>-0.024149597</v>
      </c>
      <c r="G153" s="80" t="n">
        <v>235.001069568</v>
      </c>
      <c r="H153" s="73" t="n">
        <v>0.122</v>
      </c>
      <c r="I153" s="81" t="n">
        <v>0.58186</v>
      </c>
      <c r="J153" s="82" t="n">
        <v>22.488777</v>
      </c>
      <c r="K153" s="83" t="n">
        <v>13156.625408</v>
      </c>
      <c r="L153" s="80" t="n">
        <v>237.6205114620616</v>
      </c>
      <c r="M153" s="73" t="n">
        <v>0.01114651051961983</v>
      </c>
      <c r="N153" s="82" t="n">
        <v>17.86180435898141</v>
      </c>
      <c r="O153" s="119" t="inlineStr">
        <is>
          <t>—</t>
        </is>
      </c>
      <c r="P153" s="119" t="inlineStr">
        <is>
          <t>—</t>
        </is>
      </c>
      <c r="Q153" s="119" t="inlineStr">
        <is>
          <t>—</t>
        </is>
      </c>
      <c r="R153" s="119" t="inlineStr">
        <is>
          <t>—</t>
        </is>
      </c>
      <c r="S153" s="119" t="inlineStr">
        <is>
          <t>—</t>
        </is>
      </c>
    </row>
    <row r="154" ht="20" customHeight="1" s="57">
      <c r="A154" s="62" t="n">
        <v>149</v>
      </c>
      <c r="B154" s="63" t="inlineStr">
        <is>
          <t>PGR</t>
        </is>
      </c>
      <c r="C154" s="64" t="inlineStr">
        <is>
          <t>Progressive</t>
        </is>
      </c>
      <c r="D154" s="65" t="inlineStr">
        <is>
          <t>Insurance - Property &amp; Casualty</t>
        </is>
      </c>
      <c r="E154" s="72" t="n">
        <v>210.97</v>
      </c>
      <c r="F154" s="84" t="n">
        <v>-0.24306393</v>
      </c>
      <c r="G154" s="74" t="n">
        <v>123.60732672</v>
      </c>
      <c r="H154" s="73" t="n">
        <v>0.122</v>
      </c>
      <c r="I154" s="75" t="n">
        <v>0.18546</v>
      </c>
      <c r="J154" s="76" t="n">
        <v>10.976587</v>
      </c>
      <c r="K154" s="85" t="n">
        <v>11832.375296</v>
      </c>
      <c r="L154" s="74" t="n">
        <v>211.576443323431</v>
      </c>
      <c r="M154" s="73" t="n">
        <v>0.7116820575102475</v>
      </c>
      <c r="N154" s="76" t="n">
        <v>10.44653502849814</v>
      </c>
      <c r="O154" s="118" t="inlineStr">
        <is>
          <t>—</t>
        </is>
      </c>
      <c r="P154" s="118" t="inlineStr">
        <is>
          <t>—</t>
        </is>
      </c>
      <c r="Q154" s="118" t="inlineStr">
        <is>
          <t>—</t>
        </is>
      </c>
      <c r="R154" s="118" t="inlineStr">
        <is>
          <t>—</t>
        </is>
      </c>
      <c r="S154" s="118" t="inlineStr">
        <is>
          <t>—</t>
        </is>
      </c>
    </row>
    <row r="155" ht="20" customHeight="1" s="57">
      <c r="A155" s="67" t="n">
        <v>150</v>
      </c>
      <c r="B155" s="68" t="inlineStr">
        <is>
          <t>ALLE</t>
        </is>
      </c>
      <c r="C155" s="69" t="inlineStr">
        <is>
          <t>Allegion</t>
        </is>
      </c>
      <c r="D155" s="70" t="inlineStr">
        <is>
          <t>Security &amp; Protection Services</t>
        </is>
      </c>
      <c r="E155" s="79" t="n">
        <v>157.36</v>
      </c>
      <c r="F155" s="73" t="n">
        <v>0.25205564</v>
      </c>
      <c r="G155" s="80" t="n">
        <v>13.555854336</v>
      </c>
      <c r="H155" s="73" t="n">
        <v>0.093</v>
      </c>
      <c r="I155" s="81" t="n">
        <v>0.45196998</v>
      </c>
      <c r="J155" s="82" t="n">
        <v>21.150537</v>
      </c>
      <c r="K155" s="83" t="n">
        <v>505.562496</v>
      </c>
      <c r="L155" s="80" t="n">
        <v>7.795974612520566</v>
      </c>
      <c r="M155" s="84" t="n">
        <v>-0.4248997946358158</v>
      </c>
      <c r="N155" s="82" t="n">
        <v>26.81340777746299</v>
      </c>
      <c r="O155" s="125" t="inlineStr">
        <is>
          <t>YES</t>
        </is>
      </c>
      <c r="P155" s="126" t="n">
        <v>0.41</v>
      </c>
      <c r="Q155" s="131" t="inlineStr">
        <is>
          <t>Buy</t>
        </is>
      </c>
      <c r="R155" s="128" t="n">
        <v>135</v>
      </c>
      <c r="S155" s="129" t="inlineStr">
        <is>
          <t>New position Q2: 4.3M shares @~$135. Held Q3-Q4</t>
        </is>
      </c>
    </row>
    <row r="156" ht="20" customHeight="1" s="57">
      <c r="A156" s="62" t="n">
        <v>151</v>
      </c>
      <c r="B156" s="63" t="inlineStr">
        <is>
          <t>CINF</t>
        </is>
      </c>
      <c r="C156" s="64" t="inlineStr">
        <is>
          <t>Cincinnati Financial</t>
        </is>
      </c>
      <c r="D156" s="65" t="inlineStr">
        <is>
          <t>Insurance - Property &amp; Casualty</t>
        </is>
      </c>
      <c r="E156" s="72" t="n">
        <v>168.42</v>
      </c>
      <c r="F156" s="73" t="n">
        <v>0.17704988</v>
      </c>
      <c r="G156" s="74" t="n">
        <v>26.276636672</v>
      </c>
      <c r="H156" s="73" t="n">
        <v>0.218</v>
      </c>
      <c r="I156" s="75" t="n">
        <v>0.25018</v>
      </c>
      <c r="J156" s="76" t="n">
        <v>11.102175</v>
      </c>
      <c r="K156" s="85" t="n">
        <v>6141.499904</v>
      </c>
      <c r="L156" s="74" t="n">
        <v>107.0578916533294</v>
      </c>
      <c r="M156" s="73" t="n">
        <v>3.074261595564425</v>
      </c>
      <c r="N156" s="76" t="n">
        <v>4.267542548172935</v>
      </c>
      <c r="O156" s="118" t="inlineStr">
        <is>
          <t>—</t>
        </is>
      </c>
      <c r="P156" s="118" t="inlineStr">
        <is>
          <t>—</t>
        </is>
      </c>
      <c r="Q156" s="118" t="inlineStr">
        <is>
          <t>—</t>
        </is>
      </c>
      <c r="R156" s="118" t="inlineStr">
        <is>
          <t>—</t>
        </is>
      </c>
      <c r="S156" s="118" t="inlineStr">
        <is>
          <t>—</t>
        </is>
      </c>
    </row>
    <row r="157" ht="20" customHeight="1" s="57">
      <c r="A157" s="67" t="n">
        <v>152</v>
      </c>
      <c r="B157" s="68" t="inlineStr">
        <is>
          <t>RMD</t>
        </is>
      </c>
      <c r="C157" s="69" t="inlineStr">
        <is>
          <t>ResMed</t>
        </is>
      </c>
      <c r="D157" s="70" t="inlineStr">
        <is>
          <t>Medical Instruments &amp; Supplies</t>
        </is>
      </c>
      <c r="E157" s="79" t="n">
        <v>258.55</v>
      </c>
      <c r="F157" s="73" t="n">
        <v>0.15391147</v>
      </c>
      <c r="G157" s="80" t="n">
        <v>37.73958144</v>
      </c>
      <c r="H157" s="73" t="n">
        <v>0.11</v>
      </c>
      <c r="I157" s="81" t="n">
        <v>0.61474</v>
      </c>
      <c r="J157" s="82" t="n">
        <v>25.599009</v>
      </c>
      <c r="K157" s="83" t="n">
        <v>1417.400064</v>
      </c>
      <c r="L157" s="80" t="n">
        <v>24.21158908017891</v>
      </c>
      <c r="M157" s="84" t="n">
        <v>-0.3584563432779049</v>
      </c>
      <c r="N157" s="82" t="n">
        <v>26.57340826714539</v>
      </c>
      <c r="O157" s="119" t="inlineStr">
        <is>
          <t>—</t>
        </is>
      </c>
      <c r="P157" s="119" t="inlineStr">
        <is>
          <t>—</t>
        </is>
      </c>
      <c r="Q157" s="119" t="inlineStr">
        <is>
          <t>—</t>
        </is>
      </c>
      <c r="R157" s="119" t="inlineStr">
        <is>
          <t>—</t>
        </is>
      </c>
      <c r="S157" s="119" t="inlineStr">
        <is>
          <t>—</t>
        </is>
      </c>
    </row>
    <row r="158" ht="20" customHeight="1" s="57">
      <c r="A158" s="62" t="n">
        <v>153</v>
      </c>
      <c r="B158" s="63" t="inlineStr">
        <is>
          <t>GIS</t>
        </is>
      </c>
      <c r="C158" s="64" t="inlineStr">
        <is>
          <t>General Mills</t>
        </is>
      </c>
      <c r="D158" s="65" t="inlineStr">
        <is>
          <t>Packaged Foods</t>
        </is>
      </c>
      <c r="E158" s="72" t="n">
        <v>43.755</v>
      </c>
      <c r="F158" s="84" t="n">
        <v>-0.26935697</v>
      </c>
      <c r="G158" s="74" t="n">
        <v>23.346884608</v>
      </c>
      <c r="H158" s="84" t="n">
        <v>-0.07199999999999999</v>
      </c>
      <c r="I158" s="75" t="n">
        <v>0.33830002</v>
      </c>
      <c r="J158" s="76" t="n">
        <v>9.409677500000001</v>
      </c>
      <c r="K158" s="85" t="n">
        <v>2478.249984</v>
      </c>
      <c r="L158" s="74" t="n">
        <v>19.22017628590226</v>
      </c>
      <c r="M158" s="84" t="n">
        <v>-0.1767562735408257</v>
      </c>
      <c r="N158" s="76" t="n">
        <v>9.420713852471067</v>
      </c>
      <c r="O158" s="118" t="inlineStr">
        <is>
          <t>—</t>
        </is>
      </c>
      <c r="P158" s="118" t="inlineStr">
        <is>
          <t>—</t>
        </is>
      </c>
      <c r="Q158" s="118" t="inlineStr">
        <is>
          <t>—</t>
        </is>
      </c>
      <c r="R158" s="118" t="inlineStr">
        <is>
          <t>—</t>
        </is>
      </c>
      <c r="S158" s="118" t="inlineStr">
        <is>
          <t>—</t>
        </is>
      </c>
    </row>
    <row r="159" ht="20" customHeight="1" s="57">
      <c r="A159" s="67" t="n">
        <v>154</v>
      </c>
      <c r="B159" s="68" t="inlineStr">
        <is>
          <t>AON</t>
        </is>
      </c>
      <c r="C159" s="69" t="inlineStr">
        <is>
          <t>Aon</t>
        </is>
      </c>
      <c r="D159" s="70" t="inlineStr">
        <is>
          <t>Insurance Brokers</t>
        </is>
      </c>
      <c r="E159" s="79" t="n">
        <v>340.975</v>
      </c>
      <c r="F159" s="84" t="n">
        <v>-0.16086322</v>
      </c>
      <c r="G159" s="80" t="n">
        <v>73.28754892800001</v>
      </c>
      <c r="H159" s="73" t="n">
        <v>0.037</v>
      </c>
      <c r="I159" s="81" t="n">
        <v>0.47197</v>
      </c>
      <c r="J159" s="82" t="n">
        <v>20.033783</v>
      </c>
      <c r="K159" s="83" t="n">
        <v>3059.875072</v>
      </c>
      <c r="L159" s="80" t="n">
        <v>35.47927543304964</v>
      </c>
      <c r="M159" s="84" t="n">
        <v>-0.5158894525466312</v>
      </c>
      <c r="N159" s="82" t="n">
        <v>23.87529721134968</v>
      </c>
      <c r="O159" s="125" t="inlineStr">
        <is>
          <t>YES</t>
        </is>
      </c>
      <c r="P159" s="126" t="n">
        <v>1.51</v>
      </c>
      <c r="Q159" s="122" t="inlineStr">
        <is>
          <t>Sell</t>
        </is>
      </c>
      <c r="R159" s="128" t="n">
        <v>285</v>
      </c>
      <c r="S159" s="129" t="inlineStr">
        <is>
          <t>Held Q1-Q3 → Trimmed 0.3M Q4 @~$385</t>
        </is>
      </c>
    </row>
    <row r="160" ht="20" customHeight="1" s="57">
      <c r="A160" s="62" t="n">
        <v>155</v>
      </c>
      <c r="B160" s="63" t="inlineStr">
        <is>
          <t>CTAS</t>
        </is>
      </c>
      <c r="C160" s="64" t="inlineStr">
        <is>
          <t>Cintas</t>
        </is>
      </c>
      <c r="D160" s="65" t="inlineStr">
        <is>
          <t>Specialty Business Services</t>
        </is>
      </c>
      <c r="E160" s="72" t="n">
        <v>201</v>
      </c>
      <c r="F160" s="84" t="n">
        <v>-0.01821816</v>
      </c>
      <c r="G160" s="74" t="n">
        <v>80.775200768</v>
      </c>
      <c r="H160" s="73" t="n">
        <v>0.093</v>
      </c>
      <c r="I160" s="75" t="n">
        <v>0.50249</v>
      </c>
      <c r="J160" s="76" t="n">
        <v>43.506496</v>
      </c>
      <c r="K160" s="85" t="n">
        <v>1546.515584</v>
      </c>
      <c r="L160" s="74" t="n">
        <v>23.1813046305991</v>
      </c>
      <c r="M160" s="84" t="n">
        <v>-0.7130145835578953</v>
      </c>
      <c r="N160" s="76" t="n">
        <v>51.9734942716232</v>
      </c>
      <c r="O160" s="118" t="inlineStr">
        <is>
          <t>—</t>
        </is>
      </c>
      <c r="P160" s="118" t="inlineStr">
        <is>
          <t>—</t>
        </is>
      </c>
      <c r="Q160" s="118" t="inlineStr">
        <is>
          <t>—</t>
        </is>
      </c>
      <c r="R160" s="118" t="inlineStr">
        <is>
          <t>—</t>
        </is>
      </c>
      <c r="S160" s="118" t="inlineStr">
        <is>
          <t>—</t>
        </is>
      </c>
    </row>
    <row r="161" ht="20" customHeight="1" s="57">
      <c r="A161" s="67" t="n">
        <v>156</v>
      </c>
      <c r="B161" s="68" t="inlineStr">
        <is>
          <t>APH</t>
        </is>
      </c>
      <c r="C161" s="69" t="inlineStr">
        <is>
          <t>Amphenol</t>
        </is>
      </c>
      <c r="D161" s="70" t="inlineStr">
        <is>
          <t>Electronic Components</t>
        </is>
      </c>
      <c r="E161" s="79" t="n">
        <v>133.32</v>
      </c>
      <c r="F161" s="73" t="n">
        <v>1.0024726</v>
      </c>
      <c r="G161" s="80" t="n">
        <v>163.878944768</v>
      </c>
      <c r="H161" s="73" t="n">
        <v>0.491</v>
      </c>
      <c r="I161" s="81" t="n">
        <v>0.37217999</v>
      </c>
      <c r="J161" s="82" t="n">
        <v>39.916172</v>
      </c>
      <c r="K161" s="83" t="n">
        <v>3280.075008</v>
      </c>
      <c r="L161" s="80" t="n">
        <v>65.12103656008125</v>
      </c>
      <c r="M161" s="84" t="n">
        <v>-0.6026271913559625</v>
      </c>
      <c r="N161" s="82" t="n">
        <v>49.961947232275</v>
      </c>
      <c r="O161" s="119" t="inlineStr">
        <is>
          <t>—</t>
        </is>
      </c>
      <c r="P161" s="119" t="inlineStr">
        <is>
          <t>—</t>
        </is>
      </c>
      <c r="Q161" s="119" t="inlineStr">
        <is>
          <t>—</t>
        </is>
      </c>
      <c r="R161" s="119" t="inlineStr">
        <is>
          <t>—</t>
        </is>
      </c>
      <c r="S161" s="119" t="inlineStr">
        <is>
          <t>—</t>
        </is>
      </c>
    </row>
    <row r="162" ht="20" customHeight="1" s="57">
      <c r="A162" s="62" t="n">
        <v>157</v>
      </c>
      <c r="B162" s="63" t="inlineStr">
        <is>
          <t>NEM</t>
        </is>
      </c>
      <c r="C162" s="64" t="inlineStr">
        <is>
          <t>Newmont</t>
        </is>
      </c>
      <c r="D162" s="65" t="inlineStr">
        <is>
          <t>Gold</t>
        </is>
      </c>
      <c r="E162" s="72" t="n">
        <v>119.6825</v>
      </c>
      <c r="F162" s="73" t="n">
        <v>1.7028506</v>
      </c>
      <c r="G162" s="74" t="n">
        <v>130.591440896</v>
      </c>
      <c r="H162" s="73" t="n">
        <v>0.206</v>
      </c>
      <c r="I162" s="75" t="n">
        <v>0.63236</v>
      </c>
      <c r="J162" s="76" t="n">
        <v>18.7277</v>
      </c>
      <c r="K162" s="85" t="n">
        <v>9496.75008</v>
      </c>
      <c r="L162" s="74" t="n">
        <v>169.895726765798</v>
      </c>
      <c r="M162" s="73" t="n">
        <v>0.3009713776042877</v>
      </c>
      <c r="N162" s="76" t="n">
        <v>13.70990120629667</v>
      </c>
      <c r="O162" s="118" t="inlineStr">
        <is>
          <t>—</t>
        </is>
      </c>
      <c r="P162" s="118" t="inlineStr">
        <is>
          <t>—</t>
        </is>
      </c>
      <c r="Q162" s="118" t="inlineStr">
        <is>
          <t>—</t>
        </is>
      </c>
      <c r="R162" s="118" t="inlineStr">
        <is>
          <t>—</t>
        </is>
      </c>
      <c r="S162" s="118" t="inlineStr">
        <is>
          <t>—</t>
        </is>
      </c>
    </row>
    <row r="163" ht="20" customHeight="1" s="57">
      <c r="A163" s="67" t="n">
        <v>158</v>
      </c>
      <c r="B163" s="68" t="inlineStr">
        <is>
          <t>ABT</t>
        </is>
      </c>
      <c r="C163" s="69" t="inlineStr">
        <is>
          <t>Abbott Laboratories</t>
        </is>
      </c>
      <c r="D163" s="70" t="inlineStr">
        <is>
          <t>Medical Devices</t>
        </is>
      </c>
      <c r="E163" s="79" t="n">
        <v>113.599</v>
      </c>
      <c r="F163" s="84" t="n">
        <v>-0.17500544</v>
      </c>
      <c r="G163" s="80" t="n">
        <v>197.399035904</v>
      </c>
      <c r="H163" s="73" t="n">
        <v>0.044</v>
      </c>
      <c r="I163" s="81" t="n">
        <v>0.56664</v>
      </c>
      <c r="J163" s="82" t="n">
        <v>30.537365</v>
      </c>
      <c r="K163" s="83" t="n">
        <v>6288.999936</v>
      </c>
      <c r="L163" s="80" t="n">
        <v>78.30302333290808</v>
      </c>
      <c r="M163" s="84" t="n">
        <v>-0.6033262119325205</v>
      </c>
      <c r="N163" s="82" t="n">
        <v>31.38798541725935</v>
      </c>
      <c r="O163" s="119" t="inlineStr">
        <is>
          <t>—</t>
        </is>
      </c>
      <c r="P163" s="119" t="inlineStr">
        <is>
          <t>—</t>
        </is>
      </c>
      <c r="Q163" s="119" t="inlineStr">
        <is>
          <t>—</t>
        </is>
      </c>
      <c r="R163" s="119" t="inlineStr">
        <is>
          <t>—</t>
        </is>
      </c>
      <c r="S163" s="119" t="inlineStr">
        <is>
          <t>—</t>
        </is>
      </c>
    </row>
    <row r="164" ht="20" customHeight="1" s="57">
      <c r="A164" s="62" t="n">
        <v>159</v>
      </c>
      <c r="B164" s="63" t="inlineStr">
        <is>
          <t>SNA</t>
        </is>
      </c>
      <c r="C164" s="64" t="inlineStr">
        <is>
          <t>Snap-on</t>
        </is>
      </c>
      <c r="D164" s="65" t="inlineStr">
        <is>
          <t>Tools &amp; Accessories</t>
        </is>
      </c>
      <c r="E164" s="72" t="n">
        <v>384.45</v>
      </c>
      <c r="F164" s="73" t="n">
        <v>0.14984119</v>
      </c>
      <c r="G164" s="74" t="n">
        <v>19.99430656</v>
      </c>
      <c r="H164" s="73" t="n">
        <v>0.031</v>
      </c>
      <c r="I164" s="75" t="n">
        <v>0.51735</v>
      </c>
      <c r="J164" s="76" t="n">
        <v>20.033873</v>
      </c>
      <c r="K164" s="85" t="n">
        <v>640.300032</v>
      </c>
      <c r="L164" s="74" t="n">
        <v>8.002721146012192</v>
      </c>
      <c r="M164" s="84" t="n">
        <v>-0.5997500027321682</v>
      </c>
      <c r="N164" s="76" t="n">
        <v>31.16976162895147</v>
      </c>
      <c r="O164" s="118" t="inlineStr">
        <is>
          <t>—</t>
        </is>
      </c>
      <c r="P164" s="118" t="inlineStr">
        <is>
          <t>—</t>
        </is>
      </c>
      <c r="Q164" s="118" t="inlineStr">
        <is>
          <t>—</t>
        </is>
      </c>
      <c r="R164" s="118" t="inlineStr">
        <is>
          <t>—</t>
        </is>
      </c>
      <c r="S164" s="118" t="inlineStr">
        <is>
          <t>—</t>
        </is>
      </c>
    </row>
    <row r="165" ht="20" customHeight="1" s="57">
      <c r="A165" s="67" t="n">
        <v>160</v>
      </c>
      <c r="B165" s="68" t="inlineStr">
        <is>
          <t>AJG</t>
        </is>
      </c>
      <c r="C165" s="69" t="inlineStr">
        <is>
          <t>Arthur J. Gallagher</t>
        </is>
      </c>
      <c r="D165" s="70" t="inlineStr">
        <is>
          <t>Insurance Brokers</t>
        </is>
      </c>
      <c r="E165" s="79" t="n">
        <v>226.75</v>
      </c>
      <c r="F165" s="84" t="n">
        <v>-0.33909446</v>
      </c>
      <c r="G165" s="80" t="n">
        <v>58.29742592</v>
      </c>
      <c r="H165" s="73" t="n">
        <v>0.367</v>
      </c>
      <c r="I165" s="81" t="n">
        <v>0.42163</v>
      </c>
      <c r="J165" s="82" t="n">
        <v>39.503487</v>
      </c>
      <c r="K165" s="83" t="n">
        <v>1075.000064</v>
      </c>
      <c r="L165" s="80" t="n">
        <v>19.58423299690702</v>
      </c>
      <c r="M165" s="84" t="n">
        <v>-0.6640635038709609</v>
      </c>
      <c r="N165" s="82" t="n">
        <v>54.23015956211142</v>
      </c>
      <c r="O165" s="119" t="inlineStr">
        <is>
          <t>—</t>
        </is>
      </c>
      <c r="P165" s="119" t="inlineStr">
        <is>
          <t>—</t>
        </is>
      </c>
      <c r="Q165" s="119" t="inlineStr">
        <is>
          <t>—</t>
        </is>
      </c>
      <c r="R165" s="119" t="inlineStr">
        <is>
          <t>—</t>
        </is>
      </c>
      <c r="S165" s="119" t="inlineStr">
        <is>
          <t>—</t>
        </is>
      </c>
    </row>
    <row r="166" ht="20" customHeight="1" s="57">
      <c r="A166" s="62" t="n">
        <v>161</v>
      </c>
      <c r="B166" s="63" t="inlineStr">
        <is>
          <t>EMR</t>
        </is>
      </c>
      <c r="C166" s="64" t="inlineStr">
        <is>
          <t>Emerson Electric</t>
        </is>
      </c>
      <c r="D166" s="65" t="inlineStr">
        <is>
          <t>Specialty Industrial Machinery</t>
        </is>
      </c>
      <c r="E166" s="72" t="n">
        <v>145.87</v>
      </c>
      <c r="F166" s="73" t="n">
        <v>0.26527965</v>
      </c>
      <c r="G166" s="74" t="n">
        <v>82.022998016</v>
      </c>
      <c r="H166" s="73" t="n">
        <v>0.041</v>
      </c>
      <c r="I166" s="75" t="n">
        <v>0.52757</v>
      </c>
      <c r="J166" s="76" t="n">
        <v>35.840294</v>
      </c>
      <c r="K166" s="85" t="n">
        <v>2879.375104</v>
      </c>
      <c r="L166" s="74" t="n">
        <v>33.55394519374114</v>
      </c>
      <c r="M166" s="84" t="n">
        <v>-0.5909202783931908</v>
      </c>
      <c r="N166" s="76" t="n">
        <v>28.47108731547885</v>
      </c>
      <c r="O166" s="118" t="inlineStr">
        <is>
          <t>—</t>
        </is>
      </c>
      <c r="P166" s="118" t="inlineStr">
        <is>
          <t>—</t>
        </is>
      </c>
      <c r="Q166" s="118" t="inlineStr">
        <is>
          <t>—</t>
        </is>
      </c>
      <c r="R166" s="118" t="inlineStr">
        <is>
          <t>—</t>
        </is>
      </c>
      <c r="S166" s="118" t="inlineStr">
        <is>
          <t>—</t>
        </is>
      </c>
    </row>
    <row r="167" ht="20" customHeight="1" s="57">
      <c r="A167" s="67" t="n">
        <v>162</v>
      </c>
      <c r="B167" s="68" t="inlineStr">
        <is>
          <t>ZBRA</t>
        </is>
      </c>
      <c r="C167" s="69" t="inlineStr">
        <is>
          <t>Zebra Technologies</t>
        </is>
      </c>
      <c r="D167" s="70" t="inlineStr">
        <is>
          <t>Communication Equipment</t>
        </is>
      </c>
      <c r="E167" s="79" t="n">
        <v>230.72</v>
      </c>
      <c r="F167" s="84" t="n">
        <v>-0.2586184</v>
      </c>
      <c r="G167" s="80" t="n">
        <v>11.68833024</v>
      </c>
      <c r="H167" s="73" t="n">
        <v>0.106</v>
      </c>
      <c r="I167" s="81" t="n">
        <v>0.48054</v>
      </c>
      <c r="J167" s="82" t="n">
        <v>28.205378</v>
      </c>
      <c r="K167" s="83" t="n">
        <v>658.499968</v>
      </c>
      <c r="L167" s="80" t="n">
        <v>10.61771218535984</v>
      </c>
      <c r="M167" s="84" t="n">
        <v>-0.09159717706950792</v>
      </c>
      <c r="N167" s="82" t="n">
        <v>17.23539939014849</v>
      </c>
      <c r="O167" s="119" t="inlineStr">
        <is>
          <t>—</t>
        </is>
      </c>
      <c r="P167" s="119" t="inlineStr">
        <is>
          <t>—</t>
        </is>
      </c>
      <c r="Q167" s="119" t="inlineStr">
        <is>
          <t>—</t>
        </is>
      </c>
      <c r="R167" s="119" t="inlineStr">
        <is>
          <t>—</t>
        </is>
      </c>
      <c r="S167" s="119" t="inlineStr">
        <is>
          <t>—</t>
        </is>
      </c>
    </row>
    <row r="168" ht="20" customHeight="1" s="57">
      <c r="A168" s="62" t="n">
        <v>163</v>
      </c>
      <c r="B168" s="63" t="inlineStr">
        <is>
          <t>WRB</t>
        </is>
      </c>
      <c r="C168" s="64" t="inlineStr">
        <is>
          <t>WR Berkley</t>
        </is>
      </c>
      <c r="D168" s="65" t="inlineStr">
        <is>
          <t>Insurance - Property &amp; Casualty</t>
        </is>
      </c>
      <c r="E168" s="72" t="n">
        <v>70.75</v>
      </c>
      <c r="F168" s="73" t="n">
        <v>0.16168237</v>
      </c>
      <c r="G168" s="74" t="n">
        <v>26.886498304</v>
      </c>
      <c r="H168" s="73" t="n">
        <v>0.015</v>
      </c>
      <c r="I168" s="75" t="n">
        <v>0.43407002</v>
      </c>
      <c r="J168" s="76" t="n">
        <v>15.898877</v>
      </c>
      <c r="K168" s="85" t="n">
        <v>3353.142016</v>
      </c>
      <c r="L168" s="74" t="n">
        <v>35.33740252102912</v>
      </c>
      <c r="M168" s="73" t="n">
        <v>0.314317771004484</v>
      </c>
      <c r="N168" s="76" t="n">
        <v>7.957845767544133</v>
      </c>
      <c r="O168" s="118" t="inlineStr">
        <is>
          <t>—</t>
        </is>
      </c>
      <c r="P168" s="118" t="inlineStr">
        <is>
          <t>—</t>
        </is>
      </c>
      <c r="Q168" s="118" t="inlineStr">
        <is>
          <t>—</t>
        </is>
      </c>
      <c r="R168" s="118" t="inlineStr">
        <is>
          <t>—</t>
        </is>
      </c>
      <c r="S168" s="118" t="inlineStr">
        <is>
          <t>—</t>
        </is>
      </c>
    </row>
    <row r="169" ht="20" customHeight="1" s="57">
      <c r="A169" s="67" t="n">
        <v>164</v>
      </c>
      <c r="B169" s="68" t="inlineStr">
        <is>
          <t>COP</t>
        </is>
      </c>
      <c r="C169" s="69" t="inlineStr">
        <is>
          <t>ConocoPhillips</t>
        </is>
      </c>
      <c r="D169" s="70" t="inlineStr">
        <is>
          <t>Oil &amp; Gas E&amp;P</t>
        </is>
      </c>
      <c r="E169" s="79" t="n">
        <v>115.68</v>
      </c>
      <c r="F169" s="73" t="n">
        <v>0.33348334</v>
      </c>
      <c r="G169" s="80" t="n">
        <v>141.400195072</v>
      </c>
      <c r="H169" s="84" t="n">
        <v>-0.068</v>
      </c>
      <c r="I169" s="81" t="n">
        <v>0.4618</v>
      </c>
      <c r="J169" s="82" t="n">
        <v>18.217323</v>
      </c>
      <c r="K169" s="83" t="n">
        <v>7486.875136</v>
      </c>
      <c r="L169" s="80" t="n">
        <v>61.75210765343746</v>
      </c>
      <c r="M169" s="84" t="n">
        <v>-0.563281312150993</v>
      </c>
      <c r="N169" s="82" t="n">
        <v>18.88640995539638</v>
      </c>
      <c r="O169" s="119" t="inlineStr">
        <is>
          <t>—</t>
        </is>
      </c>
      <c r="P169" s="119" t="inlineStr">
        <is>
          <t>—</t>
        </is>
      </c>
      <c r="Q169" s="119" t="inlineStr">
        <is>
          <t>—</t>
        </is>
      </c>
      <c r="R169" s="119" t="inlineStr">
        <is>
          <t>—</t>
        </is>
      </c>
      <c r="S169" s="119" t="inlineStr">
        <is>
          <t>—</t>
        </is>
      </c>
    </row>
    <row r="170" ht="20" customHeight="1" s="57">
      <c r="A170" s="62" t="n">
        <v>165</v>
      </c>
      <c r="B170" s="63" t="inlineStr">
        <is>
          <t>ETN</t>
        </is>
      </c>
      <c r="C170" s="64" t="inlineStr">
        <is>
          <t>Eaton Corp</t>
        </is>
      </c>
      <c r="D170" s="65" t="inlineStr">
        <is>
          <t>Specialty Industrial Machinery</t>
        </is>
      </c>
      <c r="E170" s="72" t="n">
        <v>356.4</v>
      </c>
      <c r="F170" s="73" t="n">
        <v>0.23574185</v>
      </c>
      <c r="G170" s="74" t="n">
        <v>138.74651136</v>
      </c>
      <c r="H170" s="73" t="n">
        <v>0.131</v>
      </c>
      <c r="I170" s="75" t="n">
        <v>0.37772998</v>
      </c>
      <c r="J170" s="76" t="n">
        <v>34.105263</v>
      </c>
      <c r="K170" s="85" t="n">
        <v>2598.000128</v>
      </c>
      <c r="L170" s="74" t="n">
        <v>45.38931158789053</v>
      </c>
      <c r="M170" s="84" t="n">
        <v>-0.6728616010378762</v>
      </c>
      <c r="N170" s="76" t="n">
        <v>53.28166019243552</v>
      </c>
      <c r="O170" s="118" t="inlineStr">
        <is>
          <t>—</t>
        </is>
      </c>
      <c r="P170" s="118" t="inlineStr">
        <is>
          <t>—</t>
        </is>
      </c>
      <c r="Q170" s="118" t="inlineStr">
        <is>
          <t>—</t>
        </is>
      </c>
      <c r="R170" s="118" t="inlineStr">
        <is>
          <t>—</t>
        </is>
      </c>
      <c r="S170" s="118" t="inlineStr">
        <is>
          <t>—</t>
        </is>
      </c>
    </row>
    <row r="171" ht="20" customHeight="1" s="57">
      <c r="A171" s="67" t="n">
        <v>166</v>
      </c>
      <c r="B171" s="68" t="inlineStr">
        <is>
          <t>ACN</t>
        </is>
      </c>
      <c r="C171" s="69" t="inlineStr">
        <is>
          <t>Accenture</t>
        </is>
      </c>
      <c r="D171" s="70" t="inlineStr">
        <is>
          <t>Information Technology Services</t>
        </is>
      </c>
      <c r="E171" s="79" t="n">
        <v>212.84</v>
      </c>
      <c r="F171" s="84" t="n">
        <v>-0.39731812</v>
      </c>
      <c r="G171" s="80" t="n">
        <v>131.990355968</v>
      </c>
      <c r="H171" s="73" t="n">
        <v>0.06</v>
      </c>
      <c r="I171" s="81" t="n">
        <v>0.31968</v>
      </c>
      <c r="J171" s="82" t="n">
        <v>17.604631</v>
      </c>
      <c r="K171" s="83" t="n">
        <v>11122.880512</v>
      </c>
      <c r="L171" s="80" t="n">
        <v>145.530889266095</v>
      </c>
      <c r="M171" s="73" t="n">
        <v>0.1025872928274984</v>
      </c>
      <c r="N171" s="82" t="n">
        <v>11.77655546153187</v>
      </c>
      <c r="O171" s="119" t="inlineStr">
        <is>
          <t>—</t>
        </is>
      </c>
      <c r="P171" s="119" t="inlineStr">
        <is>
          <t>—</t>
        </is>
      </c>
      <c r="Q171" s="119" t="inlineStr">
        <is>
          <t>—</t>
        </is>
      </c>
      <c r="R171" s="119" t="inlineStr">
        <is>
          <t>—</t>
        </is>
      </c>
      <c r="S171" s="119" t="inlineStr">
        <is>
          <t>—</t>
        </is>
      </c>
    </row>
    <row r="172" ht="20" customHeight="1" s="57">
      <c r="A172" s="62" t="n">
        <v>167</v>
      </c>
      <c r="B172" s="63" t="inlineStr">
        <is>
          <t>CLX</t>
        </is>
      </c>
      <c r="C172" s="64" t="inlineStr">
        <is>
          <t>Clorox</t>
        </is>
      </c>
      <c r="D172" s="65" t="inlineStr">
        <is>
          <t>Household &amp; Personal Products</t>
        </is>
      </c>
      <c r="E172" s="72" t="n">
        <v>117.77</v>
      </c>
      <c r="F172" s="84" t="n">
        <v>-0.19103897</v>
      </c>
      <c r="G172" s="74" t="n">
        <v>14.365628416</v>
      </c>
      <c r="H172" s="84" t="n">
        <v>-0.008</v>
      </c>
      <c r="I172" s="75" t="n">
        <v>0.44155</v>
      </c>
      <c r="J172" s="76" t="n">
        <v>19.274958</v>
      </c>
      <c r="K172" s="85" t="n">
        <v>1004.374976</v>
      </c>
      <c r="L172" s="74" t="n">
        <v>8.741261286730877</v>
      </c>
      <c r="M172" s="84" t="n">
        <v>-0.3915155652365944</v>
      </c>
      <c r="N172" s="76" t="n">
        <v>14.17776273381586</v>
      </c>
      <c r="O172" s="118" t="inlineStr">
        <is>
          <t>—</t>
        </is>
      </c>
      <c r="P172" s="118" t="inlineStr">
        <is>
          <t>—</t>
        </is>
      </c>
      <c r="Q172" s="118" t="inlineStr">
        <is>
          <t>—</t>
        </is>
      </c>
      <c r="R172" s="118" t="inlineStr">
        <is>
          <t>—</t>
        </is>
      </c>
      <c r="S172" s="118" t="inlineStr">
        <is>
          <t>—</t>
        </is>
      </c>
    </row>
    <row r="173" ht="20" customHeight="1" s="57">
      <c r="A173" s="67" t="n">
        <v>168</v>
      </c>
      <c r="B173" s="68" t="inlineStr">
        <is>
          <t>WM</t>
        </is>
      </c>
      <c r="C173" s="69" t="inlineStr">
        <is>
          <t>Waste Management</t>
        </is>
      </c>
      <c r="D173" s="70" t="inlineStr">
        <is>
          <t>Waste Management</t>
        </is>
      </c>
      <c r="E173" s="79" t="n">
        <v>243.5</v>
      </c>
      <c r="F173" s="73" t="n">
        <v>0.05664313</v>
      </c>
      <c r="G173" s="80" t="n">
        <v>98.212257792</v>
      </c>
      <c r="H173" s="73" t="n">
        <v>0.07099999999999999</v>
      </c>
      <c r="I173" s="81" t="n">
        <v>0.40438</v>
      </c>
      <c r="J173" s="82" t="n">
        <v>36.39761</v>
      </c>
      <c r="K173" s="83" t="n">
        <v>1732</v>
      </c>
      <c r="L173" s="80" t="n">
        <v>23.02388013479995</v>
      </c>
      <c r="M173" s="84" t="n">
        <v>-0.7655701981359461</v>
      </c>
      <c r="N173" s="82" t="n">
        <v>56.70453964982679</v>
      </c>
      <c r="O173" s="119" t="inlineStr">
        <is>
          <t>—</t>
        </is>
      </c>
      <c r="P173" s="119" t="inlineStr">
        <is>
          <t>—</t>
        </is>
      </c>
      <c r="Q173" s="119" t="inlineStr">
        <is>
          <t>—</t>
        </is>
      </c>
      <c r="R173" s="119" t="inlineStr">
        <is>
          <t>—</t>
        </is>
      </c>
      <c r="S173" s="119" t="inlineStr">
        <is>
          <t>—</t>
        </is>
      </c>
    </row>
    <row r="174" ht="20" customHeight="1" s="57">
      <c r="A174" s="62" t="n">
        <v>169</v>
      </c>
      <c r="B174" s="63" t="inlineStr">
        <is>
          <t>AOS</t>
        </is>
      </c>
      <c r="C174" s="64" t="inlineStr">
        <is>
          <t>A.O. Smith</t>
        </is>
      </c>
      <c r="D174" s="65" t="inlineStr">
        <is>
          <t>Specialty Industrial Machinery</t>
        </is>
      </c>
      <c r="E174" s="72" t="n">
        <v>73.64</v>
      </c>
      <c r="F174" s="73" t="n">
        <v>0.13729322</v>
      </c>
      <c r="G174" s="74" t="n">
        <v>10.18366976</v>
      </c>
      <c r="H174" s="75" t="n">
        <v>0</v>
      </c>
      <c r="I174" s="75" t="n">
        <v>0.38833</v>
      </c>
      <c r="J174" s="76" t="n">
        <v>19.127274</v>
      </c>
      <c r="K174" s="85" t="n">
        <v>426.162496</v>
      </c>
      <c r="L174" s="74" t="n">
        <v>4.635628768699561</v>
      </c>
      <c r="M174" s="84" t="n">
        <v>-0.5447978108139713</v>
      </c>
      <c r="N174" s="76" t="n">
        <v>19.42711181023306</v>
      </c>
      <c r="O174" s="118" t="inlineStr">
        <is>
          <t>—</t>
        </is>
      </c>
      <c r="P174" s="118" t="inlineStr">
        <is>
          <t>—</t>
        </is>
      </c>
      <c r="Q174" s="118" t="inlineStr">
        <is>
          <t>—</t>
        </is>
      </c>
      <c r="R174" s="118" t="inlineStr">
        <is>
          <t>—</t>
        </is>
      </c>
      <c r="S174" s="118" t="inlineStr">
        <is>
          <t>—</t>
        </is>
      </c>
    </row>
    <row r="175" ht="20" customHeight="1" s="57">
      <c r="A175" s="62" t="n">
        <v>170</v>
      </c>
      <c r="B175" s="63" t="inlineStr">
        <is>
          <t>LUV</t>
        </is>
      </c>
      <c r="C175" s="64" t="inlineStr">
        <is>
          <t>Southwest Airlines</t>
        </is>
      </c>
      <c r="D175" s="65" t="inlineStr">
        <is>
          <t>Airlines</t>
        </is>
      </c>
      <c r="E175" s="79" t="n">
        <v>47.24</v>
      </c>
      <c r="F175" s="73" t="n">
        <v>0.5943239</v>
      </c>
      <c r="G175" s="80" t="n">
        <v>24.430405632</v>
      </c>
      <c r="H175" s="73" t="n">
        <v>0.074</v>
      </c>
      <c r="I175" s="81" t="n">
        <v>0.2204</v>
      </c>
      <c r="J175" s="82" t="n">
        <v>59.79747</v>
      </c>
      <c r="K175" s="83" t="n">
        <v>-683.875008</v>
      </c>
      <c r="L175" s="78" t="inlineStr">
        <is>
          <t>—</t>
        </is>
      </c>
      <c r="M175" s="78" t="inlineStr">
        <is>
          <t>—</t>
        </is>
      </c>
      <c r="N175" s="82" t="n">
        <v>-33.93874842053009</v>
      </c>
      <c r="O175" s="119" t="inlineStr">
        <is>
          <t>—</t>
        </is>
      </c>
      <c r="P175" s="119" t="inlineStr">
        <is>
          <t>—</t>
        </is>
      </c>
      <c r="Q175" s="119" t="inlineStr">
        <is>
          <t>—</t>
        </is>
      </c>
      <c r="R175" s="119" t="inlineStr">
        <is>
          <t>—</t>
        </is>
      </c>
      <c r="S175" s="119" t="inlineStr">
        <is>
          <t>—</t>
        </is>
      </c>
    </row>
    <row r="176" ht="20" customHeight="1" s="57">
      <c r="A176" s="67" t="n">
        <v>171</v>
      </c>
      <c r="B176" s="68" t="inlineStr">
        <is>
          <t>MKC</t>
        </is>
      </c>
      <c r="C176" s="69" t="inlineStr">
        <is>
          <t>McCormick &amp; Co</t>
        </is>
      </c>
      <c r="D176" s="70" t="inlineStr">
        <is>
          <t>Packaged Foods</t>
        </is>
      </c>
      <c r="E176" s="72" t="n">
        <v>66.3</v>
      </c>
      <c r="F176" s="84" t="n">
        <v>-0.18203795</v>
      </c>
      <c r="G176" s="74" t="n">
        <v>17.797455872</v>
      </c>
      <c r="H176" s="73" t="n">
        <v>0.029</v>
      </c>
      <c r="I176" s="75" t="n">
        <v>0.37927</v>
      </c>
      <c r="J176" s="76" t="n">
        <v>22.627987</v>
      </c>
      <c r="K176" s="85" t="n">
        <v>564.524992</v>
      </c>
      <c r="L176" s="74" t="n">
        <v>5.98784367882853</v>
      </c>
      <c r="M176" s="84" t="n">
        <v>-0.663556200285404</v>
      </c>
      <c r="N176" s="76" t="n">
        <v>29.78218121652265</v>
      </c>
      <c r="O176" s="118" t="inlineStr">
        <is>
          <t>—</t>
        </is>
      </c>
      <c r="P176" s="118" t="inlineStr">
        <is>
          <t>—</t>
        </is>
      </c>
      <c r="Q176" s="118" t="inlineStr">
        <is>
          <t>—</t>
        </is>
      </c>
      <c r="R176" s="118" t="inlineStr">
        <is>
          <t>—</t>
        </is>
      </c>
      <c r="S176" s="118" t="inlineStr">
        <is>
          <t>—</t>
        </is>
      </c>
    </row>
    <row r="177" ht="20" customHeight="1" s="57">
      <c r="A177" s="62" t="n">
        <v>172</v>
      </c>
      <c r="B177" s="63" t="inlineStr">
        <is>
          <t>VZ</t>
        </is>
      </c>
      <c r="C177" s="64" t="inlineStr">
        <is>
          <t>Verizon Communications</t>
        </is>
      </c>
      <c r="D177" s="65" t="inlineStr">
        <is>
          <t>Telecom Services</t>
        </is>
      </c>
      <c r="E177" s="79" t="n">
        <v>51.05</v>
      </c>
      <c r="F177" s="73" t="n">
        <v>0.18744159</v>
      </c>
      <c r="G177" s="80" t="n">
        <v>215.312777216</v>
      </c>
      <c r="H177" s="73" t="n">
        <v>0.02</v>
      </c>
      <c r="I177" s="81" t="n">
        <v>0.59071</v>
      </c>
      <c r="J177" s="82" t="n">
        <v>12.573892</v>
      </c>
      <c r="K177" s="83" t="n">
        <v>17241.249792</v>
      </c>
      <c r="L177" s="80" t="n">
        <v>186.1809251657037</v>
      </c>
      <c r="M177" s="84" t="n">
        <v>-0.1353001546260837</v>
      </c>
      <c r="N177" s="82" t="n">
        <v>12.48823486545076</v>
      </c>
      <c r="O177" s="119" t="inlineStr">
        <is>
          <t>—</t>
        </is>
      </c>
      <c r="P177" s="119" t="inlineStr">
        <is>
          <t>—</t>
        </is>
      </c>
      <c r="Q177" s="119" t="inlineStr">
        <is>
          <t>—</t>
        </is>
      </c>
      <c r="R177" s="119" t="inlineStr">
        <is>
          <t>—</t>
        </is>
      </c>
      <c r="S177" s="119" t="inlineStr">
        <is>
          <t>—</t>
        </is>
      </c>
    </row>
    <row r="178" ht="20" customHeight="1" s="57">
      <c r="A178" s="67" t="n">
        <v>173</v>
      </c>
      <c r="B178" s="68" t="inlineStr">
        <is>
          <t>BSX</t>
        </is>
      </c>
      <c r="C178" s="69" t="inlineStr">
        <is>
          <t>Boston Scientific</t>
        </is>
      </c>
      <c r="D178" s="70" t="inlineStr">
        <is>
          <t>Medical Devices</t>
        </is>
      </c>
      <c r="E178" s="72" t="n">
        <v>72.7283</v>
      </c>
      <c r="F178" s="84" t="n">
        <v>-0.29471874</v>
      </c>
      <c r="G178" s="74" t="n">
        <v>107.915567104</v>
      </c>
      <c r="H178" s="73" t="n">
        <v>0.159</v>
      </c>
      <c r="I178" s="75" t="n">
        <v>0.68781</v>
      </c>
      <c r="J178" s="76" t="n">
        <v>37.48711</v>
      </c>
      <c r="K178" s="85" t="n">
        <v>3241.750016</v>
      </c>
      <c r="L178" s="74" t="n">
        <v>57.35844990038166</v>
      </c>
      <c r="M178" s="84" t="n">
        <v>-0.4684877127587684</v>
      </c>
      <c r="N178" s="76" t="n">
        <v>33.29080468171572</v>
      </c>
      <c r="O178" s="118" t="inlineStr">
        <is>
          <t>—</t>
        </is>
      </c>
      <c r="P178" s="118" t="inlineStr">
        <is>
          <t>—</t>
        </is>
      </c>
      <c r="Q178" s="118" t="inlineStr">
        <is>
          <t>—</t>
        </is>
      </c>
      <c r="R178" s="118" t="inlineStr">
        <is>
          <t>—</t>
        </is>
      </c>
      <c r="S178" s="118" t="inlineStr">
        <is>
          <t>—</t>
        </is>
      </c>
    </row>
    <row r="179" ht="20" customHeight="1" s="57">
      <c r="A179" s="62" t="n">
        <v>174</v>
      </c>
      <c r="B179" s="63" t="inlineStr">
        <is>
          <t>EXPE</t>
        </is>
      </c>
      <c r="C179" s="64" t="inlineStr">
        <is>
          <t>Expedia Group</t>
        </is>
      </c>
      <c r="D179" s="65" t="inlineStr">
        <is>
          <t>Travel Services</t>
        </is>
      </c>
      <c r="E179" s="79" t="n">
        <v>221.675</v>
      </c>
      <c r="F179" s="73" t="n">
        <v>0.12644637</v>
      </c>
      <c r="G179" s="80" t="n">
        <v>27.162918912</v>
      </c>
      <c r="H179" s="73" t="n">
        <v>0.114</v>
      </c>
      <c r="I179" s="81" t="n">
        <v>0.90116996</v>
      </c>
      <c r="J179" s="82" t="n">
        <v>22.59684</v>
      </c>
      <c r="K179" s="83" t="n">
        <v>2934.000128</v>
      </c>
      <c r="L179" s="80" t="n">
        <v>53.26592108630793</v>
      </c>
      <c r="M179" s="73" t="n">
        <v>0.9609792768911951</v>
      </c>
      <c r="N179" s="82" t="n">
        <v>8.840663128347009</v>
      </c>
      <c r="O179" s="119" t="inlineStr">
        <is>
          <t>—</t>
        </is>
      </c>
      <c r="P179" s="119" t="inlineStr">
        <is>
          <t>—</t>
        </is>
      </c>
      <c r="Q179" s="119" t="inlineStr">
        <is>
          <t>—</t>
        </is>
      </c>
      <c r="R179" s="119" t="inlineStr">
        <is>
          <t>—</t>
        </is>
      </c>
      <c r="S179" s="119" t="inlineStr">
        <is>
          <t>—</t>
        </is>
      </c>
    </row>
    <row r="180" ht="20" customHeight="1" s="57">
      <c r="A180" s="67" t="n">
        <v>175</v>
      </c>
      <c r="B180" s="68" t="inlineStr">
        <is>
          <t>IDXX</t>
        </is>
      </c>
      <c r="C180" s="69" t="inlineStr">
        <is>
          <t>IDEXX Laboratories</t>
        </is>
      </c>
      <c r="D180" s="70" t="inlineStr">
        <is>
          <t>Diagnostics &amp; Research</t>
        </is>
      </c>
      <c r="E180" s="72" t="n">
        <v>649.54</v>
      </c>
      <c r="F180" s="73" t="n">
        <v>0.45355988</v>
      </c>
      <c r="G180" s="74" t="n">
        <v>51.866628096</v>
      </c>
      <c r="H180" s="73" t="n">
        <v>0.143</v>
      </c>
      <c r="I180" s="75" t="n">
        <v>0.61797</v>
      </c>
      <c r="J180" s="76" t="n">
        <v>49.621082</v>
      </c>
      <c r="K180" s="85" t="n">
        <v>790.735872</v>
      </c>
      <c r="L180" s="74" t="n">
        <v>13.76659001123231</v>
      </c>
      <c r="M180" s="84" t="n">
        <v>-0.7345771160262874</v>
      </c>
      <c r="N180" s="76" t="n">
        <v>65.40615757515552</v>
      </c>
      <c r="O180" s="118" t="inlineStr">
        <is>
          <t>—</t>
        </is>
      </c>
      <c r="P180" s="118" t="inlineStr">
        <is>
          <t>—</t>
        </is>
      </c>
      <c r="Q180" s="118" t="inlineStr">
        <is>
          <t>—</t>
        </is>
      </c>
      <c r="R180" s="118" t="inlineStr">
        <is>
          <t>—</t>
        </is>
      </c>
      <c r="S180" s="118" t="inlineStr">
        <is>
          <t>—</t>
        </is>
      </c>
    </row>
    <row r="181" ht="20" customHeight="1" s="57">
      <c r="A181" s="62" t="n">
        <v>176</v>
      </c>
      <c r="B181" s="63" t="inlineStr">
        <is>
          <t>LVS</t>
        </is>
      </c>
      <c r="C181" s="64" t="inlineStr">
        <is>
          <t>Las Vegas Sands</t>
        </is>
      </c>
      <c r="D181" s="65" t="inlineStr">
        <is>
          <t>Resorts &amp; Casinos</t>
        </is>
      </c>
      <c r="E181" s="79" t="n">
        <v>56.29</v>
      </c>
      <c r="F181" s="73" t="n">
        <v>0.20955479</v>
      </c>
      <c r="G181" s="80" t="n">
        <v>38.059610112</v>
      </c>
      <c r="H181" s="73" t="n">
        <v>0.26</v>
      </c>
      <c r="I181" s="81" t="n">
        <v>0.79980004</v>
      </c>
      <c r="J181" s="82" t="n">
        <v>23.953194</v>
      </c>
      <c r="K181" s="83" t="n">
        <v>1973.374976</v>
      </c>
      <c r="L181" s="80" t="n">
        <v>36.89986551461247</v>
      </c>
      <c r="M181" s="84" t="n">
        <v>-0.03047179395623572</v>
      </c>
      <c r="N181" s="82" t="n">
        <v>19.16607591443888</v>
      </c>
      <c r="O181" s="119" t="inlineStr">
        <is>
          <t>—</t>
        </is>
      </c>
      <c r="P181" s="119" t="inlineStr">
        <is>
          <t>—</t>
        </is>
      </c>
      <c r="Q181" s="119" t="inlineStr">
        <is>
          <t>—</t>
        </is>
      </c>
      <c r="R181" s="119" t="inlineStr">
        <is>
          <t>—</t>
        </is>
      </c>
      <c r="S181" s="119" t="inlineStr">
        <is>
          <t>—</t>
        </is>
      </c>
    </row>
    <row r="182" ht="20" customHeight="1" s="57">
      <c r="A182" s="67" t="n">
        <v>177</v>
      </c>
      <c r="B182" s="68" t="inlineStr">
        <is>
          <t>CTSH</t>
        </is>
      </c>
      <c r="C182" s="69" t="inlineStr">
        <is>
          <t>Cognizant Tech Solns</t>
        </is>
      </c>
      <c r="D182" s="70" t="inlineStr">
        <is>
          <t>Information Technology Services</t>
        </is>
      </c>
      <c r="E182" s="72" t="n">
        <v>65.11</v>
      </c>
      <c r="F182" s="84" t="n">
        <v>-0.23668289</v>
      </c>
      <c r="G182" s="74" t="n">
        <v>31.425112064</v>
      </c>
      <c r="H182" s="73" t="n">
        <v>0.049</v>
      </c>
      <c r="I182" s="75" t="n">
        <v>0.33717</v>
      </c>
      <c r="J182" s="76" t="n">
        <v>14.278509</v>
      </c>
      <c r="K182" s="85" t="n">
        <v>1927.250048</v>
      </c>
      <c r="L182" s="74" t="n">
        <v>23.98984666776117</v>
      </c>
      <c r="M182" s="84" t="n">
        <v>-0.2366026692632395</v>
      </c>
      <c r="N182" s="76" t="n">
        <v>16.15704043879209</v>
      </c>
      <c r="O182" s="118" t="inlineStr">
        <is>
          <t>—</t>
        </is>
      </c>
      <c r="P182" s="118" t="inlineStr">
        <is>
          <t>—</t>
        </is>
      </c>
      <c r="Q182" s="118" t="inlineStr">
        <is>
          <t>—</t>
        </is>
      </c>
      <c r="R182" s="118" t="inlineStr">
        <is>
          <t>—</t>
        </is>
      </c>
      <c r="S182" s="118" t="inlineStr">
        <is>
          <t>—</t>
        </is>
      </c>
    </row>
    <row r="183" ht="20" customHeight="1" s="57">
      <c r="A183" s="62" t="n">
        <v>178</v>
      </c>
      <c r="B183" s="63" t="inlineStr">
        <is>
          <t>HST</t>
        </is>
      </c>
      <c r="C183" s="64" t="inlineStr">
        <is>
          <t>Host Hotels &amp; Resorts</t>
        </is>
      </c>
      <c r="D183" s="65" t="inlineStr">
        <is>
          <t>REIT - Hotel &amp; Motel</t>
        </is>
      </c>
      <c r="E183" s="79" t="n">
        <v>20.1067</v>
      </c>
      <c r="F183" s="73" t="n">
        <v>0.21890545</v>
      </c>
      <c r="G183" s="80" t="n">
        <v>14.006935552</v>
      </c>
      <c r="H183" s="73" t="n">
        <v>0.128</v>
      </c>
      <c r="I183" s="81" t="n">
        <v>0.28832</v>
      </c>
      <c r="J183" s="82" t="n">
        <v>18.277271</v>
      </c>
      <c r="K183" s="83" t="n">
        <v>1182.749952</v>
      </c>
      <c r="L183" s="80" t="n">
        <v>20.96548896591378</v>
      </c>
      <c r="M183" s="73" t="n">
        <v>0.4967934198083885</v>
      </c>
      <c r="N183" s="82" t="n">
        <v>11.69260847512822</v>
      </c>
      <c r="O183" s="119" t="inlineStr">
        <is>
          <t>—</t>
        </is>
      </c>
      <c r="P183" s="119" t="inlineStr">
        <is>
          <t>—</t>
        </is>
      </c>
      <c r="Q183" s="119" t="inlineStr">
        <is>
          <t>—</t>
        </is>
      </c>
      <c r="R183" s="119" t="inlineStr">
        <is>
          <t>—</t>
        </is>
      </c>
      <c r="S183" s="119" t="inlineStr">
        <is>
          <t>—</t>
        </is>
      </c>
    </row>
    <row r="184" ht="20" customHeight="1" s="57">
      <c r="A184" s="67" t="n">
        <v>179</v>
      </c>
      <c r="B184" s="68" t="inlineStr">
        <is>
          <t>SJM</t>
        </is>
      </c>
      <c r="C184" s="69" t="inlineStr">
        <is>
          <t>JM Smucker</t>
        </is>
      </c>
      <c r="D184" s="70" t="inlineStr">
        <is>
          <t>Packaged Foods</t>
        </is>
      </c>
      <c r="E184" s="72" t="n">
        <v>114.11</v>
      </c>
      <c r="F184" s="73" t="n">
        <v>0.027153015</v>
      </c>
      <c r="G184" s="74" t="n">
        <v>12.174889984</v>
      </c>
      <c r="H184" s="73" t="n">
        <v>0.07000000000000001</v>
      </c>
      <c r="I184" s="75" t="n">
        <v>0.3421</v>
      </c>
      <c r="J184" s="76" t="n">
        <v>11.375214</v>
      </c>
      <c r="K184" s="85" t="n">
        <v>884.462528</v>
      </c>
      <c r="L184" s="74" t="n">
        <v>11.65617046938384</v>
      </c>
      <c r="M184" s="84" t="n">
        <v>-0.04260568393618776</v>
      </c>
      <c r="N184" s="76" t="n">
        <v>13.76529730603805</v>
      </c>
      <c r="O184" s="118" t="inlineStr">
        <is>
          <t>—</t>
        </is>
      </c>
      <c r="P184" s="118" t="inlineStr">
        <is>
          <t>—</t>
        </is>
      </c>
      <c r="Q184" s="118" t="inlineStr">
        <is>
          <t>—</t>
        </is>
      </c>
      <c r="R184" s="118" t="inlineStr">
        <is>
          <t>—</t>
        </is>
      </c>
      <c r="S184" s="118" t="inlineStr">
        <is>
          <t>—</t>
        </is>
      </c>
    </row>
    <row r="185" ht="20" customHeight="1" s="57">
      <c r="A185" s="62" t="n">
        <v>180</v>
      </c>
      <c r="B185" s="63" t="inlineStr">
        <is>
          <t>TAP</t>
        </is>
      </c>
      <c r="C185" s="64" t="inlineStr">
        <is>
          <t>Molson Coors Beverage</t>
        </is>
      </c>
      <c r="D185" s="65" t="inlineStr">
        <is>
          <t>Beverages - Brewers</t>
        </is>
      </c>
      <c r="E185" s="79" t="n">
        <v>47.53</v>
      </c>
      <c r="F185" s="84" t="n">
        <v>-0.18954468</v>
      </c>
      <c r="G185" s="80" t="n">
        <v>9.383747584</v>
      </c>
      <c r="H185" s="84" t="n">
        <v>-0.027</v>
      </c>
      <c r="I185" s="81" t="n">
        <v>0.38369</v>
      </c>
      <c r="J185" s="82" t="n">
        <v>9.422366</v>
      </c>
      <c r="K185" s="83" t="n">
        <v>699.500032</v>
      </c>
      <c r="L185" s="80" t="n">
        <v>6.104621172094314</v>
      </c>
      <c r="M185" s="84" t="n">
        <v>-0.3494474230633446</v>
      </c>
      <c r="N185" s="82" t="n">
        <v>11.93126081752631</v>
      </c>
      <c r="O185" s="119" t="inlineStr">
        <is>
          <t>—</t>
        </is>
      </c>
      <c r="P185" s="119" t="inlineStr">
        <is>
          <t>—</t>
        </is>
      </c>
      <c r="Q185" s="119" t="inlineStr">
        <is>
          <t>—</t>
        </is>
      </c>
      <c r="R185" s="119" t="inlineStr">
        <is>
          <t>—</t>
        </is>
      </c>
      <c r="S185" s="119" t="inlineStr">
        <is>
          <t>—</t>
        </is>
      </c>
    </row>
    <row r="186" ht="20" customHeight="1" s="57">
      <c r="A186" s="67" t="n">
        <v>181</v>
      </c>
      <c r="B186" s="68" t="inlineStr">
        <is>
          <t>TFC</t>
        </is>
      </c>
      <c r="C186" s="69" t="inlineStr">
        <is>
          <t>Truist Financial</t>
        </is>
      </c>
      <c r="D186" s="70" t="inlineStr">
        <is>
          <t>Banks - Regional</t>
        </is>
      </c>
      <c r="E186" s="72" t="n">
        <v>49.435</v>
      </c>
      <c r="F186" s="73" t="n">
        <v>0.14358616</v>
      </c>
      <c r="G186" s="74" t="n">
        <v>63.239544832</v>
      </c>
      <c r="H186" s="73" t="n">
        <v>0.032</v>
      </c>
      <c r="I186" s="75" t="n">
        <v>0</v>
      </c>
      <c r="J186" s="76" t="n">
        <v>12.9411</v>
      </c>
      <c r="K186" s="77" t="inlineStr">
        <is>
          <t>—</t>
        </is>
      </c>
      <c r="L186" s="77" t="inlineStr">
        <is>
          <t>—</t>
        </is>
      </c>
      <c r="M186" s="77" t="inlineStr">
        <is>
          <t>—</t>
        </is>
      </c>
      <c r="N186" s="77" t="inlineStr">
        <is>
          <t>—</t>
        </is>
      </c>
      <c r="O186" s="118" t="inlineStr">
        <is>
          <t>—</t>
        </is>
      </c>
      <c r="P186" s="118" t="inlineStr">
        <is>
          <t>—</t>
        </is>
      </c>
      <c r="Q186" s="118" t="inlineStr">
        <is>
          <t>—</t>
        </is>
      </c>
      <c r="R186" s="118" t="inlineStr">
        <is>
          <t>—</t>
        </is>
      </c>
      <c r="S186" s="118" t="inlineStr">
        <is>
          <t>—</t>
        </is>
      </c>
    </row>
    <row r="187" ht="20" customHeight="1" s="57">
      <c r="A187" s="62" t="n">
        <v>182</v>
      </c>
      <c r="B187" s="63" t="inlineStr">
        <is>
          <t>HLT</t>
        </is>
      </c>
      <c r="C187" s="64" t="inlineStr">
        <is>
          <t>Hilton Worldwide Holdings</t>
        </is>
      </c>
      <c r="D187" s="65" t="inlineStr">
        <is>
          <t>Lodging</t>
        </is>
      </c>
      <c r="E187" s="79" t="n">
        <v>305.3</v>
      </c>
      <c r="F187" s="73" t="n">
        <v>0.17900503</v>
      </c>
      <c r="G187" s="80" t="n">
        <v>70.96245452799999</v>
      </c>
      <c r="H187" s="73" t="n">
        <v>0.07000000000000001</v>
      </c>
      <c r="I187" s="81" t="n">
        <v>0.77917</v>
      </c>
      <c r="J187" s="82" t="n">
        <v>49.88562</v>
      </c>
      <c r="K187" s="83" t="n">
        <v>1729.374976</v>
      </c>
      <c r="L187" s="80" t="n">
        <v>23.40218841608289</v>
      </c>
      <c r="M187" s="84" t="n">
        <v>-0.6702173202471601</v>
      </c>
      <c r="N187" s="82" t="n">
        <v>40.47863015886498</v>
      </c>
      <c r="O187" s="119" t="inlineStr">
        <is>
          <t>—</t>
        </is>
      </c>
      <c r="P187" s="119" t="inlineStr">
        <is>
          <t>—</t>
        </is>
      </c>
      <c r="Q187" s="119" t="inlineStr">
        <is>
          <t>—</t>
        </is>
      </c>
      <c r="R187" s="119" t="inlineStr">
        <is>
          <t>—</t>
        </is>
      </c>
      <c r="S187" s="119" t="inlineStr">
        <is>
          <t>—</t>
        </is>
      </c>
    </row>
    <row r="188" ht="20" customHeight="1" s="57">
      <c r="A188" s="67" t="n">
        <v>183</v>
      </c>
      <c r="B188" s="68" t="inlineStr">
        <is>
          <t>IR</t>
        </is>
      </c>
      <c r="C188" s="69" t="inlineStr">
        <is>
          <t>Ingersoll Rand</t>
        </is>
      </c>
      <c r="D188" s="70" t="inlineStr">
        <is>
          <t>Specialty Industrial Machinery</t>
        </is>
      </c>
      <c r="E188" s="72" t="n">
        <v>91.36499999999999</v>
      </c>
      <c r="F188" s="73" t="n">
        <v>0.08421183</v>
      </c>
      <c r="G188" s="74" t="n">
        <v>36.099260416</v>
      </c>
      <c r="H188" s="73" t="n">
        <v>0.101</v>
      </c>
      <c r="I188" s="75" t="n">
        <v>0.43607</v>
      </c>
      <c r="J188" s="76" t="n">
        <v>63.01034</v>
      </c>
      <c r="K188" s="85" t="n">
        <v>1075.662464</v>
      </c>
      <c r="L188" s="74" t="n">
        <v>17.67882979200266</v>
      </c>
      <c r="M188" s="84" t="n">
        <v>-0.5102716901045704</v>
      </c>
      <c r="N188" s="76" t="n">
        <v>33.26338811596757</v>
      </c>
      <c r="O188" s="118" t="inlineStr">
        <is>
          <t>—</t>
        </is>
      </c>
      <c r="P188" s="118" t="inlineStr">
        <is>
          <t>—</t>
        </is>
      </c>
      <c r="Q188" s="118" t="inlineStr">
        <is>
          <t>—</t>
        </is>
      </c>
      <c r="R188" s="118" t="inlineStr">
        <is>
          <t>—</t>
        </is>
      </c>
      <c r="S188" s="118" t="inlineStr">
        <is>
          <t>—</t>
        </is>
      </c>
    </row>
    <row r="189" ht="20" customHeight="1" s="57">
      <c r="A189" s="62" t="n">
        <v>184</v>
      </c>
      <c r="B189" s="63" t="inlineStr">
        <is>
          <t>NRG</t>
        </is>
      </c>
      <c r="C189" s="64" t="inlineStr">
        <is>
          <t>NRG Energy</t>
        </is>
      </c>
      <c r="D189" s="65" t="inlineStr">
        <is>
          <t>Utilities - Independent Power Producers</t>
        </is>
      </c>
      <c r="E189" s="79" t="n">
        <v>165.6</v>
      </c>
      <c r="F189" s="73" t="n">
        <v>0.64177895</v>
      </c>
      <c r="G189" s="80" t="n">
        <v>35.550601216</v>
      </c>
      <c r="H189" s="73" t="n">
        <v>0.137</v>
      </c>
      <c r="I189" s="81" t="n">
        <v>0.19379</v>
      </c>
      <c r="J189" s="82" t="n">
        <v>41.4</v>
      </c>
      <c r="K189" s="83" t="n">
        <v>1090.875008</v>
      </c>
      <c r="L189" s="80" t="n">
        <v>22.33665175598427</v>
      </c>
      <c r="M189" s="84" t="n">
        <v>-0.3716941207190787</v>
      </c>
      <c r="N189" s="82" t="n">
        <v>32.5890691968259</v>
      </c>
      <c r="O189" s="119" t="inlineStr">
        <is>
          <t>—</t>
        </is>
      </c>
      <c r="P189" s="119" t="inlineStr">
        <is>
          <t>—</t>
        </is>
      </c>
      <c r="Q189" s="119" t="inlineStr">
        <is>
          <t>—</t>
        </is>
      </c>
      <c r="R189" s="119" t="inlineStr">
        <is>
          <t>—</t>
        </is>
      </c>
      <c r="S189" s="119" t="inlineStr">
        <is>
          <t>—</t>
        </is>
      </c>
    </row>
    <row r="190" ht="20" customHeight="1" s="57">
      <c r="A190" s="67" t="n">
        <v>185</v>
      </c>
      <c r="B190" s="68" t="inlineStr">
        <is>
          <t>ODFL</t>
        </is>
      </c>
      <c r="C190" s="69" t="inlineStr">
        <is>
          <t>Old Dominion Freight</t>
        </is>
      </c>
      <c r="D190" s="70" t="inlineStr">
        <is>
          <t>Trucking</t>
        </is>
      </c>
      <c r="E190" s="72" t="n">
        <v>214.875</v>
      </c>
      <c r="F190" s="73" t="n">
        <v>0.17799687</v>
      </c>
      <c r="G190" s="74" t="n">
        <v>44.93002752</v>
      </c>
      <c r="H190" s="84" t="n">
        <v>-0.057</v>
      </c>
      <c r="I190" s="75" t="n">
        <v>0.38955003</v>
      </c>
      <c r="J190" s="76" t="n">
        <v>44.304123</v>
      </c>
      <c r="K190" s="85" t="n">
        <v>792.1211520000001</v>
      </c>
      <c r="L190" s="74" t="n">
        <v>6.069572569760495</v>
      </c>
      <c r="M190" s="84" t="n">
        <v>-0.8649105530358576</v>
      </c>
      <c r="N190" s="76" t="n">
        <v>56.53864281940675</v>
      </c>
      <c r="O190" s="118" t="inlineStr">
        <is>
          <t>—</t>
        </is>
      </c>
      <c r="P190" s="118" t="inlineStr">
        <is>
          <t>—</t>
        </is>
      </c>
      <c r="Q190" s="118" t="inlineStr">
        <is>
          <t>—</t>
        </is>
      </c>
      <c r="R190" s="118" t="inlineStr">
        <is>
          <t>—</t>
        </is>
      </c>
      <c r="S190" s="118" t="inlineStr">
        <is>
          <t>—</t>
        </is>
      </c>
    </row>
    <row r="191" ht="20" customHeight="1" s="57">
      <c r="A191" s="62" t="n">
        <v>186</v>
      </c>
      <c r="B191" s="63" t="inlineStr">
        <is>
          <t>VMC</t>
        </is>
      </c>
      <c r="C191" s="64" t="inlineStr">
        <is>
          <t>Vulcan Materials</t>
        </is>
      </c>
      <c r="D191" s="65" t="inlineStr">
        <is>
          <t>Building Materials</t>
        </is>
      </c>
      <c r="E191" s="79" t="n">
        <v>296.73</v>
      </c>
      <c r="F191" s="73" t="n">
        <v>0.2481798</v>
      </c>
      <c r="G191" s="80" t="n">
        <v>39.207202816</v>
      </c>
      <c r="H191" s="73" t="n">
        <v>0.032</v>
      </c>
      <c r="I191" s="81" t="n">
        <v>0.27384</v>
      </c>
      <c r="J191" s="82" t="n">
        <v>36.36397</v>
      </c>
      <c r="K191" s="83" t="n">
        <v>409.037504</v>
      </c>
      <c r="L191" s="80" t="n">
        <v>4.495687417678045</v>
      </c>
      <c r="M191" s="84" t="n">
        <v>-0.8853351656129008</v>
      </c>
      <c r="N191" s="82" t="n">
        <v>94.72754201120884</v>
      </c>
      <c r="O191" s="119" t="inlineStr">
        <is>
          <t>—</t>
        </is>
      </c>
      <c r="P191" s="119" t="inlineStr">
        <is>
          <t>—</t>
        </is>
      </c>
      <c r="Q191" s="119" t="inlineStr">
        <is>
          <t>—</t>
        </is>
      </c>
      <c r="R191" s="119" t="inlineStr">
        <is>
          <t>—</t>
        </is>
      </c>
      <c r="S191" s="119" t="inlineStr">
        <is>
          <t>—</t>
        </is>
      </c>
    </row>
    <row r="192" ht="20" customHeight="1" s="57">
      <c r="A192" s="67" t="n">
        <v>187</v>
      </c>
      <c r="B192" s="68" t="inlineStr">
        <is>
          <t>AZO</t>
        </is>
      </c>
      <c r="C192" s="69" t="inlineStr">
        <is>
          <t>AutoZone</t>
        </is>
      </c>
      <c r="D192" s="70" t="inlineStr">
        <is>
          <t>Specialty Retail</t>
        </is>
      </c>
      <c r="E192" s="72" t="n">
        <v>3703</v>
      </c>
      <c r="F192" s="73" t="n">
        <v>0.022860765</v>
      </c>
      <c r="G192" s="74" t="n">
        <v>61.59075328</v>
      </c>
      <c r="H192" s="73" t="n">
        <v>0.082</v>
      </c>
      <c r="I192" s="75" t="n">
        <v>0.52146</v>
      </c>
      <c r="J192" s="76" t="n">
        <v>25.840893</v>
      </c>
      <c r="K192" s="85" t="n">
        <v>1150.775424</v>
      </c>
      <c r="L192" s="74" t="n">
        <v>16.37175436716448</v>
      </c>
      <c r="M192" s="84" t="n">
        <v>-0.7341848654986204</v>
      </c>
      <c r="N192" s="76" t="n">
        <v>53.31243601792455</v>
      </c>
      <c r="O192" s="118" t="inlineStr">
        <is>
          <t>—</t>
        </is>
      </c>
      <c r="P192" s="118" t="inlineStr">
        <is>
          <t>—</t>
        </is>
      </c>
      <c r="Q192" s="118" t="inlineStr">
        <is>
          <t>—</t>
        </is>
      </c>
      <c r="R192" s="118" t="inlineStr">
        <is>
          <t>—</t>
        </is>
      </c>
      <c r="S192" s="118" t="inlineStr">
        <is>
          <t>—</t>
        </is>
      </c>
    </row>
    <row r="193" ht="20" customHeight="1" s="57">
      <c r="A193" s="62" t="n">
        <v>188</v>
      </c>
      <c r="B193" s="63" t="inlineStr">
        <is>
          <t>MLM</t>
        </is>
      </c>
      <c r="C193" s="64" t="inlineStr">
        <is>
          <t>Martin Marietta Materials</t>
        </is>
      </c>
      <c r="D193" s="65" t="inlineStr">
        <is>
          <t>Building Materials</t>
        </is>
      </c>
      <c r="E193" s="79" t="n">
        <v>658.1900000000001</v>
      </c>
      <c r="F193" s="73" t="n">
        <v>0.37508118</v>
      </c>
      <c r="G193" s="80" t="n">
        <v>39.696785408</v>
      </c>
      <c r="H193" s="73" t="n">
        <v>0.08599999999999999</v>
      </c>
      <c r="I193" s="81" t="n">
        <v>0.30797002</v>
      </c>
      <c r="J193" s="82" t="n">
        <v>40.256268</v>
      </c>
      <c r="K193" s="83" t="n">
        <v>-715.750016</v>
      </c>
      <c r="L193" s="78" t="inlineStr">
        <is>
          <t>—</t>
        </is>
      </c>
      <c r="M193" s="78" t="inlineStr">
        <is>
          <t>—</t>
        </is>
      </c>
      <c r="N193" s="82" t="n">
        <v>-55.46180184331285</v>
      </c>
      <c r="O193" s="119" t="inlineStr">
        <is>
          <t>—</t>
        </is>
      </c>
      <c r="P193" s="119" t="inlineStr">
        <is>
          <t>—</t>
        </is>
      </c>
      <c r="Q193" s="119" t="inlineStr">
        <is>
          <t>—</t>
        </is>
      </c>
      <c r="R193" s="119" t="inlineStr">
        <is>
          <t>—</t>
        </is>
      </c>
      <c r="S193" s="119" t="inlineStr">
        <is>
          <t>—</t>
        </is>
      </c>
    </row>
    <row r="194" ht="20" customHeight="1" s="57">
      <c r="A194" s="67" t="n">
        <v>189</v>
      </c>
      <c r="B194" s="68" t="inlineStr">
        <is>
          <t>CMCSA</t>
        </is>
      </c>
      <c r="C194" s="69" t="inlineStr">
        <is>
          <t>Comcast</t>
        </is>
      </c>
      <c r="D194" s="70" t="inlineStr">
        <is>
          <t>Entertainment</t>
        </is>
      </c>
      <c r="E194" s="72" t="n">
        <v>31.99</v>
      </c>
      <c r="F194" s="84" t="n">
        <v>-0.06952560000000001</v>
      </c>
      <c r="G194" s="74" t="n">
        <v>116.56818688</v>
      </c>
      <c r="H194" s="73" t="n">
        <v>0.012</v>
      </c>
      <c r="I194" s="75" t="n">
        <v>0.7174700000000001</v>
      </c>
      <c r="J194" s="76" t="n">
        <v>5.9350653</v>
      </c>
      <c r="K194" s="85" t="n">
        <v>5592.124928</v>
      </c>
      <c r="L194" s="74" t="n">
        <v>60.44431866932924</v>
      </c>
      <c r="M194" s="84" t="n">
        <v>-0.481468140775381</v>
      </c>
      <c r="N194" s="76" t="n">
        <v>20.52761146608812</v>
      </c>
      <c r="O194" s="118" t="inlineStr">
        <is>
          <t>—</t>
        </is>
      </c>
      <c r="P194" s="118" t="inlineStr">
        <is>
          <t>—</t>
        </is>
      </c>
      <c r="Q194" s="118" t="inlineStr">
        <is>
          <t>—</t>
        </is>
      </c>
      <c r="R194" s="118" t="inlineStr">
        <is>
          <t>—</t>
        </is>
      </c>
      <c r="S194" s="118" t="inlineStr">
        <is>
          <t>—</t>
        </is>
      </c>
    </row>
    <row r="195" ht="20" customHeight="1" s="57">
      <c r="A195" s="62" t="n">
        <v>190</v>
      </c>
      <c r="B195" s="63" t="inlineStr">
        <is>
          <t>OMC</t>
        </is>
      </c>
      <c r="C195" s="64" t="inlineStr">
        <is>
          <t>Omnicom Group</t>
        </is>
      </c>
      <c r="D195" s="65" t="inlineStr">
        <is>
          <t>Advertising Agencies</t>
        </is>
      </c>
      <c r="E195" s="79" t="n">
        <v>85.84</v>
      </c>
      <c r="F195" s="73" t="n">
        <v>0.029315114</v>
      </c>
      <c r="G195" s="80" t="n">
        <v>27.005579264</v>
      </c>
      <c r="H195" s="73" t="n">
        <v>0.279</v>
      </c>
      <c r="I195" s="81" t="n">
        <v>0.18571</v>
      </c>
      <c r="J195" s="82" t="n">
        <v>6.8072467</v>
      </c>
      <c r="K195" s="83" t="n">
        <v>4504.287744</v>
      </c>
      <c r="L195" s="80" t="n">
        <v>82.81047943590789</v>
      </c>
      <c r="M195" s="73" t="n">
        <v>2.066421150473119</v>
      </c>
      <c r="N195" s="82" t="n">
        <v>5.914202929074684</v>
      </c>
      <c r="O195" s="119" t="inlineStr">
        <is>
          <t>—</t>
        </is>
      </c>
      <c r="P195" s="119" t="inlineStr">
        <is>
          <t>—</t>
        </is>
      </c>
      <c r="Q195" s="119" t="inlineStr">
        <is>
          <t>—</t>
        </is>
      </c>
      <c r="R195" s="119" t="inlineStr">
        <is>
          <t>—</t>
        </is>
      </c>
      <c r="S195" s="119" t="inlineStr">
        <is>
          <t>—</t>
        </is>
      </c>
    </row>
    <row r="196" ht="20" customHeight="1" s="57">
      <c r="A196" s="67" t="n">
        <v>191</v>
      </c>
      <c r="B196" s="68" t="inlineStr">
        <is>
          <t>MDLZ</t>
        </is>
      </c>
      <c r="C196" s="69" t="inlineStr">
        <is>
          <t>Mondelez International</t>
        </is>
      </c>
      <c r="D196" s="70" t="inlineStr">
        <is>
          <t>Confectioners</t>
        </is>
      </c>
      <c r="E196" s="72" t="n">
        <v>58.855</v>
      </c>
      <c r="F196" s="84" t="n">
        <v>-0.11357468</v>
      </c>
      <c r="G196" s="74" t="n">
        <v>75.944050688</v>
      </c>
      <c r="H196" s="73" t="n">
        <v>0.093</v>
      </c>
      <c r="I196" s="75" t="n">
        <v>0.28375</v>
      </c>
      <c r="J196" s="76" t="n">
        <v>31.140211</v>
      </c>
      <c r="K196" s="85" t="n">
        <v>3588</v>
      </c>
      <c r="L196" s="74" t="n">
        <v>55.02616023451389</v>
      </c>
      <c r="M196" s="84" t="n">
        <v>-0.2754381714431171</v>
      </c>
      <c r="N196" s="76" t="n">
        <v>21.02648462903986</v>
      </c>
      <c r="O196" s="118" t="inlineStr">
        <is>
          <t>—</t>
        </is>
      </c>
      <c r="P196" s="118" t="inlineStr">
        <is>
          <t>—</t>
        </is>
      </c>
      <c r="Q196" s="118" t="inlineStr">
        <is>
          <t>—</t>
        </is>
      </c>
      <c r="R196" s="118" t="inlineStr">
        <is>
          <t>—</t>
        </is>
      </c>
      <c r="S196" s="118" t="inlineStr">
        <is>
          <t>—</t>
        </is>
      </c>
    </row>
    <row r="197" ht="20" customHeight="1" s="57">
      <c r="A197" s="62" t="n">
        <v>192</v>
      </c>
      <c r="B197" s="63" t="inlineStr">
        <is>
          <t>MMC</t>
        </is>
      </c>
      <c r="C197" s="64" t="inlineStr">
        <is>
          <t>Marsh &amp; McLennan</t>
        </is>
      </c>
      <c r="D197" s="65" t="inlineStr">
        <is>
          <t>Insurance Brokers</t>
        </is>
      </c>
      <c r="E197" s="79" t="n">
        <v>182.7</v>
      </c>
      <c r="F197" s="84" t="n">
        <v>-0.16850781</v>
      </c>
      <c r="G197" s="80" t="n">
        <v>89.81970944</v>
      </c>
      <c r="H197" s="73" t="n">
        <v>0.115</v>
      </c>
      <c r="I197" s="81" t="n">
        <v>0.43953</v>
      </c>
      <c r="J197" s="82" t="n">
        <v>21.932774</v>
      </c>
      <c r="K197" s="83" t="n">
        <v>4722.87488</v>
      </c>
      <c r="L197" s="80" t="n">
        <v>81.13166945342606</v>
      </c>
      <c r="M197" s="84" t="n">
        <v>-0.09672754499810082</v>
      </c>
      <c r="N197" s="82" t="n">
        <v>18.95169814113305</v>
      </c>
      <c r="O197" s="119" t="inlineStr">
        <is>
          <t>—</t>
        </is>
      </c>
      <c r="P197" s="119" t="inlineStr">
        <is>
          <t>—</t>
        </is>
      </c>
      <c r="Q197" s="119" t="inlineStr">
        <is>
          <t>—</t>
        </is>
      </c>
      <c r="R197" s="119" t="inlineStr">
        <is>
          <t>—</t>
        </is>
      </c>
      <c r="S197" s="119" t="inlineStr">
        <is>
          <t>—</t>
        </is>
      </c>
    </row>
    <row r="198" ht="20" customHeight="1" s="57">
      <c r="A198" s="67" t="n">
        <v>193</v>
      </c>
      <c r="B198" s="68" t="inlineStr">
        <is>
          <t>EMN</t>
        </is>
      </c>
      <c r="C198" s="69" t="inlineStr">
        <is>
          <t>Eastman Chemical</t>
        </is>
      </c>
      <c r="D198" s="70" t="inlineStr">
        <is>
          <t>Chemicals</t>
        </is>
      </c>
      <c r="E198" s="72" t="n">
        <v>73.855</v>
      </c>
      <c r="F198" s="84" t="n">
        <v>-0.24117464</v>
      </c>
      <c r="G198" s="74" t="n">
        <v>8.424625664000001</v>
      </c>
      <c r="H198" s="84" t="n">
        <v>-0.121</v>
      </c>
      <c r="I198" s="75" t="n">
        <v>0.21091999</v>
      </c>
      <c r="J198" s="76" t="n">
        <v>18.013416</v>
      </c>
      <c r="K198" s="85" t="n">
        <v>398.875008</v>
      </c>
      <c r="L198" s="74" t="n">
        <v>3.435497531575198</v>
      </c>
      <c r="M198" s="84" t="n">
        <v>-0.5922076934224246</v>
      </c>
      <c r="N198" s="76" t="n">
        <v>21.1166537643291</v>
      </c>
      <c r="O198" s="118" t="inlineStr">
        <is>
          <t>—</t>
        </is>
      </c>
      <c r="P198" s="118" t="inlineStr">
        <is>
          <t>—</t>
        </is>
      </c>
      <c r="Q198" s="118" t="inlineStr">
        <is>
          <t>—</t>
        </is>
      </c>
      <c r="R198" s="118" t="inlineStr">
        <is>
          <t>—</t>
        </is>
      </c>
      <c r="S198" s="118" t="inlineStr">
        <is>
          <t>—</t>
        </is>
      </c>
    </row>
    <row r="199" ht="20" customHeight="1" s="57">
      <c r="A199" s="62" t="n">
        <v>194</v>
      </c>
      <c r="B199" s="63" t="inlineStr">
        <is>
          <t>XYL</t>
        </is>
      </c>
      <c r="C199" s="64" t="inlineStr">
        <is>
          <t>Xylem</t>
        </is>
      </c>
      <c r="D199" s="65" t="inlineStr">
        <is>
          <t>Specialty Industrial Machinery</t>
        </is>
      </c>
      <c r="E199" s="79" t="n">
        <v>129.24</v>
      </c>
      <c r="F199" s="84" t="n">
        <v>-0.01920259</v>
      </c>
      <c r="G199" s="80" t="n">
        <v>31.482865664</v>
      </c>
      <c r="H199" s="73" t="n">
        <v>0.063</v>
      </c>
      <c r="I199" s="81" t="n">
        <v>0.38462</v>
      </c>
      <c r="J199" s="82" t="n">
        <v>32.969387</v>
      </c>
      <c r="K199" s="83" t="n">
        <v>893.249984</v>
      </c>
      <c r="L199" s="80" t="n">
        <v>12.39938766808618</v>
      </c>
      <c r="M199" s="84" t="n">
        <v>-0.6061544142639906</v>
      </c>
      <c r="N199" s="82" t="n">
        <v>35.24530037942884</v>
      </c>
      <c r="O199" s="119" t="inlineStr">
        <is>
          <t>—</t>
        </is>
      </c>
      <c r="P199" s="119" t="inlineStr">
        <is>
          <t>—</t>
        </is>
      </c>
      <c r="Q199" s="119" t="inlineStr">
        <is>
          <t>—</t>
        </is>
      </c>
      <c r="R199" s="119" t="inlineStr">
        <is>
          <t>—</t>
        </is>
      </c>
      <c r="S199" s="119" t="inlineStr">
        <is>
          <t>—</t>
        </is>
      </c>
    </row>
    <row r="200" ht="20" customHeight="1" s="57">
      <c r="A200" s="67" t="n">
        <v>195</v>
      </c>
      <c r="B200" s="68" t="inlineStr">
        <is>
          <t>DVA</t>
        </is>
      </c>
      <c r="C200" s="69" t="inlineStr">
        <is>
          <t>DaVita</t>
        </is>
      </c>
      <c r="D200" s="70" t="inlineStr">
        <is>
          <t>Medical Care Facilities</t>
        </is>
      </c>
      <c r="E200" s="72" t="n">
        <v>154.86</v>
      </c>
      <c r="F200" s="73" t="n">
        <v>0.08764291</v>
      </c>
      <c r="G200" s="74" t="n">
        <v>10.352236544</v>
      </c>
      <c r="H200" s="73" t="n">
        <v>0.099</v>
      </c>
      <c r="I200" s="75" t="n">
        <v>0.32255</v>
      </c>
      <c r="J200" s="76" t="n">
        <v>16.266806</v>
      </c>
      <c r="K200" s="85" t="n">
        <v>1053.226368</v>
      </c>
      <c r="L200" s="74" t="n">
        <v>16.73041400199933</v>
      </c>
      <c r="M200" s="73" t="n">
        <v>0.6161158925310708</v>
      </c>
      <c r="N200" s="76" t="n">
        <v>9.829070420690417</v>
      </c>
      <c r="O200" s="120" t="inlineStr">
        <is>
          <t>YES</t>
        </is>
      </c>
      <c r="P200" s="121" t="n">
        <v>1.78</v>
      </c>
      <c r="Q200" s="130" t="inlineStr">
        <is>
          <t>Hold</t>
        </is>
      </c>
      <c r="R200" s="123" t="n">
        <v>81</v>
      </c>
      <c r="S200" s="124" t="inlineStr">
        <is>
          <t>Minor trim Q2 @~$155 → added back Q4. Net unchanged</t>
        </is>
      </c>
    </row>
    <row r="201" ht="20" customHeight="1" s="57">
      <c r="A201" s="62" t="n">
        <v>196</v>
      </c>
      <c r="B201" s="63" t="inlineStr">
        <is>
          <t>PKG</t>
        </is>
      </c>
      <c r="C201" s="64" t="inlineStr">
        <is>
          <t>Packaging Corp of America</t>
        </is>
      </c>
      <c r="D201" s="65" t="inlineStr">
        <is>
          <t>Packaging &amp; Containers</t>
        </is>
      </c>
      <c r="E201" s="79" t="n">
        <v>232.74</v>
      </c>
      <c r="F201" s="73" t="n">
        <v>0.12684429</v>
      </c>
      <c r="G201" s="80" t="n">
        <v>20.941662208</v>
      </c>
      <c r="H201" s="73" t="n">
        <v>0.101</v>
      </c>
      <c r="I201" s="81" t="n">
        <v>0.21799</v>
      </c>
      <c r="J201" s="82" t="n">
        <v>27.094296</v>
      </c>
      <c r="K201" s="83" t="n">
        <v>414.587488</v>
      </c>
      <c r="L201" s="80" t="n">
        <v>6.89908447144656</v>
      </c>
      <c r="M201" s="84" t="n">
        <v>-0.6705569785758928</v>
      </c>
      <c r="N201" s="82" t="n">
        <v>50.51108193014257</v>
      </c>
      <c r="O201" s="119" t="inlineStr">
        <is>
          <t>—</t>
        </is>
      </c>
      <c r="P201" s="119" t="inlineStr">
        <is>
          <t>—</t>
        </is>
      </c>
      <c r="Q201" s="119" t="inlineStr">
        <is>
          <t>—</t>
        </is>
      </c>
      <c r="R201" s="119" t="inlineStr">
        <is>
          <t>—</t>
        </is>
      </c>
      <c r="S201" s="119" t="inlineStr">
        <is>
          <t>—</t>
        </is>
      </c>
    </row>
    <row r="202" ht="20" customHeight="1" s="57">
      <c r="A202" s="67" t="n">
        <v>197</v>
      </c>
      <c r="B202" s="68" t="inlineStr">
        <is>
          <t>CPB</t>
        </is>
      </c>
      <c r="C202" s="69" t="inlineStr">
        <is>
          <t>Campbell Soup</t>
        </is>
      </c>
      <c r="D202" s="70" t="inlineStr">
        <is>
          <t>Packaged Foods</t>
        </is>
      </c>
      <c r="E202" s="72" t="n">
        <v>25.31</v>
      </c>
      <c r="F202" s="84" t="n">
        <v>-0.33511996</v>
      </c>
      <c r="G202" s="74" t="n">
        <v>7.545777664</v>
      </c>
      <c r="H202" s="84" t="n">
        <v>-0.034</v>
      </c>
      <c r="I202" s="75" t="n">
        <v>0.30271998</v>
      </c>
      <c r="J202" s="76" t="n">
        <v>13.0463915</v>
      </c>
      <c r="K202" s="85" t="n">
        <v>630.499968</v>
      </c>
      <c r="L202" s="74" t="n">
        <v>4.885470533952936</v>
      </c>
      <c r="M202" s="84" t="n">
        <v>-0.3525557269914101</v>
      </c>
      <c r="N202" s="76" t="n">
        <v>11.96792723857839</v>
      </c>
      <c r="O202" s="118" t="inlineStr">
        <is>
          <t>—</t>
        </is>
      </c>
      <c r="P202" s="118" t="inlineStr">
        <is>
          <t>—</t>
        </is>
      </c>
      <c r="Q202" s="118" t="inlineStr">
        <is>
          <t>—</t>
        </is>
      </c>
      <c r="R202" s="118" t="inlineStr">
        <is>
          <t>—</t>
        </is>
      </c>
      <c r="S202" s="118" t="inlineStr">
        <is>
          <t>—</t>
        </is>
      </c>
    </row>
    <row r="203" ht="20" customHeight="1" s="57">
      <c r="A203" s="62" t="n">
        <v>198</v>
      </c>
      <c r="B203" s="63" t="inlineStr">
        <is>
          <t>LW</t>
        </is>
      </c>
      <c r="C203" s="64" t="inlineStr">
        <is>
          <t>Lamb Weston Holdings</t>
        </is>
      </c>
      <c r="D203" s="65" t="inlineStr">
        <is>
          <t>Packaged Foods</t>
        </is>
      </c>
      <c r="E203" s="79" t="n">
        <v>46.16</v>
      </c>
      <c r="F203" s="84" t="n">
        <v>-0.088418186</v>
      </c>
      <c r="G203" s="80" t="n">
        <v>6.432510464</v>
      </c>
      <c r="H203" s="73" t="n">
        <v>0.011</v>
      </c>
      <c r="I203" s="81" t="n">
        <v>0.22104</v>
      </c>
      <c r="J203" s="82" t="n">
        <v>16.724638</v>
      </c>
      <c r="K203" s="83" t="n">
        <v>614.58752</v>
      </c>
      <c r="L203" s="80" t="n">
        <v>5.891061582299086</v>
      </c>
      <c r="M203" s="84" t="n">
        <v>-0.08417380503788854</v>
      </c>
      <c r="N203" s="82" t="n">
        <v>10.43089102336474</v>
      </c>
      <c r="O203" s="119" t="inlineStr">
        <is>
          <t>—</t>
        </is>
      </c>
      <c r="P203" s="119" t="inlineStr">
        <is>
          <t>—</t>
        </is>
      </c>
      <c r="Q203" s="119" t="inlineStr">
        <is>
          <t>—</t>
        </is>
      </c>
      <c r="R203" s="119" t="inlineStr">
        <is>
          <t>—</t>
        </is>
      </c>
      <c r="S203" s="119" t="inlineStr">
        <is>
          <t>—</t>
        </is>
      </c>
    </row>
    <row r="204" ht="20" customHeight="1" s="57">
      <c r="A204" s="67" t="n">
        <v>199</v>
      </c>
      <c r="B204" s="68" t="inlineStr">
        <is>
          <t>A</t>
        </is>
      </c>
      <c r="C204" s="69" t="inlineStr">
        <is>
          <t>Agilent Technologies</t>
        </is>
      </c>
      <c r="D204" s="70" t="inlineStr">
        <is>
          <t>Diagnostics &amp; Research</t>
        </is>
      </c>
      <c r="E204" s="72" t="n">
        <v>120.905</v>
      </c>
      <c r="F204" s="84" t="n">
        <v>-0.059046745</v>
      </c>
      <c r="G204" s="74" t="n">
        <v>34.276431872</v>
      </c>
      <c r="H204" s="73" t="n">
        <v>0.07000000000000001</v>
      </c>
      <c r="I204" s="75" t="n">
        <v>0.52229</v>
      </c>
      <c r="J204" s="76" t="n">
        <v>26.456236</v>
      </c>
      <c r="K204" s="85" t="n">
        <v>830</v>
      </c>
      <c r="L204" s="74" t="n">
        <v>12.21975718654367</v>
      </c>
      <c r="M204" s="84" t="n">
        <v>-0.6434938959756241</v>
      </c>
      <c r="N204" s="76" t="n">
        <v>41.20087507407832</v>
      </c>
      <c r="O204" s="118" t="inlineStr">
        <is>
          <t>—</t>
        </is>
      </c>
      <c r="P204" s="118" t="inlineStr">
        <is>
          <t>—</t>
        </is>
      </c>
      <c r="Q204" s="118" t="inlineStr">
        <is>
          <t>—</t>
        </is>
      </c>
      <c r="R204" s="118" t="inlineStr">
        <is>
          <t>—</t>
        </is>
      </c>
      <c r="S204" s="118" t="inlineStr">
        <is>
          <t>—</t>
        </is>
      </c>
    </row>
    <row r="205" ht="20" customHeight="1" s="57">
      <c r="A205" s="62" t="n">
        <v>200</v>
      </c>
      <c r="B205" s="63" t="inlineStr">
        <is>
          <t>NVR</t>
        </is>
      </c>
      <c r="C205" s="64" t="inlineStr">
        <is>
          <t>NVR</t>
        </is>
      </c>
      <c r="D205" s="65" t="inlineStr">
        <is>
          <t>Residential Construction</t>
        </is>
      </c>
      <c r="E205" s="79" t="n">
        <v>7246.025</v>
      </c>
      <c r="F205" s="84" t="n">
        <v>-0.0036126971</v>
      </c>
      <c r="G205" s="80" t="n">
        <v>20.574595072</v>
      </c>
      <c r="H205" s="84" t="n">
        <v>-0.05</v>
      </c>
      <c r="I205" s="81" t="n">
        <v>0.22889</v>
      </c>
      <c r="J205" s="82" t="n">
        <v>16.599905</v>
      </c>
      <c r="K205" s="83" t="n">
        <v>1162.273536</v>
      </c>
      <c r="L205" s="80" t="n">
        <v>10.18656565283288</v>
      </c>
      <c r="M205" s="84" t="n">
        <v>-0.5048959351479146</v>
      </c>
      <c r="N205" s="82" t="n">
        <v>17.41728962845455</v>
      </c>
      <c r="O205" s="125" t="inlineStr">
        <is>
          <t>YES</t>
        </is>
      </c>
      <c r="P205" s="126" t="n">
        <v>0.07000000000000001</v>
      </c>
      <c r="Q205" s="127" t="inlineStr">
        <is>
          <t>Hold</t>
        </is>
      </c>
      <c r="R205" s="128" t="n">
        <v>4800</v>
      </c>
      <c r="S205" s="129" t="inlineStr">
        <is>
          <t>Held unchanged all year. ~11K shares (Ted Weschler)</t>
        </is>
      </c>
    </row>
    <row r="206" ht="20" customHeight="1" s="57">
      <c r="A206" s="67" t="n">
        <v>201</v>
      </c>
      <c r="B206" s="68" t="inlineStr">
        <is>
          <t>SLB</t>
        </is>
      </c>
      <c r="C206" s="69" t="inlineStr">
        <is>
          <t>Schlumberger</t>
        </is>
      </c>
      <c r="D206" s="70" t="inlineStr">
        <is>
          <t>Oil &amp; Gas Equipment &amp; Services</t>
        </is>
      </c>
      <c r="E206" s="72" t="n">
        <v>47.975</v>
      </c>
      <c r="F206" s="73" t="n">
        <v>0.23205686</v>
      </c>
      <c r="G206" s="74" t="n">
        <v>71.738523648</v>
      </c>
      <c r="H206" s="73" t="n">
        <v>0.05</v>
      </c>
      <c r="I206" s="75" t="n">
        <v>0.18687999</v>
      </c>
      <c r="J206" s="76" t="n">
        <v>20.414894</v>
      </c>
      <c r="K206" s="85" t="n">
        <v>2449.250048</v>
      </c>
      <c r="L206" s="74" t="n">
        <v>32.05029526545766</v>
      </c>
      <c r="M206" s="84" t="n">
        <v>-0.5532345295713207</v>
      </c>
      <c r="N206" s="76" t="n">
        <v>29.28999758577324</v>
      </c>
      <c r="O206" s="118" t="inlineStr">
        <is>
          <t>—</t>
        </is>
      </c>
      <c r="P206" s="118" t="inlineStr">
        <is>
          <t>—</t>
        </is>
      </c>
      <c r="Q206" s="118" t="inlineStr">
        <is>
          <t>—</t>
        </is>
      </c>
      <c r="R206" s="118" t="inlineStr">
        <is>
          <t>—</t>
        </is>
      </c>
      <c r="S206" s="118" t="inlineStr">
        <is>
          <t>—</t>
        </is>
      </c>
    </row>
    <row r="207" ht="20" customHeight="1" s="57">
      <c r="A207" s="62" t="n">
        <v>202</v>
      </c>
      <c r="B207" s="63" t="inlineStr">
        <is>
          <t>STE</t>
        </is>
      </c>
      <c r="C207" s="64" t="inlineStr">
        <is>
          <t>Steris</t>
        </is>
      </c>
      <c r="D207" s="65" t="inlineStr">
        <is>
          <t>Medical Instruments &amp; Supplies</t>
        </is>
      </c>
      <c r="E207" s="79" t="n">
        <v>244.83</v>
      </c>
      <c r="F207" s="73" t="n">
        <v>0.06999957599999999</v>
      </c>
      <c r="G207" s="80" t="n">
        <v>24.029331456</v>
      </c>
      <c r="H207" s="73" t="n">
        <v>0.092</v>
      </c>
      <c r="I207" s="81" t="n">
        <v>0.44322</v>
      </c>
      <c r="J207" s="82" t="n">
        <v>34.09889</v>
      </c>
      <c r="K207" s="83" t="n">
        <v>870.695744</v>
      </c>
      <c r="L207" s="80" t="n">
        <v>13.21375619682789</v>
      </c>
      <c r="M207" s="84" t="n">
        <v>-0.4500988834823166</v>
      </c>
      <c r="N207" s="82" t="n">
        <v>27.57761082010067</v>
      </c>
      <c r="O207" s="119" t="inlineStr">
        <is>
          <t>—</t>
        </is>
      </c>
      <c r="P207" s="119" t="inlineStr">
        <is>
          <t>—</t>
        </is>
      </c>
      <c r="Q207" s="119" t="inlineStr">
        <is>
          <t>—</t>
        </is>
      </c>
      <c r="R207" s="119" t="inlineStr">
        <is>
          <t>—</t>
        </is>
      </c>
      <c r="S207" s="119" t="inlineStr">
        <is>
          <t>—</t>
        </is>
      </c>
    </row>
    <row r="208" ht="20" customHeight="1" s="57">
      <c r="A208" s="67" t="n">
        <v>203</v>
      </c>
      <c r="B208" s="68" t="inlineStr">
        <is>
          <t>KHC</t>
        </is>
      </c>
      <c r="C208" s="69" t="inlineStr">
        <is>
          <t>Kraft Heinz</t>
        </is>
      </c>
      <c r="D208" s="70" t="inlineStr">
        <is>
          <t>Packaged Foods</t>
        </is>
      </c>
      <c r="E208" s="72" t="n">
        <v>24.0895</v>
      </c>
      <c r="F208" s="84" t="n">
        <v>-0.21845758</v>
      </c>
      <c r="G208" s="74" t="n">
        <v>28.516292608</v>
      </c>
      <c r="H208" s="84" t="n">
        <v>-0.034</v>
      </c>
      <c r="I208" s="75" t="n">
        <v>0.33317003</v>
      </c>
      <c r="J208" s="76" t="n">
        <v>11.221672</v>
      </c>
      <c r="K208" s="85" t="n">
        <v>2775.500032</v>
      </c>
      <c r="L208" s="74" t="n">
        <v>23.70773504361769</v>
      </c>
      <c r="M208" s="84" t="n">
        <v>-0.1686249201634758</v>
      </c>
      <c r="N208" s="76" t="n">
        <v>10.27411956420201</v>
      </c>
      <c r="O208" s="120" t="inlineStr">
        <is>
          <t>YES</t>
        </is>
      </c>
      <c r="P208" s="121" t="n">
        <v>9.59</v>
      </c>
      <c r="Q208" s="130" t="inlineStr">
        <is>
          <t>Hold</t>
        </is>
      </c>
      <c r="R208" s="123" t="n">
        <v>80</v>
      </c>
      <c r="S208" s="124" t="inlineStr">
        <is>
          <t>Held unchanged all year. 325.6M shares (26.9% ownership)</t>
        </is>
      </c>
    </row>
    <row r="209" ht="20" customHeight="1" s="57">
      <c r="A209" s="62" t="n">
        <v>204</v>
      </c>
      <c r="B209" s="63" t="inlineStr">
        <is>
          <t>SHW</t>
        </is>
      </c>
      <c r="C209" s="64" t="inlineStr">
        <is>
          <t>Sherwin-Williams</t>
        </is>
      </c>
      <c r="D209" s="65" t="inlineStr">
        <is>
          <t>Specialty Chemicals</t>
        </is>
      </c>
      <c r="E209" s="79" t="n">
        <v>348.37</v>
      </c>
      <c r="F209" s="84" t="n">
        <v>-0.03723228</v>
      </c>
      <c r="G209" s="80" t="n">
        <v>86.317293568</v>
      </c>
      <c r="H209" s="73" t="n">
        <v>0.056</v>
      </c>
      <c r="I209" s="81" t="n">
        <v>0.48848</v>
      </c>
      <c r="J209" s="82" t="n">
        <v>33.95419</v>
      </c>
      <c r="K209" s="83" t="n">
        <v>1928.737536</v>
      </c>
      <c r="L209" s="80" t="n">
        <v>23.61371719741297</v>
      </c>
      <c r="M209" s="84" t="n">
        <v>-0.7264312141713493</v>
      </c>
      <c r="N209" s="82" t="n">
        <v>44.75326163807806</v>
      </c>
      <c r="O209" s="119" t="inlineStr">
        <is>
          <t>—</t>
        </is>
      </c>
      <c r="P209" s="119" t="inlineStr">
        <is>
          <t>—</t>
        </is>
      </c>
      <c r="Q209" s="119" t="inlineStr">
        <is>
          <t>—</t>
        </is>
      </c>
      <c r="R209" s="119" t="inlineStr">
        <is>
          <t>—</t>
        </is>
      </c>
      <c r="S209" s="119" t="inlineStr">
        <is>
          <t>—</t>
        </is>
      </c>
    </row>
    <row r="210" ht="20" customHeight="1" s="57">
      <c r="A210" s="67" t="n">
        <v>205</v>
      </c>
      <c r="B210" s="68" t="inlineStr">
        <is>
          <t>CCI</t>
        </is>
      </c>
      <c r="C210" s="69" t="inlineStr">
        <is>
          <t>Crown Castle Intl</t>
        </is>
      </c>
      <c r="D210" s="70" t="inlineStr">
        <is>
          <t>REIT - Specialty</t>
        </is>
      </c>
      <c r="E210" s="72" t="n">
        <v>90.73</v>
      </c>
      <c r="F210" s="84" t="n">
        <v>-0.04617983</v>
      </c>
      <c r="G210" s="74" t="n">
        <v>39.564673024</v>
      </c>
      <c r="H210" s="84" t="n">
        <v>-0.043</v>
      </c>
      <c r="I210" s="75" t="n">
        <v>0.74085</v>
      </c>
      <c r="J210" s="76" t="n">
        <v>36.00397</v>
      </c>
      <c r="K210" s="85" t="n">
        <v>1372.249984</v>
      </c>
      <c r="L210" s="74" t="n">
        <v>10.43298702703406</v>
      </c>
      <c r="M210" s="84" t="n">
        <v>-0.7363054909943173</v>
      </c>
      <c r="N210" s="76" t="n">
        <v>28.83197020921226</v>
      </c>
      <c r="O210" s="118" t="inlineStr">
        <is>
          <t>—</t>
        </is>
      </c>
      <c r="P210" s="118" t="inlineStr">
        <is>
          <t>—</t>
        </is>
      </c>
      <c r="Q210" s="118" t="inlineStr">
        <is>
          <t>—</t>
        </is>
      </c>
      <c r="R210" s="118" t="inlineStr">
        <is>
          <t>—</t>
        </is>
      </c>
      <c r="S210" s="118" t="inlineStr">
        <is>
          <t>—</t>
        </is>
      </c>
    </row>
    <row r="211" ht="20" customHeight="1" s="57">
      <c r="A211" s="62" t="n">
        <v>206</v>
      </c>
      <c r="B211" s="63" t="inlineStr">
        <is>
          <t>FAST</t>
        </is>
      </c>
      <c r="C211" s="64" t="inlineStr">
        <is>
          <t>Fastenal</t>
        </is>
      </c>
      <c r="D211" s="65" t="inlineStr">
        <is>
          <t>Industrial Distribution</t>
        </is>
      </c>
      <c r="E211" s="79" t="n">
        <v>46.42</v>
      </c>
      <c r="F211" s="73" t="n">
        <v>0.24124038</v>
      </c>
      <c r="G211" s="80" t="n">
        <v>53.298475008</v>
      </c>
      <c r="H211" s="73" t="n">
        <v>0.111</v>
      </c>
      <c r="I211" s="81" t="n">
        <v>0.45012</v>
      </c>
      <c r="J211" s="82" t="n">
        <v>42.587154</v>
      </c>
      <c r="K211" s="83" t="n">
        <v>805.2375039999999</v>
      </c>
      <c r="L211" s="80" t="n">
        <v>13.43002101828013</v>
      </c>
      <c r="M211" s="84" t="n">
        <v>-0.7480224149703287</v>
      </c>
      <c r="N211" s="82" t="n">
        <v>66.18976222970359</v>
      </c>
      <c r="O211" s="119" t="inlineStr">
        <is>
          <t>—</t>
        </is>
      </c>
      <c r="P211" s="119" t="inlineStr">
        <is>
          <t>—</t>
        </is>
      </c>
      <c r="Q211" s="119" t="inlineStr">
        <is>
          <t>—</t>
        </is>
      </c>
      <c r="R211" s="119" t="inlineStr">
        <is>
          <t>—</t>
        </is>
      </c>
      <c r="S211" s="119" t="inlineStr">
        <is>
          <t>—</t>
        </is>
      </c>
    </row>
    <row r="212" ht="20" customHeight="1" s="57">
      <c r="A212" s="67" t="n">
        <v>207</v>
      </c>
      <c r="B212" s="68" t="inlineStr">
        <is>
          <t>PPG</t>
        </is>
      </c>
      <c r="C212" s="69" t="inlineStr">
        <is>
          <t>PPG Industries</t>
        </is>
      </c>
      <c r="D212" s="70" t="inlineStr">
        <is>
          <t>Specialty Chemicals</t>
        </is>
      </c>
      <c r="E212" s="72" t="n">
        <v>117.99</v>
      </c>
      <c r="F212" s="73" t="n">
        <v>0.035848856</v>
      </c>
      <c r="G212" s="74" t="n">
        <v>26.370142208</v>
      </c>
      <c r="H212" s="73" t="n">
        <v>0.05</v>
      </c>
      <c r="I212" s="75" t="n">
        <v>0.41625</v>
      </c>
      <c r="J212" s="76" t="n">
        <v>17.025974</v>
      </c>
      <c r="K212" s="85" t="n">
        <v>538.875008</v>
      </c>
      <c r="L212" s="74" t="n">
        <v>8.005460686760333</v>
      </c>
      <c r="M212" s="84" t="n">
        <v>-0.6964195102318527</v>
      </c>
      <c r="N212" s="76" t="n">
        <v>48.93554333263864</v>
      </c>
      <c r="O212" s="118" t="inlineStr">
        <is>
          <t>—</t>
        </is>
      </c>
      <c r="P212" s="118" t="inlineStr">
        <is>
          <t>—</t>
        </is>
      </c>
      <c r="Q212" s="118" t="inlineStr">
        <is>
          <t>—</t>
        </is>
      </c>
      <c r="R212" s="118" t="inlineStr">
        <is>
          <t>—</t>
        </is>
      </c>
      <c r="S212" s="118" t="inlineStr">
        <is>
          <t>—</t>
        </is>
      </c>
    </row>
    <row r="213" ht="20" customHeight="1" s="57">
      <c r="A213" s="62" t="n">
        <v>208</v>
      </c>
      <c r="B213" s="63" t="inlineStr">
        <is>
          <t>RSG</t>
        </is>
      </c>
      <c r="C213" s="64" t="inlineStr">
        <is>
          <t>Republic Services</t>
        </is>
      </c>
      <c r="D213" s="65" t="inlineStr">
        <is>
          <t>Waste Management</t>
        </is>
      </c>
      <c r="E213" s="79" t="n">
        <v>231.68</v>
      </c>
      <c r="F213" s="84" t="n">
        <v>-0.014803171</v>
      </c>
      <c r="G213" s="80" t="n">
        <v>71.71969024000001</v>
      </c>
      <c r="H213" s="73" t="n">
        <v>0.022</v>
      </c>
      <c r="I213" s="81" t="n">
        <v>0.43005002</v>
      </c>
      <c r="J213" s="82" t="n">
        <v>33.821896</v>
      </c>
      <c r="K213" s="83" t="n">
        <v>1770.125056</v>
      </c>
      <c r="L213" s="80" t="n">
        <v>17.90179107457227</v>
      </c>
      <c r="M213" s="84" t="n">
        <v>-0.7503922421490332</v>
      </c>
      <c r="N213" s="82" t="n">
        <v>40.41744689568419</v>
      </c>
      <c r="O213" s="119" t="inlineStr">
        <is>
          <t>—</t>
        </is>
      </c>
      <c r="P213" s="119" t="inlineStr">
        <is>
          <t>—</t>
        </is>
      </c>
      <c r="Q213" s="119" t="inlineStr">
        <is>
          <t>—</t>
        </is>
      </c>
      <c r="R213" s="119" t="inlineStr">
        <is>
          <t>—</t>
        </is>
      </c>
      <c r="S213" s="119" t="inlineStr">
        <is>
          <t>—</t>
        </is>
      </c>
    </row>
    <row r="214" ht="20" customHeight="1" s="57">
      <c r="A214" s="67" t="n">
        <v>209</v>
      </c>
      <c r="B214" s="68" t="inlineStr">
        <is>
          <t>DGX</t>
        </is>
      </c>
      <c r="C214" s="69" t="inlineStr">
        <is>
          <t>Quest Diagnostics</t>
        </is>
      </c>
      <c r="D214" s="70" t="inlineStr">
        <is>
          <t>Diagnostics &amp; Research</t>
        </is>
      </c>
      <c r="E214" s="72" t="n">
        <v>208.82</v>
      </c>
      <c r="F214" s="73" t="n">
        <v>0.21132493</v>
      </c>
      <c r="G214" s="74" t="n">
        <v>23.229630464</v>
      </c>
      <c r="H214" s="73" t="n">
        <v>0.07099999999999999</v>
      </c>
      <c r="I214" s="75" t="n">
        <v>0.33330002</v>
      </c>
      <c r="J214" s="76" t="n">
        <v>23.865143</v>
      </c>
      <c r="K214" s="85" t="n">
        <v>1011</v>
      </c>
      <c r="L214" s="74" t="n">
        <v>13.66646337545194</v>
      </c>
      <c r="M214" s="84" t="n">
        <v>-0.411679690874486</v>
      </c>
      <c r="N214" s="76" t="n">
        <v>22.77033633317507</v>
      </c>
      <c r="O214" s="118" t="inlineStr">
        <is>
          <t>—</t>
        </is>
      </c>
      <c r="P214" s="118" t="inlineStr">
        <is>
          <t>—</t>
        </is>
      </c>
      <c r="Q214" s="118" t="inlineStr">
        <is>
          <t>—</t>
        </is>
      </c>
      <c r="R214" s="118" t="inlineStr">
        <is>
          <t>—</t>
        </is>
      </c>
      <c r="S214" s="118" t="inlineStr">
        <is>
          <t>—</t>
        </is>
      </c>
    </row>
    <row r="215" ht="20" customHeight="1" s="57">
      <c r="A215" s="62" t="n">
        <v>210</v>
      </c>
      <c r="B215" s="63" t="inlineStr">
        <is>
          <t>ECL</t>
        </is>
      </c>
      <c r="C215" s="64" t="inlineStr">
        <is>
          <t>Ecolab</t>
        </is>
      </c>
      <c r="D215" s="65" t="inlineStr">
        <is>
          <t>Specialty Chemicals</t>
        </is>
      </c>
      <c r="E215" s="79" t="n">
        <v>298.43</v>
      </c>
      <c r="F215" s="73" t="n">
        <v>0.106924295</v>
      </c>
      <c r="G215" s="80" t="n">
        <v>84.526014464</v>
      </c>
      <c r="H215" s="73" t="n">
        <v>0.178</v>
      </c>
      <c r="I215" s="81" t="n">
        <v>0.44512</v>
      </c>
      <c r="J215" s="82" t="n">
        <v>40.99313</v>
      </c>
      <c r="K215" s="83" t="n">
        <v>1642.37504</v>
      </c>
      <c r="L215" s="80" t="n">
        <v>29.36479016275268</v>
      </c>
      <c r="M215" s="84" t="n">
        <v>-0.6525946438033078</v>
      </c>
      <c r="N215" s="82" t="n">
        <v>51.23564369721547</v>
      </c>
      <c r="O215" s="119" t="inlineStr">
        <is>
          <t>—</t>
        </is>
      </c>
      <c r="P215" s="119" t="inlineStr">
        <is>
          <t>—</t>
        </is>
      </c>
      <c r="Q215" s="119" t="inlineStr">
        <is>
          <t>—</t>
        </is>
      </c>
      <c r="R215" s="119" t="inlineStr">
        <is>
          <t>—</t>
        </is>
      </c>
      <c r="S215" s="119" t="inlineStr">
        <is>
          <t>—</t>
        </is>
      </c>
    </row>
    <row r="216" ht="20" customHeight="1" s="57">
      <c r="A216" s="67" t="n">
        <v>211</v>
      </c>
      <c r="B216" s="68" t="inlineStr">
        <is>
          <t>HAS</t>
        </is>
      </c>
      <c r="C216" s="69" t="inlineStr">
        <is>
          <t>Hasbro</t>
        </is>
      </c>
      <c r="D216" s="70" t="inlineStr">
        <is>
          <t>Leisure</t>
        </is>
      </c>
      <c r="E216" s="72" t="n">
        <v>97.30500000000001</v>
      </c>
      <c r="F216" s="73" t="n">
        <v>0.54869926</v>
      </c>
      <c r="G216" s="74" t="n">
        <v>13.656195072</v>
      </c>
      <c r="H216" s="73" t="n">
        <v>0.313</v>
      </c>
      <c r="I216" s="75" t="n">
        <v>0.6382100000000001</v>
      </c>
      <c r="J216" s="76" t="n">
        <v>15.594001</v>
      </c>
      <c r="K216" s="85" t="n">
        <v>434.350016</v>
      </c>
      <c r="L216" s="74" t="n">
        <v>8.148982894094315</v>
      </c>
      <c r="M216" s="84" t="n">
        <v>-0.4032757403412759</v>
      </c>
      <c r="N216" s="76" t="n">
        <v>31.43891681821649</v>
      </c>
      <c r="O216" s="118" t="inlineStr">
        <is>
          <t>—</t>
        </is>
      </c>
      <c r="P216" s="118" t="inlineStr">
        <is>
          <t>—</t>
        </is>
      </c>
      <c r="Q216" s="118" t="inlineStr">
        <is>
          <t>—</t>
        </is>
      </c>
      <c r="R216" s="118" t="inlineStr">
        <is>
          <t>—</t>
        </is>
      </c>
      <c r="S216" s="118" t="inlineStr">
        <is>
          <t>—</t>
        </is>
      </c>
    </row>
    <row r="217" ht="20" customHeight="1" s="57">
      <c r="A217" s="62" t="n">
        <v>212</v>
      </c>
      <c r="B217" s="63" t="inlineStr">
        <is>
          <t>ULTA</t>
        </is>
      </c>
      <c r="C217" s="64" t="inlineStr">
        <is>
          <t>Ulta Beauty</t>
        </is>
      </c>
      <c r="D217" s="65" t="inlineStr">
        <is>
          <t>Specialty Retail</t>
        </is>
      </c>
      <c r="E217" s="79" t="n">
        <v>664.235</v>
      </c>
      <c r="F217" s="73" t="n">
        <v>0.9024259</v>
      </c>
      <c r="G217" s="80" t="n">
        <v>29.783209984</v>
      </c>
      <c r="H217" s="73" t="n">
        <v>0.129</v>
      </c>
      <c r="I217" s="81" t="n">
        <v>0.42902002</v>
      </c>
      <c r="J217" s="82" t="n">
        <v>25.459372</v>
      </c>
      <c r="K217" s="83" t="n">
        <v>975.341888</v>
      </c>
      <c r="L217" s="80" t="n">
        <v>16.96766112695505</v>
      </c>
      <c r="M217" s="84" t="n">
        <v>-0.4302944129907306</v>
      </c>
      <c r="N217" s="82" t="n">
        <v>30.21187511883013</v>
      </c>
      <c r="O217" s="119" t="inlineStr">
        <is>
          <t>—</t>
        </is>
      </c>
      <c r="P217" s="119" t="inlineStr">
        <is>
          <t>—</t>
        </is>
      </c>
      <c r="Q217" s="119" t="inlineStr">
        <is>
          <t>—</t>
        </is>
      </c>
      <c r="R217" s="119" t="inlineStr">
        <is>
          <t>—</t>
        </is>
      </c>
      <c r="S217" s="119" t="inlineStr">
        <is>
          <t>—</t>
        </is>
      </c>
    </row>
    <row r="218" ht="20" customHeight="1" s="57">
      <c r="A218" s="67" t="n">
        <v>213</v>
      </c>
      <c r="B218" s="68" t="inlineStr">
        <is>
          <t>DOV</t>
        </is>
      </c>
      <c r="C218" s="69" t="inlineStr">
        <is>
          <t>Dover</t>
        </is>
      </c>
      <c r="D218" s="70" t="inlineStr">
        <is>
          <t>Specialty Industrial Machinery</t>
        </is>
      </c>
      <c r="E218" s="72" t="n">
        <v>221.53</v>
      </c>
      <c r="F218" s="73" t="n">
        <v>0.16354823</v>
      </c>
      <c r="G218" s="74" t="n">
        <v>30.383552512</v>
      </c>
      <c r="H218" s="73" t="n">
        <v>0.08799999999999999</v>
      </c>
      <c r="I218" s="75" t="n">
        <v>0.40164003</v>
      </c>
      <c r="J218" s="76" t="n">
        <v>27.795485</v>
      </c>
      <c r="K218" s="85" t="n">
        <v>858.876096</v>
      </c>
      <c r="L218" s="74" t="n">
        <v>13.70429978060404</v>
      </c>
      <c r="M218" s="84" t="n">
        <v>-0.5489566345083735</v>
      </c>
      <c r="N218" s="76" t="n">
        <v>34.78616275027871</v>
      </c>
      <c r="O218" s="118" t="inlineStr">
        <is>
          <t>—</t>
        </is>
      </c>
      <c r="P218" s="118" t="inlineStr">
        <is>
          <t>—</t>
        </is>
      </c>
      <c r="Q218" s="118" t="inlineStr">
        <is>
          <t>—</t>
        </is>
      </c>
      <c r="R218" s="118" t="inlineStr">
        <is>
          <t>—</t>
        </is>
      </c>
      <c r="S218" s="118" t="inlineStr">
        <is>
          <t>—</t>
        </is>
      </c>
    </row>
    <row r="219" ht="20" customHeight="1" s="57">
      <c r="A219" s="62" t="n">
        <v>214</v>
      </c>
      <c r="B219" s="63" t="inlineStr">
        <is>
          <t>APD</t>
        </is>
      </c>
      <c r="C219" s="64" t="inlineStr">
        <is>
          <t>Air Products &amp; Chemicals</t>
        </is>
      </c>
      <c r="D219" s="65" t="inlineStr">
        <is>
          <t>Chemicals</t>
        </is>
      </c>
      <c r="E219" s="79" t="n">
        <v>274.1601</v>
      </c>
      <c r="F219" s="84" t="n">
        <v>-0.123692155</v>
      </c>
      <c r="G219" s="80" t="n">
        <v>61.043388416</v>
      </c>
      <c r="H219" s="73" t="n">
        <v>0.058</v>
      </c>
      <c r="I219" s="81" t="n">
        <v>0.31628</v>
      </c>
      <c r="J219" s="82" t="n">
        <v>19.560747</v>
      </c>
      <c r="K219" s="83" t="n">
        <v>-6148.412416</v>
      </c>
      <c r="L219" s="78" t="inlineStr">
        <is>
          <t>—</t>
        </is>
      </c>
      <c r="M219" s="78" t="inlineStr">
        <is>
          <t>—</t>
        </is>
      </c>
      <c r="N219" s="82" t="n">
        <v>-9.928317960588933</v>
      </c>
      <c r="O219" s="119" t="inlineStr">
        <is>
          <t>—</t>
        </is>
      </c>
      <c r="P219" s="119" t="inlineStr">
        <is>
          <t>—</t>
        </is>
      </c>
      <c r="Q219" s="119" t="inlineStr">
        <is>
          <t>—</t>
        </is>
      </c>
      <c r="R219" s="119" t="inlineStr">
        <is>
          <t>—</t>
        </is>
      </c>
      <c r="S219" s="119" t="inlineStr">
        <is>
          <t>—</t>
        </is>
      </c>
    </row>
    <row r="220" ht="20" customHeight="1" s="57">
      <c r="A220" s="67" t="n">
        <v>215</v>
      </c>
      <c r="B220" s="68" t="inlineStr">
        <is>
          <t>ALL</t>
        </is>
      </c>
      <c r="C220" s="69" t="inlineStr">
        <is>
          <t>Allstate</t>
        </is>
      </c>
      <c r="D220" s="70" t="inlineStr">
        <is>
          <t>Insurance - Property &amp; Casualty</t>
        </is>
      </c>
      <c r="E220" s="72" t="n">
        <v>214.03</v>
      </c>
      <c r="F220" s="73" t="n">
        <v>0.07040489</v>
      </c>
      <c r="G220" s="74" t="n">
        <v>55.54845696</v>
      </c>
      <c r="H220" s="73" t="n">
        <v>0.051</v>
      </c>
      <c r="I220" s="75" t="n">
        <v>0.31301</v>
      </c>
      <c r="J220" s="76" t="n">
        <v>5.622012</v>
      </c>
      <c r="K220" s="85" t="n">
        <v>8924.749824</v>
      </c>
      <c r="L220" s="74" t="n">
        <v>109.7756102445071</v>
      </c>
      <c r="M220" s="73" t="n">
        <v>0.9762134945270508</v>
      </c>
      <c r="N220" s="76" t="n">
        <v>6.224091135180261</v>
      </c>
      <c r="O220" s="118" t="inlineStr">
        <is>
          <t>—</t>
        </is>
      </c>
      <c r="P220" s="118" t="inlineStr">
        <is>
          <t>—</t>
        </is>
      </c>
      <c r="Q220" s="118" t="inlineStr">
        <is>
          <t>—</t>
        </is>
      </c>
      <c r="R220" s="118" t="inlineStr">
        <is>
          <t>—</t>
        </is>
      </c>
      <c r="S220" s="118" t="inlineStr">
        <is>
          <t>—</t>
        </is>
      </c>
    </row>
    <row r="221" ht="20" customHeight="1" s="57">
      <c r="A221" s="62" t="n">
        <v>216</v>
      </c>
      <c r="B221" s="63" t="inlineStr">
        <is>
          <t>BR</t>
        </is>
      </c>
      <c r="C221" s="64" t="inlineStr">
        <is>
          <t>Broadridge Financial Soln</t>
        </is>
      </c>
      <c r="D221" s="65" t="inlineStr">
        <is>
          <t>Information Technology Services</t>
        </is>
      </c>
      <c r="E221" s="79" t="n">
        <v>189.475</v>
      </c>
      <c r="F221" s="84" t="n">
        <v>-0.226731</v>
      </c>
      <c r="G221" s="80" t="n">
        <v>22.120962048</v>
      </c>
      <c r="H221" s="73" t="n">
        <v>0.078</v>
      </c>
      <c r="I221" s="81" t="n">
        <v>0.31219998</v>
      </c>
      <c r="J221" s="82" t="n">
        <v>20.959625</v>
      </c>
      <c r="K221" s="83" t="n">
        <v>1196.462464</v>
      </c>
      <c r="L221" s="80" t="n">
        <v>16.6963562605405</v>
      </c>
      <c r="M221" s="84" t="n">
        <v>-0.2452246776468723</v>
      </c>
      <c r="N221" s="82" t="n">
        <v>18.48863916772654</v>
      </c>
      <c r="O221" s="119" t="inlineStr">
        <is>
          <t>—</t>
        </is>
      </c>
      <c r="P221" s="119" t="inlineStr">
        <is>
          <t>—</t>
        </is>
      </c>
      <c r="Q221" s="119" t="inlineStr">
        <is>
          <t>—</t>
        </is>
      </c>
      <c r="R221" s="119" t="inlineStr">
        <is>
          <t>—</t>
        </is>
      </c>
      <c r="S221" s="119" t="inlineStr">
        <is>
          <t>—</t>
        </is>
      </c>
    </row>
    <row r="222" ht="20" customHeight="1" s="57">
      <c r="A222" s="67" t="n">
        <v>217</v>
      </c>
      <c r="B222" s="68" t="inlineStr">
        <is>
          <t>ORLY</t>
        </is>
      </c>
      <c r="C222" s="69" t="inlineStr">
        <is>
          <t>O'Reilly Automotive</t>
        </is>
      </c>
      <c r="D222" s="70" t="inlineStr">
        <is>
          <t>Specialty Retail</t>
        </is>
      </c>
      <c r="E222" s="72" t="n">
        <v>93.77</v>
      </c>
      <c r="F222" s="73" t="n">
        <v>0.051042438</v>
      </c>
      <c r="G222" s="74" t="n">
        <v>79.15163647999999</v>
      </c>
      <c r="H222" s="73" t="n">
        <v>0.078</v>
      </c>
      <c r="I222" s="75" t="n">
        <v>0.51592</v>
      </c>
      <c r="J222" s="76" t="n">
        <v>31.57239</v>
      </c>
      <c r="K222" s="85" t="n">
        <v>1031.664512</v>
      </c>
      <c r="L222" s="74" t="n">
        <v>14.30173595449155</v>
      </c>
      <c r="M222" s="84" t="n">
        <v>-0.8193121887239146</v>
      </c>
      <c r="N222" s="76" t="n">
        <v>76.52277298383991</v>
      </c>
      <c r="O222" s="118" t="inlineStr">
        <is>
          <t>—</t>
        </is>
      </c>
      <c r="P222" s="118" t="inlineStr">
        <is>
          <t>—</t>
        </is>
      </c>
      <c r="Q222" s="118" t="inlineStr">
        <is>
          <t>—</t>
        </is>
      </c>
      <c r="R222" s="118" t="inlineStr">
        <is>
          <t>—</t>
        </is>
      </c>
      <c r="S222" s="118" t="inlineStr">
        <is>
          <t>—</t>
        </is>
      </c>
    </row>
    <row r="223" ht="20" customHeight="1" s="57">
      <c r="A223" s="62" t="n">
        <v>218</v>
      </c>
      <c r="B223" s="63" t="inlineStr">
        <is>
          <t>PNR</t>
        </is>
      </c>
      <c r="C223" s="64" t="inlineStr">
        <is>
          <t>Pentair</t>
        </is>
      </c>
      <c r="D223" s="65" t="inlineStr">
        <is>
          <t>Specialty Industrial Machinery</t>
        </is>
      </c>
      <c r="E223" s="79" t="n">
        <v>96.785</v>
      </c>
      <c r="F223" s="73" t="n">
        <v>0.06996381</v>
      </c>
      <c r="G223" s="80" t="n">
        <v>15.838081024</v>
      </c>
      <c r="H223" s="73" t="n">
        <v>0.049</v>
      </c>
      <c r="I223" s="81" t="n">
        <v>0.40886003</v>
      </c>
      <c r="J223" s="82" t="n">
        <v>24.627228</v>
      </c>
      <c r="K223" s="83" t="n">
        <v>599.4</v>
      </c>
      <c r="L223" s="80" t="n">
        <v>7.090897136308514</v>
      </c>
      <c r="M223" s="84" t="n">
        <v>-0.5522881133412925</v>
      </c>
      <c r="N223" s="82" t="n">
        <v>26.35763731266266</v>
      </c>
      <c r="O223" s="119" t="inlineStr">
        <is>
          <t>—</t>
        </is>
      </c>
      <c r="P223" s="119" t="inlineStr">
        <is>
          <t>—</t>
        </is>
      </c>
      <c r="Q223" s="119" t="inlineStr">
        <is>
          <t>—</t>
        </is>
      </c>
      <c r="R223" s="119" t="inlineStr">
        <is>
          <t>—</t>
        </is>
      </c>
      <c r="S223" s="119" t="inlineStr">
        <is>
          <t>—</t>
        </is>
      </c>
    </row>
    <row r="224" ht="20" customHeight="1" s="57">
      <c r="A224" s="67" t="n">
        <v>219</v>
      </c>
      <c r="B224" s="68" t="inlineStr">
        <is>
          <t>EOG</t>
        </is>
      </c>
      <c r="C224" s="69" t="inlineStr">
        <is>
          <t>EOG Resources</t>
        </is>
      </c>
      <c r="D224" s="70" t="inlineStr">
        <is>
          <t>Oil &amp; Gas E&amp;P</t>
        </is>
      </c>
      <c r="E224" s="72" t="n">
        <v>126.985</v>
      </c>
      <c r="F224" s="73" t="n">
        <v>0.050553918</v>
      </c>
      <c r="G224" s="74" t="n">
        <v>68.901863424</v>
      </c>
      <c r="H224" s="75" t="n">
        <v>0</v>
      </c>
      <c r="I224" s="75" t="n">
        <v>0.6202</v>
      </c>
      <c r="J224" s="76" t="n">
        <v>13.939078</v>
      </c>
      <c r="K224" s="85" t="n">
        <v>2327.24992</v>
      </c>
      <c r="L224" s="74" t="n">
        <v>27.07062248154693</v>
      </c>
      <c r="M224" s="84" t="n">
        <v>-0.6071133473566167</v>
      </c>
      <c r="N224" s="76" t="n">
        <v>29.27333744998259</v>
      </c>
      <c r="O224" s="118" t="inlineStr">
        <is>
          <t>—</t>
        </is>
      </c>
      <c r="P224" s="118" t="inlineStr">
        <is>
          <t>—</t>
        </is>
      </c>
      <c r="Q224" s="118" t="inlineStr">
        <is>
          <t>—</t>
        </is>
      </c>
      <c r="R224" s="118" t="inlineStr">
        <is>
          <t>—</t>
        </is>
      </c>
      <c r="S224" s="118" t="inlineStr">
        <is>
          <t>—</t>
        </is>
      </c>
    </row>
    <row r="225" ht="20" customHeight="1" s="57">
      <c r="A225" s="62" t="n">
        <v>220</v>
      </c>
      <c r="B225" s="63" t="inlineStr">
        <is>
          <t>SYK</t>
        </is>
      </c>
      <c r="C225" s="64" t="inlineStr">
        <is>
          <t>Stryker</t>
        </is>
      </c>
      <c r="D225" s="65" t="inlineStr">
        <is>
          <t>Medical Devices</t>
        </is>
      </c>
      <c r="E225" s="79" t="n">
        <v>384.015</v>
      </c>
      <c r="F225" s="84" t="n">
        <v>-0.02805227</v>
      </c>
      <c r="G225" s="80" t="n">
        <v>146.958188544</v>
      </c>
      <c r="H225" s="73" t="n">
        <v>0.114</v>
      </c>
      <c r="I225" s="81" t="n">
        <v>0.65042</v>
      </c>
      <c r="J225" s="82" t="n">
        <v>45.82518</v>
      </c>
      <c r="K225" s="83" t="n">
        <v>4170.125056</v>
      </c>
      <c r="L225" s="80" t="n">
        <v>72.67113068663691</v>
      </c>
      <c r="M225" s="84" t="n">
        <v>-0.5054979147019165</v>
      </c>
      <c r="N225" s="82" t="n">
        <v>35.24071569956414</v>
      </c>
      <c r="O225" s="119" t="inlineStr">
        <is>
          <t>—</t>
        </is>
      </c>
      <c r="P225" s="119" t="inlineStr">
        <is>
          <t>—</t>
        </is>
      </c>
      <c r="Q225" s="119" t="inlineStr">
        <is>
          <t>—</t>
        </is>
      </c>
      <c r="R225" s="119" t="inlineStr">
        <is>
          <t>—</t>
        </is>
      </c>
      <c r="S225" s="119" t="inlineStr">
        <is>
          <t>—</t>
        </is>
      </c>
    </row>
    <row r="226" ht="20" customHeight="1" s="57">
      <c r="A226" s="67" t="n">
        <v>221</v>
      </c>
      <c r="B226" s="68" t="inlineStr">
        <is>
          <t>SBUX</t>
        </is>
      </c>
      <c r="C226" s="69" t="inlineStr">
        <is>
          <t>Starbucks</t>
        </is>
      </c>
      <c r="D226" s="70" t="inlineStr">
        <is>
          <t>Restaurants</t>
        </is>
      </c>
      <c r="E226" s="72" t="n">
        <v>97.125</v>
      </c>
      <c r="F226" s="84" t="n">
        <v>-0.13438982</v>
      </c>
      <c r="G226" s="74" t="n">
        <v>110.654513152</v>
      </c>
      <c r="H226" s="73" t="n">
        <v>0.055</v>
      </c>
      <c r="I226" s="75" t="n">
        <v>0.22167999</v>
      </c>
      <c r="J226" s="76" t="n">
        <v>80.9375</v>
      </c>
      <c r="K226" s="85" t="n">
        <v>-1439.38752</v>
      </c>
      <c r="L226" s="77" t="inlineStr">
        <is>
          <t>—</t>
        </is>
      </c>
      <c r="M226" s="77" t="inlineStr">
        <is>
          <t>—</t>
        </is>
      </c>
      <c r="N226" s="76" t="n">
        <v>-76.87610943021099</v>
      </c>
      <c r="O226" s="118" t="inlineStr">
        <is>
          <t>—</t>
        </is>
      </c>
      <c r="P226" s="118" t="inlineStr">
        <is>
          <t>—</t>
        </is>
      </c>
      <c r="Q226" s="118" t="inlineStr">
        <is>
          <t>—</t>
        </is>
      </c>
      <c r="R226" s="118" t="inlineStr">
        <is>
          <t>—</t>
        </is>
      </c>
      <c r="S226" s="118" t="inlineStr">
        <is>
          <t>—</t>
        </is>
      </c>
    </row>
    <row r="227" ht="20" customHeight="1" s="57">
      <c r="A227" s="62" t="n">
        <v>222</v>
      </c>
      <c r="B227" s="63" t="inlineStr">
        <is>
          <t>TT</t>
        </is>
      </c>
      <c r="C227" s="64" t="inlineStr">
        <is>
          <t>Trane Technologies</t>
        </is>
      </c>
      <c r="D227" s="65" t="inlineStr">
        <is>
          <t>Specialty Industrial Machinery</t>
        </is>
      </c>
      <c r="E227" s="79" t="n">
        <v>446.335</v>
      </c>
      <c r="F227" s="73" t="n">
        <v>0.2787323</v>
      </c>
      <c r="G227" s="80" t="n">
        <v>98.969878528</v>
      </c>
      <c r="H227" s="73" t="n">
        <v>0.056</v>
      </c>
      <c r="I227" s="81" t="n">
        <v>0.36161</v>
      </c>
      <c r="J227" s="82" t="n">
        <v>33.941826</v>
      </c>
      <c r="K227" s="83" t="n">
        <v>1935.83744</v>
      </c>
      <c r="L227" s="80" t="n">
        <v>24.86714492851546</v>
      </c>
      <c r="M227" s="84" t="n">
        <v>-0.7487402702885991</v>
      </c>
      <c r="N227" s="82" t="n">
        <v>51.0312352560838</v>
      </c>
      <c r="O227" s="119" t="inlineStr">
        <is>
          <t>—</t>
        </is>
      </c>
      <c r="P227" s="119" t="inlineStr">
        <is>
          <t>—</t>
        </is>
      </c>
      <c r="Q227" s="119" t="inlineStr">
        <is>
          <t>—</t>
        </is>
      </c>
      <c r="R227" s="119" t="inlineStr">
        <is>
          <t>—</t>
        </is>
      </c>
      <c r="S227" s="119" t="inlineStr">
        <is>
          <t>—</t>
        </is>
      </c>
    </row>
    <row r="228" ht="20" customHeight="1" s="57">
      <c r="A228" s="67" t="n">
        <v>223</v>
      </c>
      <c r="B228" s="68" t="inlineStr">
        <is>
          <t>WAB</t>
        </is>
      </c>
      <c r="C228" s="69" t="inlineStr">
        <is>
          <t>Westinghouse Air Brake</t>
        </is>
      </c>
      <c r="D228" s="70" t="inlineStr">
        <is>
          <t>Railroads</t>
        </is>
      </c>
      <c r="E228" s="72" t="n">
        <v>260.4</v>
      </c>
      <c r="F228" s="73" t="n">
        <v>0.44994164</v>
      </c>
      <c r="G228" s="74" t="n">
        <v>44.517249024</v>
      </c>
      <c r="H228" s="73" t="n">
        <v>0.148</v>
      </c>
      <c r="I228" s="75" t="n">
        <v>0.34665</v>
      </c>
      <c r="J228" s="76" t="n">
        <v>38.125916</v>
      </c>
      <c r="K228" s="85" t="n">
        <v>1224.625024</v>
      </c>
      <c r="L228" s="74" t="n">
        <v>21.68437554646031</v>
      </c>
      <c r="M228" s="84" t="n">
        <v>-0.5128994710618823</v>
      </c>
      <c r="N228" s="76" t="n">
        <v>36.25818140720926</v>
      </c>
      <c r="O228" s="118" t="inlineStr">
        <is>
          <t>—</t>
        </is>
      </c>
      <c r="P228" s="118" t="inlineStr">
        <is>
          <t>—</t>
        </is>
      </c>
      <c r="Q228" s="118" t="inlineStr">
        <is>
          <t>—</t>
        </is>
      </c>
      <c r="R228" s="118" t="inlineStr">
        <is>
          <t>—</t>
        </is>
      </c>
      <c r="S228" s="118" t="inlineStr">
        <is>
          <t>—</t>
        </is>
      </c>
    </row>
    <row r="229" ht="20" customHeight="1" s="57">
      <c r="A229" s="62" t="n">
        <v>224</v>
      </c>
      <c r="B229" s="63" t="inlineStr">
        <is>
          <t>CHTR</t>
        </is>
      </c>
      <c r="C229" s="64" t="inlineStr">
        <is>
          <t>Charter Communications</t>
        </is>
      </c>
      <c r="D229" s="65" t="inlineStr">
        <is>
          <t>Entertainment</t>
        </is>
      </c>
      <c r="E229" s="79" t="n">
        <v>232.3</v>
      </c>
      <c r="F229" s="84" t="n">
        <v>-0.39376885</v>
      </c>
      <c r="G229" s="80" t="n">
        <v>30.061797376</v>
      </c>
      <c r="H229" s="84" t="n">
        <v>-0.023</v>
      </c>
      <c r="I229" s="81" t="n">
        <v>0.55309</v>
      </c>
      <c r="J229" s="82" t="n">
        <v>6.417127</v>
      </c>
      <c r="K229" s="83" t="n">
        <v>2734.625024</v>
      </c>
      <c r="L229" s="80" t="n">
        <v>21.82280674029705</v>
      </c>
      <c r="M229" s="84" t="n">
        <v>-0.2740684641258541</v>
      </c>
      <c r="N229" s="82" t="n">
        <v>10.75705391947002</v>
      </c>
      <c r="O229" s="125" t="inlineStr">
        <is>
          <t>YES</t>
        </is>
      </c>
      <c r="P229" s="126" t="n">
        <v>2.19</v>
      </c>
      <c r="Q229" s="127" t="inlineStr">
        <is>
          <t>Hold</t>
        </is>
      </c>
      <c r="R229" s="128" t="n">
        <v>380</v>
      </c>
      <c r="S229" s="129" t="inlineStr">
        <is>
          <t>Held unchanged all year. ~5.3M shares (Ted Weschler)</t>
        </is>
      </c>
    </row>
    <row r="230" ht="20" customHeight="1" s="57">
      <c r="A230" s="67" t="n">
        <v>225</v>
      </c>
      <c r="B230" s="68" t="inlineStr">
        <is>
          <t>LEN</t>
        </is>
      </c>
      <c r="C230" s="69" t="inlineStr">
        <is>
          <t>Lennar</t>
        </is>
      </c>
      <c r="D230" s="70" t="inlineStr">
        <is>
          <t>Residential Construction</t>
        </is>
      </c>
      <c r="E230" s="72" t="n">
        <v>106.9801</v>
      </c>
      <c r="F230" s="84" t="n">
        <v>-0.1116119</v>
      </c>
      <c r="G230" s="74" t="n">
        <v>26.422667264</v>
      </c>
      <c r="H230" s="84" t="n">
        <v>-0.058</v>
      </c>
      <c r="I230" s="75" t="n">
        <v>0.17742</v>
      </c>
      <c r="J230" s="76" t="n">
        <v>13.406028</v>
      </c>
      <c r="K230" s="85" t="n">
        <v>12156.003328</v>
      </c>
      <c r="L230" s="74" t="n">
        <v>99.17311882905005</v>
      </c>
      <c r="M230" s="73" t="n">
        <v>2.753334886223622</v>
      </c>
      <c r="N230" s="76" t="n">
        <v>1.898902785174871</v>
      </c>
      <c r="O230" s="118" t="inlineStr">
        <is>
          <t>—</t>
        </is>
      </c>
      <c r="P230" s="118" t="inlineStr">
        <is>
          <t>—</t>
        </is>
      </c>
      <c r="Q230" s="118" t="inlineStr">
        <is>
          <t>—</t>
        </is>
      </c>
      <c r="R230" s="118" t="inlineStr">
        <is>
          <t>—</t>
        </is>
      </c>
      <c r="S230" s="118" t="inlineStr">
        <is>
          <t>—</t>
        </is>
      </c>
    </row>
    <row r="231" ht="20" customHeight="1" s="57">
      <c r="A231" s="62" t="n">
        <v>226</v>
      </c>
      <c r="B231" s="63" t="inlineStr">
        <is>
          <t>OTIS</t>
        </is>
      </c>
      <c r="C231" s="64" t="inlineStr">
        <is>
          <t>Otis Worldwide</t>
        </is>
      </c>
      <c r="D231" s="65" t="inlineStr">
        <is>
          <t>Specialty Industrial Machinery</t>
        </is>
      </c>
      <c r="E231" s="79" t="n">
        <v>91.62</v>
      </c>
      <c r="F231" s="84" t="n">
        <v>-0.08849645</v>
      </c>
      <c r="G231" s="80" t="n">
        <v>35.705765888</v>
      </c>
      <c r="H231" s="73" t="n">
        <v>0.033</v>
      </c>
      <c r="I231" s="81" t="n">
        <v>0.30587</v>
      </c>
      <c r="J231" s="82" t="n">
        <v>26.177143</v>
      </c>
      <c r="K231" s="83" t="n">
        <v>1594.499968</v>
      </c>
      <c r="L231" s="80" t="n">
        <v>17.90526435663715</v>
      </c>
      <c r="M231" s="84" t="n">
        <v>-0.498532970478733</v>
      </c>
      <c r="N231" s="82" t="n">
        <v>22.33590337849414</v>
      </c>
      <c r="O231" s="119" t="inlineStr">
        <is>
          <t>—</t>
        </is>
      </c>
      <c r="P231" s="119" t="inlineStr">
        <is>
          <t>—</t>
        </is>
      </c>
      <c r="Q231" s="119" t="inlineStr">
        <is>
          <t>—</t>
        </is>
      </c>
      <c r="R231" s="119" t="inlineStr">
        <is>
          <t>—</t>
        </is>
      </c>
      <c r="S231" s="119" t="inlineStr">
        <is>
          <t>—</t>
        </is>
      </c>
    </row>
    <row r="232" ht="20" customHeight="1" s="57">
      <c r="A232" s="67" t="n">
        <v>227</v>
      </c>
      <c r="B232" s="68" t="inlineStr">
        <is>
          <t>ROST</t>
        </is>
      </c>
      <c r="C232" s="69" t="inlineStr">
        <is>
          <t>Ross Stores</t>
        </is>
      </c>
      <c r="D232" s="70" t="inlineStr">
        <is>
          <t>Apparel Retail</t>
        </is>
      </c>
      <c r="E232" s="72" t="n">
        <v>211</v>
      </c>
      <c r="F232" s="73" t="n">
        <v>0.42556262</v>
      </c>
      <c r="G232" s="74" t="n">
        <v>68.622741504</v>
      </c>
      <c r="H232" s="73" t="n">
        <v>0.104</v>
      </c>
      <c r="I232" s="75" t="n">
        <v>0.3259</v>
      </c>
      <c r="J232" s="76" t="n">
        <v>32.96875</v>
      </c>
      <c r="K232" s="85" t="n">
        <v>1508.112</v>
      </c>
      <c r="L232" s="74" t="n">
        <v>26.88808966850619</v>
      </c>
      <c r="M232" s="84" t="n">
        <v>-0.60817523346923</v>
      </c>
      <c r="N232" s="76" t="n">
        <v>45.25319061714249</v>
      </c>
      <c r="O232" s="118" t="inlineStr">
        <is>
          <t>—</t>
        </is>
      </c>
      <c r="P232" s="118" t="inlineStr">
        <is>
          <t>—</t>
        </is>
      </c>
      <c r="Q232" s="118" t="inlineStr">
        <is>
          <t>—</t>
        </is>
      </c>
      <c r="R232" s="118" t="inlineStr">
        <is>
          <t>—</t>
        </is>
      </c>
      <c r="S232" s="118" t="inlineStr">
        <is>
          <t>—</t>
        </is>
      </c>
    </row>
    <row r="233" ht="20" customHeight="1" s="57">
      <c r="A233" s="62" t="n">
        <v>228</v>
      </c>
      <c r="B233" s="63" t="inlineStr">
        <is>
          <t>HD</t>
        </is>
      </c>
      <c r="C233" s="64" t="inlineStr">
        <is>
          <t>Home Depot</t>
        </is>
      </c>
      <c r="D233" s="65" t="inlineStr">
        <is>
          <t>Home Improvement Retail</t>
        </is>
      </c>
      <c r="E233" s="79" t="n">
        <v>369.15</v>
      </c>
      <c r="F233" s="84" t="n">
        <v>-0.05029118</v>
      </c>
      <c r="G233" s="80" t="n">
        <v>367.493054464</v>
      </c>
      <c r="H233" s="84" t="n">
        <v>-0.038</v>
      </c>
      <c r="I233" s="81" t="n">
        <v>0.33316</v>
      </c>
      <c r="J233" s="82" t="n">
        <v>25.923454</v>
      </c>
      <c r="K233" s="83" t="n">
        <v>8620.749824</v>
      </c>
      <c r="L233" s="80" t="n">
        <v>66.11741505958008</v>
      </c>
      <c r="M233" s="84" t="n">
        <v>-0.8200852662208422</v>
      </c>
      <c r="N233" s="82" t="n">
        <v>42.62889797180478</v>
      </c>
      <c r="O233" s="119" t="inlineStr">
        <is>
          <t>—</t>
        </is>
      </c>
      <c r="P233" s="119" t="inlineStr">
        <is>
          <t>—</t>
        </is>
      </c>
      <c r="Q233" s="119" t="inlineStr">
        <is>
          <t>—</t>
        </is>
      </c>
      <c r="R233" s="119" t="inlineStr">
        <is>
          <t>—</t>
        </is>
      </c>
      <c r="S233" s="119" t="inlineStr">
        <is>
          <t>—</t>
        </is>
      </c>
    </row>
    <row r="234" ht="20" customHeight="1" s="57">
      <c r="A234" s="67" t="n">
        <v>229</v>
      </c>
      <c r="B234" s="68" t="inlineStr">
        <is>
          <t>PHM</t>
        </is>
      </c>
      <c r="C234" s="69" t="inlineStr">
        <is>
          <t>PulteGroup</t>
        </is>
      </c>
      <c r="D234" s="70" t="inlineStr">
        <is>
          <t>Residential Construction</t>
        </is>
      </c>
      <c r="E234" s="72" t="n">
        <v>131.685</v>
      </c>
      <c r="F234" s="73" t="n">
        <v>0.24591863</v>
      </c>
      <c r="G234" s="74" t="n">
        <v>25.326696448</v>
      </c>
      <c r="H234" s="84" t="n">
        <v>-0.063</v>
      </c>
      <c r="I234" s="75" t="n">
        <v>0.26413</v>
      </c>
      <c r="J234" s="76" t="n">
        <v>11.842176</v>
      </c>
      <c r="K234" s="85" t="n">
        <v>1450.738432</v>
      </c>
      <c r="L234" s="74" t="n">
        <v>12.43687643871257</v>
      </c>
      <c r="M234" s="84" t="n">
        <v>-0.5089420183857146</v>
      </c>
      <c r="N234" s="76" t="n">
        <v>17.44088506396927</v>
      </c>
      <c r="O234" s="118" t="inlineStr">
        <is>
          <t>—</t>
        </is>
      </c>
      <c r="P234" s="118" t="inlineStr">
        <is>
          <t>—</t>
        </is>
      </c>
      <c r="Q234" s="118" t="inlineStr">
        <is>
          <t>—</t>
        </is>
      </c>
      <c r="R234" s="118" t="inlineStr">
        <is>
          <t>—</t>
        </is>
      </c>
      <c r="S234" s="118" t="inlineStr">
        <is>
          <t>—</t>
        </is>
      </c>
    </row>
    <row r="235" ht="20" customHeight="1" s="57">
      <c r="A235" s="62" t="n">
        <v>230</v>
      </c>
      <c r="B235" s="63" t="inlineStr">
        <is>
          <t>RJF</t>
        </is>
      </c>
      <c r="C235" s="64" t="inlineStr">
        <is>
          <t>Raymond James Financial</t>
        </is>
      </c>
      <c r="D235" s="65" t="inlineStr">
        <is>
          <t>Capital Markets</t>
        </is>
      </c>
      <c r="E235" s="79" t="n">
        <v>156.365</v>
      </c>
      <c r="F235" s="73" t="n">
        <v>0.05474007</v>
      </c>
      <c r="G235" s="80" t="n">
        <v>30.877382656</v>
      </c>
      <c r="H235" s="73" t="n">
        <v>0.057</v>
      </c>
      <c r="I235" s="81" t="n">
        <v>0.92980003</v>
      </c>
      <c r="J235" s="82" t="n">
        <v>15.284947</v>
      </c>
      <c r="K235" s="78" t="inlineStr">
        <is>
          <t>—</t>
        </is>
      </c>
      <c r="L235" s="78" t="inlineStr">
        <is>
          <t>—</t>
        </is>
      </c>
      <c r="M235" s="78" t="inlineStr">
        <is>
          <t>—</t>
        </is>
      </c>
      <c r="N235" s="78" t="inlineStr">
        <is>
          <t>—</t>
        </is>
      </c>
      <c r="O235" s="119" t="inlineStr">
        <is>
          <t>—</t>
        </is>
      </c>
      <c r="P235" s="119" t="inlineStr">
        <is>
          <t>—</t>
        </is>
      </c>
      <c r="Q235" s="119" t="inlineStr">
        <is>
          <t>—</t>
        </is>
      </c>
      <c r="R235" s="119" t="inlineStr">
        <is>
          <t>—</t>
        </is>
      </c>
      <c r="S235" s="119" t="inlineStr">
        <is>
          <t>—</t>
        </is>
      </c>
    </row>
    <row r="236" ht="20" customHeight="1" s="57">
      <c r="A236" s="67" t="n">
        <v>231</v>
      </c>
      <c r="B236" s="68" t="inlineStr">
        <is>
          <t>IT</t>
        </is>
      </c>
      <c r="C236" s="69" t="inlineStr">
        <is>
          <t>Gartner</t>
        </is>
      </c>
      <c r="D236" s="70" t="inlineStr">
        <is>
          <t>Information Technology Services</t>
        </is>
      </c>
      <c r="E236" s="72" t="n">
        <v>166.84</v>
      </c>
      <c r="F236" s="84" t="n">
        <v>-0.6638995</v>
      </c>
      <c r="G236" s="74" t="n">
        <v>12.025350144</v>
      </c>
      <c r="H236" s="73" t="n">
        <v>0.022</v>
      </c>
      <c r="I236" s="75" t="n">
        <v>0.68393</v>
      </c>
      <c r="J236" s="76" t="n">
        <v>17.271221</v>
      </c>
      <c r="K236" s="85" t="n">
        <v>922.793728</v>
      </c>
      <c r="L236" s="74" t="n">
        <v>10.59465790318237</v>
      </c>
      <c r="M236" s="84" t="n">
        <v>-0.1189730214659458</v>
      </c>
      <c r="N236" s="76" t="n">
        <v>12.7373287163911</v>
      </c>
      <c r="O236" s="118" t="inlineStr">
        <is>
          <t>—</t>
        </is>
      </c>
      <c r="P236" s="118" t="inlineStr">
        <is>
          <t>—</t>
        </is>
      </c>
      <c r="Q236" s="118" t="inlineStr">
        <is>
          <t>—</t>
        </is>
      </c>
      <c r="R236" s="118" t="inlineStr">
        <is>
          <t>—</t>
        </is>
      </c>
      <c r="S236" s="118" t="inlineStr">
        <is>
          <t>—</t>
        </is>
      </c>
    </row>
    <row r="237" ht="20" customHeight="1" s="57">
      <c r="A237" s="62" t="n">
        <v>232</v>
      </c>
      <c r="B237" s="63" t="inlineStr">
        <is>
          <t>LHX</t>
        </is>
      </c>
      <c r="C237" s="64" t="inlineStr">
        <is>
          <t>L3Harris Technologies</t>
        </is>
      </c>
      <c r="D237" s="65" t="inlineStr">
        <is>
          <t>Aerospace &amp; Defense</t>
        </is>
      </c>
      <c r="E237" s="79" t="n">
        <v>367.83</v>
      </c>
      <c r="F237" s="73" t="n">
        <v>0.7479694</v>
      </c>
      <c r="G237" s="80" t="n">
        <v>68.79617024</v>
      </c>
      <c r="H237" s="73" t="n">
        <v>0.023</v>
      </c>
      <c r="I237" s="81" t="n">
        <v>0.25726</v>
      </c>
      <c r="J237" s="82" t="n">
        <v>43.066746</v>
      </c>
      <c r="K237" s="83" t="n">
        <v>2726.749952</v>
      </c>
      <c r="L237" s="80" t="n">
        <v>28.4430679898271</v>
      </c>
      <c r="M237" s="84" t="n">
        <v>-0.5865602999323716</v>
      </c>
      <c r="N237" s="82" t="n">
        <v>25.19553095394718</v>
      </c>
      <c r="O237" s="119" t="inlineStr">
        <is>
          <t>—</t>
        </is>
      </c>
      <c r="P237" s="119" t="inlineStr">
        <is>
          <t>—</t>
        </is>
      </c>
      <c r="Q237" s="119" t="inlineStr">
        <is>
          <t>—</t>
        </is>
      </c>
      <c r="R237" s="119" t="inlineStr">
        <is>
          <t>—</t>
        </is>
      </c>
      <c r="S237" s="119" t="inlineStr">
        <is>
          <t>—</t>
        </is>
      </c>
    </row>
    <row r="238" ht="20" customHeight="1" s="57">
      <c r="A238" s="67" t="n">
        <v>233</v>
      </c>
      <c r="B238" s="68" t="inlineStr">
        <is>
          <t>LMT</t>
        </is>
      </c>
      <c r="C238" s="69" t="inlineStr">
        <is>
          <t>Lockheed Martin</t>
        </is>
      </c>
      <c r="D238" s="70" t="inlineStr">
        <is>
          <t>Aerospace &amp; Defense</t>
        </is>
      </c>
      <c r="E238" s="72" t="n">
        <v>660.7</v>
      </c>
      <c r="F238" s="73" t="n">
        <v>0.4504583</v>
      </c>
      <c r="G238" s="74" t="n">
        <v>152.884527104</v>
      </c>
      <c r="H238" s="73" t="n">
        <v>0.091</v>
      </c>
      <c r="I238" s="75" t="n">
        <v>0.1024</v>
      </c>
      <c r="J238" s="76" t="n">
        <v>30.730232</v>
      </c>
      <c r="K238" s="85" t="n">
        <v>5281.625088</v>
      </c>
      <c r="L238" s="74" t="n">
        <v>80.89269815765897</v>
      </c>
      <c r="M238" s="84" t="n">
        <v>-0.47089022224838</v>
      </c>
      <c r="N238" s="76" t="n">
        <v>28.78167458598682</v>
      </c>
      <c r="O238" s="118" t="inlineStr">
        <is>
          <t>—</t>
        </is>
      </c>
      <c r="P238" s="118" t="inlineStr">
        <is>
          <t>—</t>
        </is>
      </c>
      <c r="Q238" s="118" t="inlineStr">
        <is>
          <t>—</t>
        </is>
      </c>
      <c r="R238" s="118" t="inlineStr">
        <is>
          <t>—</t>
        </is>
      </c>
      <c r="S238" s="118" t="inlineStr">
        <is>
          <t>—</t>
        </is>
      </c>
    </row>
    <row r="239" ht="20" customHeight="1" s="57">
      <c r="A239" s="62" t="n">
        <v>234</v>
      </c>
      <c r="B239" s="63" t="inlineStr">
        <is>
          <t>MAS</t>
        </is>
      </c>
      <c r="C239" s="64" t="inlineStr">
        <is>
          <t>Masco</t>
        </is>
      </c>
      <c r="D239" s="65" t="inlineStr">
        <is>
          <t>Building Products &amp; Equipment</t>
        </is>
      </c>
      <c r="E239" s="79" t="n">
        <v>68.455</v>
      </c>
      <c r="F239" s="84" t="n">
        <v>-0.07542813</v>
      </c>
      <c r="G239" s="80" t="n">
        <v>13.937923072</v>
      </c>
      <c r="H239" s="84" t="n">
        <v>-0.019</v>
      </c>
      <c r="I239" s="81" t="n">
        <v>0.35678002</v>
      </c>
      <c r="J239" s="82" t="n">
        <v>17.734457</v>
      </c>
      <c r="K239" s="83" t="n">
        <v>663.124992</v>
      </c>
      <c r="L239" s="80" t="n">
        <v>5.80775707249589</v>
      </c>
      <c r="M239" s="84" t="n">
        <v>-0.5833125895088963</v>
      </c>
      <c r="N239" s="82" t="n">
        <v>21.018545782203</v>
      </c>
      <c r="O239" s="119" t="inlineStr">
        <is>
          <t>—</t>
        </is>
      </c>
      <c r="P239" s="119" t="inlineStr">
        <is>
          <t>—</t>
        </is>
      </c>
      <c r="Q239" s="119" t="inlineStr">
        <is>
          <t>—</t>
        </is>
      </c>
      <c r="R239" s="119" t="inlineStr">
        <is>
          <t>—</t>
        </is>
      </c>
      <c r="S239" s="119" t="inlineStr">
        <is>
          <t>—</t>
        </is>
      </c>
    </row>
    <row r="240" ht="20" customHeight="1" s="57">
      <c r="A240" s="67" t="n">
        <v>235</v>
      </c>
      <c r="B240" s="68" t="inlineStr">
        <is>
          <t>CARR</t>
        </is>
      </c>
      <c r="C240" s="69" t="inlineStr">
        <is>
          <t>Carrier Global</t>
        </is>
      </c>
      <c r="D240" s="70" t="inlineStr">
        <is>
          <t>Building Products &amp; Equipment</t>
        </is>
      </c>
      <c r="E240" s="72" t="n">
        <v>61.53</v>
      </c>
      <c r="F240" s="84" t="n">
        <v>-0.057037175</v>
      </c>
      <c r="G240" s="74" t="n">
        <v>51.429474304</v>
      </c>
      <c r="H240" s="84" t="n">
        <v>-0.06</v>
      </c>
      <c r="I240" s="75" t="n">
        <v>0.26054</v>
      </c>
      <c r="J240" s="76" t="n">
        <v>36.408283</v>
      </c>
      <c r="K240" s="85" t="n">
        <v>1011.750016</v>
      </c>
      <c r="L240" s="74" t="n">
        <v>8.803672146772273</v>
      </c>
      <c r="M240" s="84" t="n">
        <v>-0.8288204912472233</v>
      </c>
      <c r="N240" s="76" t="n">
        <v>50.83219495541871</v>
      </c>
      <c r="O240" s="118" t="inlineStr">
        <is>
          <t>—</t>
        </is>
      </c>
      <c r="P240" s="118" t="inlineStr">
        <is>
          <t>—</t>
        </is>
      </c>
      <c r="Q240" s="118" t="inlineStr">
        <is>
          <t>—</t>
        </is>
      </c>
      <c r="R240" s="118" t="inlineStr">
        <is>
          <t>—</t>
        </is>
      </c>
      <c r="S240" s="118" t="inlineStr">
        <is>
          <t>—</t>
        </is>
      </c>
    </row>
    <row r="241" ht="20" customHeight="1" s="57">
      <c r="A241" s="62" t="n">
        <v>236</v>
      </c>
      <c r="B241" s="63" t="inlineStr">
        <is>
          <t>CVX</t>
        </is>
      </c>
      <c r="C241" s="64" t="inlineStr">
        <is>
          <t>Chevron</t>
        </is>
      </c>
      <c r="D241" s="65" t="inlineStr">
        <is>
          <t>Oil &amp; Gas Integrated</t>
        </is>
      </c>
      <c r="E241" s="79" t="n">
        <v>185.965</v>
      </c>
      <c r="F241" s="73" t="n">
        <v>0.25170743</v>
      </c>
      <c r="G241" s="80" t="n">
        <v>371.809779712</v>
      </c>
      <c r="H241" s="84" t="n">
        <v>-0.082</v>
      </c>
      <c r="I241" s="81" t="n">
        <v>0.41896</v>
      </c>
      <c r="J241" s="82" t="n">
        <v>28.049019</v>
      </c>
      <c r="K241" s="83" t="n">
        <v>13200.749568</v>
      </c>
      <c r="L241" s="80" t="n">
        <v>104.371571179201</v>
      </c>
      <c r="M241" s="84" t="n">
        <v>-0.7192877194891266</v>
      </c>
      <c r="N241" s="82" t="n">
        <v>27.91031810294055</v>
      </c>
      <c r="O241" s="125" t="inlineStr">
        <is>
          <t>YES</t>
        </is>
      </c>
      <c r="P241" s="126" t="n">
        <v>19.84</v>
      </c>
      <c r="Q241" s="131" t="inlineStr">
        <is>
          <t>Buy</t>
        </is>
      </c>
      <c r="R241" s="128" t="n">
        <v>141</v>
      </c>
      <c r="S241" s="129" t="inlineStr">
        <is>
          <t>Hold Q1 → Added 3.5M Q2 @~$157 → Hold Q3 → Added 8M Q4 @~$153</t>
        </is>
      </c>
    </row>
    <row r="242" ht="20" customHeight="1" s="57">
      <c r="A242" s="62" t="n">
        <v>237</v>
      </c>
      <c r="B242" s="63" t="inlineStr">
        <is>
          <t>NOC</t>
        </is>
      </c>
      <c r="C242" s="64" t="inlineStr">
        <is>
          <t>Northrop Grumman</t>
        </is>
      </c>
      <c r="D242" s="65" t="inlineStr">
        <is>
          <t>Aerospace &amp; Defense</t>
        </is>
      </c>
      <c r="E242" s="72" t="n">
        <v>754.58</v>
      </c>
      <c r="F242" s="73" t="n">
        <v>0.60082245</v>
      </c>
      <c r="G242" s="74" t="n">
        <v>107.69371136</v>
      </c>
      <c r="H242" s="73" t="n">
        <v>0.096</v>
      </c>
      <c r="I242" s="75" t="n">
        <v>0.19815001</v>
      </c>
      <c r="J242" s="76" t="n">
        <v>25.957346</v>
      </c>
      <c r="K242" s="85" t="n">
        <v>2899.875072</v>
      </c>
      <c r="L242" s="74" t="n">
        <v>47.19779412056862</v>
      </c>
      <c r="M242" s="84" t="n">
        <v>-0.5617404811800459</v>
      </c>
      <c r="N242" s="76" t="n">
        <v>36.92959666028675</v>
      </c>
      <c r="O242" s="118" t="inlineStr">
        <is>
          <t>—</t>
        </is>
      </c>
      <c r="P242" s="118" t="inlineStr">
        <is>
          <t>—</t>
        </is>
      </c>
      <c r="Q242" s="118" t="inlineStr">
        <is>
          <t>—</t>
        </is>
      </c>
      <c r="R242" s="118" t="inlineStr">
        <is>
          <t>—</t>
        </is>
      </c>
      <c r="S242" s="118" t="inlineStr">
        <is>
          <t>—</t>
        </is>
      </c>
    </row>
    <row r="243" ht="20" customHeight="1" s="57">
      <c r="A243" s="67" t="n">
        <v>238</v>
      </c>
      <c r="B243" s="68" t="inlineStr">
        <is>
          <t>RL</t>
        </is>
      </c>
      <c r="C243" s="69" t="inlineStr">
        <is>
          <t>Ralph Lauren</t>
        </is>
      </c>
      <c r="D243" s="70" t="inlineStr">
        <is>
          <t>Apparel Manufacturing</t>
        </is>
      </c>
      <c r="E243" s="79" t="n">
        <v>361.97</v>
      </c>
      <c r="F243" s="73" t="n">
        <v>0.4409263</v>
      </c>
      <c r="G243" s="80" t="n">
        <v>21.950099456</v>
      </c>
      <c r="H243" s="73" t="n">
        <v>0.122</v>
      </c>
      <c r="I243" s="81" t="n">
        <v>0.69649005</v>
      </c>
      <c r="J243" s="82" t="n">
        <v>24.640574</v>
      </c>
      <c r="K243" s="83" t="n">
        <v>571.950016</v>
      </c>
      <c r="L243" s="80" t="n">
        <v>11.5479766663321</v>
      </c>
      <c r="M243" s="84" t="n">
        <v>-0.4738986632165128</v>
      </c>
      <c r="N243" s="82" t="n">
        <v>24.46367610537841</v>
      </c>
      <c r="O243" s="119" t="inlineStr">
        <is>
          <t>—</t>
        </is>
      </c>
      <c r="P243" s="119" t="inlineStr">
        <is>
          <t>—</t>
        </is>
      </c>
      <c r="Q243" s="119" t="inlineStr">
        <is>
          <t>—</t>
        </is>
      </c>
      <c r="R243" s="119" t="inlineStr">
        <is>
          <t>—</t>
        </is>
      </c>
      <c r="S243" s="119" t="inlineStr">
        <is>
          <t>—</t>
        </is>
      </c>
    </row>
    <row r="244" ht="20" customHeight="1" s="57">
      <c r="A244" s="62" t="n">
        <v>239</v>
      </c>
      <c r="B244" s="63" t="inlineStr">
        <is>
          <t>LH</t>
        </is>
      </c>
      <c r="C244" s="64" t="inlineStr">
        <is>
          <t>Laboratory Corp</t>
        </is>
      </c>
      <c r="D244" s="65" t="inlineStr">
        <is>
          <t>Diagnostics &amp; Research</t>
        </is>
      </c>
      <c r="E244" s="72" t="n">
        <v>281.03</v>
      </c>
      <c r="F244" s="73" t="n">
        <v>0.1128633</v>
      </c>
      <c r="G244" s="74" t="n">
        <v>23.297386496</v>
      </c>
      <c r="H244" s="73" t="n">
        <v>0.056</v>
      </c>
      <c r="I244" s="75" t="n">
        <v>0.2876</v>
      </c>
      <c r="J244" s="76" t="n">
        <v>26.841452</v>
      </c>
      <c r="K244" s="85" t="n">
        <v>966.6250240000001</v>
      </c>
      <c r="L244" s="74" t="n">
        <v>12.15582536718906</v>
      </c>
      <c r="M244" s="84" t="n">
        <v>-0.4782322313588208</v>
      </c>
      <c r="N244" s="76" t="n">
        <v>23.95641683698021</v>
      </c>
      <c r="O244" s="118" t="inlineStr">
        <is>
          <t>—</t>
        </is>
      </c>
      <c r="P244" s="118" t="inlineStr">
        <is>
          <t>—</t>
        </is>
      </c>
      <c r="Q244" s="118" t="inlineStr">
        <is>
          <t>—</t>
        </is>
      </c>
      <c r="R244" s="118" t="inlineStr">
        <is>
          <t>—</t>
        </is>
      </c>
      <c r="S244" s="118" t="inlineStr">
        <is>
          <t>—</t>
        </is>
      </c>
    </row>
    <row r="245" ht="20" customHeight="1" s="57">
      <c r="A245" s="67" t="n">
        <v>240</v>
      </c>
      <c r="B245" s="68" t="inlineStr">
        <is>
          <t>IFF</t>
        </is>
      </c>
      <c r="C245" s="69" t="inlineStr">
        <is>
          <t>Intl Flavors &amp; Fragrances</t>
        </is>
      </c>
      <c r="D245" s="70" t="inlineStr">
        <is>
          <t>Specialty Chemicals</t>
        </is>
      </c>
      <c r="E245" s="79" t="n">
        <v>78.56</v>
      </c>
      <c r="F245" s="84" t="n">
        <v>-0.0257231</v>
      </c>
      <c r="G245" s="80" t="n">
        <v>20.133912576</v>
      </c>
      <c r="H245" s="84" t="n">
        <v>-0.066</v>
      </c>
      <c r="I245" s="81" t="n">
        <v>0.36161998</v>
      </c>
      <c r="J245" s="82" t="n">
        <v>16.35086</v>
      </c>
      <c r="K245" s="83" t="n">
        <v>3094.87488</v>
      </c>
      <c r="L245" s="80" t="n">
        <v>23.80485772438791</v>
      </c>
      <c r="M245" s="73" t="n">
        <v>0.1823264670754428</v>
      </c>
      <c r="N245" s="82" t="n">
        <v>6.500725332792775</v>
      </c>
      <c r="O245" s="119" t="inlineStr">
        <is>
          <t>—</t>
        </is>
      </c>
      <c r="P245" s="119" t="inlineStr">
        <is>
          <t>—</t>
        </is>
      </c>
      <c r="Q245" s="119" t="inlineStr">
        <is>
          <t>—</t>
        </is>
      </c>
      <c r="R245" s="119" t="inlineStr">
        <is>
          <t>—</t>
        </is>
      </c>
      <c r="S245" s="119" t="inlineStr">
        <is>
          <t>—</t>
        </is>
      </c>
    </row>
    <row r="246" ht="20" customHeight="1" s="57">
      <c r="A246" s="62" t="n">
        <v>241</v>
      </c>
      <c r="B246" s="63" t="inlineStr">
        <is>
          <t>FMC</t>
        </is>
      </c>
      <c r="C246" s="64" t="inlineStr">
        <is>
          <t>FMC</t>
        </is>
      </c>
      <c r="D246" s="65" t="inlineStr">
        <is>
          <t>Agricultural Inputs</t>
        </is>
      </c>
      <c r="E246" s="72" t="n">
        <v>13.879</v>
      </c>
      <c r="F246" s="84" t="n">
        <v>-0.6491762</v>
      </c>
      <c r="G246" s="74" t="n">
        <v>1.733740672</v>
      </c>
      <c r="H246" s="84" t="n">
        <v>-0.115</v>
      </c>
      <c r="I246" s="75" t="n">
        <v>0.41192</v>
      </c>
      <c r="J246" s="76" t="n">
        <v>5.780594</v>
      </c>
      <c r="K246" s="85" t="n">
        <v>254.775008</v>
      </c>
      <c r="L246" s="74" t="n">
        <v>2.361601312093365</v>
      </c>
      <c r="M246" s="73" t="n">
        <v>0.3621421878331322</v>
      </c>
      <c r="N246" s="76" t="n">
        <v>6.805085096466761</v>
      </c>
      <c r="O246" s="118" t="inlineStr">
        <is>
          <t>—</t>
        </is>
      </c>
      <c r="P246" s="118" t="inlineStr">
        <is>
          <t>—</t>
        </is>
      </c>
      <c r="Q246" s="118" t="inlineStr">
        <is>
          <t>—</t>
        </is>
      </c>
      <c r="R246" s="118" t="inlineStr">
        <is>
          <t>—</t>
        </is>
      </c>
      <c r="S246" s="118" t="inlineStr">
        <is>
          <t>—</t>
        </is>
      </c>
    </row>
    <row r="247" ht="20" customHeight="1" s="57">
      <c r="A247" s="67" t="n">
        <v>242</v>
      </c>
      <c r="B247" s="68" t="inlineStr">
        <is>
          <t>LIN</t>
        </is>
      </c>
      <c r="C247" s="69" t="inlineStr">
        <is>
          <t>Linde</t>
        </is>
      </c>
      <c r="D247" s="70" t="inlineStr">
        <is>
          <t>Specialty Chemicals</t>
        </is>
      </c>
      <c r="E247" s="79" t="n">
        <v>500.577</v>
      </c>
      <c r="F247" s="73" t="n">
        <v>0.07139349</v>
      </c>
      <c r="G247" s="80" t="n">
        <v>231.964442624</v>
      </c>
      <c r="H247" s="73" t="n">
        <v>0.058</v>
      </c>
      <c r="I247" s="81" t="n">
        <v>0.48835</v>
      </c>
      <c r="J247" s="82" t="n">
        <v>34.286095</v>
      </c>
      <c r="K247" s="83" t="n">
        <v>4786.500096</v>
      </c>
      <c r="L247" s="80" t="n">
        <v>62.65155191654505</v>
      </c>
      <c r="M247" s="84" t="n">
        <v>-0.729908811851395</v>
      </c>
      <c r="N247" s="82" t="n">
        <v>48.46222746801173</v>
      </c>
      <c r="O247" s="119" t="inlineStr">
        <is>
          <t>—</t>
        </is>
      </c>
      <c r="P247" s="119" t="inlineStr">
        <is>
          <t>—</t>
        </is>
      </c>
      <c r="Q247" s="119" t="inlineStr">
        <is>
          <t>—</t>
        </is>
      </c>
      <c r="R247" s="119" t="inlineStr">
        <is>
          <t>—</t>
        </is>
      </c>
      <c r="S247" s="119" t="inlineStr">
        <is>
          <t>—</t>
        </is>
      </c>
    </row>
    <row r="248" ht="20" customHeight="1" s="57">
      <c r="A248" s="62" t="n">
        <v>243</v>
      </c>
      <c r="B248" s="63" t="inlineStr">
        <is>
          <t>EXPD</t>
        </is>
      </c>
      <c r="C248" s="64" t="inlineStr">
        <is>
          <t>Expeditors International</t>
        </is>
      </c>
      <c r="D248" s="65" t="inlineStr">
        <is>
          <t>Integrated Freight &amp; Logistics</t>
        </is>
      </c>
      <c r="E248" s="72" t="n">
        <v>147.15</v>
      </c>
      <c r="F248" s="73" t="n">
        <v>0.25362015</v>
      </c>
      <c r="G248" s="74" t="n">
        <v>19.721179136</v>
      </c>
      <c r="H248" s="84" t="n">
        <v>-0.033</v>
      </c>
      <c r="I248" s="75" t="n">
        <v>0.13435</v>
      </c>
      <c r="J248" s="76" t="n">
        <v>24.731092</v>
      </c>
      <c r="K248" s="85" t="n">
        <v>803.037248</v>
      </c>
      <c r="L248" s="74" t="n">
        <v>7.047620712703689</v>
      </c>
      <c r="M248" s="84" t="n">
        <v>-0.6426369506558246</v>
      </c>
      <c r="N248" s="76" t="n">
        <v>24.46345579439424</v>
      </c>
      <c r="O248" s="118" t="inlineStr">
        <is>
          <t>—</t>
        </is>
      </c>
      <c r="P248" s="118" t="inlineStr">
        <is>
          <t>—</t>
        </is>
      </c>
      <c r="Q248" s="118" t="inlineStr">
        <is>
          <t>—</t>
        </is>
      </c>
      <c r="R248" s="118" t="inlineStr">
        <is>
          <t>—</t>
        </is>
      </c>
      <c r="S248" s="118" t="inlineStr">
        <is>
          <t>—</t>
        </is>
      </c>
    </row>
    <row r="249" ht="20" customHeight="1" s="57">
      <c r="A249" s="67" t="n">
        <v>244</v>
      </c>
      <c r="B249" s="68" t="inlineStr">
        <is>
          <t>DOW</t>
        </is>
      </c>
      <c r="C249" s="69" t="inlineStr">
        <is>
          <t>Dow</t>
        </is>
      </c>
      <c r="D249" s="70" t="inlineStr">
        <is>
          <t>Chemicals</t>
        </is>
      </c>
      <c r="E249" s="79" t="n">
        <v>32.35</v>
      </c>
      <c r="F249" s="84" t="n">
        <v>-0.186342</v>
      </c>
      <c r="G249" s="80" t="n">
        <v>23.21222656</v>
      </c>
      <c r="H249" s="84" t="n">
        <v>-0.091</v>
      </c>
      <c r="I249" s="81" t="n">
        <v>0.062319998</v>
      </c>
      <c r="J249" s="82" t="n">
        <v>57.39988</v>
      </c>
      <c r="K249" s="83" t="n">
        <v>-784.750016</v>
      </c>
      <c r="L249" s="78" t="inlineStr">
        <is>
          <t>—</t>
        </is>
      </c>
      <c r="M249" s="78" t="inlineStr">
        <is>
          <t>—</t>
        </is>
      </c>
      <c r="N249" s="82" t="n">
        <v>-29.57913571957162</v>
      </c>
      <c r="O249" s="119" t="inlineStr">
        <is>
          <t>—</t>
        </is>
      </c>
      <c r="P249" s="119" t="inlineStr">
        <is>
          <t>—</t>
        </is>
      </c>
      <c r="Q249" s="119" t="inlineStr">
        <is>
          <t>—</t>
        </is>
      </c>
      <c r="R249" s="119" t="inlineStr">
        <is>
          <t>—</t>
        </is>
      </c>
      <c r="S249" s="119" t="inlineStr">
        <is>
          <t>—</t>
        </is>
      </c>
    </row>
    <row r="250" ht="20" customHeight="1" s="57">
      <c r="A250" s="62" t="n">
        <v>245</v>
      </c>
      <c r="B250" s="63" t="inlineStr">
        <is>
          <t>CAG</t>
        </is>
      </c>
      <c r="C250" s="64" t="inlineStr">
        <is>
          <t>Conagra Brands</t>
        </is>
      </c>
      <c r="D250" s="65" t="inlineStr">
        <is>
          <t>Packaged Foods</t>
        </is>
      </c>
      <c r="E250" s="72" t="n">
        <v>18.89</v>
      </c>
      <c r="F250" s="84" t="n">
        <v>-0.2532493</v>
      </c>
      <c r="G250" s="74" t="n">
        <v>9.036398591999999</v>
      </c>
      <c r="H250" s="84" t="n">
        <v>-0.068</v>
      </c>
      <c r="I250" s="75" t="n">
        <v>0.24620001</v>
      </c>
      <c r="J250" s="76" t="n">
        <v>10.456626</v>
      </c>
      <c r="K250" s="85" t="n">
        <v>787.687488</v>
      </c>
      <c r="L250" s="74" t="n">
        <v>5.980985811851787</v>
      </c>
      <c r="M250" s="84" t="n">
        <v>-0.3381228427498976</v>
      </c>
      <c r="N250" s="76" t="n">
        <v>11.47206159855874</v>
      </c>
      <c r="O250" s="118" t="inlineStr">
        <is>
          <t>—</t>
        </is>
      </c>
      <c r="P250" s="118" t="inlineStr">
        <is>
          <t>—</t>
        </is>
      </c>
      <c r="Q250" s="118" t="inlineStr">
        <is>
          <t>—</t>
        </is>
      </c>
      <c r="R250" s="118" t="inlineStr">
        <is>
          <t>—</t>
        </is>
      </c>
      <c r="S250" s="118" t="inlineStr">
        <is>
          <t>—</t>
        </is>
      </c>
    </row>
    <row r="251" ht="20" customHeight="1" s="57">
      <c r="A251" s="67" t="n">
        <v>246</v>
      </c>
      <c r="B251" s="68" t="inlineStr">
        <is>
          <t>JPM</t>
        </is>
      </c>
      <c r="C251" s="69" t="inlineStr">
        <is>
          <t>JPMorgan Chase</t>
        </is>
      </c>
      <c r="D251" s="70" t="inlineStr">
        <is>
          <t>Banks - Diversified</t>
        </is>
      </c>
      <c r="E251" s="79" t="n">
        <v>298.81</v>
      </c>
      <c r="F251" s="73" t="n">
        <v>0.19373429</v>
      </c>
      <c r="G251" s="80" t="n">
        <v>805.9002552319999</v>
      </c>
      <c r="H251" s="73" t="n">
        <v>0.025</v>
      </c>
      <c r="I251" s="81" t="n">
        <v>0</v>
      </c>
      <c r="J251" s="82" t="n">
        <v>14.918122</v>
      </c>
      <c r="K251" s="78" t="inlineStr">
        <is>
          <t>—</t>
        </is>
      </c>
      <c r="L251" s="78" t="inlineStr">
        <is>
          <t>—</t>
        </is>
      </c>
      <c r="M251" s="78" t="inlineStr">
        <is>
          <t>—</t>
        </is>
      </c>
      <c r="N251" s="78" t="inlineStr">
        <is>
          <t>—</t>
        </is>
      </c>
      <c r="O251" s="119" t="inlineStr">
        <is>
          <t>—</t>
        </is>
      </c>
      <c r="P251" s="119" t="inlineStr">
        <is>
          <t>—</t>
        </is>
      </c>
      <c r="Q251" s="119" t="inlineStr">
        <is>
          <t>—</t>
        </is>
      </c>
      <c r="R251" s="119" t="inlineStr">
        <is>
          <t>—</t>
        </is>
      </c>
      <c r="S251" s="119" t="inlineStr">
        <is>
          <t>—</t>
        </is>
      </c>
    </row>
    <row r="252" ht="20" customHeight="1" s="57">
      <c r="A252" s="62" t="n">
        <v>247</v>
      </c>
      <c r="B252" s="63" t="inlineStr">
        <is>
          <t>KMB</t>
        </is>
      </c>
      <c r="C252" s="64" t="inlineStr">
        <is>
          <t>Kimberly-Clark</t>
        </is>
      </c>
      <c r="D252" s="65" t="inlineStr">
        <is>
          <t>Household &amp; Personal Products</t>
        </is>
      </c>
      <c r="E252" s="72" t="n">
        <v>105.28</v>
      </c>
      <c r="F252" s="84" t="n">
        <v>-0.2611735</v>
      </c>
      <c r="G252" s="74" t="n">
        <v>34.944786432</v>
      </c>
      <c r="H252" s="84" t="n">
        <v>-0.006</v>
      </c>
      <c r="I252" s="75" t="n">
        <v>0.37308</v>
      </c>
      <c r="J252" s="76" t="n">
        <v>21.66255</v>
      </c>
      <c r="K252" s="85" t="n">
        <v>912.875008</v>
      </c>
      <c r="L252" s="74" t="n">
        <v>8.457896023371649</v>
      </c>
      <c r="M252" s="84" t="n">
        <v>-0.7579640087419022</v>
      </c>
      <c r="N252" s="76" t="n">
        <v>38.27992541436735</v>
      </c>
      <c r="O252" s="118" t="inlineStr">
        <is>
          <t>—</t>
        </is>
      </c>
      <c r="P252" s="118" t="inlineStr">
        <is>
          <t>—</t>
        </is>
      </c>
      <c r="Q252" s="118" t="inlineStr">
        <is>
          <t>—</t>
        </is>
      </c>
      <c r="R252" s="118" t="inlineStr">
        <is>
          <t>—</t>
        </is>
      </c>
      <c r="S252" s="118" t="inlineStr">
        <is>
          <t>—</t>
        </is>
      </c>
    </row>
    <row r="253" ht="20" customHeight="1" s="57">
      <c r="A253" s="67" t="n">
        <v>248</v>
      </c>
      <c r="B253" s="68" t="inlineStr">
        <is>
          <t>MGM</t>
        </is>
      </c>
      <c r="C253" s="69" t="inlineStr">
        <is>
          <t>MGM Resorts Intl</t>
        </is>
      </c>
      <c r="D253" s="70" t="inlineStr">
        <is>
          <t>Resorts &amp; Casinos</t>
        </is>
      </c>
      <c r="E253" s="79" t="n">
        <v>36.42</v>
      </c>
      <c r="F253" s="73" t="n">
        <v>0.09198903999999999</v>
      </c>
      <c r="G253" s="80" t="n">
        <v>9.961103359999999</v>
      </c>
      <c r="H253" s="73" t="n">
        <v>0.06</v>
      </c>
      <c r="I253" s="81" t="n">
        <v>0.44419</v>
      </c>
      <c r="J253" s="82" t="n">
        <v>47.92105</v>
      </c>
      <c r="K253" s="83" t="n">
        <v>477.953376</v>
      </c>
      <c r="L253" s="80" t="n">
        <v>7.647200323081426</v>
      </c>
      <c r="M253" s="84" t="n">
        <v>-0.2322938487126162</v>
      </c>
      <c r="N253" s="82" t="n">
        <v>19.49410785620228</v>
      </c>
      <c r="O253" s="119" t="inlineStr">
        <is>
          <t>—</t>
        </is>
      </c>
      <c r="P253" s="119" t="inlineStr">
        <is>
          <t>—</t>
        </is>
      </c>
      <c r="Q253" s="119" t="inlineStr">
        <is>
          <t>—</t>
        </is>
      </c>
      <c r="R253" s="119" t="inlineStr">
        <is>
          <t>—</t>
        </is>
      </c>
      <c r="S253" s="119" t="inlineStr">
        <is>
          <t>—</t>
        </is>
      </c>
    </row>
    <row r="254" ht="20" customHeight="1" s="57">
      <c r="A254" s="62" t="n">
        <v>249</v>
      </c>
      <c r="B254" s="63" t="inlineStr">
        <is>
          <t>NKE</t>
        </is>
      </c>
      <c r="C254" s="64" t="inlineStr">
        <is>
          <t>Nike</t>
        </is>
      </c>
      <c r="D254" s="65" t="inlineStr">
        <is>
          <t>Footwear &amp; Accessories</t>
        </is>
      </c>
      <c r="E254" s="72" t="n">
        <v>58.765</v>
      </c>
      <c r="F254" s="84" t="n">
        <v>-0.23673052</v>
      </c>
      <c r="G254" s="74" t="n">
        <v>86.994731008</v>
      </c>
      <c r="H254" s="73" t="n">
        <v>0.006</v>
      </c>
      <c r="I254" s="75" t="n">
        <v>0.41132998</v>
      </c>
      <c r="J254" s="76" t="n">
        <v>34.365498</v>
      </c>
      <c r="K254" s="85" t="n">
        <v>2576.624896</v>
      </c>
      <c r="L254" s="74" t="n">
        <v>30.02739809427759</v>
      </c>
      <c r="M254" s="84" t="n">
        <v>-0.6548365889939211</v>
      </c>
      <c r="N254" s="76" t="n">
        <v>27.17440244443326</v>
      </c>
      <c r="O254" s="118" t="inlineStr">
        <is>
          <t>—</t>
        </is>
      </c>
      <c r="P254" s="118" t="inlineStr">
        <is>
          <t>—</t>
        </is>
      </c>
      <c r="Q254" s="118" t="inlineStr">
        <is>
          <t>—</t>
        </is>
      </c>
      <c r="R254" s="118" t="inlineStr">
        <is>
          <t>—</t>
        </is>
      </c>
      <c r="S254" s="118" t="inlineStr">
        <is>
          <t>—</t>
        </is>
      </c>
    </row>
    <row r="255" ht="20" customHeight="1" s="57">
      <c r="A255" s="67" t="n">
        <v>250</v>
      </c>
      <c r="B255" s="68" t="inlineStr">
        <is>
          <t>PEP</t>
        </is>
      </c>
      <c r="C255" s="69" t="inlineStr">
        <is>
          <t>PepsiCo</t>
        </is>
      </c>
      <c r="D255" s="70" t="inlineStr">
        <is>
          <t>Beverages - Non-Alcoholic</t>
        </is>
      </c>
      <c r="E255" s="79" t="n">
        <v>164.2</v>
      </c>
      <c r="F255" s="73" t="n">
        <v>0.07167923499999999</v>
      </c>
      <c r="G255" s="80" t="n">
        <v>224.51724288</v>
      </c>
      <c r="H255" s="73" t="n">
        <v>0.056</v>
      </c>
      <c r="I255" s="81" t="n">
        <v>0.5446</v>
      </c>
      <c r="J255" s="82" t="n">
        <v>27.366667</v>
      </c>
      <c r="K255" s="83" t="n">
        <v>8232.75008</v>
      </c>
      <c r="L255" s="80" t="n">
        <v>107.27852339454</v>
      </c>
      <c r="M255" s="84" t="n">
        <v>-0.5221813611354643</v>
      </c>
      <c r="N255" s="82" t="n">
        <v>27.25745010136394</v>
      </c>
      <c r="O255" s="119" t="inlineStr">
        <is>
          <t>—</t>
        </is>
      </c>
      <c r="P255" s="119" t="inlineStr">
        <is>
          <t>—</t>
        </is>
      </c>
      <c r="Q255" s="119" t="inlineStr">
        <is>
          <t>—</t>
        </is>
      </c>
      <c r="R255" s="119" t="inlineStr">
        <is>
          <t>—</t>
        </is>
      </c>
      <c r="S255" s="119" t="inlineStr">
        <is>
          <t>—</t>
        </is>
      </c>
    </row>
    <row r="256" ht="20" customHeight="1" s="57">
      <c r="A256" s="62" t="n">
        <v>251</v>
      </c>
      <c r="B256" s="63" t="inlineStr">
        <is>
          <t>RTX</t>
        </is>
      </c>
      <c r="C256" s="64" t="inlineStr">
        <is>
          <t>United Technologies</t>
        </is>
      </c>
      <c r="D256" s="65" t="inlineStr">
        <is>
          <t>Aerospace &amp; Defense</t>
        </is>
      </c>
      <c r="E256" s="72" t="n">
        <v>209.27</v>
      </c>
      <c r="F256" s="73" t="n">
        <v>0.5930269</v>
      </c>
      <c r="G256" s="74" t="n">
        <v>280.900534272</v>
      </c>
      <c r="H256" s="73" t="n">
        <v>0.121</v>
      </c>
      <c r="I256" s="75" t="n">
        <v>0.20076999</v>
      </c>
      <c r="J256" s="76" t="n">
        <v>42.191532</v>
      </c>
      <c r="K256" s="85" t="n">
        <v>6456.249856</v>
      </c>
      <c r="L256" s="74" t="n">
        <v>116.8758825277199</v>
      </c>
      <c r="M256" s="84" t="n">
        <v>-0.5839243138834782</v>
      </c>
      <c r="N256" s="76" t="n">
        <v>43.50831337412851</v>
      </c>
      <c r="O256" s="118" t="inlineStr">
        <is>
          <t>—</t>
        </is>
      </c>
      <c r="P256" s="118" t="inlineStr">
        <is>
          <t>—</t>
        </is>
      </c>
      <c r="Q256" s="118" t="inlineStr">
        <is>
          <t>—</t>
        </is>
      </c>
      <c r="R256" s="118" t="inlineStr">
        <is>
          <t>—</t>
        </is>
      </c>
      <c r="S256" s="118" t="inlineStr">
        <is>
          <t>—</t>
        </is>
      </c>
    </row>
    <row r="257" ht="20" customHeight="1" s="57">
      <c r="A257" s="67" t="n">
        <v>252</v>
      </c>
      <c r="B257" s="68" t="inlineStr">
        <is>
          <t>TPR</t>
        </is>
      </c>
      <c r="C257" s="69" t="inlineStr">
        <is>
          <t>Tapestry</t>
        </is>
      </c>
      <c r="D257" s="70" t="inlineStr">
        <is>
          <t>Luxury Goods</t>
        </is>
      </c>
      <c r="E257" s="79" t="n">
        <v>156.44</v>
      </c>
      <c r="F257" s="73" t="n">
        <v>0.8998524</v>
      </c>
      <c r="G257" s="80" t="n">
        <v>32.015409152</v>
      </c>
      <c r="H257" s="73" t="n">
        <v>0.14</v>
      </c>
      <c r="I257" s="81" t="n">
        <v>0.75981003</v>
      </c>
      <c r="J257" s="82" t="n">
        <v>60.635662</v>
      </c>
      <c r="K257" s="83" t="n">
        <v>1419.2</v>
      </c>
      <c r="L257" s="80" t="n">
        <v>25.27393882277801</v>
      </c>
      <c r="M257" s="84" t="n">
        <v>-0.2105695509688916</v>
      </c>
      <c r="N257" s="82" t="n">
        <v>22.31785727601466</v>
      </c>
      <c r="O257" s="119" t="inlineStr">
        <is>
          <t>—</t>
        </is>
      </c>
      <c r="P257" s="119" t="inlineStr">
        <is>
          <t>—</t>
        </is>
      </c>
      <c r="Q257" s="119" t="inlineStr">
        <is>
          <t>—</t>
        </is>
      </c>
      <c r="R257" s="119" t="inlineStr">
        <is>
          <t>—</t>
        </is>
      </c>
      <c r="S257" s="119" t="inlineStr">
        <is>
          <t>—</t>
        </is>
      </c>
    </row>
    <row r="258" ht="20" customHeight="1" s="57">
      <c r="A258" s="62" t="n">
        <v>253</v>
      </c>
      <c r="B258" s="63" t="inlineStr">
        <is>
          <t>CAT</t>
        </is>
      </c>
      <c r="C258" s="64" t="inlineStr">
        <is>
          <t>Caterpillar</t>
        </is>
      </c>
      <c r="D258" s="65" t="inlineStr">
        <is>
          <t>Farm &amp; Heavy Construction Machinery</t>
        </is>
      </c>
      <c r="E258" s="72" t="n">
        <v>732.9450000000001</v>
      </c>
      <c r="F258" s="73" t="n">
        <v>1.1335342</v>
      </c>
      <c r="G258" s="74" t="n">
        <v>343.00329984</v>
      </c>
      <c r="H258" s="73" t="n">
        <v>0.18</v>
      </c>
      <c r="I258" s="75" t="n">
        <v>0.28795</v>
      </c>
      <c r="J258" s="76" t="n">
        <v>39.027954</v>
      </c>
      <c r="K258" s="85" t="n">
        <v>5838.750208</v>
      </c>
      <c r="L258" s="74" t="n">
        <v>107.654273730692</v>
      </c>
      <c r="M258" s="84" t="n">
        <v>-0.686142163119395</v>
      </c>
      <c r="N258" s="76" t="n">
        <v>58.40805162129999</v>
      </c>
      <c r="O258" s="118" t="inlineStr">
        <is>
          <t>—</t>
        </is>
      </c>
      <c r="P258" s="118" t="inlineStr">
        <is>
          <t>—</t>
        </is>
      </c>
      <c r="Q258" s="118" t="inlineStr">
        <is>
          <t>—</t>
        </is>
      </c>
      <c r="R258" s="118" t="inlineStr">
        <is>
          <t>—</t>
        </is>
      </c>
      <c r="S258" s="118" t="inlineStr">
        <is>
          <t>—</t>
        </is>
      </c>
    </row>
    <row r="259" ht="20" customHeight="1" s="57">
      <c r="A259" s="67" t="n">
        <v>254</v>
      </c>
      <c r="B259" s="68" t="inlineStr">
        <is>
          <t>WFC</t>
        </is>
      </c>
      <c r="C259" s="69" t="inlineStr">
        <is>
          <t>Wells Fargo</t>
        </is>
      </c>
      <c r="D259" s="70" t="inlineStr">
        <is>
          <t>Banks - Diversified</t>
        </is>
      </c>
      <c r="E259" s="79" t="n">
        <v>83.375</v>
      </c>
      <c r="F259" s="73" t="n">
        <v>0.11286414</v>
      </c>
      <c r="G259" s="80" t="n">
        <v>261.721178112</v>
      </c>
      <c r="H259" s="73" t="n">
        <v>0.05</v>
      </c>
      <c r="I259" s="81" t="n">
        <v>0</v>
      </c>
      <c r="J259" s="82" t="n">
        <v>13.318689</v>
      </c>
      <c r="K259" s="78" t="inlineStr">
        <is>
          <t>—</t>
        </is>
      </c>
      <c r="L259" s="78" t="inlineStr">
        <is>
          <t>—</t>
        </is>
      </c>
      <c r="M259" s="78" t="inlineStr">
        <is>
          <t>—</t>
        </is>
      </c>
      <c r="N259" s="78" t="inlineStr">
        <is>
          <t>—</t>
        </is>
      </c>
      <c r="O259" s="119" t="inlineStr">
        <is>
          <t>—</t>
        </is>
      </c>
      <c r="P259" s="119" t="inlineStr">
        <is>
          <t>—</t>
        </is>
      </c>
      <c r="Q259" s="119" t="inlineStr">
        <is>
          <t>—</t>
        </is>
      </c>
      <c r="R259" s="119" t="inlineStr">
        <is>
          <t>—</t>
        </is>
      </c>
      <c r="S259" s="119" t="inlineStr">
        <is>
          <t>—</t>
        </is>
      </c>
    </row>
    <row r="260" ht="20" customHeight="1" s="57">
      <c r="A260" s="62" t="n">
        <v>255</v>
      </c>
      <c r="B260" s="63" t="inlineStr">
        <is>
          <t>AMZN</t>
        </is>
      </c>
      <c r="C260" s="64" t="inlineStr">
        <is>
          <t>Amazon</t>
        </is>
      </c>
      <c r="D260" s="65" t="inlineStr">
        <is>
          <t>Internet Retail</t>
        </is>
      </c>
      <c r="E260" s="72" t="n">
        <v>216.6294</v>
      </c>
      <c r="F260" s="73" t="n">
        <v>0.0017757416</v>
      </c>
      <c r="G260" s="74" t="n">
        <v>2325.183987712</v>
      </c>
      <c r="H260" s="73" t="n">
        <v>0.136</v>
      </c>
      <c r="I260" s="75" t="n">
        <v>0.50286</v>
      </c>
      <c r="J260" s="76" t="n">
        <v>30.167133</v>
      </c>
      <c r="K260" s="85" t="n">
        <v>23793.125376</v>
      </c>
      <c r="L260" s="74" t="n">
        <v>502.4426936006498</v>
      </c>
      <c r="M260" s="84" t="n">
        <v>-0.7839127156147943</v>
      </c>
      <c r="N260" s="76" t="n">
        <v>97.73829332489866</v>
      </c>
      <c r="O260" s="120" t="inlineStr">
        <is>
          <t>YES</t>
        </is>
      </c>
      <c r="P260" s="121" t="n">
        <v>0.53</v>
      </c>
      <c r="Q260" s="122" t="inlineStr">
        <is>
          <t>Sell</t>
        </is>
      </c>
      <c r="R260" s="123" t="n">
        <v>85</v>
      </c>
      <c r="S260" s="124" t="inlineStr">
        <is>
          <t>Held Q1-Q3 → Massive 77% reduction Q4: sold 7.6M @~$220</t>
        </is>
      </c>
    </row>
    <row r="261" ht="20" customHeight="1" s="57">
      <c r="A261" s="67" t="n">
        <v>256</v>
      </c>
      <c r="B261" s="68" t="inlineStr">
        <is>
          <t>LDOS</t>
        </is>
      </c>
      <c r="C261" s="69" t="inlineStr">
        <is>
          <t>Leidos Holdings</t>
        </is>
      </c>
      <c r="D261" s="70" t="inlineStr">
        <is>
          <t>Information Technology Services</t>
        </is>
      </c>
      <c r="E261" s="79" t="n">
        <v>177.71</v>
      </c>
      <c r="F261" s="73" t="n">
        <v>0.35105824</v>
      </c>
      <c r="G261" s="80" t="n">
        <v>22.721144832</v>
      </c>
      <c r="H261" s="84" t="n">
        <v>-0.036</v>
      </c>
      <c r="I261" s="81" t="n">
        <v>0.18045</v>
      </c>
      <c r="J261" s="82" t="n">
        <v>15.938118</v>
      </c>
      <c r="K261" s="83" t="n">
        <v>1105.62496</v>
      </c>
      <c r="L261" s="80" t="n">
        <v>9.177058185244654</v>
      </c>
      <c r="M261" s="84" t="n">
        <v>-0.5961005374905286</v>
      </c>
      <c r="N261" s="82" t="n">
        <v>20.31542764161185</v>
      </c>
      <c r="O261" s="119" t="inlineStr">
        <is>
          <t>—</t>
        </is>
      </c>
      <c r="P261" s="119" t="inlineStr">
        <is>
          <t>—</t>
        </is>
      </c>
      <c r="Q261" s="119" t="inlineStr">
        <is>
          <t>—</t>
        </is>
      </c>
      <c r="R261" s="119" t="inlineStr">
        <is>
          <t>—</t>
        </is>
      </c>
      <c r="S261" s="119" t="inlineStr">
        <is>
          <t>—</t>
        </is>
      </c>
    </row>
    <row r="262" ht="20" customHeight="1" s="57">
      <c r="A262" s="62" t="n">
        <v>257</v>
      </c>
      <c r="B262" s="63" t="inlineStr">
        <is>
          <t>SWK</t>
        </is>
      </c>
      <c r="C262" s="64" t="inlineStr">
        <is>
          <t>Stanley Black &amp; Decker</t>
        </is>
      </c>
      <c r="D262" s="65" t="inlineStr">
        <is>
          <t>Tools &amp; Accessories</t>
        </is>
      </c>
      <c r="E262" s="72" t="n">
        <v>80.25</v>
      </c>
      <c r="F262" s="84" t="n">
        <v>-0.023914874</v>
      </c>
      <c r="G262" s="74" t="n">
        <v>12.44512768</v>
      </c>
      <c r="H262" s="84" t="n">
        <v>-0.01</v>
      </c>
      <c r="I262" s="75" t="n">
        <v>0.30628002</v>
      </c>
      <c r="J262" s="76" t="n">
        <v>30.283018</v>
      </c>
      <c r="K262" s="85" t="n">
        <v>854.700032</v>
      </c>
      <c r="L262" s="74" t="n">
        <v>7.423033634208672</v>
      </c>
      <c r="M262" s="84" t="n">
        <v>-0.4035389732370611</v>
      </c>
      <c r="N262" s="76" t="n">
        <v>14.56081296484613</v>
      </c>
      <c r="O262" s="118" t="inlineStr">
        <is>
          <t>—</t>
        </is>
      </c>
      <c r="P262" s="118" t="inlineStr">
        <is>
          <t>—</t>
        </is>
      </c>
      <c r="Q262" s="118" t="inlineStr">
        <is>
          <t>—</t>
        </is>
      </c>
      <c r="R262" s="118" t="inlineStr">
        <is>
          <t>—</t>
        </is>
      </c>
      <c r="S262" s="118" t="inlineStr">
        <is>
          <t>—</t>
        </is>
      </c>
    </row>
    <row r="263" ht="20" customHeight="1" s="57">
      <c r="A263" s="67" t="n">
        <v>258</v>
      </c>
      <c r="B263" s="68" t="inlineStr">
        <is>
          <t>IQV</t>
        </is>
      </c>
      <c r="C263" s="69" t="inlineStr">
        <is>
          <t>IQVIA Holdings</t>
        </is>
      </c>
      <c r="D263" s="70" t="inlineStr">
        <is>
          <t>Diagnostics &amp; Research</t>
        </is>
      </c>
      <c r="E263" s="79" t="n">
        <v>177.3</v>
      </c>
      <c r="F263" s="84" t="n">
        <v>-0.06397635</v>
      </c>
      <c r="G263" s="80" t="n">
        <v>30.194190336</v>
      </c>
      <c r="H263" s="73" t="n">
        <v>0.103</v>
      </c>
      <c r="I263" s="81" t="n">
        <v>0.33291999</v>
      </c>
      <c r="J263" s="82" t="n">
        <v>22.585987</v>
      </c>
      <c r="K263" s="83" t="n">
        <v>2216.624896</v>
      </c>
      <c r="L263" s="80" t="n">
        <v>36.45943522996606</v>
      </c>
      <c r="M263" s="73" t="n">
        <v>0.2074983572749133</v>
      </c>
      <c r="N263" s="82" t="n">
        <v>13.57370390195239</v>
      </c>
      <c r="O263" s="119" t="inlineStr">
        <is>
          <t>—</t>
        </is>
      </c>
      <c r="P263" s="119" t="inlineStr">
        <is>
          <t>—</t>
        </is>
      </c>
      <c r="Q263" s="119" t="inlineStr">
        <is>
          <t>—</t>
        </is>
      </c>
      <c r="R263" s="119" t="inlineStr">
        <is>
          <t>—</t>
        </is>
      </c>
      <c r="S263" s="119" t="inlineStr">
        <is>
          <t>—</t>
        </is>
      </c>
    </row>
    <row r="264" ht="20" customHeight="1" s="57">
      <c r="A264" s="62" t="n">
        <v>259</v>
      </c>
      <c r="B264" s="63" t="inlineStr">
        <is>
          <t>HPQ</t>
        </is>
      </c>
      <c r="C264" s="64" t="inlineStr">
        <is>
          <t>HP</t>
        </is>
      </c>
      <c r="D264" s="65" t="inlineStr">
        <is>
          <t>Computer Hardware</t>
        </is>
      </c>
      <c r="E264" s="72" t="n">
        <v>19.105</v>
      </c>
      <c r="F264" s="84" t="n">
        <v>-0.3560298</v>
      </c>
      <c r="G264" s="74" t="n">
        <v>17.538093056</v>
      </c>
      <c r="H264" s="73" t="n">
        <v>0.06900000000000001</v>
      </c>
      <c r="I264" s="75" t="n">
        <v>0.20251</v>
      </c>
      <c r="J264" s="76" t="n">
        <v>7.236742</v>
      </c>
      <c r="K264" s="85" t="n">
        <v>2825.374976</v>
      </c>
      <c r="L264" s="74" t="n">
        <v>39.27130875511678</v>
      </c>
      <c r="M264" s="73" t="n">
        <v>1.239200614897044</v>
      </c>
      <c r="N264" s="76" t="n">
        <v>6.184128372451119</v>
      </c>
      <c r="O264" s="118" t="inlineStr">
        <is>
          <t>—</t>
        </is>
      </c>
      <c r="P264" s="118" t="inlineStr">
        <is>
          <t>—</t>
        </is>
      </c>
      <c r="Q264" s="118" t="inlineStr">
        <is>
          <t>—</t>
        </is>
      </c>
      <c r="R264" s="118" t="inlineStr">
        <is>
          <t>—</t>
        </is>
      </c>
      <c r="S264" s="118" t="inlineStr">
        <is>
          <t>—</t>
        </is>
      </c>
    </row>
    <row r="265" ht="20" customHeight="1" s="57">
      <c r="A265" s="67" t="n">
        <v>260</v>
      </c>
      <c r="B265" s="68" t="inlineStr">
        <is>
          <t>DAL</t>
        </is>
      </c>
      <c r="C265" s="69" t="inlineStr">
        <is>
          <t>Delta Air Lines</t>
        </is>
      </c>
      <c r="D265" s="70" t="inlineStr">
        <is>
          <t>Airlines</t>
        </is>
      </c>
      <c r="E265" s="79" t="n">
        <v>64.06</v>
      </c>
      <c r="F265" s="73" t="n">
        <v>0.13792491</v>
      </c>
      <c r="G265" s="80" t="n">
        <v>41.839550464</v>
      </c>
      <c r="H265" s="73" t="n">
        <v>0.029</v>
      </c>
      <c r="I265" s="81" t="n">
        <v>0.20452</v>
      </c>
      <c r="J265" s="82" t="n">
        <v>8.362925000000001</v>
      </c>
      <c r="K265" s="83" t="n">
        <v>2954.500096</v>
      </c>
      <c r="L265" s="80" t="n">
        <v>34.19407407805513</v>
      </c>
      <c r="M265" s="84" t="n">
        <v>-0.1827332344912086</v>
      </c>
      <c r="N265" s="82" t="n">
        <v>14.16129693518209</v>
      </c>
      <c r="O265" s="119" t="inlineStr">
        <is>
          <t>—</t>
        </is>
      </c>
      <c r="P265" s="119" t="inlineStr">
        <is>
          <t>—</t>
        </is>
      </c>
      <c r="Q265" s="119" t="inlineStr">
        <is>
          <t>—</t>
        </is>
      </c>
      <c r="R265" s="119" t="inlineStr">
        <is>
          <t>—</t>
        </is>
      </c>
      <c r="S265" s="119" t="inlineStr">
        <is>
          <t>—</t>
        </is>
      </c>
    </row>
    <row r="266" ht="20" customHeight="1" s="57">
      <c r="A266" s="62" t="n">
        <v>261</v>
      </c>
      <c r="B266" s="63" t="inlineStr">
        <is>
          <t>GWW</t>
        </is>
      </c>
      <c r="C266" s="64" t="inlineStr">
        <is>
          <t>W.W. Grainger</t>
        </is>
      </c>
      <c r="D266" s="65" t="inlineStr">
        <is>
          <t>Industrial Distribution</t>
        </is>
      </c>
      <c r="E266" s="72" t="n">
        <v>1148.46</v>
      </c>
      <c r="F266" s="73" t="n">
        <v>0.16887295</v>
      </c>
      <c r="G266" s="74" t="n">
        <v>54.60850688</v>
      </c>
      <c r="H266" s="73" t="n">
        <v>0.045</v>
      </c>
      <c r="I266" s="75" t="n">
        <v>0.39064997</v>
      </c>
      <c r="J266" s="76" t="n">
        <v>32.488262</v>
      </c>
      <c r="K266" s="85" t="n">
        <v>1091.500032</v>
      </c>
      <c r="L266" s="74" t="n">
        <v>12.9339294226506</v>
      </c>
      <c r="M266" s="84" t="n">
        <v>-0.7631517475643055</v>
      </c>
      <c r="N266" s="76" t="n">
        <v>49.84518694273387</v>
      </c>
      <c r="O266" s="118" t="inlineStr">
        <is>
          <t>—</t>
        </is>
      </c>
      <c r="P266" s="118" t="inlineStr">
        <is>
          <t>—</t>
        </is>
      </c>
      <c r="Q266" s="118" t="inlineStr">
        <is>
          <t>—</t>
        </is>
      </c>
      <c r="R266" s="118" t="inlineStr">
        <is>
          <t>—</t>
        </is>
      </c>
      <c r="S266" s="118" t="inlineStr">
        <is>
          <t>—</t>
        </is>
      </c>
    </row>
    <row r="267" ht="20" customHeight="1" s="57">
      <c r="A267" s="67" t="n">
        <v>262</v>
      </c>
      <c r="B267" s="68" t="inlineStr">
        <is>
          <t>URI</t>
        </is>
      </c>
      <c r="C267" s="69" t="inlineStr">
        <is>
          <t>United Rentals</t>
        </is>
      </c>
      <c r="D267" s="70" t="inlineStr">
        <is>
          <t>Rental &amp; Leasing Services</t>
        </is>
      </c>
      <c r="E267" s="79" t="n">
        <v>848.4096</v>
      </c>
      <c r="F267" s="73" t="n">
        <v>0.31484962</v>
      </c>
      <c r="G267" s="80" t="n">
        <v>53.984428032</v>
      </c>
      <c r="H267" s="73" t="n">
        <v>0.028</v>
      </c>
      <c r="I267" s="81" t="n">
        <v>0.38356</v>
      </c>
      <c r="J267" s="82" t="n">
        <v>21.98522</v>
      </c>
      <c r="K267" s="83" t="n">
        <v>1930.249984</v>
      </c>
      <c r="L267" s="80" t="n">
        <v>20.46061534512392</v>
      </c>
      <c r="M267" s="84" t="n">
        <v>-0.6209904209229445</v>
      </c>
      <c r="N267" s="82" t="n">
        <v>27.68979828522107</v>
      </c>
      <c r="O267" s="119" t="inlineStr">
        <is>
          <t>—</t>
        </is>
      </c>
      <c r="P267" s="119" t="inlineStr">
        <is>
          <t>—</t>
        </is>
      </c>
      <c r="Q267" s="119" t="inlineStr">
        <is>
          <t>—</t>
        </is>
      </c>
      <c r="R267" s="119" t="inlineStr">
        <is>
          <t>—</t>
        </is>
      </c>
      <c r="S267" s="119" t="inlineStr">
        <is>
          <t>—</t>
        </is>
      </c>
    </row>
    <row r="268" ht="20" customHeight="1" s="57">
      <c r="A268" s="62" t="n">
        <v>263</v>
      </c>
      <c r="B268" s="63" t="inlineStr">
        <is>
          <t>AVY</t>
        </is>
      </c>
      <c r="C268" s="64" t="inlineStr">
        <is>
          <t>Avery Dennison</t>
        </is>
      </c>
      <c r="D268" s="65" t="inlineStr">
        <is>
          <t>Business Equipment &amp; Supplies</t>
        </is>
      </c>
      <c r="E268" s="72" t="n">
        <v>188.64</v>
      </c>
      <c r="F268" s="73" t="n">
        <v>0.04277432</v>
      </c>
      <c r="G268" s="74" t="n">
        <v>14.58100224</v>
      </c>
      <c r="H268" s="73" t="n">
        <v>0.039</v>
      </c>
      <c r="I268" s="75" t="n">
        <v>0.28754</v>
      </c>
      <c r="J268" s="76" t="n">
        <v>21.46075</v>
      </c>
      <c r="K268" s="85" t="n">
        <v>618.58752</v>
      </c>
      <c r="L268" s="74" t="n">
        <v>7.038105646500133</v>
      </c>
      <c r="M268" s="84" t="n">
        <v>-0.5173098851056666</v>
      </c>
      <c r="N268" s="76" t="n">
        <v>23.57144729360204</v>
      </c>
      <c r="O268" s="118" t="inlineStr">
        <is>
          <t>—</t>
        </is>
      </c>
      <c r="P268" s="118" t="inlineStr">
        <is>
          <t>—</t>
        </is>
      </c>
      <c r="Q268" s="118" t="inlineStr">
        <is>
          <t>—</t>
        </is>
      </c>
      <c r="R268" s="118" t="inlineStr">
        <is>
          <t>—</t>
        </is>
      </c>
      <c r="S268" s="118" t="inlineStr">
        <is>
          <t>—</t>
        </is>
      </c>
    </row>
    <row r="269" ht="20" customHeight="1" s="57">
      <c r="A269" s="62" t="n">
        <v>264</v>
      </c>
      <c r="B269" s="63" t="inlineStr">
        <is>
          <t>CMG</t>
        </is>
      </c>
      <c r="C269" s="64" t="inlineStr">
        <is>
          <t>Chipotle Mexican Grill</t>
        </is>
      </c>
      <c r="D269" s="65" t="inlineStr">
        <is>
          <t>Restaurants</t>
        </is>
      </c>
      <c r="E269" s="79" t="n">
        <v>36.68</v>
      </c>
      <c r="F269" s="84" t="n">
        <v>-0.31100744</v>
      </c>
      <c r="G269" s="80" t="n">
        <v>48.501157888</v>
      </c>
      <c r="H269" s="73" t="n">
        <v>0.049</v>
      </c>
      <c r="I269" s="81" t="n">
        <v>0.40098998</v>
      </c>
      <c r="J269" s="82" t="n">
        <v>32.175438</v>
      </c>
      <c r="K269" s="83" t="n">
        <v>1011.670272</v>
      </c>
      <c r="L269" s="80" t="n">
        <v>12.62629237351828</v>
      </c>
      <c r="M269" s="84" t="n">
        <v>-0.7396702898789509</v>
      </c>
      <c r="N269" s="82" t="n">
        <v>47.22178456974567</v>
      </c>
      <c r="O269" s="119" t="inlineStr">
        <is>
          <t>—</t>
        </is>
      </c>
      <c r="P269" s="119" t="inlineStr">
        <is>
          <t>—</t>
        </is>
      </c>
      <c r="Q269" s="119" t="inlineStr">
        <is>
          <t>—</t>
        </is>
      </c>
      <c r="R269" s="119" t="inlineStr">
        <is>
          <t>—</t>
        </is>
      </c>
      <c r="S269" s="119" t="inlineStr">
        <is>
          <t>—</t>
        </is>
      </c>
    </row>
    <row r="270" ht="20" customHeight="1" s="57">
      <c r="A270" s="67" t="n">
        <v>265</v>
      </c>
      <c r="B270" s="68" t="inlineStr">
        <is>
          <t>TJX</t>
        </is>
      </c>
      <c r="C270" s="69" t="inlineStr">
        <is>
          <t>TJX Companies</t>
        </is>
      </c>
      <c r="D270" s="70" t="inlineStr">
        <is>
          <t>Apparel Retail</t>
        </is>
      </c>
      <c r="E270" s="72" t="n">
        <v>161.34</v>
      </c>
      <c r="F270" s="73" t="n">
        <v>0.29803312</v>
      </c>
      <c r="G270" s="74" t="n">
        <v>179.561529344</v>
      </c>
      <c r="H270" s="73" t="n">
        <v>0.08500000000000001</v>
      </c>
      <c r="I270" s="75" t="n">
        <v>0.30963</v>
      </c>
      <c r="J270" s="76" t="n">
        <v>35.537445</v>
      </c>
      <c r="K270" s="85" t="n">
        <v>3938.249984</v>
      </c>
      <c r="L270" s="74" t="n">
        <v>60.81879544124639</v>
      </c>
      <c r="M270" s="84" t="n">
        <v>-0.6612927297765934</v>
      </c>
      <c r="N270" s="76" t="n">
        <v>45.49298846827597</v>
      </c>
      <c r="O270" s="118" t="inlineStr">
        <is>
          <t>—</t>
        </is>
      </c>
      <c r="P270" s="118" t="inlineStr">
        <is>
          <t>—</t>
        </is>
      </c>
      <c r="Q270" s="118" t="inlineStr">
        <is>
          <t>—</t>
        </is>
      </c>
      <c r="R270" s="118" t="inlineStr">
        <is>
          <t>—</t>
        </is>
      </c>
      <c r="S270" s="118" t="inlineStr">
        <is>
          <t>—</t>
        </is>
      </c>
    </row>
    <row r="271" ht="20" customHeight="1" s="57">
      <c r="A271" s="62" t="n">
        <v>266</v>
      </c>
      <c r="B271" s="63" t="inlineStr">
        <is>
          <t>UNH</t>
        </is>
      </c>
      <c r="C271" s="64" t="inlineStr">
        <is>
          <t>UnitedHealth Group</t>
        </is>
      </c>
      <c r="D271" s="65" t="inlineStr">
        <is>
          <t>Healthcare Plans</t>
        </is>
      </c>
      <c r="E271" s="79" t="n">
        <v>291.285</v>
      </c>
      <c r="F271" s="84" t="n">
        <v>-0.39239043</v>
      </c>
      <c r="G271" s="80" t="n">
        <v>263.85719296</v>
      </c>
      <c r="H271" s="73" t="n">
        <v>0.123</v>
      </c>
      <c r="I271" s="81" t="n">
        <v>0.18526</v>
      </c>
      <c r="J271" s="82" t="n">
        <v>22.03366</v>
      </c>
      <c r="K271" s="83" t="n">
        <v>13863.24992</v>
      </c>
      <c r="L271" s="80" t="n">
        <v>260.0800484064758</v>
      </c>
      <c r="M271" s="84" t="n">
        <v>-0.01431510928753337</v>
      </c>
      <c r="N271" s="82" t="n">
        <v>19.03285333160177</v>
      </c>
      <c r="O271" s="125" t="inlineStr">
        <is>
          <t>YES</t>
        </is>
      </c>
      <c r="P271" s="126" t="n">
        <v>0.55</v>
      </c>
      <c r="Q271" s="131" t="inlineStr">
        <is>
          <t>Buy</t>
        </is>
      </c>
      <c r="R271" s="128" t="n">
        <v>530</v>
      </c>
      <c r="S271" s="129" t="inlineStr">
        <is>
          <t>New position Q2: 1M shares @~$530. Held Q3-Q4</t>
        </is>
      </c>
    </row>
    <row r="272" ht="20" customHeight="1" s="57">
      <c r="A272" s="67" t="n">
        <v>267</v>
      </c>
      <c r="B272" s="68" t="inlineStr">
        <is>
          <t>HCA</t>
        </is>
      </c>
      <c r="C272" s="69" t="inlineStr">
        <is>
          <t>HCA Healthcare</t>
        </is>
      </c>
      <c r="D272" s="70" t="inlineStr">
        <is>
          <t>Medical Care Facilities</t>
        </is>
      </c>
      <c r="E272" s="72" t="n">
        <v>545.47</v>
      </c>
      <c r="F272" s="73" t="n">
        <v>0.6950849</v>
      </c>
      <c r="G272" s="74" t="n">
        <v>121.979199488</v>
      </c>
      <c r="H272" s="73" t="n">
        <v>0.067</v>
      </c>
      <c r="I272" s="75" t="n">
        <v>0.415</v>
      </c>
      <c r="J272" s="76" t="n">
        <v>19.247353</v>
      </c>
      <c r="K272" s="85" t="n">
        <v>5823.124992</v>
      </c>
      <c r="L272" s="74" t="n">
        <v>76.09107105399046</v>
      </c>
      <c r="M272" s="84" t="n">
        <v>-0.376196340249994</v>
      </c>
      <c r="N272" s="76" t="n">
        <v>20.94737818638258</v>
      </c>
      <c r="O272" s="118" t="inlineStr">
        <is>
          <t>—</t>
        </is>
      </c>
      <c r="P272" s="118" t="inlineStr">
        <is>
          <t>—</t>
        </is>
      </c>
      <c r="Q272" s="118" t="inlineStr">
        <is>
          <t>—</t>
        </is>
      </c>
      <c r="R272" s="118" t="inlineStr">
        <is>
          <t>—</t>
        </is>
      </c>
      <c r="S272" s="118" t="inlineStr">
        <is>
          <t>—</t>
        </is>
      </c>
    </row>
    <row r="273" ht="20" customHeight="1" s="57">
      <c r="A273" s="62" t="n">
        <v>268</v>
      </c>
      <c r="B273" s="63" t="inlineStr">
        <is>
          <t>SEE</t>
        </is>
      </c>
      <c r="C273" s="64" t="inlineStr">
        <is>
          <t>Sealed Air</t>
        </is>
      </c>
      <c r="D273" s="65" t="inlineStr">
        <is>
          <t>Packaging &amp; Containers</t>
        </is>
      </c>
      <c r="E273" s="79" t="n">
        <v>42</v>
      </c>
      <c r="F273" s="73" t="n">
        <v>0.31919575</v>
      </c>
      <c r="G273" s="80" t="n">
        <v>6.185388544</v>
      </c>
      <c r="H273" s="73" t="n">
        <v>0.021</v>
      </c>
      <c r="I273" s="81" t="n">
        <v>0.29792</v>
      </c>
      <c r="J273" s="82" t="n">
        <v>15.613382</v>
      </c>
      <c r="K273" s="83" t="n">
        <v>332.5</v>
      </c>
      <c r="L273" s="80" t="n">
        <v>3.591441153167285</v>
      </c>
      <c r="M273" s="84" t="n">
        <v>-0.4193669277815888</v>
      </c>
      <c r="N273" s="82" t="n">
        <v>18.6026712</v>
      </c>
      <c r="O273" s="119" t="inlineStr">
        <is>
          <t>—</t>
        </is>
      </c>
      <c r="P273" s="119" t="inlineStr">
        <is>
          <t>—</t>
        </is>
      </c>
      <c r="Q273" s="119" t="inlineStr">
        <is>
          <t>—</t>
        </is>
      </c>
      <c r="R273" s="119" t="inlineStr">
        <is>
          <t>—</t>
        </is>
      </c>
      <c r="S273" s="119" t="inlineStr">
        <is>
          <t>—</t>
        </is>
      </c>
    </row>
    <row r="274" ht="20" customHeight="1" s="57">
      <c r="A274" s="67" t="n">
        <v>269</v>
      </c>
      <c r="B274" s="68" t="inlineStr">
        <is>
          <t>CPRT</t>
        </is>
      </c>
      <c r="C274" s="69" t="inlineStr">
        <is>
          <t>Copart</t>
        </is>
      </c>
      <c r="D274" s="70" t="inlineStr">
        <is>
          <t>Specialty Business Services</t>
        </is>
      </c>
      <c r="E274" s="72" t="n">
        <v>37.945</v>
      </c>
      <c r="F274" s="84" t="n">
        <v>-0.29277706</v>
      </c>
      <c r="G274" s="74" t="n">
        <v>36.731428864</v>
      </c>
      <c r="H274" s="84" t="n">
        <v>-0.036</v>
      </c>
      <c r="I274" s="75" t="n">
        <v>0.47332</v>
      </c>
      <c r="J274" s="76" t="n">
        <v>23.864779</v>
      </c>
      <c r="K274" s="85" t="n">
        <v>1035.37152</v>
      </c>
      <c r="L274" s="74" t="n">
        <v>11.64210001992952</v>
      </c>
      <c r="M274" s="84" t="n">
        <v>-0.683047995136944</v>
      </c>
      <c r="N274" s="76" t="n">
        <v>35.47657078628162</v>
      </c>
      <c r="O274" s="118" t="inlineStr">
        <is>
          <t>—</t>
        </is>
      </c>
      <c r="P274" s="118" t="inlineStr">
        <is>
          <t>—</t>
        </is>
      </c>
      <c r="Q274" s="118" t="inlineStr">
        <is>
          <t>—</t>
        </is>
      </c>
      <c r="R274" s="118" t="inlineStr">
        <is>
          <t>—</t>
        </is>
      </c>
      <c r="S274" s="118" t="inlineStr">
        <is>
          <t>—</t>
        </is>
      </c>
    </row>
    <row r="275" ht="20" customHeight="1" s="57">
      <c r="A275" s="62" t="n">
        <v>270</v>
      </c>
      <c r="B275" s="63" t="inlineStr">
        <is>
          <t>LYB</t>
        </is>
      </c>
      <c r="C275" s="64" t="inlineStr">
        <is>
          <t>LyondellBasell Industries</t>
        </is>
      </c>
      <c r="D275" s="65" t="inlineStr">
        <is>
          <t>Specialty Chemicals</t>
        </is>
      </c>
      <c r="E275" s="79" t="n">
        <v>61.48</v>
      </c>
      <c r="F275" s="84" t="n">
        <v>-0.23618948</v>
      </c>
      <c r="G275" s="80" t="n">
        <v>19.807010816</v>
      </c>
      <c r="H275" s="84" t="n">
        <v>-0.092</v>
      </c>
      <c r="I275" s="81" t="n">
        <v>0.08964</v>
      </c>
      <c r="J275" s="82" t="n">
        <v>15.918636</v>
      </c>
      <c r="K275" s="83" t="n">
        <v>447</v>
      </c>
      <c r="L275" s="80" t="n">
        <v>5.956529884088687</v>
      </c>
      <c r="M275" s="84" t="n">
        <v>-0.69927163975308</v>
      </c>
      <c r="N275" s="82" t="n">
        <v>44.31098489360179</v>
      </c>
      <c r="O275" s="119" t="inlineStr">
        <is>
          <t>—</t>
        </is>
      </c>
      <c r="P275" s="119" t="inlineStr">
        <is>
          <t>—</t>
        </is>
      </c>
      <c r="Q275" s="119" t="inlineStr">
        <is>
          <t>—</t>
        </is>
      </c>
      <c r="R275" s="119" t="inlineStr">
        <is>
          <t>—</t>
        </is>
      </c>
      <c r="S275" s="119" t="inlineStr">
        <is>
          <t>—</t>
        </is>
      </c>
    </row>
    <row r="276" ht="20" customHeight="1" s="57">
      <c r="A276" s="67" t="n">
        <v>271</v>
      </c>
      <c r="B276" s="68" t="inlineStr">
        <is>
          <t>F</t>
        </is>
      </c>
      <c r="C276" s="69" t="inlineStr">
        <is>
          <t>Ford Motor</t>
        </is>
      </c>
      <c r="D276" s="70" t="inlineStr">
        <is>
          <t>Auto Manufacturers</t>
        </is>
      </c>
      <c r="E276" s="72" t="n">
        <v>12.885</v>
      </c>
      <c r="F276" s="73" t="n">
        <v>0.3160622</v>
      </c>
      <c r="G276" s="74" t="n">
        <v>51.4043904</v>
      </c>
      <c r="H276" s="84" t="n">
        <v>-0.048</v>
      </c>
      <c r="I276" s="75" t="n">
        <v>0.0581</v>
      </c>
      <c r="J276" s="76" t="n">
        <v>7.0686793</v>
      </c>
      <c r="K276" s="85" t="n">
        <v>1758.625024</v>
      </c>
      <c r="L276" s="74" t="n">
        <v>34.6001260803494</v>
      </c>
      <c r="M276" s="84" t="n">
        <v>-0.3269032895612473</v>
      </c>
      <c r="N276" s="76" t="n">
        <v>28.71075902242194</v>
      </c>
      <c r="O276" s="118" t="inlineStr">
        <is>
          <t>—</t>
        </is>
      </c>
      <c r="P276" s="118" t="inlineStr">
        <is>
          <t>—</t>
        </is>
      </c>
      <c r="Q276" s="118" t="inlineStr">
        <is>
          <t>—</t>
        </is>
      </c>
      <c r="R276" s="118" t="inlineStr">
        <is>
          <t>—</t>
        </is>
      </c>
      <c r="S276" s="118" t="inlineStr">
        <is>
          <t>—</t>
        </is>
      </c>
    </row>
    <row r="277" ht="20" customHeight="1" s="57">
      <c r="A277" s="62" t="n">
        <v>272</v>
      </c>
      <c r="B277" s="63" t="inlineStr">
        <is>
          <t>HRL</t>
        </is>
      </c>
      <c r="C277" s="64" t="inlineStr">
        <is>
          <t>Hormel Foods</t>
        </is>
      </c>
      <c r="D277" s="65" t="inlineStr">
        <is>
          <t>Packaged Foods</t>
        </is>
      </c>
      <c r="E277" s="79" t="n">
        <v>24.61</v>
      </c>
      <c r="F277" s="84" t="n">
        <v>-0.14464533</v>
      </c>
      <c r="G277" s="80" t="n">
        <v>13.53814016</v>
      </c>
      <c r="H277" s="73" t="n">
        <v>0.013</v>
      </c>
      <c r="I277" s="81" t="n">
        <v>0.15609999</v>
      </c>
      <c r="J277" s="82" t="n">
        <v>27.651686</v>
      </c>
      <c r="K277" s="83" t="n">
        <v>381.509632</v>
      </c>
      <c r="L277" s="80" t="n">
        <v>4.334713887018458</v>
      </c>
      <c r="M277" s="84" t="n">
        <v>-0.6798146690912633</v>
      </c>
      <c r="N277" s="82" t="n">
        <v>35.48571096089653</v>
      </c>
      <c r="O277" s="119" t="inlineStr">
        <is>
          <t>—</t>
        </is>
      </c>
      <c r="P277" s="119" t="inlineStr">
        <is>
          <t>—</t>
        </is>
      </c>
      <c r="Q277" s="119" t="inlineStr">
        <is>
          <t>—</t>
        </is>
      </c>
      <c r="R277" s="119" t="inlineStr">
        <is>
          <t>—</t>
        </is>
      </c>
      <c r="S277" s="119" t="inlineStr">
        <is>
          <t>—</t>
        </is>
      </c>
    </row>
    <row r="278" ht="20" customHeight="1" s="57">
      <c r="A278" s="67" t="n">
        <v>273</v>
      </c>
      <c r="B278" s="68" t="inlineStr">
        <is>
          <t>LKQ</t>
        </is>
      </c>
      <c r="C278" s="69" t="inlineStr">
        <is>
          <t>LKQ</t>
        </is>
      </c>
      <c r="D278" s="70" t="inlineStr">
        <is>
          <t>Auto Parts</t>
        </is>
      </c>
      <c r="E278" s="72" t="n">
        <v>31.95</v>
      </c>
      <c r="F278" s="84" t="n">
        <v>-0.2337693</v>
      </c>
      <c r="G278" s="74" t="n">
        <v>8.178114047999999</v>
      </c>
      <c r="H278" s="73" t="n">
        <v>0.027</v>
      </c>
      <c r="I278" s="75" t="n">
        <v>0.38569</v>
      </c>
      <c r="J278" s="76" t="n">
        <v>13.831169</v>
      </c>
      <c r="K278" s="85" t="n">
        <v>758.750016</v>
      </c>
      <c r="L278" s="74" t="n">
        <v>8.103025736520124</v>
      </c>
      <c r="M278" s="84" t="n">
        <v>-0.009181617062217292</v>
      </c>
      <c r="N278" s="76" t="n">
        <v>10.74329589292556</v>
      </c>
      <c r="O278" s="118" t="inlineStr">
        <is>
          <t>—</t>
        </is>
      </c>
      <c r="P278" s="118" t="inlineStr">
        <is>
          <t>—</t>
        </is>
      </c>
      <c r="Q278" s="118" t="inlineStr">
        <is>
          <t>—</t>
        </is>
      </c>
      <c r="R278" s="118" t="inlineStr">
        <is>
          <t>—</t>
        </is>
      </c>
      <c r="S278" s="118" t="inlineStr">
        <is>
          <t>—</t>
        </is>
      </c>
    </row>
    <row r="279" ht="20" customHeight="1" s="57">
      <c r="A279" s="62" t="n">
        <v>274</v>
      </c>
      <c r="B279" s="63" t="inlineStr">
        <is>
          <t>RCL</t>
        </is>
      </c>
      <c r="C279" s="64" t="inlineStr">
        <is>
          <t>Royal Caribbean Cruises</t>
        </is>
      </c>
      <c r="D279" s="65" t="inlineStr">
        <is>
          <t>Travel Services</t>
        </is>
      </c>
      <c r="E279" s="79" t="n">
        <v>291.02</v>
      </c>
      <c r="F279" s="73" t="n">
        <v>0.30262423</v>
      </c>
      <c r="G279" s="80" t="n">
        <v>79.36492339199999</v>
      </c>
      <c r="H279" s="73" t="n">
        <v>0.133</v>
      </c>
      <c r="I279" s="81" t="n">
        <v>0.5061600000000001</v>
      </c>
      <c r="J279" s="82" t="n">
        <v>18.643177</v>
      </c>
      <c r="K279" s="83" t="n">
        <v>-197.624992</v>
      </c>
      <c r="L279" s="78" t="inlineStr">
        <is>
          <t>—</t>
        </is>
      </c>
      <c r="M279" s="78" t="inlineStr">
        <is>
          <t>—</t>
        </is>
      </c>
      <c r="N279" s="82" t="n">
        <v>-398.3764702141518</v>
      </c>
      <c r="O279" s="119" t="inlineStr">
        <is>
          <t>—</t>
        </is>
      </c>
      <c r="P279" s="119" t="inlineStr">
        <is>
          <t>—</t>
        </is>
      </c>
      <c r="Q279" s="119" t="inlineStr">
        <is>
          <t>—</t>
        </is>
      </c>
      <c r="R279" s="119" t="inlineStr">
        <is>
          <t>—</t>
        </is>
      </c>
      <c r="S279" s="119" t="inlineStr">
        <is>
          <t>—</t>
        </is>
      </c>
    </row>
    <row r="280" ht="20" customHeight="1" s="57">
      <c r="A280" s="67" t="n">
        <v>275</v>
      </c>
      <c r="B280" s="68" t="inlineStr">
        <is>
          <t>APTV</t>
        </is>
      </c>
      <c r="C280" s="69" t="inlineStr">
        <is>
          <t>Aptiv</t>
        </is>
      </c>
      <c r="D280" s="70" t="inlineStr">
        <is>
          <t>Auto Parts</t>
        </is>
      </c>
      <c r="E280" s="72" t="n">
        <v>72.92</v>
      </c>
      <c r="F280" s="73" t="n">
        <v>0.09694266</v>
      </c>
      <c r="G280" s="74" t="n">
        <v>15.756510208</v>
      </c>
      <c r="H280" s="73" t="n">
        <v>0.05</v>
      </c>
      <c r="I280" s="75" t="n">
        <v>0.19153999</v>
      </c>
      <c r="J280" s="76" t="n">
        <v>97.22666</v>
      </c>
      <c r="K280" s="85" t="n">
        <v>1300.749952</v>
      </c>
      <c r="L280" s="74" t="n">
        <v>16.69482265117664</v>
      </c>
      <c r="M280" s="73" t="n">
        <v>0.05955077810949772</v>
      </c>
      <c r="N280" s="76" t="n">
        <v>11.92666844005388</v>
      </c>
      <c r="O280" s="118" t="inlineStr">
        <is>
          <t>—</t>
        </is>
      </c>
      <c r="P280" s="118" t="inlineStr">
        <is>
          <t>—</t>
        </is>
      </c>
      <c r="Q280" s="118" t="inlineStr">
        <is>
          <t>—</t>
        </is>
      </c>
      <c r="R280" s="118" t="inlineStr">
        <is>
          <t>—</t>
        </is>
      </c>
      <c r="S280" s="118" t="inlineStr">
        <is>
          <t>—</t>
        </is>
      </c>
    </row>
    <row r="281" ht="20" customHeight="1" s="57">
      <c r="A281" s="62" t="n">
        <v>276</v>
      </c>
      <c r="B281" s="63" t="inlineStr">
        <is>
          <t>HSIC</t>
        </is>
      </c>
      <c r="C281" s="64" t="inlineStr">
        <is>
          <t>Henry Schein</t>
        </is>
      </c>
      <c r="D281" s="65" t="inlineStr">
        <is>
          <t>Medical Distribution</t>
        </is>
      </c>
      <c r="E281" s="79" t="n">
        <v>81.44</v>
      </c>
      <c r="F281" s="73" t="n">
        <v>0.12244618</v>
      </c>
      <c r="G281" s="80" t="n">
        <v>9.587508224</v>
      </c>
      <c r="H281" s="73" t="n">
        <v>0.077</v>
      </c>
      <c r="I281" s="81" t="n">
        <v>0.31136</v>
      </c>
      <c r="J281" s="82" t="n">
        <v>24.9052</v>
      </c>
      <c r="K281" s="83" t="n">
        <v>383</v>
      </c>
      <c r="L281" s="80" t="n">
        <v>5.343827739414398</v>
      </c>
      <c r="M281" s="84" t="n">
        <v>-0.4426260072416499</v>
      </c>
      <c r="N281" s="82" t="n">
        <v>24.39034886224543</v>
      </c>
      <c r="O281" s="119" t="inlineStr">
        <is>
          <t>—</t>
        </is>
      </c>
      <c r="P281" s="119" t="inlineStr">
        <is>
          <t>—</t>
        </is>
      </c>
      <c r="Q281" s="119" t="inlineStr">
        <is>
          <t>—</t>
        </is>
      </c>
      <c r="R281" s="119" t="inlineStr">
        <is>
          <t>—</t>
        </is>
      </c>
      <c r="S281" s="119" t="inlineStr">
        <is>
          <t>—</t>
        </is>
      </c>
    </row>
    <row r="282" ht="20" customHeight="1" s="57">
      <c r="A282" s="67" t="n">
        <v>277</v>
      </c>
      <c r="B282" s="68" t="inlineStr">
        <is>
          <t>NUE</t>
        </is>
      </c>
      <c r="C282" s="69" t="inlineStr">
        <is>
          <t>Nucor</t>
        </is>
      </c>
      <c r="D282" s="70" t="inlineStr">
        <is>
          <t>Steel</t>
        </is>
      </c>
      <c r="E282" s="72" t="n">
        <v>177.11</v>
      </c>
      <c r="F282" s="73" t="n">
        <v>0.338969</v>
      </c>
      <c r="G282" s="74" t="n">
        <v>40.53315584</v>
      </c>
      <c r="H282" s="73" t="n">
        <v>0.08599999999999999</v>
      </c>
      <c r="I282" s="75" t="n">
        <v>0.12027001</v>
      </c>
      <c r="J282" s="76" t="n">
        <v>23.551863</v>
      </c>
      <c r="K282" s="85" t="n">
        <v>-903.3749759999999</v>
      </c>
      <c r="L282" s="77" t="inlineStr">
        <is>
          <t>—</t>
        </is>
      </c>
      <c r="M282" s="77" t="inlineStr">
        <is>
          <t>—</t>
        </is>
      </c>
      <c r="N282" s="76" t="n">
        <v>-44.86858521913496</v>
      </c>
      <c r="O282" s="118" t="inlineStr">
        <is>
          <t>—</t>
        </is>
      </c>
      <c r="P282" s="118" t="inlineStr">
        <is>
          <t>—</t>
        </is>
      </c>
      <c r="Q282" s="118" t="inlineStr">
        <is>
          <t>—</t>
        </is>
      </c>
      <c r="R282" s="118" t="inlineStr">
        <is>
          <t>—</t>
        </is>
      </c>
      <c r="S282" s="118" t="inlineStr">
        <is>
          <t>—</t>
        </is>
      </c>
    </row>
    <row r="283" ht="20" customHeight="1" s="57">
      <c r="A283" s="62" t="n">
        <v>278</v>
      </c>
      <c r="B283" s="63" t="inlineStr">
        <is>
          <t>DHI</t>
        </is>
      </c>
      <c r="C283" s="64" t="inlineStr">
        <is>
          <t>D.R. Horton</t>
        </is>
      </c>
      <c r="D283" s="65" t="inlineStr">
        <is>
          <t>Residential Construction</t>
        </is>
      </c>
      <c r="E283" s="79" t="n">
        <v>152.94</v>
      </c>
      <c r="F283" s="73" t="n">
        <v>0.17963982</v>
      </c>
      <c r="G283" s="80" t="n">
        <v>44.520767488</v>
      </c>
      <c r="H283" s="84" t="n">
        <v>-0.095</v>
      </c>
      <c r="I283" s="81" t="n">
        <v>0.22068001</v>
      </c>
      <c r="J283" s="82" t="n">
        <v>13.916288</v>
      </c>
      <c r="K283" s="83" t="n">
        <v>-546.750016</v>
      </c>
      <c r="L283" s="78" t="inlineStr">
        <is>
          <t>—</t>
        </is>
      </c>
      <c r="M283" s="78" t="inlineStr">
        <is>
          <t>—</t>
        </is>
      </c>
      <c r="N283" s="82" t="n">
        <v>-81.03746855912301</v>
      </c>
      <c r="O283" s="119" t="inlineStr">
        <is>
          <t>—</t>
        </is>
      </c>
      <c r="P283" s="119" t="inlineStr">
        <is>
          <t>—</t>
        </is>
      </c>
      <c r="Q283" s="119" t="inlineStr">
        <is>
          <t>—</t>
        </is>
      </c>
      <c r="R283" s="119" t="inlineStr">
        <is>
          <t>—</t>
        </is>
      </c>
      <c r="S283" s="119" t="inlineStr">
        <is>
          <t>—</t>
        </is>
      </c>
    </row>
    <row r="284" ht="20" customHeight="1" s="57">
      <c r="A284" s="62" t="n">
        <v>279</v>
      </c>
      <c r="B284" s="63" t="inlineStr">
        <is>
          <t>CI</t>
        </is>
      </c>
      <c r="C284" s="64" t="inlineStr">
        <is>
          <t>Cigna</t>
        </is>
      </c>
      <c r="D284" s="65" t="inlineStr">
        <is>
          <t>Healthcare Plans</t>
        </is>
      </c>
      <c r="E284" s="72" t="n">
        <v>284.25</v>
      </c>
      <c r="F284" s="84" t="n">
        <v>-0.08359419999999999</v>
      </c>
      <c r="G284" s="74" t="n">
        <v>75.93051750399999</v>
      </c>
      <c r="H284" s="73" t="n">
        <v>0.104</v>
      </c>
      <c r="I284" s="75" t="n">
        <v>0.092980005</v>
      </c>
      <c r="J284" s="76" t="n">
        <v>12.821381</v>
      </c>
      <c r="K284" s="85" t="n">
        <v>9769.875456</v>
      </c>
      <c r="L284" s="74" t="n">
        <v>161.0039886532234</v>
      </c>
      <c r="M284" s="73" t="n">
        <v>1.120412107618544</v>
      </c>
      <c r="N284" s="76" t="n">
        <v>7.665363016885524</v>
      </c>
      <c r="O284" s="118" t="inlineStr">
        <is>
          <t>—</t>
        </is>
      </c>
      <c r="P284" s="118" t="inlineStr">
        <is>
          <t>—</t>
        </is>
      </c>
      <c r="Q284" s="118" t="inlineStr">
        <is>
          <t>—</t>
        </is>
      </c>
      <c r="R284" s="118" t="inlineStr">
        <is>
          <t>—</t>
        </is>
      </c>
      <c r="S284" s="118" t="inlineStr">
        <is>
          <t>—</t>
        </is>
      </c>
    </row>
    <row r="285" ht="20" customHeight="1" s="57">
      <c r="A285" s="67" t="n">
        <v>280</v>
      </c>
      <c r="B285" s="68" t="inlineStr">
        <is>
          <t>FRT</t>
        </is>
      </c>
      <c r="C285" s="69" t="inlineStr">
        <is>
          <t>Federal Realty Investment</t>
        </is>
      </c>
      <c r="D285" s="70" t="inlineStr">
        <is>
          <t>REIT - Retail</t>
        </is>
      </c>
      <c r="E285" s="79" t="n">
        <v>110.25</v>
      </c>
      <c r="F285" s="73" t="n">
        <v>0.06789648500000001</v>
      </c>
      <c r="G285" s="80" t="n">
        <v>9.570277376</v>
      </c>
      <c r="H285" s="73" t="n">
        <v>0.075</v>
      </c>
      <c r="I285" s="81" t="n">
        <v>0.6791700000000001</v>
      </c>
      <c r="J285" s="82" t="n">
        <v>23.557693</v>
      </c>
      <c r="K285" s="83" t="n">
        <v>466.555872</v>
      </c>
      <c r="L285" s="80" t="n">
        <v>6.380354394981569</v>
      </c>
      <c r="M285" s="84" t="n">
        <v>-0.3333156245834636</v>
      </c>
      <c r="N285" s="82" t="n">
        <v>20.38755315086893</v>
      </c>
      <c r="O285" s="119" t="inlineStr">
        <is>
          <t>—</t>
        </is>
      </c>
      <c r="P285" s="119" t="inlineStr">
        <is>
          <t>—</t>
        </is>
      </c>
      <c r="Q285" s="119" t="inlineStr">
        <is>
          <t>—</t>
        </is>
      </c>
      <c r="R285" s="119" t="inlineStr">
        <is>
          <t>—</t>
        </is>
      </c>
      <c r="S285" s="119" t="inlineStr">
        <is>
          <t>—</t>
        </is>
      </c>
    </row>
    <row r="286" ht="20" customHeight="1" s="57">
      <c r="A286" s="62" t="n">
        <v>281</v>
      </c>
      <c r="B286" s="63" t="inlineStr">
        <is>
          <t>UAL</t>
        </is>
      </c>
      <c r="C286" s="64" t="inlineStr">
        <is>
          <t>United Airlines Holdings</t>
        </is>
      </c>
      <c r="D286" s="65" t="inlineStr">
        <is>
          <t>Airlines</t>
        </is>
      </c>
      <c r="E286" s="72" t="n">
        <v>101.153</v>
      </c>
      <c r="F286" s="73" t="n">
        <v>0.12347984</v>
      </c>
      <c r="G286" s="74" t="n">
        <v>32.747067392</v>
      </c>
      <c r="H286" s="73" t="n">
        <v>0.048</v>
      </c>
      <c r="I286" s="75" t="n">
        <v>0.33963</v>
      </c>
      <c r="J286" s="76" t="n">
        <v>9.916961000000001</v>
      </c>
      <c r="K286" s="85" t="n">
        <v>1099.000064</v>
      </c>
      <c r="L286" s="74" t="n">
        <v>21.97079049146848</v>
      </c>
      <c r="M286" s="84" t="n">
        <v>-0.3290760901284287</v>
      </c>
      <c r="N286" s="76" t="n">
        <v>29.76884009818129</v>
      </c>
      <c r="O286" s="118" t="inlineStr">
        <is>
          <t>—</t>
        </is>
      </c>
      <c r="P286" s="118" t="inlineStr">
        <is>
          <t>—</t>
        </is>
      </c>
      <c r="Q286" s="118" t="inlineStr">
        <is>
          <t>—</t>
        </is>
      </c>
      <c r="R286" s="118" t="inlineStr">
        <is>
          <t>—</t>
        </is>
      </c>
      <c r="S286" s="118" t="inlineStr">
        <is>
          <t>—</t>
        </is>
      </c>
    </row>
    <row r="287" ht="20" customHeight="1" s="57">
      <c r="A287" s="67" t="n">
        <v>282</v>
      </c>
      <c r="B287" s="68" t="inlineStr">
        <is>
          <t>BWA</t>
        </is>
      </c>
      <c r="C287" s="69" t="inlineStr">
        <is>
          <t>BorgWarner</t>
        </is>
      </c>
      <c r="D287" s="70" t="inlineStr">
        <is>
          <t>Auto Parts</t>
        </is>
      </c>
      <c r="E287" s="79" t="n">
        <v>53.195</v>
      </c>
      <c r="F287" s="73" t="n">
        <v>0.8540596</v>
      </c>
      <c r="G287" s="80" t="n">
        <v>11.379905536</v>
      </c>
      <c r="H287" s="73" t="n">
        <v>0.039</v>
      </c>
      <c r="I287" s="81" t="n">
        <v>0.18595</v>
      </c>
      <c r="J287" s="82" t="n">
        <v>41.558594</v>
      </c>
      <c r="K287" s="83" t="n">
        <v>984.499968</v>
      </c>
      <c r="L287" s="80" t="n">
        <v>12.63804549901136</v>
      </c>
      <c r="M287" s="73" t="n">
        <v>0.1105580322289383</v>
      </c>
      <c r="N287" s="82" t="n">
        <v>11.187363709249</v>
      </c>
      <c r="O287" s="119" t="inlineStr">
        <is>
          <t>—</t>
        </is>
      </c>
      <c r="P287" s="119" t="inlineStr">
        <is>
          <t>—</t>
        </is>
      </c>
      <c r="Q287" s="119" t="inlineStr">
        <is>
          <t>—</t>
        </is>
      </c>
      <c r="R287" s="119" t="inlineStr">
        <is>
          <t>—</t>
        </is>
      </c>
      <c r="S287" s="119" t="inlineStr">
        <is>
          <t>—</t>
        </is>
      </c>
    </row>
    <row r="288" ht="20" customHeight="1" s="57">
      <c r="A288" s="62" t="n">
        <v>283</v>
      </c>
      <c r="B288" s="63" t="inlineStr">
        <is>
          <t>IRM</t>
        </is>
      </c>
      <c r="C288" s="64" t="inlineStr">
        <is>
          <t>Iron Mountain</t>
        </is>
      </c>
      <c r="D288" s="65" t="inlineStr">
        <is>
          <t>REIT - Specialty</t>
        </is>
      </c>
      <c r="E288" s="72" t="n">
        <v>107.485</v>
      </c>
      <c r="F288" s="73" t="n">
        <v>0.22047329</v>
      </c>
      <c r="G288" s="74" t="n">
        <v>31.797846016</v>
      </c>
      <c r="H288" s="73" t="n">
        <v>0.166</v>
      </c>
      <c r="I288" s="75" t="n">
        <v>0.55381</v>
      </c>
      <c r="J288" s="76" t="n">
        <v>219.35715</v>
      </c>
      <c r="K288" s="85" t="n">
        <v>-1168.041728</v>
      </c>
      <c r="L288" s="77" t="inlineStr">
        <is>
          <t>—</t>
        </is>
      </c>
      <c r="M288" s="77" t="inlineStr">
        <is>
          <t>—</t>
        </is>
      </c>
      <c r="N288" s="76" t="n">
        <v>-27.22321159823325</v>
      </c>
      <c r="O288" s="118" t="inlineStr">
        <is>
          <t>—</t>
        </is>
      </c>
      <c r="P288" s="118" t="inlineStr">
        <is>
          <t>—</t>
        </is>
      </c>
      <c r="Q288" s="118" t="inlineStr">
        <is>
          <t>—</t>
        </is>
      </c>
      <c r="R288" s="118" t="inlineStr">
        <is>
          <t>—</t>
        </is>
      </c>
      <c r="S288" s="118" t="inlineStr">
        <is>
          <t>—</t>
        </is>
      </c>
    </row>
    <row r="289" ht="20" customHeight="1" s="57">
      <c r="A289" s="67" t="n">
        <v>284</v>
      </c>
      <c r="B289" s="68" t="inlineStr">
        <is>
          <t>TGT</t>
        </is>
      </c>
      <c r="C289" s="69" t="inlineStr">
        <is>
          <t>Target</t>
        </is>
      </c>
      <c r="D289" s="70" t="inlineStr">
        <is>
          <t>Discount Stores</t>
        </is>
      </c>
      <c r="E289" s="79" t="n">
        <v>121.085</v>
      </c>
      <c r="F289" s="73" t="n">
        <v>0.03637612</v>
      </c>
      <c r="G289" s="80" t="n">
        <v>55.020920832</v>
      </c>
      <c r="H289" s="84" t="n">
        <v>-0.015</v>
      </c>
      <c r="I289" s="81" t="n">
        <v>0.27934</v>
      </c>
      <c r="J289" s="82" t="n">
        <v>14.67697</v>
      </c>
      <c r="K289" s="83" t="n">
        <v>2792</v>
      </c>
      <c r="L289" s="80" t="n">
        <v>27.03093509553349</v>
      </c>
      <c r="M289" s="84" t="n">
        <v>-0.5087153270649665</v>
      </c>
      <c r="N289" s="82" t="n">
        <v>19.63755914166547</v>
      </c>
      <c r="O289" s="119" t="inlineStr">
        <is>
          <t>—</t>
        </is>
      </c>
      <c r="P289" s="119" t="inlineStr">
        <is>
          <t>—</t>
        </is>
      </c>
      <c r="Q289" s="119" t="inlineStr">
        <is>
          <t>—</t>
        </is>
      </c>
      <c r="R289" s="119" t="inlineStr">
        <is>
          <t>—</t>
        </is>
      </c>
      <c r="S289" s="119" t="inlineStr">
        <is>
          <t>—</t>
        </is>
      </c>
    </row>
    <row r="290" ht="20" customHeight="1" s="57">
      <c r="A290" s="62" t="n">
        <v>285</v>
      </c>
      <c r="B290" s="63" t="inlineStr">
        <is>
          <t>DG</t>
        </is>
      </c>
      <c r="C290" s="64" t="inlineStr">
        <is>
          <t>Dollar General</t>
        </is>
      </c>
      <c r="D290" s="65" t="inlineStr">
        <is>
          <t>Discount Stores</t>
        </is>
      </c>
      <c r="E290" s="72" t="n">
        <v>150.67</v>
      </c>
      <c r="F290" s="73" t="n">
        <v>1.0765264</v>
      </c>
      <c r="G290" s="74" t="n">
        <v>33.165307904</v>
      </c>
      <c r="H290" s="73" t="n">
        <v>0.046</v>
      </c>
      <c r="I290" s="75" t="n">
        <v>0.30407</v>
      </c>
      <c r="J290" s="76" t="n">
        <v>26.067472</v>
      </c>
      <c r="K290" s="85" t="n">
        <v>1971.688448</v>
      </c>
      <c r="L290" s="74" t="n">
        <v>23.62656715055006</v>
      </c>
      <c r="M290" s="84" t="n">
        <v>-0.2876120065298562</v>
      </c>
      <c r="N290" s="76" t="n">
        <v>16.82076614447456</v>
      </c>
      <c r="O290" s="118" t="inlineStr">
        <is>
          <t>—</t>
        </is>
      </c>
      <c r="P290" s="118" t="inlineStr">
        <is>
          <t>—</t>
        </is>
      </c>
      <c r="Q290" s="118" t="inlineStr">
        <is>
          <t>—</t>
        </is>
      </c>
      <c r="R290" s="118" t="inlineStr">
        <is>
          <t>—</t>
        </is>
      </c>
      <c r="S290" s="118" t="inlineStr">
        <is>
          <t>—</t>
        </is>
      </c>
    </row>
    <row r="291" ht="20" customHeight="1" s="57">
      <c r="A291" s="67" t="n">
        <v>286</v>
      </c>
      <c r="B291" s="68" t="inlineStr">
        <is>
          <t>GD</t>
        </is>
      </c>
      <c r="C291" s="69" t="inlineStr">
        <is>
          <t>General Dynamics</t>
        </is>
      </c>
      <c r="D291" s="70" t="inlineStr">
        <is>
          <t>Aerospace &amp; Defense</t>
        </is>
      </c>
      <c r="E291" s="79" t="n">
        <v>364.83</v>
      </c>
      <c r="F291" s="73" t="n">
        <v>0.38690293</v>
      </c>
      <c r="G291" s="80" t="n">
        <v>98.646294528</v>
      </c>
      <c r="H291" s="73" t="n">
        <v>0.078</v>
      </c>
      <c r="I291" s="81" t="n">
        <v>0.1513</v>
      </c>
      <c r="J291" s="82" t="n">
        <v>23.598318</v>
      </c>
      <c r="K291" s="83" t="n">
        <v>3357.250048</v>
      </c>
      <c r="L291" s="80" t="n">
        <v>47.81757967582551</v>
      </c>
      <c r="M291" s="84" t="n">
        <v>-0.5152622822314643</v>
      </c>
      <c r="N291" s="82" t="n">
        <v>29.38306481959428</v>
      </c>
      <c r="O291" s="119" t="inlineStr">
        <is>
          <t>—</t>
        </is>
      </c>
      <c r="P291" s="119" t="inlineStr">
        <is>
          <t>—</t>
        </is>
      </c>
      <c r="Q291" s="119" t="inlineStr">
        <is>
          <t>—</t>
        </is>
      </c>
      <c r="R291" s="119" t="inlineStr">
        <is>
          <t>—</t>
        </is>
      </c>
      <c r="S291" s="119" t="inlineStr">
        <is>
          <t>—</t>
        </is>
      </c>
    </row>
    <row r="292" ht="20" customHeight="1" s="57">
      <c r="A292" s="62" t="n">
        <v>287</v>
      </c>
      <c r="B292" s="63" t="inlineStr">
        <is>
          <t>TXT</t>
        </is>
      </c>
      <c r="C292" s="64" t="inlineStr">
        <is>
          <t>Textron</t>
        </is>
      </c>
      <c r="D292" s="65" t="inlineStr">
        <is>
          <t>Aerospace &amp; Defense</t>
        </is>
      </c>
      <c r="E292" s="72" t="n">
        <v>99.4027</v>
      </c>
      <c r="F292" s="73" t="n">
        <v>0.36175215</v>
      </c>
      <c r="G292" s="74" t="n">
        <v>17.312217088</v>
      </c>
      <c r="H292" s="73" t="n">
        <v>0.156</v>
      </c>
      <c r="I292" s="75" t="n">
        <v>0.18035</v>
      </c>
      <c r="J292" s="76" t="n">
        <v>19.41459</v>
      </c>
      <c r="K292" s="85" t="n">
        <v>853.124992</v>
      </c>
      <c r="L292" s="74" t="n">
        <v>16.1620668500262</v>
      </c>
      <c r="M292" s="84" t="n">
        <v>-0.06643575644456479</v>
      </c>
      <c r="N292" s="76" t="n">
        <v>20.29270814795202</v>
      </c>
      <c r="O292" s="118" t="inlineStr">
        <is>
          <t>—</t>
        </is>
      </c>
      <c r="P292" s="118" t="inlineStr">
        <is>
          <t>—</t>
        </is>
      </c>
      <c r="Q292" s="118" t="inlineStr">
        <is>
          <t>—</t>
        </is>
      </c>
      <c r="R292" s="118" t="inlineStr">
        <is>
          <t>—</t>
        </is>
      </c>
      <c r="S292" s="118" t="inlineStr">
        <is>
          <t>—</t>
        </is>
      </c>
    </row>
    <row r="293" ht="20" customHeight="1" s="57">
      <c r="A293" s="67" t="n">
        <v>288</v>
      </c>
      <c r="B293" s="68" t="inlineStr">
        <is>
          <t>CHRW</t>
        </is>
      </c>
      <c r="C293" s="69" t="inlineStr">
        <is>
          <t>C.H. Robinson Worldwide</t>
        </is>
      </c>
      <c r="D293" s="70" t="inlineStr">
        <is>
          <t>Integrated Freight &amp; Logistics</t>
        </is>
      </c>
      <c r="E293" s="79" t="n">
        <v>189.94</v>
      </c>
      <c r="F293" s="73" t="n">
        <v>0.9744663</v>
      </c>
      <c r="G293" s="80" t="n">
        <v>22.530840576</v>
      </c>
      <c r="H293" s="84" t="n">
        <v>-0.065</v>
      </c>
      <c r="I293" s="81" t="n">
        <v>0.08550998999999999</v>
      </c>
      <c r="J293" s="82" t="n">
        <v>39.325054</v>
      </c>
      <c r="K293" s="83" t="n">
        <v>742.47264</v>
      </c>
      <c r="L293" s="80" t="n">
        <v>5.725374638549295</v>
      </c>
      <c r="M293" s="84" t="n">
        <v>-0.7458872153821016</v>
      </c>
      <c r="N293" s="82" t="n">
        <v>30.34568522285212</v>
      </c>
      <c r="O293" s="119" t="inlineStr">
        <is>
          <t>—</t>
        </is>
      </c>
      <c r="P293" s="119" t="inlineStr">
        <is>
          <t>—</t>
        </is>
      </c>
      <c r="Q293" s="119" t="inlineStr">
        <is>
          <t>—</t>
        </is>
      </c>
      <c r="R293" s="119" t="inlineStr">
        <is>
          <t>—</t>
        </is>
      </c>
      <c r="S293" s="119" t="inlineStr">
        <is>
          <t>—</t>
        </is>
      </c>
    </row>
    <row r="294" ht="20" customHeight="1" s="57">
      <c r="A294" s="62" t="n">
        <v>289</v>
      </c>
      <c r="B294" s="63" t="inlineStr">
        <is>
          <t>MAR</t>
        </is>
      </c>
      <c r="C294" s="64" t="inlineStr">
        <is>
          <t>Marriott Intl</t>
        </is>
      </c>
      <c r="D294" s="65" t="inlineStr">
        <is>
          <t>Lodging</t>
        </is>
      </c>
      <c r="E294" s="72" t="n">
        <v>336.9896</v>
      </c>
      <c r="F294" s="73" t="n">
        <v>0.23906302</v>
      </c>
      <c r="G294" s="74" t="n">
        <v>89.297035264</v>
      </c>
      <c r="H294" s="73" t="n">
        <v>0.042</v>
      </c>
      <c r="I294" s="75" t="n">
        <v>0.94448996</v>
      </c>
      <c r="J294" s="76" t="n">
        <v>35.435287</v>
      </c>
      <c r="K294" s="85" t="n">
        <v>1673.250048</v>
      </c>
      <c r="L294" s="74" t="n">
        <v>19.10905502868675</v>
      </c>
      <c r="M294" s="84" t="n">
        <v>-0.7860057170745673</v>
      </c>
      <c r="N294" s="76" t="n">
        <v>53.36742046735527</v>
      </c>
      <c r="O294" s="118" t="inlineStr">
        <is>
          <t>—</t>
        </is>
      </c>
      <c r="P294" s="118" t="inlineStr">
        <is>
          <t>—</t>
        </is>
      </c>
      <c r="Q294" s="118" t="inlineStr">
        <is>
          <t>—</t>
        </is>
      </c>
      <c r="R294" s="118" t="inlineStr">
        <is>
          <t>—</t>
        </is>
      </c>
      <c r="S294" s="118" t="inlineStr">
        <is>
          <t>—</t>
        </is>
      </c>
    </row>
    <row r="295" ht="20" customHeight="1" s="57">
      <c r="A295" s="67" t="n">
        <v>290</v>
      </c>
      <c r="B295" s="68" t="inlineStr">
        <is>
          <t>L</t>
        </is>
      </c>
      <c r="C295" s="69" t="inlineStr">
        <is>
          <t>Loews</t>
        </is>
      </c>
      <c r="D295" s="70" t="inlineStr">
        <is>
          <t>Insurance - Property &amp; Casualty</t>
        </is>
      </c>
      <c r="E295" s="79" t="n">
        <v>111.44</v>
      </c>
      <c r="F295" s="73" t="n">
        <v>0.30653858</v>
      </c>
      <c r="G295" s="80" t="n">
        <v>23.030142976</v>
      </c>
      <c r="H295" s="73" t="n">
        <v>0.041</v>
      </c>
      <c r="I295" s="81" t="n">
        <v>0.36501998</v>
      </c>
      <c r="J295" s="82" t="n">
        <v>13.982435</v>
      </c>
      <c r="K295" s="83" t="n">
        <v>1541.62496</v>
      </c>
      <c r="L295" s="80" t="n">
        <v>22.64195697725925</v>
      </c>
      <c r="M295" s="84" t="n">
        <v>-0.01685556182370582</v>
      </c>
      <c r="N295" s="82" t="n">
        <v>14.89501848657147</v>
      </c>
      <c r="O295" s="119" t="inlineStr">
        <is>
          <t>—</t>
        </is>
      </c>
      <c r="P295" s="119" t="inlineStr">
        <is>
          <t>—</t>
        </is>
      </c>
      <c r="Q295" s="119" t="inlineStr">
        <is>
          <t>—</t>
        </is>
      </c>
      <c r="R295" s="119" t="inlineStr">
        <is>
          <t>—</t>
        </is>
      </c>
      <c r="S295" s="119" t="inlineStr">
        <is>
          <t>—</t>
        </is>
      </c>
    </row>
    <row r="296" ht="20" customHeight="1" s="57">
      <c r="A296" s="62" t="n">
        <v>291</v>
      </c>
      <c r="B296" s="63" t="inlineStr">
        <is>
          <t>CDW</t>
        </is>
      </c>
      <c r="C296" s="64" t="inlineStr">
        <is>
          <t>CDW</t>
        </is>
      </c>
      <c r="D296" s="65" t="inlineStr">
        <is>
          <t>Information Technology Services</t>
        </is>
      </c>
      <c r="E296" s="72" t="n">
        <v>124.155</v>
      </c>
      <c r="F296" s="84" t="n">
        <v>-0.27411783</v>
      </c>
      <c r="G296" s="74" t="n">
        <v>16.164194304</v>
      </c>
      <c r="H296" s="73" t="n">
        <v>0.063</v>
      </c>
      <c r="I296" s="75" t="n">
        <v>0.21733</v>
      </c>
      <c r="J296" s="76" t="n">
        <v>15.365718</v>
      </c>
      <c r="K296" s="85" t="n">
        <v>920.350016</v>
      </c>
      <c r="L296" s="74" t="n">
        <v>12.09669059960723</v>
      </c>
      <c r="M296" s="84" t="n">
        <v>-0.2516366499867067</v>
      </c>
      <c r="N296" s="76" t="n">
        <v>17.4012045849087</v>
      </c>
      <c r="O296" s="118" t="inlineStr">
        <is>
          <t>—</t>
        </is>
      </c>
      <c r="P296" s="118" t="inlineStr">
        <is>
          <t>—</t>
        </is>
      </c>
      <c r="Q296" s="118" t="inlineStr">
        <is>
          <t>—</t>
        </is>
      </c>
      <c r="R296" s="118" t="inlineStr">
        <is>
          <t>—</t>
        </is>
      </c>
      <c r="S296" s="118" t="inlineStr">
        <is>
          <t>—</t>
        </is>
      </c>
    </row>
    <row r="297" ht="20" customHeight="1" s="57">
      <c r="A297" s="67" t="n">
        <v>292</v>
      </c>
      <c r="B297" s="68" t="inlineStr">
        <is>
          <t>EVRG</t>
        </is>
      </c>
      <c r="C297" s="69" t="inlineStr">
        <is>
          <t>Evergy</t>
        </is>
      </c>
      <c r="D297" s="70" t="inlineStr">
        <is>
          <t>Utilities - Regulated Electric</t>
        </is>
      </c>
      <c r="E297" s="79" t="n">
        <v>84.27</v>
      </c>
      <c r="F297" s="73" t="n">
        <v>0.26041508</v>
      </c>
      <c r="G297" s="80" t="n">
        <v>19.405828096</v>
      </c>
      <c r="H297" s="73" t="n">
        <v>0.066</v>
      </c>
      <c r="I297" s="81" t="n">
        <v>0.52266</v>
      </c>
      <c r="J297" s="82" t="n">
        <v>23.02459</v>
      </c>
      <c r="K297" s="83" t="n">
        <v>-862.124992</v>
      </c>
      <c r="L297" s="78" t="inlineStr">
        <is>
          <t>—</t>
        </is>
      </c>
      <c r="M297" s="78" t="inlineStr">
        <is>
          <t>—</t>
        </is>
      </c>
      <c r="N297" s="82" t="n">
        <v>-22.50929903702409</v>
      </c>
      <c r="O297" s="119" t="inlineStr">
        <is>
          <t>—</t>
        </is>
      </c>
      <c r="P297" s="119" t="inlineStr">
        <is>
          <t>—</t>
        </is>
      </c>
      <c r="Q297" s="119" t="inlineStr">
        <is>
          <t>—</t>
        </is>
      </c>
      <c r="R297" s="119" t="inlineStr">
        <is>
          <t>—</t>
        </is>
      </c>
      <c r="S297" s="119" t="inlineStr">
        <is>
          <t>—</t>
        </is>
      </c>
    </row>
    <row r="298" ht="20" customHeight="1" s="57">
      <c r="A298" s="67" t="n">
        <v>293</v>
      </c>
      <c r="B298" s="68" t="inlineStr">
        <is>
          <t>AMD</t>
        </is>
      </c>
      <c r="C298" s="69" t="inlineStr">
        <is>
          <t>Advanced Micro Devices</t>
        </is>
      </c>
      <c r="D298" s="70" t="inlineStr">
        <is>
          <t>Semiconductors</t>
        </is>
      </c>
      <c r="E298" s="72" t="n">
        <v>201.4</v>
      </c>
      <c r="F298" s="73" t="n">
        <v>0.8781350999999999</v>
      </c>
      <c r="G298" s="74" t="n">
        <v>328.364752896</v>
      </c>
      <c r="H298" s="73" t="n">
        <v>0.341</v>
      </c>
      <c r="I298" s="75" t="n">
        <v>0.52493</v>
      </c>
      <c r="J298" s="76" t="n">
        <v>76.87023000000001</v>
      </c>
      <c r="K298" s="85" t="n">
        <v>4587.250176</v>
      </c>
      <c r="L298" s="74" t="n">
        <v>86.99384874017902</v>
      </c>
      <c r="M298" s="84" t="n">
        <v>-0.7350694678008519</v>
      </c>
      <c r="N298" s="76" t="n">
        <v>71.58204396572245</v>
      </c>
      <c r="O298" s="118" t="inlineStr">
        <is>
          <t>—</t>
        </is>
      </c>
      <c r="P298" s="118" t="inlineStr">
        <is>
          <t>—</t>
        </is>
      </c>
      <c r="Q298" s="118" t="inlineStr">
        <is>
          <t>—</t>
        </is>
      </c>
      <c r="R298" s="118" t="inlineStr">
        <is>
          <t>—</t>
        </is>
      </c>
      <c r="S298" s="118" t="inlineStr">
        <is>
          <t>—</t>
        </is>
      </c>
    </row>
    <row r="299" ht="20" customHeight="1" s="57">
      <c r="A299" s="62" t="n">
        <v>294</v>
      </c>
      <c r="B299" s="63" t="inlineStr">
        <is>
          <t>BBY</t>
        </is>
      </c>
      <c r="C299" s="64" t="inlineStr">
        <is>
          <t>Best Buy Co</t>
        </is>
      </c>
      <c r="D299" s="65" t="inlineStr">
        <is>
          <t>Specialty Retail</t>
        </is>
      </c>
      <c r="E299" s="79" t="n">
        <v>67.395</v>
      </c>
      <c r="F299" s="84" t="n">
        <v>-0.12683702</v>
      </c>
      <c r="G299" s="80" t="n">
        <v>14.159773696</v>
      </c>
      <c r="H299" s="84" t="n">
        <v>-0.01</v>
      </c>
      <c r="I299" s="81" t="n">
        <v>0.22482</v>
      </c>
      <c r="J299" s="82" t="n">
        <v>22.242573</v>
      </c>
      <c r="K299" s="83" t="n">
        <v>537.3749759999999</v>
      </c>
      <c r="L299" s="80" t="n">
        <v>5.838498628556126</v>
      </c>
      <c r="M299" s="84" t="n">
        <v>-0.5876700607012212</v>
      </c>
      <c r="N299" s="82" t="n">
        <v>26.27889071389323</v>
      </c>
      <c r="O299" s="119" t="inlineStr">
        <is>
          <t>—</t>
        </is>
      </c>
      <c r="P299" s="119" t="inlineStr">
        <is>
          <t>—</t>
        </is>
      </c>
      <c r="Q299" s="119" t="inlineStr">
        <is>
          <t>—</t>
        </is>
      </c>
      <c r="R299" s="119" t="inlineStr">
        <is>
          <t>—</t>
        </is>
      </c>
      <c r="S299" s="119" t="inlineStr">
        <is>
          <t>—</t>
        </is>
      </c>
    </row>
    <row r="300" ht="20" customHeight="1" s="57">
      <c r="A300" s="67" t="n">
        <v>295</v>
      </c>
      <c r="B300" s="68" t="inlineStr">
        <is>
          <t>HAL</t>
        </is>
      </c>
      <c r="C300" s="69" t="inlineStr">
        <is>
          <t>Halliburton</t>
        </is>
      </c>
      <c r="D300" s="70" t="inlineStr">
        <is>
          <t>Oil &amp; Gas Equipment &amp; Services</t>
        </is>
      </c>
      <c r="E300" s="72" t="n">
        <v>34.39</v>
      </c>
      <c r="F300" s="73" t="n">
        <v>0.45762718</v>
      </c>
      <c r="G300" s="74" t="n">
        <v>28.943538176</v>
      </c>
      <c r="H300" s="73" t="n">
        <v>0.008</v>
      </c>
      <c r="I300" s="75" t="n">
        <v>0.15705</v>
      </c>
      <c r="J300" s="76" t="n">
        <v>22.926666</v>
      </c>
      <c r="K300" s="85" t="n">
        <v>2139.62496</v>
      </c>
      <c r="L300" s="74" t="n">
        <v>21.61245517417858</v>
      </c>
      <c r="M300" s="84" t="n">
        <v>-0.2532891092043597</v>
      </c>
      <c r="N300" s="76" t="n">
        <v>13.46183939850375</v>
      </c>
      <c r="O300" s="118" t="inlineStr">
        <is>
          <t>—</t>
        </is>
      </c>
      <c r="P300" s="118" t="inlineStr">
        <is>
          <t>—</t>
        </is>
      </c>
      <c r="Q300" s="118" t="inlineStr">
        <is>
          <t>—</t>
        </is>
      </c>
      <c r="R300" s="118" t="inlineStr">
        <is>
          <t>—</t>
        </is>
      </c>
      <c r="S300" s="118" t="inlineStr">
        <is>
          <t>—</t>
        </is>
      </c>
    </row>
    <row r="301" ht="20" customHeight="1" s="57">
      <c r="A301" s="62" t="n">
        <v>296</v>
      </c>
      <c r="B301" s="63" t="inlineStr">
        <is>
          <t>HII</t>
        </is>
      </c>
      <c r="C301" s="64" t="inlineStr">
        <is>
          <t>Huntington Ingalls Indus</t>
        </is>
      </c>
      <c r="D301" s="65" t="inlineStr">
        <is>
          <t>Aerospace &amp; Defense</t>
        </is>
      </c>
      <c r="E301" s="79" t="n">
        <v>438.315</v>
      </c>
      <c r="F301" s="73" t="n">
        <v>1.2745492</v>
      </c>
      <c r="G301" s="80" t="n">
        <v>17.200658432</v>
      </c>
      <c r="H301" s="73" t="n">
        <v>0.157</v>
      </c>
      <c r="I301" s="81" t="n">
        <v>0.12696</v>
      </c>
      <c r="J301" s="82" t="n">
        <v>28.443544</v>
      </c>
      <c r="K301" s="83" t="n">
        <v>686</v>
      </c>
      <c r="L301" s="80" t="n">
        <v>12.40649027542962</v>
      </c>
      <c r="M301" s="84" t="n">
        <v>-0.2787200371150524</v>
      </c>
      <c r="N301" s="82" t="n">
        <v>25.07384663370262</v>
      </c>
      <c r="O301" s="119" t="inlineStr">
        <is>
          <t>—</t>
        </is>
      </c>
      <c r="P301" s="119" t="inlineStr">
        <is>
          <t>—</t>
        </is>
      </c>
      <c r="Q301" s="119" t="inlineStr">
        <is>
          <t>—</t>
        </is>
      </c>
      <c r="R301" s="119" t="inlineStr">
        <is>
          <t>—</t>
        </is>
      </c>
      <c r="S301" s="119" t="inlineStr">
        <is>
          <t>—</t>
        </is>
      </c>
    </row>
    <row r="302" ht="20" customHeight="1" s="57">
      <c r="A302" s="62" t="n">
        <v>297</v>
      </c>
      <c r="B302" s="63" t="inlineStr">
        <is>
          <t>CBRE</t>
        </is>
      </c>
      <c r="C302" s="64" t="inlineStr">
        <is>
          <t>CBRE Group</t>
        </is>
      </c>
      <c r="D302" s="65" t="inlineStr">
        <is>
          <t>Real Estate Services</t>
        </is>
      </c>
      <c r="E302" s="72" t="n">
        <v>141.94</v>
      </c>
      <c r="F302" s="73" t="n">
        <v>0.0023190975</v>
      </c>
      <c r="G302" s="74" t="n">
        <v>42.24034816</v>
      </c>
      <c r="H302" s="73" t="n">
        <v>0.118</v>
      </c>
      <c r="I302" s="75" t="n">
        <v>0.18658</v>
      </c>
      <c r="J302" s="76" t="n">
        <v>36.867535</v>
      </c>
      <c r="K302" s="85" t="n">
        <v>-84.25</v>
      </c>
      <c r="L302" s="77" t="inlineStr">
        <is>
          <t>—</t>
        </is>
      </c>
      <c r="M302" s="77" t="inlineStr">
        <is>
          <t>—</t>
        </is>
      </c>
      <c r="N302" s="76" t="n">
        <v>-497.2677169704451</v>
      </c>
      <c r="O302" s="118" t="inlineStr">
        <is>
          <t>—</t>
        </is>
      </c>
      <c r="P302" s="118" t="inlineStr">
        <is>
          <t>—</t>
        </is>
      </c>
      <c r="Q302" s="118" t="inlineStr">
        <is>
          <t>—</t>
        </is>
      </c>
      <c r="R302" s="118" t="inlineStr">
        <is>
          <t>—</t>
        </is>
      </c>
      <c r="S302" s="118" t="inlineStr">
        <is>
          <t>—</t>
        </is>
      </c>
    </row>
    <row r="303" ht="20" customHeight="1" s="57">
      <c r="A303" s="67" t="n">
        <v>298</v>
      </c>
      <c r="B303" s="68" t="inlineStr">
        <is>
          <t>BKR</t>
        </is>
      </c>
      <c r="C303" s="69" t="inlineStr">
        <is>
          <t>Baker Hughes</t>
        </is>
      </c>
      <c r="D303" s="70" t="inlineStr">
        <is>
          <t>Oil &amp; Gas Equipment &amp; Services</t>
        </is>
      </c>
      <c r="E303" s="79" t="n">
        <v>60.785</v>
      </c>
      <c r="F303" s="73" t="n">
        <v>0.47778833</v>
      </c>
      <c r="G303" s="80" t="n">
        <v>60.069953536</v>
      </c>
      <c r="H303" s="73" t="n">
        <v>0.003</v>
      </c>
      <c r="I303" s="81" t="n">
        <v>0.23676</v>
      </c>
      <c r="J303" s="82" t="n">
        <v>23.378847</v>
      </c>
      <c r="K303" s="83" t="n">
        <v>1127.374976</v>
      </c>
      <c r="L303" s="80" t="n">
        <v>13.01402393286944</v>
      </c>
      <c r="M303" s="84" t="n">
        <v>-0.7833521891261307</v>
      </c>
      <c r="N303" s="82" t="n">
        <v>53.28303141292184</v>
      </c>
      <c r="O303" s="119" t="inlineStr">
        <is>
          <t>—</t>
        </is>
      </c>
      <c r="P303" s="119" t="inlineStr">
        <is>
          <t>—</t>
        </is>
      </c>
      <c r="Q303" s="119" t="inlineStr">
        <is>
          <t>—</t>
        </is>
      </c>
      <c r="R303" s="119" t="inlineStr">
        <is>
          <t>—</t>
        </is>
      </c>
      <c r="S303" s="119" t="inlineStr">
        <is>
          <t>—</t>
        </is>
      </c>
    </row>
    <row r="304" ht="20" customHeight="1" s="57">
      <c r="A304" s="62" t="n">
        <v>299</v>
      </c>
      <c r="B304" s="63" t="inlineStr">
        <is>
          <t>LOW</t>
        </is>
      </c>
      <c r="C304" s="64" t="inlineStr">
        <is>
          <t>Lowe's Companies</t>
        </is>
      </c>
      <c r="D304" s="65" t="inlineStr">
        <is>
          <t>Home Improvement Retail</t>
        </is>
      </c>
      <c r="E304" s="72" t="n">
        <v>258.63</v>
      </c>
      <c r="F304" s="73" t="n">
        <v>0.06066847</v>
      </c>
      <c r="G304" s="74" t="n">
        <v>145.078878208</v>
      </c>
      <c r="H304" s="73" t="n">
        <v>0.109</v>
      </c>
      <c r="I304" s="75" t="n">
        <v>0.33476</v>
      </c>
      <c r="J304" s="76" t="n">
        <v>21.39206</v>
      </c>
      <c r="K304" s="85" t="n">
        <v>5399.875072</v>
      </c>
      <c r="L304" s="74" t="n">
        <v>88.72772679798392</v>
      </c>
      <c r="M304" s="84" t="n">
        <v>-0.3884173361833227</v>
      </c>
      <c r="N304" s="76" t="n">
        <v>26.86707995823611</v>
      </c>
      <c r="O304" s="118" t="inlineStr">
        <is>
          <t>—</t>
        </is>
      </c>
      <c r="P304" s="118" t="inlineStr">
        <is>
          <t>—</t>
        </is>
      </c>
      <c r="Q304" s="118" t="inlineStr">
        <is>
          <t>—</t>
        </is>
      </c>
      <c r="R304" s="118" t="inlineStr">
        <is>
          <t>—</t>
        </is>
      </c>
      <c r="S304" s="118" t="inlineStr">
        <is>
          <t>—</t>
        </is>
      </c>
    </row>
    <row r="305" ht="20" customHeight="1" s="57">
      <c r="A305" s="62" t="n">
        <v>300</v>
      </c>
      <c r="B305" s="63" t="inlineStr">
        <is>
          <t>OXY</t>
        </is>
      </c>
      <c r="C305" s="64" t="inlineStr">
        <is>
          <t>Occidental Petroleum</t>
        </is>
      </c>
      <c r="D305" s="65" t="inlineStr">
        <is>
          <t>Oil &amp; Gas E&amp;P</t>
        </is>
      </c>
      <c r="E305" s="79" t="n">
        <v>53.385</v>
      </c>
      <c r="F305" s="73" t="n">
        <v>0.17952096</v>
      </c>
      <c r="G305" s="80" t="n">
        <v>52.651843584</v>
      </c>
      <c r="H305" s="73" t="n">
        <v>1.489</v>
      </c>
      <c r="I305" s="81" t="n">
        <v>0.69819</v>
      </c>
      <c r="J305" s="82" t="n">
        <v>39.54444</v>
      </c>
      <c r="K305" s="83" t="n">
        <v>2053.874944</v>
      </c>
      <c r="L305" s="80" t="n">
        <v>36.8828587677734</v>
      </c>
      <c r="M305" s="84" t="n">
        <v>-0.2994953973656969</v>
      </c>
      <c r="N305" s="82" t="n">
        <v>25.63537063654835</v>
      </c>
      <c r="O305" s="125" t="inlineStr">
        <is>
          <t>YES</t>
        </is>
      </c>
      <c r="P305" s="126" t="n">
        <v>12.33</v>
      </c>
      <c r="Q305" s="127" t="inlineStr">
        <is>
          <t>Hold</t>
        </is>
      </c>
      <c r="R305" s="128" t="n">
        <v>57</v>
      </c>
      <c r="S305" s="129" t="inlineStr">
        <is>
          <t>Essentially unchanged all year. Minor adj Q1. ~264M shares</t>
        </is>
      </c>
    </row>
    <row r="306" ht="20" customHeight="1" s="57">
      <c r="A306" s="67" t="n">
        <v>301</v>
      </c>
      <c r="B306" s="68" t="inlineStr">
        <is>
          <t>DLTR</t>
        </is>
      </c>
      <c r="C306" s="69" t="inlineStr">
        <is>
          <t>Dollar Tree</t>
        </is>
      </c>
      <c r="D306" s="70" t="inlineStr">
        <is>
          <t>Discount Stores</t>
        </is>
      </c>
      <c r="E306" s="72" t="n">
        <v>118.37</v>
      </c>
      <c r="F306" s="73" t="n">
        <v>0.68771374</v>
      </c>
      <c r="G306" s="74" t="n">
        <v>24.143673344</v>
      </c>
      <c r="H306" s="73" t="n">
        <v>0.094</v>
      </c>
      <c r="I306" s="75" t="n">
        <v>0.35939997</v>
      </c>
      <c r="J306" s="76" t="n">
        <v>22.41856</v>
      </c>
      <c r="K306" s="85" t="n">
        <v>1654.437504</v>
      </c>
      <c r="L306" s="74" t="n">
        <v>25.21840106699118</v>
      </c>
      <c r="M306" s="73" t="n">
        <v>0.04451384458687851</v>
      </c>
      <c r="N306" s="76" t="n">
        <v>14.22734415067394</v>
      </c>
      <c r="O306" s="118" t="inlineStr">
        <is>
          <t>—</t>
        </is>
      </c>
      <c r="P306" s="118" t="inlineStr">
        <is>
          <t>—</t>
        </is>
      </c>
      <c r="Q306" s="118" t="inlineStr">
        <is>
          <t>—</t>
        </is>
      </c>
      <c r="R306" s="118" t="inlineStr">
        <is>
          <t>—</t>
        </is>
      </c>
      <c r="S306" s="118" t="inlineStr">
        <is>
          <t>—</t>
        </is>
      </c>
    </row>
    <row r="307" ht="20" customHeight="1" s="57">
      <c r="A307" s="62" t="n">
        <v>302</v>
      </c>
      <c r="B307" s="63" t="inlineStr">
        <is>
          <t>PCAR</t>
        </is>
      </c>
      <c r="C307" s="64" t="inlineStr">
        <is>
          <t>PACCAR</t>
        </is>
      </c>
      <c r="D307" s="65" t="inlineStr">
        <is>
          <t>Farm &amp; Heavy Construction Machinery</t>
        </is>
      </c>
      <c r="E307" s="79" t="n">
        <v>124.7275</v>
      </c>
      <c r="F307" s="73" t="n">
        <v>0.17694473</v>
      </c>
      <c r="G307" s="80" t="n">
        <v>65.59349964800001</v>
      </c>
      <c r="H307" s="84" t="n">
        <v>-0.137</v>
      </c>
      <c r="I307" s="81" t="n">
        <v>0.14005</v>
      </c>
      <c r="J307" s="82" t="n">
        <v>27.655764</v>
      </c>
      <c r="K307" s="83" t="n">
        <v>2840</v>
      </c>
      <c r="L307" s="80" t="n">
        <v>28.37865217008473</v>
      </c>
      <c r="M307" s="84" t="n">
        <v>-0.567355723930336</v>
      </c>
      <c r="N307" s="82" t="n">
        <v>23.09630251383187</v>
      </c>
      <c r="O307" s="119" t="inlineStr">
        <is>
          <t>—</t>
        </is>
      </c>
      <c r="P307" s="119" t="inlineStr">
        <is>
          <t>—</t>
        </is>
      </c>
      <c r="Q307" s="119" t="inlineStr">
        <is>
          <t>—</t>
        </is>
      </c>
      <c r="R307" s="119" t="inlineStr">
        <is>
          <t>—</t>
        </is>
      </c>
      <c r="S307" s="119" t="inlineStr">
        <is>
          <t>—</t>
        </is>
      </c>
    </row>
    <row r="308" ht="20" customHeight="1" s="57">
      <c r="A308" s="67" t="n">
        <v>303</v>
      </c>
      <c r="B308" s="68" t="inlineStr">
        <is>
          <t>MPC</t>
        </is>
      </c>
      <c r="C308" s="69" t="inlineStr">
        <is>
          <t>Marathon Petroleum</t>
        </is>
      </c>
      <c r="D308" s="70" t="inlineStr">
        <is>
          <t>Oil &amp; Gas Refining &amp; Marketing</t>
        </is>
      </c>
      <c r="E308" s="72" t="n">
        <v>220.53</v>
      </c>
      <c r="F308" s="73" t="n">
        <v>0.56882775</v>
      </c>
      <c r="G308" s="74" t="n">
        <v>66.29186764799999</v>
      </c>
      <c r="H308" s="84" t="n">
        <v>-0.005</v>
      </c>
      <c r="I308" s="75" t="n">
        <v>0.104779996</v>
      </c>
      <c r="J308" s="76" t="n">
        <v>16.668934</v>
      </c>
      <c r="K308" s="85" t="n">
        <v>2727.500032</v>
      </c>
      <c r="L308" s="74" t="n">
        <v>26.42154557467101</v>
      </c>
      <c r="M308" s="84" t="n">
        <v>-0.6014360959783859</v>
      </c>
      <c r="N308" s="76" t="n">
        <v>23.85200705288204</v>
      </c>
      <c r="O308" s="118" t="inlineStr">
        <is>
          <t>—</t>
        </is>
      </c>
      <c r="P308" s="118" t="inlineStr">
        <is>
          <t>—</t>
        </is>
      </c>
      <c r="Q308" s="118" t="inlineStr">
        <is>
          <t>—</t>
        </is>
      </c>
      <c r="R308" s="118" t="inlineStr">
        <is>
          <t>—</t>
        </is>
      </c>
      <c r="S308" s="118" t="inlineStr">
        <is>
          <t>—</t>
        </is>
      </c>
    </row>
    <row r="309" ht="20" customHeight="1" s="57">
      <c r="A309" s="62" t="n">
        <v>304</v>
      </c>
      <c r="B309" s="63" t="inlineStr">
        <is>
          <t>VLO</t>
        </is>
      </c>
      <c r="C309" s="64" t="inlineStr">
        <is>
          <t>Valero Energy</t>
        </is>
      </c>
      <c r="D309" s="65" t="inlineStr">
        <is>
          <t>Oil &amp; Gas Refining &amp; Marketing</t>
        </is>
      </c>
      <c r="E309" s="79" t="n">
        <v>223.6863</v>
      </c>
      <c r="F309" s="73" t="n">
        <v>0.7880256</v>
      </c>
      <c r="G309" s="80" t="n">
        <v>69.45672396800001</v>
      </c>
      <c r="H309" s="84" t="n">
        <v>-0.021</v>
      </c>
      <c r="I309" s="81" t="n">
        <v>0.13194</v>
      </c>
      <c r="J309" s="82" t="n">
        <v>29.496555</v>
      </c>
      <c r="K309" s="83" t="n">
        <v>3719.62496</v>
      </c>
      <c r="L309" s="80" t="n">
        <v>33.04013719811316</v>
      </c>
      <c r="M309" s="84" t="n">
        <v>-0.5243061389803619</v>
      </c>
      <c r="N309" s="82" t="n">
        <v>18.34229417678058</v>
      </c>
      <c r="O309" s="119" t="inlineStr">
        <is>
          <t>—</t>
        </is>
      </c>
      <c r="P309" s="119" t="inlineStr">
        <is>
          <t>—</t>
        </is>
      </c>
      <c r="Q309" s="119" t="inlineStr">
        <is>
          <t>—</t>
        </is>
      </c>
      <c r="R309" s="119" t="inlineStr">
        <is>
          <t>—</t>
        </is>
      </c>
      <c r="S309" s="119" t="inlineStr">
        <is>
          <t>—</t>
        </is>
      </c>
    </row>
    <row r="310" ht="20" customHeight="1" s="57">
      <c r="A310" s="67" t="n">
        <v>305</v>
      </c>
      <c r="B310" s="68" t="inlineStr">
        <is>
          <t>CCL</t>
        </is>
      </c>
      <c r="C310" s="69" t="inlineStr">
        <is>
          <t>Carnival</t>
        </is>
      </c>
      <c r="D310" s="70" t="inlineStr">
        <is>
          <t>Travel Services</t>
        </is>
      </c>
      <c r="E310" s="72" t="n">
        <v>28.145</v>
      </c>
      <c r="F310" s="73" t="n">
        <v>0.2770815</v>
      </c>
      <c r="G310" s="74" t="n">
        <v>38.984753152</v>
      </c>
      <c r="H310" s="73" t="n">
        <v>0.066</v>
      </c>
      <c r="I310" s="75" t="n">
        <v>0.55548</v>
      </c>
      <c r="J310" s="76" t="n">
        <v>13.933168</v>
      </c>
      <c r="K310" s="85" t="n">
        <v>1549.250048</v>
      </c>
      <c r="L310" s="74" t="n">
        <v>21.35258512632253</v>
      </c>
      <c r="M310" s="84" t="n">
        <v>-0.4522836904194403</v>
      </c>
      <c r="N310" s="76" t="n">
        <v>22.50873641201914</v>
      </c>
      <c r="O310" s="118" t="inlineStr">
        <is>
          <t>—</t>
        </is>
      </c>
      <c r="P310" s="118" t="inlineStr">
        <is>
          <t>—</t>
        </is>
      </c>
      <c r="Q310" s="118" t="inlineStr">
        <is>
          <t>—</t>
        </is>
      </c>
      <c r="R310" s="118" t="inlineStr">
        <is>
          <t>—</t>
        </is>
      </c>
      <c r="S310" s="118" t="inlineStr">
        <is>
          <t>—</t>
        </is>
      </c>
    </row>
    <row r="311" ht="20" customHeight="1" s="57">
      <c r="A311" s="62" t="n">
        <v>306</v>
      </c>
      <c r="B311" s="63" t="inlineStr">
        <is>
          <t>GPC</t>
        </is>
      </c>
      <c r="C311" s="64" t="inlineStr">
        <is>
          <t>Genuine Parts</t>
        </is>
      </c>
      <c r="D311" s="65" t="inlineStr">
        <is>
          <t>Specialty Retail</t>
        </is>
      </c>
      <c r="E311" s="79" t="n">
        <v>116.3</v>
      </c>
      <c r="F311" s="84" t="n">
        <v>-0.058242977</v>
      </c>
      <c r="G311" s="80" t="n">
        <v>16.178550784</v>
      </c>
      <c r="H311" s="73" t="n">
        <v>0.041</v>
      </c>
      <c r="I311" s="81" t="n">
        <v>0.37452</v>
      </c>
      <c r="J311" s="82" t="n">
        <v>247.44682</v>
      </c>
      <c r="K311" s="83" t="n">
        <v>677.875136</v>
      </c>
      <c r="L311" s="80" t="n">
        <v>7.948660055889612</v>
      </c>
      <c r="M311" s="84" t="n">
        <v>-0.5086914667443175</v>
      </c>
      <c r="N311" s="82" t="n">
        <v>23.61120848132126</v>
      </c>
      <c r="O311" s="119" t="inlineStr">
        <is>
          <t>—</t>
        </is>
      </c>
      <c r="P311" s="119" t="inlineStr">
        <is>
          <t>—</t>
        </is>
      </c>
      <c r="Q311" s="119" t="inlineStr">
        <is>
          <t>—</t>
        </is>
      </c>
      <c r="R311" s="119" t="inlineStr">
        <is>
          <t>—</t>
        </is>
      </c>
      <c r="S311" s="119" t="inlineStr">
        <is>
          <t>—</t>
        </is>
      </c>
    </row>
    <row r="312" ht="20" customHeight="1" s="57">
      <c r="A312" s="67" t="n">
        <v>307</v>
      </c>
      <c r="B312" s="68" t="inlineStr">
        <is>
          <t>TSN</t>
        </is>
      </c>
      <c r="C312" s="69" t="inlineStr">
        <is>
          <t>Tyson Foods</t>
        </is>
      </c>
      <c r="D312" s="70" t="inlineStr">
        <is>
          <t>Farm Products</t>
        </is>
      </c>
      <c r="E312" s="72" t="n">
        <v>63.085</v>
      </c>
      <c r="F312" s="73" t="n">
        <v>0.037207723</v>
      </c>
      <c r="G312" s="74" t="n">
        <v>22.210902016</v>
      </c>
      <c r="H312" s="73" t="n">
        <v>0.051</v>
      </c>
      <c r="I312" s="75" t="n">
        <v>0.06151</v>
      </c>
      <c r="J312" s="76" t="n">
        <v>112.65179</v>
      </c>
      <c r="K312" s="85" t="n">
        <v>1153.250048</v>
      </c>
      <c r="L312" s="74" t="n">
        <v>14.60429989707945</v>
      </c>
      <c r="M312" s="84" t="n">
        <v>-0.3424715535389335</v>
      </c>
      <c r="N312" s="76" t="n">
        <v>15.42977043057101</v>
      </c>
      <c r="O312" s="118" t="inlineStr">
        <is>
          <t>—</t>
        </is>
      </c>
      <c r="P312" s="118" t="inlineStr">
        <is>
          <t>—</t>
        </is>
      </c>
      <c r="Q312" s="118" t="inlineStr">
        <is>
          <t>—</t>
        </is>
      </c>
      <c r="R312" s="118" t="inlineStr">
        <is>
          <t>—</t>
        </is>
      </c>
      <c r="S312" s="118" t="inlineStr">
        <is>
          <t>—</t>
        </is>
      </c>
    </row>
    <row r="313" ht="20" customHeight="1" s="57">
      <c r="A313" s="62" t="n">
        <v>308</v>
      </c>
      <c r="B313" s="63" t="inlineStr">
        <is>
          <t>HPE</t>
        </is>
      </c>
      <c r="C313" s="64" t="inlineStr">
        <is>
          <t>Hewlett Packard</t>
        </is>
      </c>
      <c r="D313" s="65" t="inlineStr">
        <is>
          <t>Communication Equipment</t>
        </is>
      </c>
      <c r="E313" s="79" t="n">
        <v>21.605</v>
      </c>
      <c r="F313" s="73" t="n">
        <v>0.1455797</v>
      </c>
      <c r="G313" s="80" t="n">
        <v>28.832587776</v>
      </c>
      <c r="H313" s="73" t="n">
        <v>0.144</v>
      </c>
      <c r="I313" s="81" t="n">
        <v>0.30257</v>
      </c>
      <c r="J313" s="82" t="n">
        <v>7.9140644</v>
      </c>
      <c r="K313" s="83" t="n">
        <v>-213.5</v>
      </c>
      <c r="L313" s="78" t="inlineStr">
        <is>
          <t>—</t>
        </is>
      </c>
      <c r="M313" s="78" t="inlineStr">
        <is>
          <t>—</t>
        </is>
      </c>
      <c r="N313" s="82" t="n">
        <v>-134.4679458202342</v>
      </c>
      <c r="O313" s="119" t="inlineStr">
        <is>
          <t>—</t>
        </is>
      </c>
      <c r="P313" s="119" t="inlineStr">
        <is>
          <t>—</t>
        </is>
      </c>
      <c r="Q313" s="119" t="inlineStr">
        <is>
          <t>—</t>
        </is>
      </c>
      <c r="R313" s="119" t="inlineStr">
        <is>
          <t>—</t>
        </is>
      </c>
      <c r="S313" s="119" t="inlineStr">
        <is>
          <t>—</t>
        </is>
      </c>
    </row>
    <row r="314" ht="20" customHeight="1" s="57">
      <c r="A314" s="67" t="n">
        <v>309</v>
      </c>
      <c r="B314" s="68" t="inlineStr">
        <is>
          <t>UPS</t>
        </is>
      </c>
      <c r="C314" s="69" t="inlineStr">
        <is>
          <t>United Parcel Service</t>
        </is>
      </c>
      <c r="D314" s="70" t="inlineStr">
        <is>
          <t>Integrated Freight &amp; Logistics</t>
        </is>
      </c>
      <c r="E314" s="72" t="n">
        <v>110.76</v>
      </c>
      <c r="F314" s="84" t="n">
        <v>-0.048647285</v>
      </c>
      <c r="G314" s="74" t="n">
        <v>94.04650291199999</v>
      </c>
      <c r="H314" s="84" t="n">
        <v>-0.032</v>
      </c>
      <c r="I314" s="75" t="n">
        <v>0.22601</v>
      </c>
      <c r="J314" s="76" t="n">
        <v>16.884148</v>
      </c>
      <c r="K314" s="85" t="n">
        <v>5186.87488</v>
      </c>
      <c r="L314" s="74" t="n">
        <v>43.56953935426158</v>
      </c>
      <c r="M314" s="84" t="n">
        <v>-0.5367234505781686</v>
      </c>
      <c r="N314" s="76" t="n">
        <v>15.88422195400248</v>
      </c>
      <c r="O314" s="118" t="inlineStr">
        <is>
          <t>—</t>
        </is>
      </c>
      <c r="P314" s="118" t="inlineStr">
        <is>
          <t>—</t>
        </is>
      </c>
      <c r="Q314" s="118" t="inlineStr">
        <is>
          <t>—</t>
        </is>
      </c>
      <c r="R314" s="118" t="inlineStr">
        <is>
          <t>—</t>
        </is>
      </c>
      <c r="S314" s="118" t="inlineStr">
        <is>
          <t>—</t>
        </is>
      </c>
    </row>
    <row r="315" ht="20" customHeight="1" s="57">
      <c r="A315" s="62" t="n">
        <v>310</v>
      </c>
      <c r="B315" s="63" t="inlineStr">
        <is>
          <t>WMT</t>
        </is>
      </c>
      <c r="C315" s="64" t="inlineStr">
        <is>
          <t>Walmart</t>
        </is>
      </c>
      <c r="D315" s="65" t="inlineStr">
        <is>
          <t>Discount Stores</t>
        </is>
      </c>
      <c r="E315" s="79" t="n">
        <v>127.615</v>
      </c>
      <c r="F315" s="73" t="n">
        <v>0.33267343</v>
      </c>
      <c r="G315" s="80" t="n">
        <v>1017.455378432</v>
      </c>
      <c r="H315" s="73" t="n">
        <v>0.056</v>
      </c>
      <c r="I315" s="81" t="n">
        <v>0.24927</v>
      </c>
      <c r="J315" s="82" t="n">
        <v>46.91728</v>
      </c>
      <c r="K315" s="83" t="n">
        <v>7767.000064</v>
      </c>
      <c r="L315" s="80" t="n">
        <v>102.5115772557465</v>
      </c>
      <c r="M315" s="84" t="n">
        <v>-0.8992471026948354</v>
      </c>
      <c r="N315" s="82" t="n">
        <v>130.9531155825751</v>
      </c>
      <c r="O315" s="119" t="inlineStr">
        <is>
          <t>—</t>
        </is>
      </c>
      <c r="P315" s="119" t="inlineStr">
        <is>
          <t>—</t>
        </is>
      </c>
      <c r="Q315" s="119" t="inlineStr">
        <is>
          <t>—</t>
        </is>
      </c>
      <c r="R315" s="119" t="inlineStr">
        <is>
          <t>—</t>
        </is>
      </c>
      <c r="S315" s="119" t="inlineStr">
        <is>
          <t>—</t>
        </is>
      </c>
    </row>
    <row r="316" ht="20" customHeight="1" s="57">
      <c r="A316" s="67" t="n">
        <v>311</v>
      </c>
      <c r="B316" s="68" t="inlineStr">
        <is>
          <t>JBHT</t>
        </is>
      </c>
      <c r="C316" s="69" t="inlineStr">
        <is>
          <t>JB Hunt Transport Servs</t>
        </is>
      </c>
      <c r="D316" s="70" t="inlineStr">
        <is>
          <t>Integrated Freight &amp; Logistics</t>
        </is>
      </c>
      <c r="E316" s="72" t="n">
        <v>233.59</v>
      </c>
      <c r="F316" s="73" t="n">
        <v>0.4425769</v>
      </c>
      <c r="G316" s="74" t="n">
        <v>22.242052096</v>
      </c>
      <c r="H316" s="84" t="n">
        <v>-0.016</v>
      </c>
      <c r="I316" s="75" t="n">
        <v>0.18898001</v>
      </c>
      <c r="J316" s="76" t="n">
        <v>38.1683</v>
      </c>
      <c r="K316" s="85" t="n">
        <v>756.553344</v>
      </c>
      <c r="L316" s="74" t="n">
        <v>6.187758740510152</v>
      </c>
      <c r="M316" s="84" t="n">
        <v>-0.7217991076631389</v>
      </c>
      <c r="N316" s="76" t="n">
        <v>29.20953019800544</v>
      </c>
      <c r="O316" s="118" t="inlineStr">
        <is>
          <t>—</t>
        </is>
      </c>
      <c r="P316" s="118" t="inlineStr">
        <is>
          <t>—</t>
        </is>
      </c>
      <c r="Q316" s="118" t="inlineStr">
        <is>
          <t>—</t>
        </is>
      </c>
      <c r="R316" s="118" t="inlineStr">
        <is>
          <t>—</t>
        </is>
      </c>
      <c r="S316" s="118" t="inlineStr">
        <is>
          <t>—</t>
        </is>
      </c>
    </row>
    <row r="317" ht="20" customHeight="1" s="57">
      <c r="A317" s="62" t="n">
        <v>312</v>
      </c>
      <c r="B317" s="63" t="inlineStr">
        <is>
          <t>MU</t>
        </is>
      </c>
      <c r="C317" s="64" t="inlineStr">
        <is>
          <t>Micron Technology</t>
        </is>
      </c>
      <c r="D317" s="65" t="inlineStr">
        <is>
          <t>Semiconductors</t>
        </is>
      </c>
      <c r="E317" s="79" t="n">
        <v>401.28</v>
      </c>
      <c r="F317" s="73" t="n">
        <v>3.024592</v>
      </c>
      <c r="G317" s="80" t="n">
        <v>451.644358656</v>
      </c>
      <c r="H317" s="73" t="n">
        <v>0.5669999999999999</v>
      </c>
      <c r="I317" s="81" t="n">
        <v>0.45308998</v>
      </c>
      <c r="J317" s="82" t="n">
        <v>38.144485</v>
      </c>
      <c r="K317" s="83" t="n">
        <v>444.249984</v>
      </c>
      <c r="L317" s="80" t="n">
        <v>15.39694906195301</v>
      </c>
      <c r="M317" s="84" t="n">
        <v>-0.9659091301222689</v>
      </c>
      <c r="N317" s="82" t="n">
        <v>1016.64462019222</v>
      </c>
      <c r="O317" s="119" t="inlineStr">
        <is>
          <t>—</t>
        </is>
      </c>
      <c r="P317" s="119" t="inlineStr">
        <is>
          <t>—</t>
        </is>
      </c>
      <c r="Q317" s="119" t="inlineStr">
        <is>
          <t>—</t>
        </is>
      </c>
      <c r="R317" s="119" t="inlineStr">
        <is>
          <t>—</t>
        </is>
      </c>
      <c r="S317" s="119" t="inlineStr">
        <is>
          <t>—</t>
        </is>
      </c>
    </row>
    <row r="318" ht="20" customHeight="1" s="57">
      <c r="A318" s="67" t="n">
        <v>313</v>
      </c>
      <c r="B318" s="68" t="inlineStr">
        <is>
          <t>COST</t>
        </is>
      </c>
      <c r="C318" s="69" t="inlineStr">
        <is>
          <t>Costco Wholesale</t>
        </is>
      </c>
      <c r="D318" s="70" t="inlineStr">
        <is>
          <t>Discount Stores</t>
        </is>
      </c>
      <c r="E318" s="72" t="n">
        <v>1007.31</v>
      </c>
      <c r="F318" s="84" t="n">
        <v>-0.03815794</v>
      </c>
      <c r="G318" s="74" t="n">
        <v>447.203016704</v>
      </c>
      <c r="H318" s="73" t="n">
        <v>0.083</v>
      </c>
      <c r="I318" s="75" t="n">
        <v>0.12876001</v>
      </c>
      <c r="J318" s="76" t="n">
        <v>54.040237</v>
      </c>
      <c r="K318" s="85" t="n">
        <v>7170.25024</v>
      </c>
      <c r="L318" s="74" t="n">
        <v>114.0013207242226</v>
      </c>
      <c r="M318" s="84" t="n">
        <v>-0.7450792672096863</v>
      </c>
      <c r="N318" s="76" t="n">
        <v>62.35683294568112</v>
      </c>
      <c r="O318" s="118" t="inlineStr">
        <is>
          <t>—</t>
        </is>
      </c>
      <c r="P318" s="118" t="inlineStr">
        <is>
          <t>—</t>
        </is>
      </c>
      <c r="Q318" s="118" t="inlineStr">
        <is>
          <t>—</t>
        </is>
      </c>
      <c r="R318" s="118" t="inlineStr">
        <is>
          <t>—</t>
        </is>
      </c>
      <c r="S318" s="118" t="inlineStr">
        <is>
          <t>—</t>
        </is>
      </c>
    </row>
    <row r="319" ht="20" customHeight="1" s="57">
      <c r="A319" s="62" t="n">
        <v>314</v>
      </c>
      <c r="B319" s="63" t="inlineStr">
        <is>
          <t>DE</t>
        </is>
      </c>
      <c r="C319" s="64" t="inlineStr">
        <is>
          <t>Deere</t>
        </is>
      </c>
      <c r="D319" s="65" t="inlineStr">
        <is>
          <t>Farm &amp; Heavy Construction Machinery</t>
        </is>
      </c>
      <c r="E319" s="79" t="n">
        <v>615.5</v>
      </c>
      <c r="F319" s="73" t="n">
        <v>0.32453477</v>
      </c>
      <c r="G319" s="80" t="n">
        <v>166.846332928</v>
      </c>
      <c r="H319" s="73" t="n">
        <v>0.13</v>
      </c>
      <c r="I319" s="81" t="n">
        <v>0.26248</v>
      </c>
      <c r="J319" s="82" t="n">
        <v>33.252296</v>
      </c>
      <c r="K319" s="83" t="n">
        <v>4200.250112</v>
      </c>
      <c r="L319" s="80" t="n">
        <v>76.34958383646088</v>
      </c>
      <c r="M319" s="84" t="n">
        <v>-0.5423957932032681</v>
      </c>
      <c r="N319" s="82" t="n">
        <v>39.72295088388298</v>
      </c>
      <c r="O319" s="119" t="inlineStr">
        <is>
          <t>—</t>
        </is>
      </c>
      <c r="P319" s="119" t="inlineStr">
        <is>
          <t>—</t>
        </is>
      </c>
      <c r="Q319" s="119" t="inlineStr">
        <is>
          <t>—</t>
        </is>
      </c>
      <c r="R319" s="119" t="inlineStr">
        <is>
          <t>—</t>
        </is>
      </c>
      <c r="S319" s="119" t="inlineStr">
        <is>
          <t>—</t>
        </is>
      </c>
    </row>
    <row r="320" ht="20" customHeight="1" s="57">
      <c r="A320" s="67" t="n">
        <v>315</v>
      </c>
      <c r="B320" s="68" t="inlineStr">
        <is>
          <t>GE</t>
        </is>
      </c>
      <c r="C320" s="69" t="inlineStr">
        <is>
          <t>General Electric</t>
        </is>
      </c>
      <c r="D320" s="70" t="inlineStr">
        <is>
          <t>Specialty Industrial Machinery</t>
        </is>
      </c>
      <c r="E320" s="72" t="n">
        <v>339.4</v>
      </c>
      <c r="F320" s="73" t="n">
        <v>0.6500741</v>
      </c>
      <c r="G320" s="74" t="n">
        <v>358.00383488</v>
      </c>
      <c r="H320" s="73" t="n">
        <v>0.176</v>
      </c>
      <c r="I320" s="75" t="n">
        <v>0.31499</v>
      </c>
      <c r="J320" s="76" t="n">
        <v>42.161488</v>
      </c>
      <c r="K320" s="85" t="n">
        <v>5210.999808</v>
      </c>
      <c r="L320" s="74" t="n">
        <v>98.82670162987991</v>
      </c>
      <c r="M320" s="84" t="n">
        <v>-0.7239507178379645</v>
      </c>
      <c r="N320" s="76" t="n">
        <v>68.31075667404822</v>
      </c>
      <c r="O320" s="118" t="inlineStr">
        <is>
          <t>—</t>
        </is>
      </c>
      <c r="P320" s="118" t="inlineStr">
        <is>
          <t>—</t>
        </is>
      </c>
      <c r="Q320" s="118" t="inlineStr">
        <is>
          <t>—</t>
        </is>
      </c>
      <c r="R320" s="118" t="inlineStr">
        <is>
          <t>—</t>
        </is>
      </c>
      <c r="S320" s="118" t="inlineStr">
        <is>
          <t>—</t>
        </is>
      </c>
    </row>
    <row r="321" ht="20" customHeight="1" s="57">
      <c r="A321" s="62" t="n">
        <v>316</v>
      </c>
      <c r="B321" s="63" t="inlineStr">
        <is>
          <t>PWR</t>
        </is>
      </c>
      <c r="C321" s="64" t="inlineStr">
        <is>
          <t>Quanta Services</t>
        </is>
      </c>
      <c r="D321" s="65" t="inlineStr">
        <is>
          <t>Engineering &amp; Construction</t>
        </is>
      </c>
      <c r="E321" s="79" t="n">
        <v>567.0700000000001</v>
      </c>
      <c r="F321" s="73" t="n">
        <v>1.2357402</v>
      </c>
      <c r="G321" s="80" t="n">
        <v>84.84469145600001</v>
      </c>
      <c r="H321" s="73" t="n">
        <v>0.197</v>
      </c>
      <c r="I321" s="81" t="n">
        <v>0.15010999</v>
      </c>
      <c r="J321" s="82" t="n">
        <v>83.51546500000001</v>
      </c>
      <c r="K321" s="83" t="n">
        <v>819.692032</v>
      </c>
      <c r="L321" s="80" t="n">
        <v>14.46034528466348</v>
      </c>
      <c r="M321" s="84" t="n">
        <v>-0.8295668823056239</v>
      </c>
      <c r="N321" s="82" t="n">
        <v>103.5080075488156</v>
      </c>
      <c r="O321" s="119" t="inlineStr">
        <is>
          <t>—</t>
        </is>
      </c>
      <c r="P321" s="119" t="inlineStr">
        <is>
          <t>—</t>
        </is>
      </c>
      <c r="Q321" s="119" t="inlineStr">
        <is>
          <t>—</t>
        </is>
      </c>
      <c r="R321" s="119" t="inlineStr">
        <is>
          <t>—</t>
        </is>
      </c>
      <c r="S321" s="119" t="inlineStr">
        <is>
          <t>—</t>
        </is>
      </c>
    </row>
    <row r="322" ht="20" customHeight="1" s="57">
      <c r="A322" s="67" t="n">
        <v>317</v>
      </c>
      <c r="B322" s="68" t="inlineStr">
        <is>
          <t>SYY</t>
        </is>
      </c>
      <c r="C322" s="69" t="inlineStr">
        <is>
          <t>Sysco</t>
        </is>
      </c>
      <c r="D322" s="70" t="inlineStr">
        <is>
          <t>Food Distribution</t>
        </is>
      </c>
      <c r="E322" s="72" t="n">
        <v>87.53</v>
      </c>
      <c r="F322" s="73" t="n">
        <v>0.18229449</v>
      </c>
      <c r="G322" s="74" t="n">
        <v>41.92079872</v>
      </c>
      <c r="H322" s="73" t="n">
        <v>0.03</v>
      </c>
      <c r="I322" s="75" t="n">
        <v>0.18462999</v>
      </c>
      <c r="J322" s="76" t="n">
        <v>23.59299</v>
      </c>
      <c r="K322" s="85" t="n">
        <v>1752.999936</v>
      </c>
      <c r="L322" s="74" t="n">
        <v>19.39190739861748</v>
      </c>
      <c r="M322" s="84" t="n">
        <v>-0.5374156029769112</v>
      </c>
      <c r="N322" s="76" t="n">
        <v>23.91374856671415</v>
      </c>
      <c r="O322" s="118" t="inlineStr">
        <is>
          <t>—</t>
        </is>
      </c>
      <c r="P322" s="118" t="inlineStr">
        <is>
          <t>—</t>
        </is>
      </c>
      <c r="Q322" s="118" t="inlineStr">
        <is>
          <t>—</t>
        </is>
      </c>
      <c r="R322" s="118" t="inlineStr">
        <is>
          <t>—</t>
        </is>
      </c>
      <c r="S322" s="118" t="inlineStr">
        <is>
          <t>—</t>
        </is>
      </c>
    </row>
    <row r="323" ht="20" customHeight="1" s="57">
      <c r="A323" s="62" t="n">
        <v>318</v>
      </c>
      <c r="B323" s="63" t="inlineStr">
        <is>
          <t>AMCR</t>
        </is>
      </c>
      <c r="C323" s="64" t="inlineStr">
        <is>
          <t>Amcor</t>
        </is>
      </c>
      <c r="D323" s="65" t="inlineStr">
        <is>
          <t>Packaging &amp; Containers</t>
        </is>
      </c>
      <c r="E323" s="79" t="n">
        <v>45.83</v>
      </c>
      <c r="F323" s="84" t="n">
        <v>-0.06315791599999999</v>
      </c>
      <c r="G323" s="80" t="n">
        <v>21.175556096</v>
      </c>
      <c r="H323" s="73" t="n">
        <v>0.681</v>
      </c>
      <c r="I323" s="81" t="n">
        <v>0.1893</v>
      </c>
      <c r="J323" s="82" t="n">
        <v>34.45865</v>
      </c>
      <c r="K323" s="83" t="n">
        <v>446.249984</v>
      </c>
      <c r="L323" s="80" t="n">
        <v>8.48567707171228</v>
      </c>
      <c r="M323" s="84" t="n">
        <v>-0.5992701663539689</v>
      </c>
      <c r="N323" s="82" t="n">
        <v>47.45222348893126</v>
      </c>
      <c r="O323" s="119" t="inlineStr">
        <is>
          <t>—</t>
        </is>
      </c>
      <c r="P323" s="119" t="inlineStr">
        <is>
          <t>—</t>
        </is>
      </c>
      <c r="Q323" s="119" t="inlineStr">
        <is>
          <t>—</t>
        </is>
      </c>
      <c r="R323" s="119" t="inlineStr">
        <is>
          <t>—</t>
        </is>
      </c>
      <c r="S323" s="119" t="inlineStr">
        <is>
          <t>—</t>
        </is>
      </c>
    </row>
    <row r="324" ht="20" customHeight="1" s="57">
      <c r="A324" s="67" t="n">
        <v>319</v>
      </c>
      <c r="B324" s="68" t="inlineStr">
        <is>
          <t>NWSA</t>
        </is>
      </c>
      <c r="C324" s="69" t="inlineStr">
        <is>
          <t>News</t>
        </is>
      </c>
      <c r="D324" s="70" t="inlineStr">
        <is>
          <t>Broadcasting</t>
        </is>
      </c>
      <c r="E324" s="72" t="n">
        <v>24.12</v>
      </c>
      <c r="F324" s="84" t="n">
        <v>-0.1538735</v>
      </c>
      <c r="G324" s="74" t="n">
        <v>13.902389248</v>
      </c>
      <c r="H324" s="73" t="n">
        <v>0.055</v>
      </c>
      <c r="I324" s="75" t="n">
        <v>0.56667</v>
      </c>
      <c r="J324" s="76" t="n">
        <v>31.324677</v>
      </c>
      <c r="K324" s="85" t="n">
        <v>1718.37504</v>
      </c>
      <c r="L324" s="74" t="n">
        <v>22.32715214852087</v>
      </c>
      <c r="M324" s="73" t="n">
        <v>0.6059938871106528</v>
      </c>
      <c r="N324" s="76" t="n">
        <v>5.179315317359359</v>
      </c>
      <c r="O324" s="118" t="inlineStr">
        <is>
          <t>—</t>
        </is>
      </c>
      <c r="P324" s="118" t="inlineStr">
        <is>
          <t>—</t>
        </is>
      </c>
      <c r="Q324" s="118" t="inlineStr">
        <is>
          <t>—</t>
        </is>
      </c>
      <c r="R324" s="118" t="inlineStr">
        <is>
          <t>—</t>
        </is>
      </c>
      <c r="S324" s="118" t="inlineStr">
        <is>
          <t>—</t>
        </is>
      </c>
    </row>
    <row r="325" ht="20" customHeight="1" s="57">
      <c r="A325" s="62" t="n">
        <v>320</v>
      </c>
      <c r="B325" s="63" t="inlineStr">
        <is>
          <t>XOM</t>
        </is>
      </c>
      <c r="C325" s="64" t="inlineStr">
        <is>
          <t>Exxon Mobil</t>
        </is>
      </c>
      <c r="D325" s="65" t="inlineStr">
        <is>
          <t>Oil &amp; Gas Integrated</t>
        </is>
      </c>
      <c r="E325" s="79" t="n">
        <v>149.87</v>
      </c>
      <c r="F325" s="73" t="n">
        <v>0.43996584</v>
      </c>
      <c r="G325" s="80" t="n">
        <v>624.472817664</v>
      </c>
      <c r="H325" s="84" t="n">
        <v>-0.013</v>
      </c>
      <c r="I325" s="81" t="n">
        <v>0.31049</v>
      </c>
      <c r="J325" s="82" t="n">
        <v>22.368656</v>
      </c>
      <c r="K325" s="83" t="n">
        <v>12229.74976</v>
      </c>
      <c r="L325" s="80" t="n">
        <v>109.509403563128</v>
      </c>
      <c r="M325" s="84" t="n">
        <v>-0.8246370370886985</v>
      </c>
      <c r="N325" s="82" t="n">
        <v>51.06178384316426</v>
      </c>
      <c r="O325" s="119" t="inlineStr">
        <is>
          <t>—</t>
        </is>
      </c>
      <c r="P325" s="119" t="inlineStr">
        <is>
          <t>—</t>
        </is>
      </c>
      <c r="Q325" s="119" t="inlineStr">
        <is>
          <t>—</t>
        </is>
      </c>
      <c r="R325" s="119" t="inlineStr">
        <is>
          <t>—</t>
        </is>
      </c>
      <c r="S325" s="119" t="inlineStr">
        <is>
          <t>—</t>
        </is>
      </c>
    </row>
    <row r="326" ht="20" customHeight="1" s="57">
      <c r="A326" s="67" t="n">
        <v>321</v>
      </c>
      <c r="B326" s="68" t="inlineStr">
        <is>
          <t>DVN</t>
        </is>
      </c>
      <c r="C326" s="69" t="inlineStr">
        <is>
          <t>Devon Energy</t>
        </is>
      </c>
      <c r="D326" s="70" t="inlineStr">
        <is>
          <t>Oil &amp; Gas E&amp;P</t>
        </is>
      </c>
      <c r="E326" s="72" t="n">
        <v>43.355</v>
      </c>
      <c r="F326" s="73" t="n">
        <v>0.30718958</v>
      </c>
      <c r="G326" s="74" t="n">
        <v>26.891558912</v>
      </c>
      <c r="H326" s="84" t="n">
        <v>-0.121</v>
      </c>
      <c r="I326" s="75" t="n">
        <v>0.47699</v>
      </c>
      <c r="J326" s="76" t="n">
        <v>10.396882</v>
      </c>
      <c r="K326" s="85" t="n">
        <v>2122.37504</v>
      </c>
      <c r="L326" s="74" t="n">
        <v>17.05922438946291</v>
      </c>
      <c r="M326" s="84" t="n">
        <v>-0.3656290271126506</v>
      </c>
      <c r="N326" s="76" t="n">
        <v>12.67050313294299</v>
      </c>
      <c r="O326" s="118" t="inlineStr">
        <is>
          <t>—</t>
        </is>
      </c>
      <c r="P326" s="118" t="inlineStr">
        <is>
          <t>—</t>
        </is>
      </c>
      <c r="Q326" s="118" t="inlineStr">
        <is>
          <t>—</t>
        </is>
      </c>
      <c r="R326" s="118" t="inlineStr">
        <is>
          <t>—</t>
        </is>
      </c>
      <c r="S326" s="118" t="inlineStr">
        <is>
          <t>—</t>
        </is>
      </c>
    </row>
    <row r="327" ht="20" customHeight="1" s="57">
      <c r="A327" s="67" t="n">
        <v>322</v>
      </c>
      <c r="B327" s="68" t="inlineStr">
        <is>
          <t>D</t>
        </is>
      </c>
      <c r="C327" s="69" t="inlineStr">
        <is>
          <t>Dominion Energy</t>
        </is>
      </c>
      <c r="D327" s="70" t="inlineStr">
        <is>
          <t>Utilities - Diversified</t>
        </is>
      </c>
      <c r="E327" s="79" t="n">
        <v>62.725</v>
      </c>
      <c r="F327" s="73" t="n">
        <v>0.1585952</v>
      </c>
      <c r="G327" s="80" t="n">
        <v>55.121825792</v>
      </c>
      <c r="H327" s="73" t="n">
        <v>0.204</v>
      </c>
      <c r="I327" s="81" t="n">
        <v>0.49019</v>
      </c>
      <c r="J327" s="82" t="n">
        <v>18.076368</v>
      </c>
      <c r="K327" s="83" t="n">
        <v>-9005.8752</v>
      </c>
      <c r="L327" s="78" t="inlineStr">
        <is>
          <t>—</t>
        </is>
      </c>
      <c r="M327" s="78" t="inlineStr">
        <is>
          <t>—</t>
        </is>
      </c>
      <c r="N327" s="82" t="n">
        <v>-6.120652072157851</v>
      </c>
      <c r="O327" s="119" t="inlineStr">
        <is>
          <t>—</t>
        </is>
      </c>
      <c r="P327" s="119" t="inlineStr">
        <is>
          <t>—</t>
        </is>
      </c>
      <c r="Q327" s="119" t="inlineStr">
        <is>
          <t>—</t>
        </is>
      </c>
      <c r="R327" s="119" t="inlineStr">
        <is>
          <t>—</t>
        </is>
      </c>
      <c r="S327" s="119" t="inlineStr">
        <is>
          <t>—</t>
        </is>
      </c>
    </row>
    <row r="328" ht="20" customHeight="1" s="57">
      <c r="A328" s="62" t="n">
        <v>323</v>
      </c>
      <c r="B328" s="63" t="inlineStr">
        <is>
          <t>MCK</t>
        </is>
      </c>
      <c r="C328" s="64" t="inlineStr">
        <is>
          <t>McKesson</t>
        </is>
      </c>
      <c r="D328" s="65" t="inlineStr">
        <is>
          <t>Medical Distribution</t>
        </is>
      </c>
      <c r="E328" s="72" t="n">
        <v>985.76</v>
      </c>
      <c r="F328" s="73" t="n">
        <v>0.55668986</v>
      </c>
      <c r="G328" s="74" t="n">
        <v>121.669050368</v>
      </c>
      <c r="H328" s="73" t="n">
        <v>0.114</v>
      </c>
      <c r="I328" s="75" t="n">
        <v>0.03453</v>
      </c>
      <c r="J328" s="76" t="n">
        <v>28.44906</v>
      </c>
      <c r="K328" s="85" t="n">
        <v>9158.500351999999</v>
      </c>
      <c r="L328" s="74" t="n">
        <v>155.0674689459711</v>
      </c>
      <c r="M328" s="73" t="n">
        <v>0.2745021718913256</v>
      </c>
      <c r="N328" s="76" t="n">
        <v>13.18373423441454</v>
      </c>
      <c r="O328" s="118" t="inlineStr">
        <is>
          <t>—</t>
        </is>
      </c>
      <c r="P328" s="118" t="inlineStr">
        <is>
          <t>—</t>
        </is>
      </c>
      <c r="Q328" s="118" t="inlineStr">
        <is>
          <t>—</t>
        </is>
      </c>
      <c r="R328" s="118" t="inlineStr">
        <is>
          <t>—</t>
        </is>
      </c>
      <c r="S328" s="118" t="inlineStr">
        <is>
          <t>—</t>
        </is>
      </c>
    </row>
    <row r="329" ht="20" customHeight="1" s="57">
      <c r="A329" s="67" t="n">
        <v>324</v>
      </c>
      <c r="B329" s="68" t="inlineStr">
        <is>
          <t>KR</t>
        </is>
      </c>
      <c r="C329" s="69" t="inlineStr">
        <is>
          <t>Kroger</t>
        </is>
      </c>
      <c r="D329" s="70" t="inlineStr">
        <is>
          <t>Grocery Stores</t>
        </is>
      </c>
      <c r="E329" s="79" t="n">
        <v>68.23999999999999</v>
      </c>
      <c r="F329" s="73" t="n">
        <v>0.09771311000000001</v>
      </c>
      <c r="G329" s="80" t="n">
        <v>45.221158912</v>
      </c>
      <c r="H329" s="73" t="n">
        <v>0.007</v>
      </c>
      <c r="I329" s="81" t="n">
        <v>0.24024001</v>
      </c>
      <c r="J329" s="82" t="n">
        <v>60.389378</v>
      </c>
      <c r="K329" s="83" t="n">
        <v>2561.12512</v>
      </c>
      <c r="L329" s="80" t="n">
        <v>26.72428602790136</v>
      </c>
      <c r="M329" s="84" t="n">
        <v>-0.4090313766635969</v>
      </c>
      <c r="N329" s="82" t="n">
        <v>16.86197458342058</v>
      </c>
      <c r="O329" s="125" t="inlineStr">
        <is>
          <t>YES</t>
        </is>
      </c>
      <c r="P329" s="126" t="n">
        <v>8.49</v>
      </c>
      <c r="Q329" s="127" t="inlineStr">
        <is>
          <t>Hold</t>
        </is>
      </c>
      <c r="R329" s="128" t="n">
        <v>28.5</v>
      </c>
      <c r="S329" s="129" t="inlineStr">
        <is>
          <t>Held unchanged all year. ~50M shares</t>
        </is>
      </c>
    </row>
    <row r="330" ht="20" customHeight="1" s="57">
      <c r="A330" s="62" t="n">
        <v>325</v>
      </c>
      <c r="B330" s="63" t="inlineStr">
        <is>
          <t>CAH</t>
        </is>
      </c>
      <c r="C330" s="64" t="inlineStr">
        <is>
          <t>Cardinal Health</t>
        </is>
      </c>
      <c r="D330" s="65" t="inlineStr">
        <is>
          <t>Medical Distribution</t>
        </is>
      </c>
      <c r="E330" s="72" t="n">
        <v>224.6</v>
      </c>
      <c r="F330" s="73" t="n">
        <v>0.7764087</v>
      </c>
      <c r="G330" s="74" t="n">
        <v>52.85197824</v>
      </c>
      <c r="H330" s="73" t="n">
        <v>0.188</v>
      </c>
      <c r="I330" s="75" t="n">
        <v>0.03695</v>
      </c>
      <c r="J330" s="76" t="n">
        <v>32.316547</v>
      </c>
      <c r="K330" s="85" t="n">
        <v>5443.62496</v>
      </c>
      <c r="L330" s="74" t="n">
        <v>95.92568849434103</v>
      </c>
      <c r="M330" s="73" t="n">
        <v>0.8149876634464653</v>
      </c>
      <c r="N330" s="76" t="n">
        <v>9.708967385144769</v>
      </c>
      <c r="O330" s="118" t="inlineStr">
        <is>
          <t>—</t>
        </is>
      </c>
      <c r="P330" s="118" t="inlineStr">
        <is>
          <t>—</t>
        </is>
      </c>
      <c r="Q330" s="118" t="inlineStr">
        <is>
          <t>—</t>
        </is>
      </c>
      <c r="R330" s="118" t="inlineStr">
        <is>
          <t>—</t>
        </is>
      </c>
      <c r="S330" s="118" t="inlineStr">
        <is>
          <t>—</t>
        </is>
      </c>
    </row>
    <row r="331" ht="20" customHeight="1" s="57">
      <c r="A331" s="67" t="n">
        <v>326</v>
      </c>
      <c r="B331" s="68" t="inlineStr">
        <is>
          <t>CNC</t>
        </is>
      </c>
      <c r="C331" s="69" t="inlineStr">
        <is>
          <t>Centene</t>
        </is>
      </c>
      <c r="D331" s="70" t="inlineStr">
        <is>
          <t>Healthcare Plans</t>
        </is>
      </c>
      <c r="E331" s="79" t="n">
        <v>44.95</v>
      </c>
      <c r="F331" s="84" t="n">
        <v>-0.25728816</v>
      </c>
      <c r="G331" s="80" t="n">
        <v>22.105106432</v>
      </c>
      <c r="H331" s="73" t="n">
        <v>0.232</v>
      </c>
      <c r="I331" s="81" t="n">
        <v>0.104729995</v>
      </c>
      <c r="J331" s="82" t="n">
        <v>10.920638</v>
      </c>
      <c r="K331" s="83" t="n">
        <v>5053.000192</v>
      </c>
      <c r="L331" s="80" t="n">
        <v>102.3489375106939</v>
      </c>
      <c r="M331" s="73" t="n">
        <v>3.63010380997445</v>
      </c>
      <c r="N331" s="82" t="n">
        <v>4.374649833775427</v>
      </c>
      <c r="O331" s="119" t="inlineStr">
        <is>
          <t>—</t>
        </is>
      </c>
      <c r="P331" s="119" t="inlineStr">
        <is>
          <t>—</t>
        </is>
      </c>
      <c r="Q331" s="119" t="inlineStr">
        <is>
          <t>—</t>
        </is>
      </c>
      <c r="R331" s="119" t="inlineStr">
        <is>
          <t>—</t>
        </is>
      </c>
      <c r="S331" s="119" t="inlineStr">
        <is>
          <t>—</t>
        </is>
      </c>
    </row>
    <row r="332" ht="20" customHeight="1" s="57">
      <c r="A332" s="62" t="n">
        <v>327</v>
      </c>
      <c r="B332" s="63" t="inlineStr">
        <is>
          <t>PSX</t>
        </is>
      </c>
      <c r="C332" s="64" t="inlineStr">
        <is>
          <t>Phillips 66</t>
        </is>
      </c>
      <c r="D332" s="65" t="inlineStr">
        <is>
          <t>Oil &amp; Gas Refining &amp; Marketing</t>
        </is>
      </c>
      <c r="E332" s="72" t="n">
        <v>164.16</v>
      </c>
      <c r="F332" s="73" t="n">
        <v>0.33439124</v>
      </c>
      <c r="G332" s="74" t="n">
        <v>65.78614272</v>
      </c>
      <c r="H332" s="73" t="n">
        <v>0.013</v>
      </c>
      <c r="I332" s="75" t="n">
        <v>0.123009995</v>
      </c>
      <c r="J332" s="76" t="n">
        <v>15.2140875</v>
      </c>
      <c r="K332" s="85" t="n">
        <v>1261.250048</v>
      </c>
      <c r="L332" s="74" t="n">
        <v>12.93281943955955</v>
      </c>
      <c r="M332" s="84" t="n">
        <v>-0.8034111910983379</v>
      </c>
      <c r="N332" s="76" t="n">
        <v>52.15947365539367</v>
      </c>
      <c r="O332" s="118" t="inlineStr">
        <is>
          <t>—</t>
        </is>
      </c>
      <c r="P332" s="118" t="inlineStr">
        <is>
          <t>—</t>
        </is>
      </c>
      <c r="Q332" s="118" t="inlineStr">
        <is>
          <t>—</t>
        </is>
      </c>
      <c r="R332" s="118" t="inlineStr">
        <is>
          <t>—</t>
        </is>
      </c>
      <c r="S332" s="118" t="inlineStr">
        <is>
          <t>—</t>
        </is>
      </c>
    </row>
    <row r="333" ht="20" customHeight="1" s="57">
      <c r="A333" s="67" t="n">
        <v>328</v>
      </c>
      <c r="B333" s="68" t="inlineStr">
        <is>
          <t>WEC</t>
        </is>
      </c>
      <c r="C333" s="69" t="inlineStr">
        <is>
          <t>WEC Energy Gr</t>
        </is>
      </c>
      <c r="D333" s="70" t="inlineStr">
        <is>
          <t>Utilities - Regulated Electric</t>
        </is>
      </c>
      <c r="E333" s="79" t="n">
        <v>117.01</v>
      </c>
      <c r="F333" s="73" t="n">
        <v>0.11151528</v>
      </c>
      <c r="G333" s="80" t="n">
        <v>38.09042432</v>
      </c>
      <c r="H333" s="73" t="n">
        <v>0.111</v>
      </c>
      <c r="I333" s="81" t="n">
        <v>0.42378</v>
      </c>
      <c r="J333" s="82" t="n">
        <v>24.326405</v>
      </c>
      <c r="K333" s="83" t="n">
        <v>-2139.337472</v>
      </c>
      <c r="L333" s="78" t="inlineStr">
        <is>
          <t>—</t>
        </is>
      </c>
      <c r="M333" s="78" t="inlineStr">
        <is>
          <t>—</t>
        </is>
      </c>
      <c r="N333" s="82" t="n">
        <v>-17.80477603423664</v>
      </c>
      <c r="O333" s="119" t="inlineStr">
        <is>
          <t>—</t>
        </is>
      </c>
      <c r="P333" s="119" t="inlineStr">
        <is>
          <t>—</t>
        </is>
      </c>
      <c r="Q333" s="119" t="inlineStr">
        <is>
          <t>—</t>
        </is>
      </c>
      <c r="R333" s="119" t="inlineStr">
        <is>
          <t>—</t>
        </is>
      </c>
      <c r="S333" s="119" t="inlineStr">
        <is>
          <t>—</t>
        </is>
      </c>
    </row>
    <row r="334" ht="20" customHeight="1" s="57">
      <c r="A334" s="62" t="n">
        <v>329</v>
      </c>
      <c r="B334" s="63" t="inlineStr">
        <is>
          <t>LYV</t>
        </is>
      </c>
      <c r="C334" s="64" t="inlineStr">
        <is>
          <t>Live Nation Entertainment</t>
        </is>
      </c>
      <c r="D334" s="65" t="inlineStr">
        <is>
          <t>Entertainment</t>
        </is>
      </c>
      <c r="E334" s="72" t="n">
        <v>158.33</v>
      </c>
      <c r="F334" s="73" t="n">
        <v>0.18437588</v>
      </c>
      <c r="G334" s="74" t="n">
        <v>37.176188928</v>
      </c>
      <c r="H334" s="73" t="n">
        <v>0.111</v>
      </c>
      <c r="I334" s="75" t="n">
        <v>0.25546</v>
      </c>
      <c r="J334" s="76" t="n">
        <v>69.71727</v>
      </c>
      <c r="K334" s="85" t="n">
        <v>1107.258368</v>
      </c>
      <c r="L334" s="74" t="n">
        <v>23.50241144184605</v>
      </c>
      <c r="M334" s="84" t="n">
        <v>-0.367810092439445</v>
      </c>
      <c r="N334" s="76" t="n">
        <v>33.57498970850857</v>
      </c>
      <c r="O334" s="118" t="inlineStr">
        <is>
          <t>—</t>
        </is>
      </c>
      <c r="P334" s="118" t="inlineStr">
        <is>
          <t>—</t>
        </is>
      </c>
      <c r="Q334" s="118" t="inlineStr">
        <is>
          <t>—</t>
        </is>
      </c>
      <c r="R334" s="118" t="inlineStr">
        <is>
          <t>—</t>
        </is>
      </c>
      <c r="S334" s="118" t="inlineStr">
        <is>
          <t>—</t>
        </is>
      </c>
    </row>
    <row r="335" ht="20" customHeight="1" s="57">
      <c r="A335" s="67" t="n">
        <v>330</v>
      </c>
      <c r="B335" s="68" t="inlineStr">
        <is>
          <t>GLW</t>
        </is>
      </c>
      <c r="C335" s="69" t="inlineStr">
        <is>
          <t>Corning</t>
        </is>
      </c>
      <c r="D335" s="70" t="inlineStr">
        <is>
          <t>Electronic Components</t>
        </is>
      </c>
      <c r="E335" s="79" t="n">
        <v>145.3</v>
      </c>
      <c r="F335" s="73" t="n">
        <v>2.1371174</v>
      </c>
      <c r="G335" s="80" t="n">
        <v>124.659859456</v>
      </c>
      <c r="H335" s="73" t="n">
        <v>0.204</v>
      </c>
      <c r="I335" s="81" t="n">
        <v>0.35984</v>
      </c>
      <c r="J335" s="82" t="n">
        <v>79.39891</v>
      </c>
      <c r="K335" s="83" t="n">
        <v>636.499968</v>
      </c>
      <c r="L335" s="80" t="n">
        <v>12.11715660623799</v>
      </c>
      <c r="M335" s="84" t="n">
        <v>-0.9027982490986614</v>
      </c>
      <c r="N335" s="82" t="n">
        <v>195.8521076276001</v>
      </c>
      <c r="O335" s="119" t="inlineStr">
        <is>
          <t>—</t>
        </is>
      </c>
      <c r="P335" s="119" t="inlineStr">
        <is>
          <t>—</t>
        </is>
      </c>
      <c r="Q335" s="119" t="inlineStr">
        <is>
          <t>—</t>
        </is>
      </c>
      <c r="R335" s="119" t="inlineStr">
        <is>
          <t>—</t>
        </is>
      </c>
      <c r="S335" s="119" t="inlineStr">
        <is>
          <t>—</t>
        </is>
      </c>
    </row>
    <row r="336" ht="20" customHeight="1" s="57">
      <c r="A336" s="62" t="n">
        <v>331</v>
      </c>
      <c r="B336" s="63" t="inlineStr">
        <is>
          <t>DIS</t>
        </is>
      </c>
      <c r="C336" s="64" t="inlineStr">
        <is>
          <t>Walt Disney</t>
        </is>
      </c>
      <c r="D336" s="65" t="inlineStr">
        <is>
          <t>Entertainment</t>
        </is>
      </c>
      <c r="E336" s="72" t="n">
        <v>103.36</v>
      </c>
      <c r="F336" s="84" t="n">
        <v>-0.05498123</v>
      </c>
      <c r="G336" s="74" t="n">
        <v>183.297277952</v>
      </c>
      <c r="H336" s="73" t="n">
        <v>0.052</v>
      </c>
      <c r="I336" s="75" t="n">
        <v>0.37284002</v>
      </c>
      <c r="J336" s="76" t="n">
        <v>15.222386</v>
      </c>
      <c r="K336" s="85" t="n">
        <v>3174.500096</v>
      </c>
      <c r="L336" s="74" t="n">
        <v>42.02803758621847</v>
      </c>
      <c r="M336" s="84" t="n">
        <v>-0.7707110653480388</v>
      </c>
      <c r="N336" s="76" t="n">
        <v>57.67972476361834</v>
      </c>
      <c r="O336" s="118" t="inlineStr">
        <is>
          <t>—</t>
        </is>
      </c>
      <c r="P336" s="118" t="inlineStr">
        <is>
          <t>—</t>
        </is>
      </c>
      <c r="Q336" s="118" t="inlineStr">
        <is>
          <t>—</t>
        </is>
      </c>
      <c r="R336" s="118" t="inlineStr">
        <is>
          <t>—</t>
        </is>
      </c>
      <c r="S336" s="118" t="inlineStr">
        <is>
          <t>—</t>
        </is>
      </c>
    </row>
    <row r="337" ht="20" customHeight="1" s="57">
      <c r="A337" s="67" t="n">
        <v>332</v>
      </c>
      <c r="B337" s="68" t="inlineStr">
        <is>
          <t>CTVA</t>
        </is>
      </c>
      <c r="C337" s="69" t="inlineStr">
        <is>
          <t>Corteva</t>
        </is>
      </c>
      <c r="D337" s="70" t="inlineStr">
        <is>
          <t>Agricultural Inputs</t>
        </is>
      </c>
      <c r="E337" s="79" t="n">
        <v>78.58</v>
      </c>
      <c r="F337" s="73" t="n">
        <v>0.2905494</v>
      </c>
      <c r="G337" s="80" t="n">
        <v>53.099020288</v>
      </c>
      <c r="H337" s="84" t="n">
        <v>-0.017</v>
      </c>
      <c r="I337" s="81" t="n">
        <v>0.4729</v>
      </c>
      <c r="J337" s="82" t="n">
        <v>44.90286</v>
      </c>
      <c r="K337" s="83" t="n">
        <v>2929.999872</v>
      </c>
      <c r="L337" s="80" t="n">
        <v>27.17850386518791</v>
      </c>
      <c r="M337" s="84" t="n">
        <v>-0.4881543253006108</v>
      </c>
      <c r="N337" s="82" t="n">
        <v>18.03649768896645</v>
      </c>
      <c r="O337" s="119" t="inlineStr">
        <is>
          <t>—</t>
        </is>
      </c>
      <c r="P337" s="119" t="inlineStr">
        <is>
          <t>—</t>
        </is>
      </c>
      <c r="Q337" s="119" t="inlineStr">
        <is>
          <t>—</t>
        </is>
      </c>
      <c r="R337" s="119" t="inlineStr">
        <is>
          <t>—</t>
        </is>
      </c>
      <c r="S337" s="119" t="inlineStr">
        <is>
          <t>—</t>
        </is>
      </c>
    </row>
    <row r="338" ht="20" customHeight="1" s="57">
      <c r="A338" s="62" t="n">
        <v>333</v>
      </c>
      <c r="B338" s="63" t="inlineStr">
        <is>
          <t>AAL</t>
        </is>
      </c>
      <c r="C338" s="64" t="inlineStr">
        <is>
          <t>American Airlines Group</t>
        </is>
      </c>
      <c r="D338" s="65" t="inlineStr">
        <is>
          <t>Airlines</t>
        </is>
      </c>
      <c r="E338" s="72" t="n">
        <v>12.495</v>
      </c>
      <c r="F338" s="84" t="n">
        <v>-0.11568487</v>
      </c>
      <c r="G338" s="74" t="n">
        <v>8.250505728</v>
      </c>
      <c r="H338" s="73" t="n">
        <v>0.025</v>
      </c>
      <c r="I338" s="75" t="n">
        <v>0.22735001</v>
      </c>
      <c r="J338" s="76" t="n">
        <v>73.5</v>
      </c>
      <c r="K338" s="85" t="n">
        <v>-706.750016</v>
      </c>
      <c r="L338" s="77" t="inlineStr">
        <is>
          <t>—</t>
        </is>
      </c>
      <c r="M338" s="77" t="inlineStr">
        <is>
          <t>—</t>
        </is>
      </c>
      <c r="N338" s="76" t="n">
        <v>-11.67386693010701</v>
      </c>
      <c r="O338" s="118" t="inlineStr">
        <is>
          <t>—</t>
        </is>
      </c>
      <c r="P338" s="118" t="inlineStr">
        <is>
          <t>—</t>
        </is>
      </c>
      <c r="Q338" s="118" t="inlineStr">
        <is>
          <t>—</t>
        </is>
      </c>
      <c r="R338" s="118" t="inlineStr">
        <is>
          <t>—</t>
        </is>
      </c>
      <c r="S338" s="118" t="inlineStr">
        <is>
          <t>—</t>
        </is>
      </c>
    </row>
    <row r="339" ht="20" customHeight="1" s="57">
      <c r="A339" s="67" t="n">
        <v>334</v>
      </c>
      <c r="B339" s="68" t="inlineStr">
        <is>
          <t>HWM</t>
        </is>
      </c>
      <c r="C339" s="69" t="inlineStr">
        <is>
          <t>Howmet Aerospace</t>
        </is>
      </c>
      <c r="D339" s="70" t="inlineStr">
        <is>
          <t>Specialty Industrial Machinery</t>
        </is>
      </c>
      <c r="E339" s="79" t="n">
        <v>259.96</v>
      </c>
      <c r="F339" s="73" t="n">
        <v>0.98649275</v>
      </c>
      <c r="G339" s="80" t="n">
        <v>104.633892864</v>
      </c>
      <c r="H339" s="73" t="n">
        <v>0.146</v>
      </c>
      <c r="I339" s="81" t="n">
        <v>0.34174</v>
      </c>
      <c r="J339" s="82" t="n">
        <v>70.25945</v>
      </c>
      <c r="K339" s="83" t="n">
        <v>917.249984</v>
      </c>
      <c r="L339" s="80" t="n">
        <v>16.36902097802037</v>
      </c>
      <c r="M339" s="84" t="n">
        <v>-0.8435590941904806</v>
      </c>
      <c r="N339" s="82" t="n">
        <v>113.631377046151</v>
      </c>
      <c r="O339" s="119" t="inlineStr">
        <is>
          <t>—</t>
        </is>
      </c>
      <c r="P339" s="119" t="inlineStr">
        <is>
          <t>—</t>
        </is>
      </c>
      <c r="Q339" s="119" t="inlineStr">
        <is>
          <t>—</t>
        </is>
      </c>
      <c r="R339" s="119" t="inlineStr">
        <is>
          <t>—</t>
        </is>
      </c>
      <c r="S339" s="119" t="inlineStr">
        <is>
          <t>—</t>
        </is>
      </c>
    </row>
    <row r="340" ht="20" customHeight="1" s="57">
      <c r="A340" s="62" t="n">
        <v>335</v>
      </c>
      <c r="B340" s="63" t="inlineStr">
        <is>
          <t>TMUS</t>
        </is>
      </c>
      <c r="C340" s="64" t="inlineStr">
        <is>
          <t>T-Mobile US</t>
        </is>
      </c>
      <c r="D340" s="65" t="inlineStr">
        <is>
          <t>Telecom Services</t>
        </is>
      </c>
      <c r="E340" s="72" t="n">
        <v>220.5475</v>
      </c>
      <c r="F340" s="84" t="n">
        <v>-0.16826522</v>
      </c>
      <c r="G340" s="74" t="n">
        <v>246.683844608</v>
      </c>
      <c r="H340" s="73" t="n">
        <v>0.113</v>
      </c>
      <c r="I340" s="75" t="n">
        <v>0.63165003</v>
      </c>
      <c r="J340" s="76" t="n">
        <v>22.690071</v>
      </c>
      <c r="K340" s="85" t="n">
        <v>7996.499968</v>
      </c>
      <c r="L340" s="74" t="n">
        <v>136.9339846780348</v>
      </c>
      <c r="M340" s="84" t="n">
        <v>-0.4449008815488764</v>
      </c>
      <c r="N340" s="76" t="n">
        <v>30.38992976953421</v>
      </c>
      <c r="O340" s="132" t="inlineStr">
        <is>
          <t>SOLD</t>
        </is>
      </c>
      <c r="P340" s="118" t="inlineStr">
        <is>
          <t>—</t>
        </is>
      </c>
      <c r="Q340" s="133" t="inlineStr">
        <is>
          <t>Sold</t>
        </is>
      </c>
      <c r="R340" s="123" t="n">
        <v>152</v>
      </c>
      <c r="S340" s="124" t="inlineStr">
        <is>
          <t>Reduced Q1 → Fully exited Q2 @~$195</t>
        </is>
      </c>
    </row>
    <row r="341" ht="20" customHeight="1" s="57">
      <c r="A341" s="67" t="n">
        <v>336</v>
      </c>
      <c r="B341" s="68" t="inlineStr">
        <is>
          <t>FDX</t>
        </is>
      </c>
      <c r="C341" s="69" t="inlineStr">
        <is>
          <t>FedEx</t>
        </is>
      </c>
      <c r="D341" s="70" t="inlineStr">
        <is>
          <t>Integrated Freight &amp; Logistics</t>
        </is>
      </c>
      <c r="E341" s="79" t="n">
        <v>384.325</v>
      </c>
      <c r="F341" s="73" t="n">
        <v>0.5276147</v>
      </c>
      <c r="G341" s="80" t="n">
        <v>90.683580416</v>
      </c>
      <c r="H341" s="73" t="n">
        <v>0.139</v>
      </c>
      <c r="I341" s="81" t="n">
        <v>0.27618</v>
      </c>
      <c r="J341" s="82" t="n">
        <v>21.280455</v>
      </c>
      <c r="K341" s="83" t="n">
        <v>4642.1248</v>
      </c>
      <c r="L341" s="80" t="n">
        <v>80.02583490106512</v>
      </c>
      <c r="M341" s="84" t="n">
        <v>-0.1175267393065398</v>
      </c>
      <c r="N341" s="82" t="n">
        <v>19.46599459351028</v>
      </c>
      <c r="O341" s="119" t="inlineStr">
        <is>
          <t>—</t>
        </is>
      </c>
      <c r="P341" s="119" t="inlineStr">
        <is>
          <t>—</t>
        </is>
      </c>
      <c r="Q341" s="119" t="inlineStr">
        <is>
          <t>—</t>
        </is>
      </c>
      <c r="R341" s="119" t="inlineStr">
        <is>
          <t>—</t>
        </is>
      </c>
      <c r="S341" s="119" t="inlineStr">
        <is>
          <t>—</t>
        </is>
      </c>
    </row>
    <row r="342" ht="20" customHeight="1" s="57">
      <c r="A342" s="62" t="n">
        <v>337</v>
      </c>
      <c r="B342" s="63" t="inlineStr">
        <is>
          <t>APA</t>
        </is>
      </c>
      <c r="C342" s="64" t="inlineStr">
        <is>
          <t>Apache</t>
        </is>
      </c>
      <c r="D342" s="65" t="inlineStr">
        <is>
          <t>Oil &amp; Gas E&amp;P</t>
        </is>
      </c>
      <c r="E342" s="72" t="n">
        <v>31.045</v>
      </c>
      <c r="F342" s="73" t="n">
        <v>0.7179072</v>
      </c>
      <c r="G342" s="74" t="n">
        <v>11.107480576</v>
      </c>
      <c r="H342" s="84" t="n">
        <v>-0.28</v>
      </c>
      <c r="I342" s="75" t="n">
        <v>0.68014</v>
      </c>
      <c r="J342" s="76" t="n">
        <v>7.427034</v>
      </c>
      <c r="K342" s="85" t="n">
        <v>1960.875008</v>
      </c>
      <c r="L342" s="74" t="n">
        <v>15.18910514672179</v>
      </c>
      <c r="M342" s="73" t="n">
        <v>0.3674662802959101</v>
      </c>
      <c r="N342" s="76" t="n">
        <v>5.615200791673816</v>
      </c>
      <c r="O342" s="118" t="inlineStr">
        <is>
          <t>—</t>
        </is>
      </c>
      <c r="P342" s="118" t="inlineStr">
        <is>
          <t>—</t>
        </is>
      </c>
      <c r="Q342" s="118" t="inlineStr">
        <is>
          <t>—</t>
        </is>
      </c>
      <c r="R342" s="118" t="inlineStr">
        <is>
          <t>—</t>
        </is>
      </c>
      <c r="S342" s="118" t="inlineStr">
        <is>
          <t>—</t>
        </is>
      </c>
    </row>
    <row r="343" ht="20" customHeight="1" s="57">
      <c r="A343" s="67" t="n">
        <v>338</v>
      </c>
      <c r="B343" s="68" t="inlineStr">
        <is>
          <t>FE</t>
        </is>
      </c>
      <c r="C343" s="69" t="inlineStr">
        <is>
          <t>FirstEnergy</t>
        </is>
      </c>
      <c r="D343" s="70" t="inlineStr">
        <is>
          <t>Utilities - Diversified</t>
        </is>
      </c>
      <c r="E343" s="79" t="n">
        <v>50.93</v>
      </c>
      <c r="F343" s="73" t="n">
        <v>0.3124838</v>
      </c>
      <c r="G343" s="80" t="n">
        <v>29.434120192</v>
      </c>
      <c r="H343" s="73" t="n">
        <v>0.207</v>
      </c>
      <c r="I343" s="81" t="n">
        <v>0.66867995</v>
      </c>
      <c r="J343" s="82" t="n">
        <v>28.9375</v>
      </c>
      <c r="K343" s="83" t="n">
        <v>-1169.124992</v>
      </c>
      <c r="L343" s="78" t="inlineStr">
        <is>
          <t>—</t>
        </is>
      </c>
      <c r="M343" s="78" t="inlineStr">
        <is>
          <t>—</t>
        </is>
      </c>
      <c r="N343" s="82" t="n">
        <v>-25.17619735176271</v>
      </c>
      <c r="O343" s="119" t="inlineStr">
        <is>
          <t>—</t>
        </is>
      </c>
      <c r="P343" s="119" t="inlineStr">
        <is>
          <t>—</t>
        </is>
      </c>
      <c r="Q343" s="119" t="inlineStr">
        <is>
          <t>—</t>
        </is>
      </c>
      <c r="R343" s="119" t="inlineStr">
        <is>
          <t>—</t>
        </is>
      </c>
      <c r="S343" s="119" t="inlineStr">
        <is>
          <t>—</t>
        </is>
      </c>
    </row>
    <row r="344" ht="20" customHeight="1" s="57">
      <c r="A344" s="62" t="n">
        <v>339</v>
      </c>
      <c r="B344" s="63" t="inlineStr">
        <is>
          <t>EQIX</t>
        </is>
      </c>
      <c r="C344" s="64" t="inlineStr">
        <is>
          <t>Equinix</t>
        </is>
      </c>
      <c r="D344" s="65" t="inlineStr">
        <is>
          <t>REIT - Specialty</t>
        </is>
      </c>
      <c r="E344" s="72" t="n">
        <v>967.41</v>
      </c>
      <c r="F344" s="73" t="n">
        <v>0.055362582</v>
      </c>
      <c r="G344" s="74" t="n">
        <v>95.0528</v>
      </c>
      <c r="H344" s="73" t="n">
        <v>0.081</v>
      </c>
      <c r="I344" s="75" t="n">
        <v>0.51317</v>
      </c>
      <c r="J344" s="76" t="n">
        <v>70.10217</v>
      </c>
      <c r="K344" s="85" t="n">
        <v>2833.250048</v>
      </c>
      <c r="L344" s="74" t="n">
        <v>40.81543045912168</v>
      </c>
      <c r="M344" s="84" t="n">
        <v>-0.5706025444897818</v>
      </c>
      <c r="N344" s="76" t="n">
        <v>33.54903319019727</v>
      </c>
      <c r="O344" s="118" t="inlineStr">
        <is>
          <t>—</t>
        </is>
      </c>
      <c r="P344" s="118" t="inlineStr">
        <is>
          <t>—</t>
        </is>
      </c>
      <c r="Q344" s="118" t="inlineStr">
        <is>
          <t>—</t>
        </is>
      </c>
      <c r="R344" s="118" t="inlineStr">
        <is>
          <t>—</t>
        </is>
      </c>
      <c r="S344" s="118" t="inlineStr">
        <is>
          <t>—</t>
        </is>
      </c>
    </row>
    <row r="345" ht="20" customHeight="1" s="57">
      <c r="A345" s="67" t="n">
        <v>340</v>
      </c>
      <c r="B345" s="68" t="inlineStr">
        <is>
          <t>EXC</t>
        </is>
      </c>
      <c r="C345" s="69" t="inlineStr">
        <is>
          <t>Exelon</t>
        </is>
      </c>
      <c r="D345" s="70" t="inlineStr">
        <is>
          <t>Utilities - Diversified</t>
        </is>
      </c>
      <c r="E345" s="79" t="n">
        <v>49.235</v>
      </c>
      <c r="F345" s="73" t="n">
        <v>0.12915134</v>
      </c>
      <c r="G345" s="80" t="n">
        <v>50.362118144</v>
      </c>
      <c r="H345" s="84" t="n">
        <v>-0.011</v>
      </c>
      <c r="I345" s="81" t="n">
        <v>0.4293</v>
      </c>
      <c r="J345" s="82" t="n">
        <v>18.0348</v>
      </c>
      <c r="K345" s="83" t="n">
        <v>-2124.249984</v>
      </c>
      <c r="L345" s="78" t="inlineStr">
        <is>
          <t>—</t>
        </is>
      </c>
      <c r="M345" s="78" t="inlineStr">
        <is>
          <t>—</t>
        </is>
      </c>
      <c r="N345" s="82" t="n">
        <v>-23.7081872669441</v>
      </c>
      <c r="O345" s="119" t="inlineStr">
        <is>
          <t>—</t>
        </is>
      </c>
      <c r="P345" s="119" t="inlineStr">
        <is>
          <t>—</t>
        </is>
      </c>
      <c r="Q345" s="119" t="inlineStr">
        <is>
          <t>—</t>
        </is>
      </c>
      <c r="R345" s="119" t="inlineStr">
        <is>
          <t>—</t>
        </is>
      </c>
      <c r="S345" s="119" t="inlineStr">
        <is>
          <t>—</t>
        </is>
      </c>
    </row>
    <row r="346" ht="20" customHeight="1" s="57">
      <c r="A346" s="62" t="n">
        <v>341</v>
      </c>
      <c r="B346" s="63" t="inlineStr">
        <is>
          <t>AIG</t>
        </is>
      </c>
      <c r="C346" s="64" t="inlineStr">
        <is>
          <t>American Intl Gr</t>
        </is>
      </c>
      <c r="D346" s="65" t="inlineStr">
        <is>
          <t>Insurance - Diversified</t>
        </is>
      </c>
      <c r="E346" s="72" t="n">
        <v>78.41500000000001</v>
      </c>
      <c r="F346" s="84" t="n">
        <v>-0.027671874</v>
      </c>
      <c r="G346" s="74" t="n">
        <v>42.310856704</v>
      </c>
      <c r="H346" s="84" t="n">
        <v>-0.07199999999999999</v>
      </c>
      <c r="I346" s="75" t="n">
        <v>0.34113997</v>
      </c>
      <c r="J346" s="76" t="n">
        <v>14.441069</v>
      </c>
      <c r="K346" s="85" t="n">
        <v>11258.125312</v>
      </c>
      <c r="L346" s="74" t="n">
        <v>94.25448559461579</v>
      </c>
      <c r="M346" s="73" t="n">
        <v>1.22766667794049</v>
      </c>
      <c r="N346" s="76" t="n">
        <v>3.737240864542351</v>
      </c>
      <c r="O346" s="118" t="inlineStr">
        <is>
          <t>—</t>
        </is>
      </c>
      <c r="P346" s="118" t="inlineStr">
        <is>
          <t>—</t>
        </is>
      </c>
      <c r="Q346" s="118" t="inlineStr">
        <is>
          <t>—</t>
        </is>
      </c>
      <c r="R346" s="118" t="inlineStr">
        <is>
          <t>—</t>
        </is>
      </c>
      <c r="S346" s="118" t="inlineStr">
        <is>
          <t>—</t>
        </is>
      </c>
    </row>
    <row r="347" ht="20" customHeight="1" s="57">
      <c r="A347" s="67" t="n">
        <v>342</v>
      </c>
      <c r="B347" s="68" t="inlineStr">
        <is>
          <t>MOS</t>
        </is>
      </c>
      <c r="C347" s="69" t="inlineStr">
        <is>
          <t>Mosaic</t>
        </is>
      </c>
      <c r="D347" s="70" t="inlineStr">
        <is>
          <t>Agricultural Inputs</t>
        </is>
      </c>
      <c r="E347" s="79" t="n">
        <v>26.285</v>
      </c>
      <c r="F347" s="73" t="n">
        <v>0.1098218</v>
      </c>
      <c r="G347" s="80" t="n">
        <v>8.343086080000001</v>
      </c>
      <c r="H347" s="73" t="n">
        <v>0.056</v>
      </c>
      <c r="I347" s="81" t="n">
        <v>0.1578</v>
      </c>
      <c r="J347" s="82" t="n">
        <v>15.461764</v>
      </c>
      <c r="K347" s="83" t="n">
        <v>-433.049984</v>
      </c>
      <c r="L347" s="78" t="inlineStr">
        <is>
          <t>—</t>
        </is>
      </c>
      <c r="M347" s="78" t="inlineStr">
        <is>
          <t>—</t>
        </is>
      </c>
      <c r="N347" s="82" t="n">
        <v>-19.26587367428468</v>
      </c>
      <c r="O347" s="119" t="inlineStr">
        <is>
          <t>—</t>
        </is>
      </c>
      <c r="P347" s="119" t="inlineStr">
        <is>
          <t>—</t>
        </is>
      </c>
      <c r="Q347" s="119" t="inlineStr">
        <is>
          <t>—</t>
        </is>
      </c>
      <c r="R347" s="119" t="inlineStr">
        <is>
          <t>—</t>
        </is>
      </c>
      <c r="S347" s="119" t="inlineStr">
        <is>
          <t>—</t>
        </is>
      </c>
    </row>
    <row r="348" ht="20" customHeight="1" s="57">
      <c r="A348" s="62" t="n">
        <v>343</v>
      </c>
      <c r="B348" s="63" t="inlineStr">
        <is>
          <t>KMX</t>
        </is>
      </c>
      <c r="C348" s="64" t="inlineStr">
        <is>
          <t>CarMax</t>
        </is>
      </c>
      <c r="D348" s="65" t="inlineStr">
        <is>
          <t>Auto &amp; Truck Dealerships</t>
        </is>
      </c>
      <c r="E348" s="72" t="n">
        <v>42.2092</v>
      </c>
      <c r="F348" s="84" t="n">
        <v>-0.4710493</v>
      </c>
      <c r="G348" s="74" t="n">
        <v>6.196126208</v>
      </c>
      <c r="H348" s="84" t="n">
        <v>-0.067</v>
      </c>
      <c r="I348" s="75" t="n">
        <v>0.123859994</v>
      </c>
      <c r="J348" s="76" t="n">
        <v>13.834426</v>
      </c>
      <c r="K348" s="85" t="n">
        <v>648.438528</v>
      </c>
      <c r="L348" s="74" t="n">
        <v>5.048587280701184</v>
      </c>
      <c r="M348" s="84" t="n">
        <v>-0.185202639322807</v>
      </c>
      <c r="N348" s="76" t="n">
        <v>9.230054231597418</v>
      </c>
      <c r="O348" s="118" t="inlineStr">
        <is>
          <t>—</t>
        </is>
      </c>
      <c r="P348" s="118" t="inlineStr">
        <is>
          <t>—</t>
        </is>
      </c>
      <c r="Q348" s="118" t="inlineStr">
        <is>
          <t>—</t>
        </is>
      </c>
      <c r="R348" s="118" t="inlineStr">
        <is>
          <t>—</t>
        </is>
      </c>
      <c r="S348" s="118" t="inlineStr">
        <is>
          <t>—</t>
        </is>
      </c>
    </row>
    <row r="349" ht="20" customHeight="1" s="57">
      <c r="A349" s="67" t="n">
        <v>344</v>
      </c>
      <c r="B349" s="68" t="inlineStr">
        <is>
          <t>EFX</t>
        </is>
      </c>
      <c r="C349" s="69" t="inlineStr">
        <is>
          <t>Equifax</t>
        </is>
      </c>
      <c r="D349" s="70" t="inlineStr">
        <is>
          <t>Consulting Services</t>
        </is>
      </c>
      <c r="E349" s="79" t="n">
        <v>206.53</v>
      </c>
      <c r="F349" s="84" t="n">
        <v>-0.15715337</v>
      </c>
      <c r="G349" s="80" t="n">
        <v>25.278040064</v>
      </c>
      <c r="H349" s="73" t="n">
        <v>0.092</v>
      </c>
      <c r="I349" s="81" t="n">
        <v>0.56447</v>
      </c>
      <c r="J349" s="82" t="n">
        <v>38.748592</v>
      </c>
      <c r="K349" s="83" t="n">
        <v>1001.574976</v>
      </c>
      <c r="L349" s="80" t="n">
        <v>14.97004951547775</v>
      </c>
      <c r="M349" s="84" t="n">
        <v>-0.407784405848873</v>
      </c>
      <c r="N349" s="82" t="n">
        <v>24.80030280522903</v>
      </c>
      <c r="O349" s="119" t="inlineStr">
        <is>
          <t>—</t>
        </is>
      </c>
      <c r="P349" s="119" t="inlineStr">
        <is>
          <t>—</t>
        </is>
      </c>
      <c r="Q349" s="119" t="inlineStr">
        <is>
          <t>—</t>
        </is>
      </c>
      <c r="R349" s="119" t="inlineStr">
        <is>
          <t>—</t>
        </is>
      </c>
      <c r="S349" s="119" t="inlineStr">
        <is>
          <t>—</t>
        </is>
      </c>
    </row>
    <row r="350" ht="20" customHeight="1" s="57">
      <c r="A350" s="62" t="n">
        <v>345</v>
      </c>
      <c r="B350" s="63" t="inlineStr">
        <is>
          <t>WYNN</t>
        </is>
      </c>
      <c r="C350" s="64" t="inlineStr">
        <is>
          <t>Wynn Resorts</t>
        </is>
      </c>
      <c r="D350" s="65" t="inlineStr">
        <is>
          <t>Resorts &amp; Casinos</t>
        </is>
      </c>
      <c r="E350" s="72" t="n">
        <v>102.9125</v>
      </c>
      <c r="F350" s="73" t="n">
        <v>0.12804675</v>
      </c>
      <c r="G350" s="74" t="n">
        <v>10.700484608</v>
      </c>
      <c r="H350" s="73" t="n">
        <v>0.015</v>
      </c>
      <c r="I350" s="75" t="n">
        <v>0.68184996</v>
      </c>
      <c r="J350" s="76" t="n">
        <v>32.77468</v>
      </c>
      <c r="K350" s="85" t="n">
        <v>414.476992</v>
      </c>
      <c r="L350" s="74" t="n">
        <v>5.568305717481653</v>
      </c>
      <c r="M350" s="84" t="n">
        <v>-0.4796211646976603</v>
      </c>
      <c r="N350" s="76" t="n">
        <v>25.81632702566877</v>
      </c>
      <c r="O350" s="118" t="inlineStr">
        <is>
          <t>—</t>
        </is>
      </c>
      <c r="P350" s="118" t="inlineStr">
        <is>
          <t>—</t>
        </is>
      </c>
      <c r="Q350" s="118" t="inlineStr">
        <is>
          <t>—</t>
        </is>
      </c>
      <c r="R350" s="118" t="inlineStr">
        <is>
          <t>—</t>
        </is>
      </c>
      <c r="S350" s="118" t="inlineStr">
        <is>
          <t>—</t>
        </is>
      </c>
    </row>
    <row r="351" ht="20" customHeight="1" s="57">
      <c r="A351" s="67" t="n">
        <v>346</v>
      </c>
      <c r="B351" s="68" t="inlineStr">
        <is>
          <t>ED</t>
        </is>
      </c>
      <c r="C351" s="69" t="inlineStr">
        <is>
          <t>Consolidated Edison</t>
        </is>
      </c>
      <c r="D351" s="70" t="inlineStr">
        <is>
          <t>Utilities - Regulated Electric</t>
        </is>
      </c>
      <c r="E351" s="79" t="n">
        <v>112.325</v>
      </c>
      <c r="F351" s="73" t="n">
        <v>0.12135732</v>
      </c>
      <c r="G351" s="80" t="n">
        <v>40.583323648</v>
      </c>
      <c r="H351" s="73" t="n">
        <v>0.089</v>
      </c>
      <c r="I351" s="81" t="n">
        <v>0.53251</v>
      </c>
      <c r="J351" s="82" t="n">
        <v>19.915781</v>
      </c>
      <c r="K351" s="83" t="n">
        <v>-145.25</v>
      </c>
      <c r="L351" s="78" t="inlineStr">
        <is>
          <t>—</t>
        </is>
      </c>
      <c r="M351" s="78" t="inlineStr">
        <is>
          <t>—</t>
        </is>
      </c>
      <c r="N351" s="82" t="n">
        <v>-279.4032670700516</v>
      </c>
      <c r="O351" s="119" t="inlineStr">
        <is>
          <t>—</t>
        </is>
      </c>
      <c r="P351" s="119" t="inlineStr">
        <is>
          <t>—</t>
        </is>
      </c>
      <c r="Q351" s="119" t="inlineStr">
        <is>
          <t>—</t>
        </is>
      </c>
      <c r="R351" s="119" t="inlineStr">
        <is>
          <t>—</t>
        </is>
      </c>
      <c r="S351" s="119" t="inlineStr">
        <is>
          <t>—</t>
        </is>
      </c>
    </row>
    <row r="352" ht="20" customHeight="1" s="57">
      <c r="A352" s="62" t="n">
        <v>347</v>
      </c>
      <c r="B352" s="63" t="inlineStr">
        <is>
          <t>DTE</t>
        </is>
      </c>
      <c r="C352" s="64" t="inlineStr">
        <is>
          <t>DTE Energy</t>
        </is>
      </c>
      <c r="D352" s="65" t="inlineStr">
        <is>
          <t>Utilities - Regulated Electric</t>
        </is>
      </c>
      <c r="E352" s="72" t="n">
        <v>149.44</v>
      </c>
      <c r="F352" s="73" t="n">
        <v>0.121620655</v>
      </c>
      <c r="G352" s="74" t="n">
        <v>31.054194688</v>
      </c>
      <c r="H352" s="73" t="n">
        <v>0.289</v>
      </c>
      <c r="I352" s="75" t="n">
        <v>0.30309</v>
      </c>
      <c r="J352" s="76" t="n">
        <v>21.227274</v>
      </c>
      <c r="K352" s="85" t="n">
        <v>-1746.625024</v>
      </c>
      <c r="L352" s="77" t="inlineStr">
        <is>
          <t>—</t>
        </is>
      </c>
      <c r="M352" s="77" t="inlineStr">
        <is>
          <t>—</t>
        </is>
      </c>
      <c r="N352" s="76" t="n">
        <v>-17.77954287007856</v>
      </c>
      <c r="O352" s="118" t="inlineStr">
        <is>
          <t>—</t>
        </is>
      </c>
      <c r="P352" s="118" t="inlineStr">
        <is>
          <t>—</t>
        </is>
      </c>
      <c r="Q352" s="118" t="inlineStr">
        <is>
          <t>—</t>
        </is>
      </c>
      <c r="R352" s="118" t="inlineStr">
        <is>
          <t>—</t>
        </is>
      </c>
      <c r="S352" s="118" t="inlineStr">
        <is>
          <t>—</t>
        </is>
      </c>
    </row>
    <row r="353" ht="20" customHeight="1" s="57">
      <c r="A353" s="67" t="n">
        <v>348</v>
      </c>
      <c r="B353" s="68" t="inlineStr">
        <is>
          <t>J</t>
        </is>
      </c>
      <c r="C353" s="69" t="inlineStr">
        <is>
          <t>Jacobs Engineering Group</t>
        </is>
      </c>
      <c r="D353" s="70" t="inlineStr">
        <is>
          <t>Engineering &amp; Construction</t>
        </is>
      </c>
      <c r="E353" s="79" t="n">
        <v>138.2</v>
      </c>
      <c r="F353" s="73" t="n">
        <v>0.12783468</v>
      </c>
      <c r="G353" s="80" t="n">
        <v>16.319804416</v>
      </c>
      <c r="H353" s="73" t="n">
        <v>0.123</v>
      </c>
      <c r="I353" s="81" t="n">
        <v>0.24445999</v>
      </c>
      <c r="J353" s="82" t="n">
        <v>36.46438</v>
      </c>
      <c r="K353" s="83" t="n">
        <v>1088.866688</v>
      </c>
      <c r="L353" s="80" t="n">
        <v>19.93571518130504</v>
      </c>
      <c r="M353" s="73" t="n">
        <v>0.2215658149530266</v>
      </c>
      <c r="N353" s="82" t="n">
        <v>14.90644898542437</v>
      </c>
      <c r="O353" s="119" t="inlineStr">
        <is>
          <t>—</t>
        </is>
      </c>
      <c r="P353" s="119" t="inlineStr">
        <is>
          <t>—</t>
        </is>
      </c>
      <c r="Q353" s="119" t="inlineStr">
        <is>
          <t>—</t>
        </is>
      </c>
      <c r="R353" s="119" t="inlineStr">
        <is>
          <t>—</t>
        </is>
      </c>
      <c r="S353" s="119" t="inlineStr">
        <is>
          <t>—</t>
        </is>
      </c>
    </row>
    <row r="354" ht="20" customHeight="1" s="57">
      <c r="A354" s="62" t="n">
        <v>349</v>
      </c>
      <c r="B354" s="63" t="inlineStr">
        <is>
          <t>ALB</t>
        </is>
      </c>
      <c r="C354" s="64" t="inlineStr">
        <is>
          <t>Albemarle</t>
        </is>
      </c>
      <c r="D354" s="65" t="inlineStr">
        <is>
          <t>Specialty Chemicals</t>
        </is>
      </c>
      <c r="E354" s="72" t="n">
        <v>169.32</v>
      </c>
      <c r="F354" s="73" t="n">
        <v>1.2197816</v>
      </c>
      <c r="G354" s="74" t="n">
        <v>19.953891328</v>
      </c>
      <c r="H354" s="73" t="n">
        <v>0.159</v>
      </c>
      <c r="I354" s="75" t="n">
        <v>0.13097</v>
      </c>
      <c r="J354" s="76" t="n">
        <v>19.487268</v>
      </c>
      <c r="K354" s="85" t="n">
        <v>453.286368</v>
      </c>
      <c r="L354" s="74" t="n">
        <v>9.027728435569696</v>
      </c>
      <c r="M354" s="84" t="n">
        <v>-0.5475705321246452</v>
      </c>
      <c r="N354" s="76" t="n">
        <v>44.02049719350924</v>
      </c>
      <c r="O354" s="118" t="inlineStr">
        <is>
          <t>—</t>
        </is>
      </c>
      <c r="P354" s="118" t="inlineStr">
        <is>
          <t>—</t>
        </is>
      </c>
      <c r="Q354" s="118" t="inlineStr">
        <is>
          <t>—</t>
        </is>
      </c>
      <c r="R354" s="118" t="inlineStr">
        <is>
          <t>—</t>
        </is>
      </c>
      <c r="S354" s="118" t="inlineStr">
        <is>
          <t>—</t>
        </is>
      </c>
    </row>
    <row r="355" ht="20" customHeight="1" s="57">
      <c r="A355" s="67" t="n">
        <v>350</v>
      </c>
      <c r="B355" s="68" t="inlineStr">
        <is>
          <t>DD</t>
        </is>
      </c>
      <c r="C355" s="69" t="inlineStr">
        <is>
          <t>DuPont de Nemours</t>
        </is>
      </c>
      <c r="D355" s="70" t="inlineStr">
        <is>
          <t>Chemicals</t>
        </is>
      </c>
      <c r="E355" s="79" t="n">
        <v>48.105</v>
      </c>
      <c r="F355" s="73" t="n">
        <v>0.451501</v>
      </c>
      <c r="G355" s="80" t="n">
        <v>20.15480832</v>
      </c>
      <c r="H355" s="78" t="inlineStr">
        <is>
          <t>—</t>
        </is>
      </c>
      <c r="I355" s="81" t="n">
        <v>0.34500998</v>
      </c>
      <c r="J355" s="82" t="n">
        <v>229.07143</v>
      </c>
      <c r="K355" s="83" t="n">
        <v>13435.374592</v>
      </c>
      <c r="L355" s="80" t="n">
        <v>142.1128170720812</v>
      </c>
      <c r="M355" s="73" t="n">
        <v>6.051062695101891</v>
      </c>
      <c r="N355" s="82" t="n">
        <v>1.464140951655946</v>
      </c>
      <c r="O355" s="119" t="inlineStr">
        <is>
          <t>—</t>
        </is>
      </c>
      <c r="P355" s="119" t="inlineStr">
        <is>
          <t>—</t>
        </is>
      </c>
      <c r="Q355" s="119" t="inlineStr">
        <is>
          <t>—</t>
        </is>
      </c>
      <c r="R355" s="119" t="inlineStr">
        <is>
          <t>—</t>
        </is>
      </c>
      <c r="S355" s="119" t="inlineStr">
        <is>
          <t>—</t>
        </is>
      </c>
    </row>
    <row r="356" ht="20" customHeight="1" s="57">
      <c r="A356" s="62" t="n">
        <v>351</v>
      </c>
      <c r="B356" s="63" t="inlineStr">
        <is>
          <t>NI</t>
        </is>
      </c>
      <c r="C356" s="64" t="inlineStr">
        <is>
          <t>NiSource</t>
        </is>
      </c>
      <c r="D356" s="65" t="inlineStr">
        <is>
          <t>Utilities - Regulated Gas</t>
        </is>
      </c>
      <c r="E356" s="72" t="n">
        <v>47.535</v>
      </c>
      <c r="F356" s="73" t="n">
        <v>0.17881465</v>
      </c>
      <c r="G356" s="74" t="n">
        <v>22.74707456</v>
      </c>
      <c r="H356" s="73" t="n">
        <v>0.198</v>
      </c>
      <c r="I356" s="75" t="n">
        <v>0.50614</v>
      </c>
      <c r="J356" s="76" t="n">
        <v>24.376923</v>
      </c>
      <c r="K356" s="85" t="n">
        <v>-1115.6</v>
      </c>
      <c r="L356" s="77" t="inlineStr">
        <is>
          <t>—</t>
        </is>
      </c>
      <c r="M356" s="77" t="inlineStr">
        <is>
          <t>—</t>
        </is>
      </c>
      <c r="N356" s="76" t="n">
        <v>-20.38999129032359</v>
      </c>
      <c r="O356" s="118" t="inlineStr">
        <is>
          <t>—</t>
        </is>
      </c>
      <c r="P356" s="118" t="inlineStr">
        <is>
          <t>—</t>
        </is>
      </c>
      <c r="Q356" s="118" t="inlineStr">
        <is>
          <t>—</t>
        </is>
      </c>
      <c r="R356" s="118" t="inlineStr">
        <is>
          <t>—</t>
        </is>
      </c>
      <c r="S356" s="118" t="inlineStr">
        <is>
          <t>—</t>
        </is>
      </c>
    </row>
    <row r="357" ht="20" customHeight="1" s="57">
      <c r="A357" s="67" t="n">
        <v>352</v>
      </c>
      <c r="B357" s="68" t="inlineStr">
        <is>
          <t>AEE</t>
        </is>
      </c>
      <c r="C357" s="69" t="inlineStr">
        <is>
          <t>Ameren</t>
        </is>
      </c>
      <c r="D357" s="70" t="inlineStr">
        <is>
          <t>Utilities - Regulated Electric</t>
        </is>
      </c>
      <c r="E357" s="79" t="n">
        <v>113.25</v>
      </c>
      <c r="F357" s="73" t="n">
        <v>0.13430572</v>
      </c>
      <c r="G357" s="80" t="n">
        <v>31.305076736</v>
      </c>
      <c r="H357" s="84" t="n">
        <v>-0.08799999999999999</v>
      </c>
      <c r="I357" s="81" t="n">
        <v>0.49244</v>
      </c>
      <c r="J357" s="82" t="n">
        <v>21.168224</v>
      </c>
      <c r="K357" s="83" t="n">
        <v>-1484.37504</v>
      </c>
      <c r="L357" s="78" t="inlineStr">
        <is>
          <t>—</t>
        </is>
      </c>
      <c r="M357" s="78" t="inlineStr">
        <is>
          <t>—</t>
        </is>
      </c>
      <c r="N357" s="82" t="n">
        <v>-21.08973506031872</v>
      </c>
      <c r="O357" s="119" t="inlineStr">
        <is>
          <t>—</t>
        </is>
      </c>
      <c r="P357" s="119" t="inlineStr">
        <is>
          <t>—</t>
        </is>
      </c>
      <c r="Q357" s="119" t="inlineStr">
        <is>
          <t>—</t>
        </is>
      </c>
      <c r="R357" s="119" t="inlineStr">
        <is>
          <t>—</t>
        </is>
      </c>
      <c r="S357" s="119" t="inlineStr">
        <is>
          <t>—</t>
        </is>
      </c>
    </row>
    <row r="358" ht="20" customHeight="1" s="57">
      <c r="A358" s="62" t="n">
        <v>353</v>
      </c>
      <c r="B358" s="63" t="inlineStr">
        <is>
          <t>BEN</t>
        </is>
      </c>
      <c r="C358" s="64" t="inlineStr">
        <is>
          <t>Franklin Resources</t>
        </is>
      </c>
      <c r="D358" s="65" t="inlineStr">
        <is>
          <t>Asset Management</t>
        </is>
      </c>
      <c r="E358" s="72" t="n">
        <v>26.705</v>
      </c>
      <c r="F358" s="73" t="n">
        <v>0.31513643</v>
      </c>
      <c r="G358" s="74" t="n">
        <v>13.923738624</v>
      </c>
      <c r="H358" s="73" t="n">
        <v>0.034</v>
      </c>
      <c r="I358" s="75" t="n">
        <v>0.37035</v>
      </c>
      <c r="J358" s="76" t="n">
        <v>24.72685</v>
      </c>
      <c r="K358" s="85" t="n">
        <v>328.337504</v>
      </c>
      <c r="L358" s="74" t="n">
        <v>5.541338594846724</v>
      </c>
      <c r="M358" s="84" t="n">
        <v>-0.6020222194278153</v>
      </c>
      <c r="N358" s="76" t="n">
        <v>42.35577023464246</v>
      </c>
      <c r="O358" s="118" t="inlineStr">
        <is>
          <t>—</t>
        </is>
      </c>
      <c r="P358" s="118" t="inlineStr">
        <is>
          <t>—</t>
        </is>
      </c>
      <c r="Q358" s="118" t="inlineStr">
        <is>
          <t>—</t>
        </is>
      </c>
      <c r="R358" s="118" t="inlineStr">
        <is>
          <t>—</t>
        </is>
      </c>
      <c r="S358" s="118" t="inlineStr">
        <is>
          <t>—</t>
        </is>
      </c>
    </row>
    <row r="359" ht="20" customHeight="1" s="57">
      <c r="A359" s="67" t="n">
        <v>354</v>
      </c>
      <c r="B359" s="68" t="inlineStr">
        <is>
          <t>SRE</t>
        </is>
      </c>
      <c r="C359" s="69" t="inlineStr">
        <is>
          <t>Sempra Energy</t>
        </is>
      </c>
      <c r="D359" s="70" t="inlineStr">
        <is>
          <t>Utilities - Diversified</t>
        </is>
      </c>
      <c r="E359" s="79" t="n">
        <v>95.55</v>
      </c>
      <c r="F359" s="73" t="n">
        <v>0.32628655</v>
      </c>
      <c r="G359" s="80" t="n">
        <v>62.363721728</v>
      </c>
      <c r="H359" s="84" t="n">
        <v>-0.002</v>
      </c>
      <c r="I359" s="81" t="n">
        <v>0.41184</v>
      </c>
      <c r="J359" s="82" t="n">
        <v>29.400002</v>
      </c>
      <c r="K359" s="83" t="n">
        <v>-27727.874048</v>
      </c>
      <c r="L359" s="78" t="inlineStr">
        <is>
          <t>—</t>
        </is>
      </c>
      <c r="M359" s="78" t="inlineStr">
        <is>
          <t>—</t>
        </is>
      </c>
      <c r="N359" s="82" t="n">
        <v>-2.249134543225042</v>
      </c>
      <c r="O359" s="119" t="inlineStr">
        <is>
          <t>—</t>
        </is>
      </c>
      <c r="P359" s="119" t="inlineStr">
        <is>
          <t>—</t>
        </is>
      </c>
      <c r="Q359" s="119" t="inlineStr">
        <is>
          <t>—</t>
        </is>
      </c>
      <c r="R359" s="119" t="inlineStr">
        <is>
          <t>—</t>
        </is>
      </c>
      <c r="S359" s="119" t="inlineStr">
        <is>
          <t>—</t>
        </is>
      </c>
    </row>
    <row r="360" ht="20" customHeight="1" s="57">
      <c r="A360" s="62" t="n">
        <v>355</v>
      </c>
      <c r="B360" s="63" t="inlineStr">
        <is>
          <t>BA</t>
        </is>
      </c>
      <c r="C360" s="64" t="inlineStr">
        <is>
          <t>Boeing</t>
        </is>
      </c>
      <c r="D360" s="65" t="inlineStr">
        <is>
          <t>Aerospace &amp; Defense</t>
        </is>
      </c>
      <c r="E360" s="72" t="n">
        <v>226.355</v>
      </c>
      <c r="F360" s="73" t="n">
        <v>0.373621</v>
      </c>
      <c r="G360" s="74" t="n">
        <v>177.767235584</v>
      </c>
      <c r="H360" s="73" t="n">
        <v>0.571</v>
      </c>
      <c r="I360" s="75" t="n">
        <v>0.04828</v>
      </c>
      <c r="J360" s="76" t="n">
        <v>90.90562</v>
      </c>
      <c r="K360" s="85" t="n">
        <v>1761.750016</v>
      </c>
      <c r="L360" s="74" t="n">
        <v>51.86440159052184</v>
      </c>
      <c r="M360" s="84" t="n">
        <v>-0.7082454400545907</v>
      </c>
      <c r="N360" s="76" t="n">
        <v>100.9037833407802</v>
      </c>
      <c r="O360" s="118" t="inlineStr">
        <is>
          <t>—</t>
        </is>
      </c>
      <c r="P360" s="118" t="inlineStr">
        <is>
          <t>—</t>
        </is>
      </c>
      <c r="Q360" s="118" t="inlineStr">
        <is>
          <t>—</t>
        </is>
      </c>
      <c r="R360" s="118" t="inlineStr">
        <is>
          <t>—</t>
        </is>
      </c>
      <c r="S360" s="118" t="inlineStr">
        <is>
          <t>—</t>
        </is>
      </c>
    </row>
    <row r="361" ht="20" customHeight="1" s="57">
      <c r="A361" s="67" t="n">
        <v>356</v>
      </c>
      <c r="B361" s="68" t="inlineStr">
        <is>
          <t>GM</t>
        </is>
      </c>
      <c r="C361" s="69" t="inlineStr">
        <is>
          <t>General Motors</t>
        </is>
      </c>
      <c r="D361" s="70" t="inlineStr">
        <is>
          <t>Auto Manufacturers</t>
        </is>
      </c>
      <c r="E361" s="79" t="n">
        <v>78.425</v>
      </c>
      <c r="F361" s="73" t="n">
        <v>0.5938531</v>
      </c>
      <c r="G361" s="80" t="n">
        <v>73.159647232</v>
      </c>
      <c r="H361" s="84" t="n">
        <v>-0.051</v>
      </c>
      <c r="I361" s="81" t="n">
        <v>0.107209995</v>
      </c>
      <c r="J361" s="82" t="n">
        <v>23.983181</v>
      </c>
      <c r="K361" s="83" t="n">
        <v>8559.625216</v>
      </c>
      <c r="L361" s="80" t="n">
        <v>85.36600242772498</v>
      </c>
      <c r="M361" s="73" t="n">
        <v>0.1668454627318915</v>
      </c>
      <c r="N361" s="82" t="n">
        <v>8.282334457705888</v>
      </c>
      <c r="O361" s="119" t="inlineStr">
        <is>
          <t>—</t>
        </is>
      </c>
      <c r="P361" s="119" t="inlineStr">
        <is>
          <t>—</t>
        </is>
      </c>
      <c r="Q361" s="119" t="inlineStr">
        <is>
          <t>—</t>
        </is>
      </c>
      <c r="R361" s="119" t="inlineStr">
        <is>
          <t>—</t>
        </is>
      </c>
      <c r="S361" s="119" t="inlineStr">
        <is>
          <t>—</t>
        </is>
      </c>
    </row>
    <row r="362" ht="20" customHeight="1" s="57">
      <c r="A362" s="62" t="n">
        <v>357</v>
      </c>
      <c r="B362" s="63" t="inlineStr">
        <is>
          <t>BK</t>
        </is>
      </c>
      <c r="C362" s="64" t="inlineStr">
        <is>
          <t>Bank of New York Mellon</t>
        </is>
      </c>
      <c r="D362" s="65" t="inlineStr">
        <is>
          <t>Asset Management</t>
        </is>
      </c>
      <c r="E362" s="72" t="n">
        <v>118.84</v>
      </c>
      <c r="F362" s="73" t="n">
        <v>0.3626386</v>
      </c>
      <c r="G362" s="74" t="n">
        <v>82.872967168</v>
      </c>
      <c r="H362" s="73" t="n">
        <v>0.078</v>
      </c>
      <c r="I362" s="75" t="n">
        <v>0</v>
      </c>
      <c r="J362" s="76" t="n">
        <v>16.05946</v>
      </c>
      <c r="K362" s="77" t="inlineStr">
        <is>
          <t>—</t>
        </is>
      </c>
      <c r="L362" s="77" t="inlineStr">
        <is>
          <t>—</t>
        </is>
      </c>
      <c r="M362" s="77" t="inlineStr">
        <is>
          <t>—</t>
        </is>
      </c>
      <c r="N362" s="77" t="inlineStr">
        <is>
          <t>—</t>
        </is>
      </c>
      <c r="O362" s="118" t="inlineStr">
        <is>
          <t>—</t>
        </is>
      </c>
      <c r="P362" s="118" t="inlineStr">
        <is>
          <t>—</t>
        </is>
      </c>
      <c r="Q362" s="118" t="inlineStr">
        <is>
          <t>—</t>
        </is>
      </c>
      <c r="R362" s="118" t="inlineStr">
        <is>
          <t>—</t>
        </is>
      </c>
      <c r="S362" s="118" t="inlineStr">
        <is>
          <t>—</t>
        </is>
      </c>
    </row>
    <row r="363" ht="20" customHeight="1" s="57">
      <c r="A363" s="67" t="n">
        <v>358</v>
      </c>
      <c r="B363" s="68" t="inlineStr">
        <is>
          <t>CMS</t>
        </is>
      </c>
      <c r="C363" s="69" t="inlineStr">
        <is>
          <t>CMS Energy</t>
        </is>
      </c>
      <c r="D363" s="70" t="inlineStr">
        <is>
          <t>Utilities - Regulated Electric</t>
        </is>
      </c>
      <c r="E363" s="79" t="n">
        <v>78.16500000000001</v>
      </c>
      <c r="F363" s="73" t="n">
        <v>0.07488251</v>
      </c>
      <c r="G363" s="80" t="n">
        <v>23.94682368</v>
      </c>
      <c r="H363" s="73" t="n">
        <v>0.123</v>
      </c>
      <c r="I363" s="81" t="n">
        <v>0.41527</v>
      </c>
      <c r="J363" s="82" t="n">
        <v>22.201733</v>
      </c>
      <c r="K363" s="83" t="n">
        <v>-1742.37504</v>
      </c>
      <c r="L363" s="78" t="inlineStr">
        <is>
          <t>—</t>
        </is>
      </c>
      <c r="M363" s="78" t="inlineStr">
        <is>
          <t>—</t>
        </is>
      </c>
      <c r="N363" s="82" t="n">
        <v>-13.74640314330088</v>
      </c>
      <c r="O363" s="119" t="inlineStr">
        <is>
          <t>—</t>
        </is>
      </c>
      <c r="P363" s="119" t="inlineStr">
        <is>
          <t>—</t>
        </is>
      </c>
      <c r="Q363" s="119" t="inlineStr">
        <is>
          <t>—</t>
        </is>
      </c>
      <c r="R363" s="119" t="inlineStr">
        <is>
          <t>—</t>
        </is>
      </c>
      <c r="S363" s="119" t="inlineStr">
        <is>
          <t>—</t>
        </is>
      </c>
    </row>
    <row r="364" ht="20" customHeight="1" s="57">
      <c r="A364" s="62" t="n">
        <v>359</v>
      </c>
      <c r="B364" s="63" t="inlineStr">
        <is>
          <t>PNW</t>
        </is>
      </c>
      <c r="C364" s="64" t="inlineStr">
        <is>
          <t>Pinnacle West Capital</t>
        </is>
      </c>
      <c r="D364" s="65" t="inlineStr">
        <is>
          <t>Utilities - Regulated Electric</t>
        </is>
      </c>
      <c r="E364" s="72" t="n">
        <v>102.79</v>
      </c>
      <c r="F364" s="73" t="n">
        <v>0.1203866</v>
      </c>
      <c r="G364" s="74" t="n">
        <v>12.302976</v>
      </c>
      <c r="H364" s="73" t="n">
        <v>0.03</v>
      </c>
      <c r="I364" s="75" t="n">
        <v>0.41159</v>
      </c>
      <c r="J364" s="76" t="n">
        <v>21.193815</v>
      </c>
      <c r="K364" s="85" t="n">
        <v>-451.42688</v>
      </c>
      <c r="L364" s="77" t="inlineStr">
        <is>
          <t>—</t>
        </is>
      </c>
      <c r="M364" s="77" t="inlineStr">
        <is>
          <t>—</t>
        </is>
      </c>
      <c r="N364" s="76" t="n">
        <v>-27.25353021337586</v>
      </c>
      <c r="O364" s="118" t="inlineStr">
        <is>
          <t>—</t>
        </is>
      </c>
      <c r="P364" s="118" t="inlineStr">
        <is>
          <t>—</t>
        </is>
      </c>
      <c r="Q364" s="118" t="inlineStr">
        <is>
          <t>—</t>
        </is>
      </c>
      <c r="R364" s="118" t="inlineStr">
        <is>
          <t>—</t>
        </is>
      </c>
      <c r="S364" s="118" t="inlineStr">
        <is>
          <t>—</t>
        </is>
      </c>
    </row>
    <row r="365" ht="20" customHeight="1" s="57">
      <c r="A365" s="67" t="n">
        <v>360</v>
      </c>
      <c r="B365" s="68" t="inlineStr">
        <is>
          <t>CNP</t>
        </is>
      </c>
      <c r="C365" s="69" t="inlineStr">
        <is>
          <t>CenterPoint Energy</t>
        </is>
      </c>
      <c r="D365" s="70" t="inlineStr">
        <is>
          <t>Utilities - Regulated Gas</t>
        </is>
      </c>
      <c r="E365" s="79" t="n">
        <v>43.86</v>
      </c>
      <c r="F365" s="73" t="n">
        <v>0.28296864</v>
      </c>
      <c r="G365" s="80" t="n">
        <v>28.634947584</v>
      </c>
      <c r="H365" s="73" t="n">
        <v>0.107</v>
      </c>
      <c r="I365" s="81" t="n">
        <v>0.45421</v>
      </c>
      <c r="J365" s="82" t="n">
        <v>27.4125</v>
      </c>
      <c r="K365" s="83" t="n">
        <v>-3899.749888</v>
      </c>
      <c r="L365" s="78" t="inlineStr">
        <is>
          <t>—</t>
        </is>
      </c>
      <c r="M365" s="78" t="inlineStr">
        <is>
          <t>—</t>
        </is>
      </c>
      <c r="N365" s="82" t="n">
        <v>-7.342765176390717</v>
      </c>
      <c r="O365" s="119" t="inlineStr">
        <is>
          <t>—</t>
        </is>
      </c>
      <c r="P365" s="119" t="inlineStr">
        <is>
          <t>—</t>
        </is>
      </c>
      <c r="Q365" s="119" t="inlineStr">
        <is>
          <t>—</t>
        </is>
      </c>
      <c r="R365" s="119" t="inlineStr">
        <is>
          <t>—</t>
        </is>
      </c>
      <c r="S365" s="119" t="inlineStr">
        <is>
          <t>—</t>
        </is>
      </c>
    </row>
    <row r="366" ht="20" customHeight="1" s="57">
      <c r="A366" s="62" t="n">
        <v>361</v>
      </c>
      <c r="B366" s="63" t="inlineStr">
        <is>
          <t>FCX</t>
        </is>
      </c>
      <c r="C366" s="64" t="inlineStr">
        <is>
          <t>Freeport-McMoRan</t>
        </is>
      </c>
      <c r="D366" s="65" t="inlineStr">
        <is>
          <t>Copper</t>
        </is>
      </c>
      <c r="E366" s="72" t="n">
        <v>66.62</v>
      </c>
      <c r="F366" s="73" t="n">
        <v>0.7182914</v>
      </c>
      <c r="G366" s="74" t="n">
        <v>95.74637568</v>
      </c>
      <c r="H366" s="84" t="n">
        <v>-0.015</v>
      </c>
      <c r="I366" s="75" t="n">
        <v>0.37063</v>
      </c>
      <c r="J366" s="76" t="n">
        <v>43.82895</v>
      </c>
      <c r="K366" s="85" t="n">
        <v>1559.124992</v>
      </c>
      <c r="L366" s="74" t="n">
        <v>15.6642922627164</v>
      </c>
      <c r="M366" s="84" t="n">
        <v>-0.8363980657077922</v>
      </c>
      <c r="N366" s="76" t="n">
        <v>61.41032404906765</v>
      </c>
      <c r="O366" s="118" t="inlineStr">
        <is>
          <t>—</t>
        </is>
      </c>
      <c r="P366" s="118" t="inlineStr">
        <is>
          <t>—</t>
        </is>
      </c>
      <c r="Q366" s="118" t="inlineStr">
        <is>
          <t>—</t>
        </is>
      </c>
      <c r="R366" s="118" t="inlineStr">
        <is>
          <t>—</t>
        </is>
      </c>
      <c r="S366" s="118" t="inlineStr">
        <is>
          <t>—</t>
        </is>
      </c>
    </row>
    <row r="367" ht="20" customHeight="1" s="57">
      <c r="A367" s="67" t="n">
        <v>362</v>
      </c>
      <c r="B367" s="68" t="inlineStr">
        <is>
          <t>SO</t>
        </is>
      </c>
      <c r="C367" s="69" t="inlineStr">
        <is>
          <t>Southern</t>
        </is>
      </c>
      <c r="D367" s="70" t="inlineStr">
        <is>
          <t>Utilities - Regulated Electric</t>
        </is>
      </c>
      <c r="E367" s="79" t="n">
        <v>97.935</v>
      </c>
      <c r="F367" s="73" t="n">
        <v>0.09182179</v>
      </c>
      <c r="G367" s="80" t="n">
        <v>109.627580416</v>
      </c>
      <c r="H367" s="73" t="n">
        <v>0.101</v>
      </c>
      <c r="I367" s="81" t="n">
        <v>0.48469</v>
      </c>
      <c r="J367" s="82" t="n">
        <v>24.983418</v>
      </c>
      <c r="K367" s="83" t="n">
        <v>-3460.124928</v>
      </c>
      <c r="L367" s="78" t="inlineStr">
        <is>
          <t>—</t>
        </is>
      </c>
      <c r="M367" s="78" t="inlineStr">
        <is>
          <t>—</t>
        </is>
      </c>
      <c r="N367" s="82" t="n">
        <v>-31.68312947227928</v>
      </c>
      <c r="O367" s="119" t="inlineStr">
        <is>
          <t>—</t>
        </is>
      </c>
      <c r="P367" s="119" t="inlineStr">
        <is>
          <t>—</t>
        </is>
      </c>
      <c r="Q367" s="119" t="inlineStr">
        <is>
          <t>—</t>
        </is>
      </c>
      <c r="R367" s="119" t="inlineStr">
        <is>
          <t>—</t>
        </is>
      </c>
      <c r="S367" s="119" t="inlineStr">
        <is>
          <t>—</t>
        </is>
      </c>
    </row>
    <row r="368" ht="20" customHeight="1" s="57">
      <c r="A368" s="62" t="n">
        <v>363</v>
      </c>
      <c r="B368" s="63" t="inlineStr">
        <is>
          <t>PPL</t>
        </is>
      </c>
      <c r="C368" s="64" t="inlineStr">
        <is>
          <t>PPL</t>
        </is>
      </c>
      <c r="D368" s="65" t="inlineStr">
        <is>
          <t>Utilities - Regulated Electric</t>
        </is>
      </c>
      <c r="E368" s="72" t="n">
        <v>38.525</v>
      </c>
      <c r="F368" s="73" t="n">
        <v>0.10741174</v>
      </c>
      <c r="G368" s="74" t="n">
        <v>28.944095232</v>
      </c>
      <c r="H368" s="73" t="n">
        <v>0.028</v>
      </c>
      <c r="I368" s="75" t="n">
        <v>0.43475</v>
      </c>
      <c r="J368" s="76" t="n">
        <v>24.22956</v>
      </c>
      <c r="K368" s="85" t="n">
        <v>-1334.37504</v>
      </c>
      <c r="L368" s="77" t="inlineStr">
        <is>
          <t>—</t>
        </is>
      </c>
      <c r="M368" s="77" t="inlineStr">
        <is>
          <t>—</t>
        </is>
      </c>
      <c r="N368" s="76" t="n">
        <v>-21.69112378016304</v>
      </c>
      <c r="O368" s="118" t="inlineStr">
        <is>
          <t>—</t>
        </is>
      </c>
      <c r="P368" s="118" t="inlineStr">
        <is>
          <t>—</t>
        </is>
      </c>
      <c r="Q368" s="118" t="inlineStr">
        <is>
          <t>—</t>
        </is>
      </c>
      <c r="R368" s="118" t="inlineStr">
        <is>
          <t>—</t>
        </is>
      </c>
      <c r="S368" s="118" t="inlineStr">
        <is>
          <t>—</t>
        </is>
      </c>
    </row>
    <row r="369" ht="20" customHeight="1" s="57">
      <c r="A369" s="67" t="n">
        <v>364</v>
      </c>
      <c r="B369" s="68" t="inlineStr">
        <is>
          <t>XEL</t>
        </is>
      </c>
      <c r="C369" s="69" t="inlineStr">
        <is>
          <t>Xcel Energy</t>
        </is>
      </c>
      <c r="D369" s="70" t="inlineStr">
        <is>
          <t>Utilities - Regulated Electric</t>
        </is>
      </c>
      <c r="E369" s="79" t="n">
        <v>83.31100000000001</v>
      </c>
      <c r="F369" s="73" t="n">
        <v>0.21009743</v>
      </c>
      <c r="G369" s="80" t="n">
        <v>49.281769472</v>
      </c>
      <c r="H369" s="73" t="n">
        <v>0.141</v>
      </c>
      <c r="I369" s="81" t="n">
        <v>0.45743</v>
      </c>
      <c r="J369" s="82" t="n">
        <v>24.35994</v>
      </c>
      <c r="K369" s="83" t="n">
        <v>-7018.25024</v>
      </c>
      <c r="L369" s="78" t="inlineStr">
        <is>
          <t>—</t>
        </is>
      </c>
      <c r="M369" s="78" t="inlineStr">
        <is>
          <t>—</t>
        </is>
      </c>
      <c r="N369" s="82" t="n">
        <v>-7.021945405640453</v>
      </c>
      <c r="O369" s="119" t="inlineStr">
        <is>
          <t>—</t>
        </is>
      </c>
      <c r="P369" s="119" t="inlineStr">
        <is>
          <t>—</t>
        </is>
      </c>
      <c r="Q369" s="119" t="inlineStr">
        <is>
          <t>—</t>
        </is>
      </c>
      <c r="R369" s="119" t="inlineStr">
        <is>
          <t>—</t>
        </is>
      </c>
      <c r="S369" s="119" t="inlineStr">
        <is>
          <t>—</t>
        </is>
      </c>
    </row>
    <row r="370" ht="20" customHeight="1" s="57">
      <c r="A370" s="62" t="n">
        <v>365</v>
      </c>
      <c r="B370" s="63" t="inlineStr">
        <is>
          <t>ADM</t>
        </is>
      </c>
      <c r="C370" s="64" t="inlineStr">
        <is>
          <t>Archer-Daniels Midland</t>
        </is>
      </c>
      <c r="D370" s="65" t="inlineStr">
        <is>
          <t>Farm Products</t>
        </is>
      </c>
      <c r="E370" s="72" t="n">
        <v>67.575</v>
      </c>
      <c r="F370" s="73" t="n">
        <v>0.4844978</v>
      </c>
      <c r="G370" s="74" t="n">
        <v>32.517214208</v>
      </c>
      <c r="H370" s="84" t="n">
        <v>-0.137</v>
      </c>
      <c r="I370" s="75" t="n">
        <v>0.06270000000000001</v>
      </c>
      <c r="J370" s="76" t="n">
        <v>30.302689</v>
      </c>
      <c r="K370" s="85" t="n">
        <v>2147.749888</v>
      </c>
      <c r="L370" s="74" t="n">
        <v>16.99802212536943</v>
      </c>
      <c r="M370" s="84" t="n">
        <v>-0.4772608127916592</v>
      </c>
      <c r="N370" s="76" t="n">
        <v>15.14013097613534</v>
      </c>
      <c r="O370" s="118" t="inlineStr">
        <is>
          <t>—</t>
        </is>
      </c>
      <c r="P370" s="118" t="inlineStr">
        <is>
          <t>—</t>
        </is>
      </c>
      <c r="Q370" s="118" t="inlineStr">
        <is>
          <t>—</t>
        </is>
      </c>
      <c r="R370" s="118" t="inlineStr">
        <is>
          <t>—</t>
        </is>
      </c>
      <c r="S370" s="118" t="inlineStr">
        <is>
          <t>—</t>
        </is>
      </c>
    </row>
    <row r="371" ht="20" customHeight="1" s="57">
      <c r="A371" s="67" t="n">
        <v>366</v>
      </c>
      <c r="B371" s="68" t="inlineStr">
        <is>
          <t>AWK</t>
        </is>
      </c>
      <c r="C371" s="69" t="inlineStr">
        <is>
          <t>American Water Works Co</t>
        </is>
      </c>
      <c r="D371" s="70" t="inlineStr">
        <is>
          <t>Utilities - Regulated Water</t>
        </is>
      </c>
      <c r="E371" s="79" t="n">
        <v>136.18</v>
      </c>
      <c r="F371" s="84" t="n">
        <v>-0.014584243</v>
      </c>
      <c r="G371" s="80" t="n">
        <v>26.583515136</v>
      </c>
      <c r="H371" s="73" t="n">
        <v>0.058</v>
      </c>
      <c r="I371" s="81" t="n">
        <v>0.6072</v>
      </c>
      <c r="J371" s="82" t="n">
        <v>23.933214</v>
      </c>
      <c r="K371" s="83" t="n">
        <v>-2340.999936</v>
      </c>
      <c r="L371" s="78" t="inlineStr">
        <is>
          <t>—</t>
        </is>
      </c>
      <c r="M371" s="78" t="inlineStr">
        <is>
          <t>—</t>
        </is>
      </c>
      <c r="N371" s="82" t="n">
        <v>-11.35562446076034</v>
      </c>
      <c r="O371" s="119" t="inlineStr">
        <is>
          <t>—</t>
        </is>
      </c>
      <c r="P371" s="119" t="inlineStr">
        <is>
          <t>—</t>
        </is>
      </c>
      <c r="Q371" s="119" t="inlineStr">
        <is>
          <t>—</t>
        </is>
      </c>
      <c r="R371" s="119" t="inlineStr">
        <is>
          <t>—</t>
        </is>
      </c>
      <c r="S371" s="119" t="inlineStr">
        <is>
          <t>—</t>
        </is>
      </c>
    </row>
    <row r="372" ht="20" customHeight="1" s="57">
      <c r="A372" s="62" t="n">
        <v>367</v>
      </c>
      <c r="B372" s="63" t="inlineStr">
        <is>
          <t>ES</t>
        </is>
      </c>
      <c r="C372" s="64" t="inlineStr">
        <is>
          <t>Eversource Energy</t>
        </is>
      </c>
      <c r="D372" s="65" t="inlineStr">
        <is>
          <t>Utilities - Regulated Electric</t>
        </is>
      </c>
      <c r="E372" s="72" t="n">
        <v>75.16</v>
      </c>
      <c r="F372" s="73" t="n">
        <v>0.2711345</v>
      </c>
      <c r="G372" s="74" t="n">
        <v>28.222326784</v>
      </c>
      <c r="H372" s="73" t="n">
        <v>0.134</v>
      </c>
      <c r="I372" s="75" t="n">
        <v>0.53622</v>
      </c>
      <c r="J372" s="76" t="n">
        <v>16.482456</v>
      </c>
      <c r="K372" s="85" t="n">
        <v>761.4944</v>
      </c>
      <c r="L372" s="74" t="n">
        <v>13.22895548514594</v>
      </c>
      <c r="M372" s="84" t="n">
        <v>-0.5312592194685454</v>
      </c>
      <c r="N372" s="76" t="n">
        <v>37.06176339938941</v>
      </c>
      <c r="O372" s="118" t="inlineStr">
        <is>
          <t>—</t>
        </is>
      </c>
      <c r="P372" s="118" t="inlineStr">
        <is>
          <t>—</t>
        </is>
      </c>
      <c r="Q372" s="118" t="inlineStr">
        <is>
          <t>—</t>
        </is>
      </c>
      <c r="R372" s="118" t="inlineStr">
        <is>
          <t>—</t>
        </is>
      </c>
      <c r="S372" s="118" t="inlineStr">
        <is>
          <t>—</t>
        </is>
      </c>
    </row>
    <row r="373" ht="20" customHeight="1" s="57">
      <c r="A373" s="67" t="n">
        <v>368</v>
      </c>
      <c r="B373" s="68" t="inlineStr">
        <is>
          <t>DUK</t>
        </is>
      </c>
      <c r="C373" s="69" t="inlineStr">
        <is>
          <t>Duke Energy</t>
        </is>
      </c>
      <c r="D373" s="70" t="inlineStr">
        <is>
          <t>Utilities - Regulated Electric</t>
        </is>
      </c>
      <c r="E373" s="79" t="n">
        <v>132.1</v>
      </c>
      <c r="F373" s="73" t="n">
        <v>0.1405884</v>
      </c>
      <c r="G373" s="80" t="n">
        <v>102.729056256</v>
      </c>
      <c r="H373" s="73" t="n">
        <v>0.08</v>
      </c>
      <c r="I373" s="81" t="n">
        <v>0.51897</v>
      </c>
      <c r="J373" s="82" t="n">
        <v>20.935024</v>
      </c>
      <c r="K373" s="83" t="n">
        <v>-2002.625024</v>
      </c>
      <c r="L373" s="91" t="inlineStr">
        <is>
          <t>—</t>
        </is>
      </c>
      <c r="M373" s="90" t="inlineStr">
        <is>
          <t>—</t>
        </is>
      </c>
      <c r="N373" s="82" t="n">
        <v>-51.29719566032946</v>
      </c>
      <c r="O373" s="119" t="inlineStr">
        <is>
          <t>—</t>
        </is>
      </c>
      <c r="P373" s="119" t="inlineStr">
        <is>
          <t>—</t>
        </is>
      </c>
      <c r="Q373" s="119" t="inlineStr">
        <is>
          <t>—</t>
        </is>
      </c>
      <c r="R373" s="119" t="inlineStr">
        <is>
          <t>—</t>
        </is>
      </c>
      <c r="S373" s="119" t="inlineStr">
        <is>
          <t>—</t>
        </is>
      </c>
    </row>
    <row r="374" ht="20" customHeight="1" s="57">
      <c r="A374" s="62" t="n">
        <v>369</v>
      </c>
      <c r="B374" s="63" t="inlineStr">
        <is>
          <t>AEP</t>
        </is>
      </c>
      <c r="C374" s="64" t="inlineStr">
        <is>
          <t>American Electric Power</t>
        </is>
      </c>
      <c r="D374" s="65" t="inlineStr">
        <is>
          <t>Utilities - Regulated Electric</t>
        </is>
      </c>
      <c r="E374" s="72" t="n">
        <v>133.175</v>
      </c>
      <c r="F374" s="73" t="n">
        <v>0.27594543</v>
      </c>
      <c r="G374" s="74" t="n">
        <v>72.029233152</v>
      </c>
      <c r="H374" s="73" t="n">
        <v>0.132</v>
      </c>
      <c r="I374" s="75" t="n">
        <v>0.47522</v>
      </c>
      <c r="J374" s="76" t="n">
        <v>19.996246</v>
      </c>
      <c r="K374" s="85" t="n">
        <v>-5140.37504</v>
      </c>
      <c r="L374" s="77" t="inlineStr">
        <is>
          <t>—</t>
        </is>
      </c>
      <c r="M374" s="77" t="inlineStr">
        <is>
          <t>—</t>
        </is>
      </c>
      <c r="N374" s="76" t="n">
        <v>-14.01244580527241</v>
      </c>
      <c r="O374" s="118" t="inlineStr">
        <is>
          <t>—</t>
        </is>
      </c>
      <c r="P374" s="118" t="inlineStr">
        <is>
          <t>—</t>
        </is>
      </c>
      <c r="Q374" s="118" t="inlineStr">
        <is>
          <t>—</t>
        </is>
      </c>
      <c r="R374" s="118" t="inlineStr">
        <is>
          <t>—</t>
        </is>
      </c>
      <c r="S374" s="118" t="inlineStr">
        <is>
          <t>—</t>
        </is>
      </c>
    </row>
    <row r="375" ht="20" customHeight="1" s="57">
      <c r="A375" s="67" t="n">
        <v>370</v>
      </c>
      <c r="B375" s="68" t="inlineStr">
        <is>
          <t>NEE</t>
        </is>
      </c>
      <c r="C375" s="69" t="inlineStr">
        <is>
          <t>NextEra Energy</t>
        </is>
      </c>
      <c r="D375" s="70" t="inlineStr">
        <is>
          <t>Utilities - Regulated Electric</t>
        </is>
      </c>
      <c r="E375" s="79" t="n">
        <v>92.69</v>
      </c>
      <c r="F375" s="73" t="n">
        <v>0.31370604</v>
      </c>
      <c r="G375" s="80" t="n">
        <v>193.12164864</v>
      </c>
      <c r="H375" s="73" t="n">
        <v>0.207</v>
      </c>
      <c r="I375" s="81" t="n">
        <v>0.62268</v>
      </c>
      <c r="J375" s="82" t="n">
        <v>28.08788</v>
      </c>
      <c r="K375" s="83" t="n">
        <v>-15209.124864</v>
      </c>
      <c r="L375" s="78" t="inlineStr">
        <is>
          <t>—</t>
        </is>
      </c>
      <c r="M375" s="78" t="inlineStr">
        <is>
          <t>—</t>
        </is>
      </c>
      <c r="N375" s="82" t="n">
        <v>-12.6977490532857</v>
      </c>
      <c r="O375" s="119" t="inlineStr">
        <is>
          <t>—</t>
        </is>
      </c>
      <c r="P375" s="119" t="inlineStr">
        <is>
          <t>—</t>
        </is>
      </c>
      <c r="Q375" s="119" t="inlineStr">
        <is>
          <t>—</t>
        </is>
      </c>
      <c r="R375" s="119" t="inlineStr">
        <is>
          <t>—</t>
        </is>
      </c>
      <c r="S375" s="119" t="inlineStr">
        <is>
          <t>—</t>
        </is>
      </c>
    </row>
    <row r="376" ht="20" customHeight="1" s="57">
      <c r="A376" s="62" t="n">
        <v>371</v>
      </c>
      <c r="B376" s="63" t="inlineStr">
        <is>
          <t>NFLX</t>
        </is>
      </c>
      <c r="C376" s="64" t="inlineStr">
        <is>
          <t>Netflix</t>
        </is>
      </c>
      <c r="D376" s="65" t="inlineStr">
        <is>
          <t>Entertainment</t>
        </is>
      </c>
      <c r="E376" s="72" t="n">
        <v>98.655</v>
      </c>
      <c r="F376" s="84" t="n">
        <v>-0.014047563</v>
      </c>
      <c r="G376" s="74" t="n">
        <v>418.483601408</v>
      </c>
      <c r="H376" s="73" t="n">
        <v>0.176</v>
      </c>
      <c r="I376" s="75" t="n">
        <v>0.48487</v>
      </c>
      <c r="J376" s="76" t="n">
        <v>38.994072</v>
      </c>
      <c r="K376" s="85" t="n">
        <v>24817.524736</v>
      </c>
      <c r="L376" s="74" t="n">
        <v>434.627390545554</v>
      </c>
      <c r="M376" s="73" t="n">
        <v>0.03857687394019205</v>
      </c>
      <c r="N376" s="76" t="n">
        <v>16.84427188265501</v>
      </c>
      <c r="O376" s="118" t="inlineStr">
        <is>
          <t>—</t>
        </is>
      </c>
      <c r="P376" s="118" t="inlineStr">
        <is>
          <t>—</t>
        </is>
      </c>
      <c r="Q376" s="118" t="inlineStr">
        <is>
          <t>—</t>
        </is>
      </c>
      <c r="R376" s="118" t="inlineStr">
        <is>
          <t>—</t>
        </is>
      </c>
      <c r="S376" s="118" t="inlineStr">
        <is>
          <t>—</t>
        </is>
      </c>
    </row>
    <row r="377" ht="20" customHeight="1" s="57">
      <c r="A377" s="67" t="n">
        <v>372</v>
      </c>
      <c r="B377" s="68" t="inlineStr">
        <is>
          <t>ETR</t>
        </is>
      </c>
      <c r="C377" s="69" t="inlineStr">
        <is>
          <t>Entergy</t>
        </is>
      </c>
      <c r="D377" s="70" t="inlineStr">
        <is>
          <t>Utilities - Diversified</t>
        </is>
      </c>
      <c r="E377" s="79" t="n">
        <v>106.61</v>
      </c>
      <c r="F377" s="73" t="n">
        <v>0.24982285</v>
      </c>
      <c r="G377" s="80" t="n">
        <v>48.293244928</v>
      </c>
      <c r="H377" s="73" t="n">
        <v>0.079</v>
      </c>
      <c r="I377" s="81" t="n">
        <v>0.47717</v>
      </c>
      <c r="J377" s="82" t="n">
        <v>27.265984</v>
      </c>
      <c r="K377" s="83" t="n">
        <v>-3616.923648</v>
      </c>
      <c r="L377" s="78" t="inlineStr">
        <is>
          <t>—</t>
        </is>
      </c>
      <c r="M377" s="78" t="inlineStr">
        <is>
          <t>—</t>
        </is>
      </c>
      <c r="N377" s="82" t="n">
        <v>-13.35202266414279</v>
      </c>
      <c r="O377" s="119" t="inlineStr">
        <is>
          <t>—</t>
        </is>
      </c>
      <c r="P377" s="119" t="inlineStr">
        <is>
          <t>—</t>
        </is>
      </c>
      <c r="Q377" s="119" t="inlineStr">
        <is>
          <t>—</t>
        </is>
      </c>
      <c r="R377" s="119" t="inlineStr">
        <is>
          <t>—</t>
        </is>
      </c>
      <c r="S377" s="119" t="inlineStr">
        <is>
          <t>—</t>
        </is>
      </c>
    </row>
    <row r="378" ht="20" customHeight="1" s="57">
      <c r="A378" s="62" t="n">
        <v>373</v>
      </c>
      <c r="B378" s="63" t="inlineStr">
        <is>
          <t>OKE</t>
        </is>
      </c>
      <c r="C378" s="64" t="inlineStr">
        <is>
          <t>ONEOK</t>
        </is>
      </c>
      <c r="D378" s="65" t="inlineStr">
        <is>
          <t>Oil &amp; Gas Midstream</t>
        </is>
      </c>
      <c r="E378" s="72" t="n">
        <v>84.81</v>
      </c>
      <c r="F378" s="84" t="n">
        <v>-0.07717425</v>
      </c>
      <c r="G378" s="74" t="n">
        <v>53.411946496</v>
      </c>
      <c r="H378" s="73" t="n">
        <v>0.295</v>
      </c>
      <c r="I378" s="75" t="n">
        <v>0.30497</v>
      </c>
      <c r="J378" s="76" t="n">
        <v>15.647601</v>
      </c>
      <c r="K378" s="85" t="n">
        <v>725.3749759999999</v>
      </c>
      <c r="L378" s="74" t="n">
        <v>12.56327756882798</v>
      </c>
      <c r="M378" s="84" t="n">
        <v>-0.764785251371267</v>
      </c>
      <c r="N378" s="76" t="n">
        <v>73.63357127933236</v>
      </c>
      <c r="O378" s="118" t="inlineStr">
        <is>
          <t>—</t>
        </is>
      </c>
      <c r="P378" s="118" t="inlineStr">
        <is>
          <t>—</t>
        </is>
      </c>
      <c r="Q378" s="118" t="inlineStr">
        <is>
          <t>—</t>
        </is>
      </c>
      <c r="R378" s="118" t="inlineStr">
        <is>
          <t>—</t>
        </is>
      </c>
      <c r="S378" s="118" t="inlineStr">
        <is>
          <t>—</t>
        </is>
      </c>
    </row>
    <row r="379" ht="20" customHeight="1" s="57">
      <c r="A379" s="67" t="n">
        <v>374</v>
      </c>
      <c r="B379" s="68" t="inlineStr">
        <is>
          <t>C</t>
        </is>
      </c>
      <c r="C379" s="69" t="inlineStr">
        <is>
          <t>Citigroup</t>
        </is>
      </c>
      <c r="D379" s="70" t="inlineStr">
        <is>
          <t>Banks - Diversified</t>
        </is>
      </c>
      <c r="E379" s="79" t="n">
        <v>111.665</v>
      </c>
      <c r="F379" s="73" t="n">
        <v>0.51809216</v>
      </c>
      <c r="G379" s="80" t="n">
        <v>195.337715712</v>
      </c>
      <c r="H379" s="73" t="n">
        <v>0.044</v>
      </c>
      <c r="I379" s="81" t="n">
        <v>0</v>
      </c>
      <c r="J379" s="82" t="n">
        <v>15.974965</v>
      </c>
      <c r="K379" s="78" t="inlineStr">
        <is>
          <t>—</t>
        </is>
      </c>
      <c r="L379" s="78" t="inlineStr">
        <is>
          <t>—</t>
        </is>
      </c>
      <c r="M379" s="78" t="inlineStr">
        <is>
          <t>—</t>
        </is>
      </c>
      <c r="N379" s="78" t="inlineStr">
        <is>
          <t>—</t>
        </is>
      </c>
      <c r="O379" s="134" t="inlineStr">
        <is>
          <t>SOLD</t>
        </is>
      </c>
      <c r="P379" s="119" t="inlineStr">
        <is>
          <t>—</t>
        </is>
      </c>
      <c r="Q379" s="133" t="inlineStr">
        <is>
          <t>Sold</t>
        </is>
      </c>
      <c r="R379" s="128" t="n">
        <v>51</v>
      </c>
      <c r="S379" s="129" t="inlineStr">
        <is>
          <t>Fully exited Q1: sold all 14.6M shares @~$73</t>
        </is>
      </c>
    </row>
    <row r="380" ht="20" customHeight="1" s="57">
      <c r="A380" s="62" t="n">
        <v>375</v>
      </c>
      <c r="B380" s="63" t="inlineStr">
        <is>
          <t>FANG</t>
        </is>
      </c>
      <c r="C380" s="64" t="inlineStr">
        <is>
          <t>Diamondback Energy</t>
        </is>
      </c>
      <c r="D380" s="65" t="inlineStr">
        <is>
          <t>Oil &amp; Gas E&amp;P</t>
        </is>
      </c>
      <c r="E380" s="72" t="n">
        <v>175.6712</v>
      </c>
      <c r="F380" s="73" t="n">
        <v>0.24407852</v>
      </c>
      <c r="G380" s="74" t="n">
        <v>50.334298112</v>
      </c>
      <c r="H380" s="84" t="n">
        <v>-0.094</v>
      </c>
      <c r="I380" s="75" t="n">
        <v>0.7304</v>
      </c>
      <c r="J380" s="76" t="n">
        <v>30.65815</v>
      </c>
      <c r="K380" s="85" t="n">
        <v>602.6250240000001</v>
      </c>
      <c r="L380" s="74" t="n">
        <v>4.627050262205058</v>
      </c>
      <c r="M380" s="84" t="n">
        <v>-0.9080736111208046</v>
      </c>
      <c r="N380" s="76" t="n">
        <v>82.96225183348774</v>
      </c>
      <c r="O380" s="118" t="inlineStr">
        <is>
          <t>—</t>
        </is>
      </c>
      <c r="P380" s="118" t="inlineStr">
        <is>
          <t>—</t>
        </is>
      </c>
      <c r="Q380" s="118" t="inlineStr">
        <is>
          <t>—</t>
        </is>
      </c>
      <c r="R380" s="118" t="inlineStr">
        <is>
          <t>—</t>
        </is>
      </c>
      <c r="S380" s="118" t="inlineStr">
        <is>
          <t>—</t>
        </is>
      </c>
    </row>
    <row r="381" ht="20" customHeight="1" s="57">
      <c r="A381" s="67" t="n">
        <v>376</v>
      </c>
      <c r="B381" s="68" t="inlineStr">
        <is>
          <t>ATO</t>
        </is>
      </c>
      <c r="C381" s="69" t="inlineStr">
        <is>
          <t>Atmos Energy</t>
        </is>
      </c>
      <c r="D381" s="70" t="inlineStr">
        <is>
          <t>Utilities - Regulated Gas</t>
        </is>
      </c>
      <c r="E381" s="79" t="n">
        <v>186.275</v>
      </c>
      <c r="F381" s="73" t="n">
        <v>0.25548434</v>
      </c>
      <c r="G381" s="80" t="n">
        <v>30.817138688</v>
      </c>
      <c r="H381" s="73" t="n">
        <v>0.142</v>
      </c>
      <c r="I381" s="81" t="n">
        <v>0.57824004</v>
      </c>
      <c r="J381" s="82" t="n">
        <v>24.317884</v>
      </c>
      <c r="K381" s="83" t="n">
        <v>-1871.672832</v>
      </c>
      <c r="L381" s="78" t="inlineStr">
        <is>
          <t>—</t>
        </is>
      </c>
      <c r="M381" s="78" t="inlineStr">
        <is>
          <t>—</t>
        </is>
      </c>
      <c r="N381" s="82" t="n">
        <v>-16.46502483728417</v>
      </c>
      <c r="O381" s="119" t="inlineStr">
        <is>
          <t>—</t>
        </is>
      </c>
      <c r="P381" s="119" t="inlineStr">
        <is>
          <t>—</t>
        </is>
      </c>
      <c r="Q381" s="119" t="inlineStr">
        <is>
          <t>—</t>
        </is>
      </c>
      <c r="R381" s="119" t="inlineStr">
        <is>
          <t>—</t>
        </is>
      </c>
      <c r="S381" s="119" t="inlineStr">
        <is>
          <t>—</t>
        </is>
      </c>
    </row>
    <row r="382" ht="20" customHeight="1" s="57">
      <c r="A382" s="62" t="n">
        <v>377</v>
      </c>
      <c r="B382" s="63" t="inlineStr">
        <is>
          <t>EIX</t>
        </is>
      </c>
      <c r="C382" s="64" t="inlineStr">
        <is>
          <t>Edison Intl</t>
        </is>
      </c>
      <c r="D382" s="65" t="inlineStr">
        <is>
          <t>Utilities - Regulated Electric</t>
        </is>
      </c>
      <c r="E382" s="72" t="n">
        <v>73.72499999999999</v>
      </c>
      <c r="F382" s="73" t="n">
        <v>0.33828592</v>
      </c>
      <c r="G382" s="74" t="n">
        <v>28.368709632</v>
      </c>
      <c r="H382" s="73" t="n">
        <v>0.308</v>
      </c>
      <c r="I382" s="75" t="n">
        <v>0.5783</v>
      </c>
      <c r="J382" s="76" t="n">
        <v>6.3831167</v>
      </c>
      <c r="K382" s="85" t="n">
        <v>-649.500032</v>
      </c>
      <c r="L382" s="77" t="inlineStr">
        <is>
          <t>—</t>
        </is>
      </c>
      <c r="M382" s="77" t="inlineStr">
        <is>
          <t>—</t>
        </is>
      </c>
      <c r="N382" s="76" t="n">
        <v>-43.6777670444749</v>
      </c>
      <c r="O382" s="118" t="inlineStr">
        <is>
          <t>—</t>
        </is>
      </c>
      <c r="P382" s="118" t="inlineStr">
        <is>
          <t>—</t>
        </is>
      </c>
      <c r="Q382" s="118" t="inlineStr">
        <is>
          <t>—</t>
        </is>
      </c>
      <c r="R382" s="118" t="inlineStr">
        <is>
          <t>—</t>
        </is>
      </c>
      <c r="S382" s="118" t="inlineStr">
        <is>
          <t>—</t>
        </is>
      </c>
    </row>
    <row r="383" ht="20" customHeight="1" s="57">
      <c r="A383" s="67" t="n">
        <v>378</v>
      </c>
      <c r="B383" s="68" t="inlineStr">
        <is>
          <t>ABNB</t>
        </is>
      </c>
      <c r="C383" s="69" t="inlineStr">
        <is>
          <t>Airbnb Inc</t>
        </is>
      </c>
      <c r="D383" s="70" t="inlineStr">
        <is>
          <t>Consumer Discretionary</t>
        </is>
      </c>
      <c r="E383" s="79" t="n">
        <v>135.905</v>
      </c>
      <c r="F383" s="84" t="n">
        <v>-0.06690979</v>
      </c>
      <c r="G383" s="80" t="n">
        <v>81.47694387200001</v>
      </c>
      <c r="H383" s="73" t="n">
        <v>0.12</v>
      </c>
      <c r="I383" s="81" t="n">
        <v>0.82959</v>
      </c>
      <c r="J383" s="82" t="n">
        <v>33.723324</v>
      </c>
      <c r="K383" s="83" t="n">
        <v>3543.000064</v>
      </c>
      <c r="L383" s="80" t="n">
        <v>69.33846516784625</v>
      </c>
      <c r="M383" s="84" t="n">
        <v>-0.1489805351956164</v>
      </c>
      <c r="N383" s="82" t="n">
        <v>16.24773494186282</v>
      </c>
      <c r="O383" s="119" t="inlineStr">
        <is>
          <t>—</t>
        </is>
      </c>
      <c r="P383" s="119" t="inlineStr">
        <is>
          <t>—</t>
        </is>
      </c>
      <c r="Q383" s="119" t="inlineStr">
        <is>
          <t>—</t>
        </is>
      </c>
      <c r="R383" s="119" t="inlineStr">
        <is>
          <t>—</t>
        </is>
      </c>
      <c r="S383" s="119" t="inlineStr">
        <is>
          <t>—</t>
        </is>
      </c>
    </row>
    <row r="384" ht="20" customHeight="1" s="57">
      <c r="A384" s="62" t="n">
        <v>379</v>
      </c>
      <c r="B384" s="63" t="inlineStr">
        <is>
          <t>ALLY</t>
        </is>
      </c>
      <c r="C384" s="64" t="inlineStr">
        <is>
          <t>Ally Financial Inc</t>
        </is>
      </c>
      <c r="D384" s="65" t="inlineStr">
        <is>
          <t>Financials</t>
        </is>
      </c>
      <c r="E384" s="72" t="n">
        <v>40.51</v>
      </c>
      <c r="F384" s="73" t="n">
        <v>0.1233803</v>
      </c>
      <c r="G384" s="74" t="n">
        <v>12.497050624</v>
      </c>
      <c r="H384" s="73" t="n">
        <v>0.12</v>
      </c>
      <c r="I384" s="75" t="n">
        <v>0</v>
      </c>
      <c r="J384" s="76" t="n">
        <v>17.092827</v>
      </c>
      <c r="K384" s="77" t="inlineStr">
        <is>
          <t>—</t>
        </is>
      </c>
      <c r="L384" s="77" t="inlineStr">
        <is>
          <t>—</t>
        </is>
      </c>
      <c r="M384" s="77" t="inlineStr">
        <is>
          <t>—</t>
        </is>
      </c>
      <c r="N384" s="77" t="inlineStr">
        <is>
          <t>—</t>
        </is>
      </c>
      <c r="O384" s="120" t="inlineStr">
        <is>
          <t>YES</t>
        </is>
      </c>
      <c r="P384" s="121" t="n">
        <v>2.47</v>
      </c>
      <c r="Q384" s="130" t="inlineStr">
        <is>
          <t>Hold</t>
        </is>
      </c>
      <c r="R384" s="123" t="n">
        <v>35</v>
      </c>
      <c r="S384" s="124" t="inlineStr">
        <is>
          <t>Held unchanged all year. ~29M shares</t>
        </is>
      </c>
    </row>
    <row r="385" ht="20" customHeight="1" s="57">
      <c r="A385" s="67" t="n">
        <v>380</v>
      </c>
      <c r="B385" s="68" t="inlineStr">
        <is>
          <t>APP</t>
        </is>
      </c>
      <c r="C385" s="69" t="inlineStr">
        <is>
          <t>AppLovin Corp</t>
        </is>
      </c>
      <c r="D385" s="70" t="inlineStr">
        <is>
          <t>Technology</t>
        </is>
      </c>
      <c r="E385" s="79" t="n">
        <v>479.37</v>
      </c>
      <c r="F385" s="73" t="n">
        <v>0.38015723</v>
      </c>
      <c r="G385" s="80" t="n">
        <v>162.068004864</v>
      </c>
      <c r="H385" s="73" t="n">
        <v>0.659</v>
      </c>
      <c r="I385" s="81" t="n">
        <v>0.87864</v>
      </c>
      <c r="J385" s="82" t="n">
        <v>47.716915</v>
      </c>
      <c r="K385" s="83" t="n">
        <v>2699.1872</v>
      </c>
      <c r="L385" s="80" t="n">
        <v>48.39675292083397</v>
      </c>
      <c r="M385" s="84" t="n">
        <v>-0.7013799672461798</v>
      </c>
      <c r="N385" s="82" t="n">
        <v>54.53498960724177</v>
      </c>
      <c r="O385" s="119" t="inlineStr">
        <is>
          <t>—</t>
        </is>
      </c>
      <c r="P385" s="119" t="inlineStr">
        <is>
          <t>—</t>
        </is>
      </c>
      <c r="Q385" s="119" t="inlineStr">
        <is>
          <t>—</t>
        </is>
      </c>
      <c r="R385" s="119" t="inlineStr">
        <is>
          <t>—</t>
        </is>
      </c>
      <c r="S385" s="119" t="inlineStr">
        <is>
          <t>—</t>
        </is>
      </c>
    </row>
    <row r="386" ht="20" customHeight="1" s="57">
      <c r="A386" s="62" t="n">
        <v>381</v>
      </c>
      <c r="B386" s="63" t="inlineStr">
        <is>
          <t>ARM</t>
        </is>
      </c>
      <c r="C386" s="64" t="inlineStr">
        <is>
          <t>Arm Holdings plc</t>
        </is>
      </c>
      <c r="D386" s="65" t="inlineStr">
        <is>
          <t>Technology</t>
        </is>
      </c>
      <c r="E386" s="72" t="n">
        <v>124.62</v>
      </c>
      <c r="F386" s="84" t="n">
        <v>-0.024523139</v>
      </c>
      <c r="G386" s="74" t="n">
        <v>132.3462656</v>
      </c>
      <c r="H386" s="73" t="n">
        <v>0.263</v>
      </c>
      <c r="I386" s="75" t="n">
        <v>0.97495</v>
      </c>
      <c r="J386" s="76" t="n">
        <v>166.16</v>
      </c>
      <c r="K386" s="85" t="n">
        <v>824.750016</v>
      </c>
      <c r="L386" s="74" t="n">
        <v>16.87440923430382</v>
      </c>
      <c r="M386" s="84" t="n">
        <v>-0.8724980326584763</v>
      </c>
      <c r="N386" s="76" t="n">
        <v>160.4683347696716</v>
      </c>
      <c r="O386" s="118" t="inlineStr">
        <is>
          <t>—</t>
        </is>
      </c>
      <c r="P386" s="118" t="inlineStr">
        <is>
          <t>—</t>
        </is>
      </c>
      <c r="Q386" s="118" t="inlineStr">
        <is>
          <t>—</t>
        </is>
      </c>
      <c r="R386" s="118" t="inlineStr">
        <is>
          <t>—</t>
        </is>
      </c>
      <c r="S386" s="118" t="inlineStr">
        <is>
          <t>—</t>
        </is>
      </c>
    </row>
    <row r="387" ht="20" customHeight="1" s="57">
      <c r="A387" s="67" t="n">
        <v>382</v>
      </c>
      <c r="B387" s="68" t="inlineStr">
        <is>
          <t>AXON</t>
        </is>
      </c>
      <c r="C387" s="69" t="inlineStr">
        <is>
          <t>Axon Enterprise</t>
        </is>
      </c>
      <c r="D387" s="70" t="inlineStr">
        <is>
          <t>Industrials</t>
        </is>
      </c>
      <c r="E387" s="79" t="n">
        <v>569.385</v>
      </c>
      <c r="F387" s="73" t="n">
        <v>0.08249210999999999</v>
      </c>
      <c r="G387" s="80" t="n">
        <v>45.777227776</v>
      </c>
      <c r="H387" s="73" t="n">
        <v>0.385</v>
      </c>
      <c r="I387" s="81" t="n">
        <v>0.59823</v>
      </c>
      <c r="J387" s="82" t="n">
        <v>377.07617</v>
      </c>
      <c r="K387" s="83" t="n">
        <v>230.03112</v>
      </c>
      <c r="L387" s="80" t="n">
        <v>5.265851409641669</v>
      </c>
      <c r="M387" s="84" t="n">
        <v>-0.8849678832582684</v>
      </c>
      <c r="N387" s="82" t="n">
        <v>199.0045093893165</v>
      </c>
      <c r="O387" s="119" t="inlineStr">
        <is>
          <t>—</t>
        </is>
      </c>
      <c r="P387" s="119" t="inlineStr">
        <is>
          <t>—</t>
        </is>
      </c>
      <c r="Q387" s="119" t="inlineStr">
        <is>
          <t>—</t>
        </is>
      </c>
      <c r="R387" s="119" t="inlineStr">
        <is>
          <t>—</t>
        </is>
      </c>
      <c r="S387" s="119" t="inlineStr">
        <is>
          <t>—</t>
        </is>
      </c>
    </row>
    <row r="388" ht="20" customHeight="1" s="57">
      <c r="A388" s="62" t="n">
        <v>383</v>
      </c>
      <c r="B388" s="63" t="inlineStr">
        <is>
          <t>BALL</t>
        </is>
      </c>
      <c r="C388" s="64" t="inlineStr">
        <is>
          <t>Ball Corp</t>
        </is>
      </c>
      <c r="D388" s="65" t="inlineStr">
        <is>
          <t>Materials</t>
        </is>
      </c>
      <c r="E388" s="72" t="n">
        <v>64.875</v>
      </c>
      <c r="F388" s="73" t="n">
        <v>0.25698864</v>
      </c>
      <c r="G388" s="74" t="n">
        <v>17.385670656</v>
      </c>
      <c r="H388" s="73" t="n">
        <v>0.162</v>
      </c>
      <c r="I388" s="75" t="n">
        <v>0.19588</v>
      </c>
      <c r="J388" s="76" t="n">
        <v>19.659092</v>
      </c>
      <c r="K388" s="85" t="n">
        <v>883.500032</v>
      </c>
      <c r="L388" s="74" t="n">
        <v>16.14195381880723</v>
      </c>
      <c r="M388" s="84" t="n">
        <v>-0.07153689160467021</v>
      </c>
      <c r="N388" s="76" t="n">
        <v>19.53792428173336</v>
      </c>
      <c r="O388" s="118" t="inlineStr">
        <is>
          <t>—</t>
        </is>
      </c>
      <c r="P388" s="118" t="inlineStr">
        <is>
          <t>—</t>
        </is>
      </c>
      <c r="Q388" s="118" t="inlineStr">
        <is>
          <t>—</t>
        </is>
      </c>
      <c r="R388" s="118" t="inlineStr">
        <is>
          <t>—</t>
        </is>
      </c>
      <c r="S388" s="118" t="inlineStr">
        <is>
          <t>—</t>
        </is>
      </c>
    </row>
    <row r="389" ht="20" customHeight="1" s="57">
      <c r="A389" s="67" t="n">
        <v>384</v>
      </c>
      <c r="B389" s="68" t="inlineStr">
        <is>
          <t>BG</t>
        </is>
      </c>
      <c r="C389" s="69" t="inlineStr">
        <is>
          <t>Bunge Global SA</t>
        </is>
      </c>
      <c r="D389" s="70" t="inlineStr">
        <is>
          <t>Consumer Staples</t>
        </is>
      </c>
      <c r="E389" s="79" t="n">
        <v>115.3701</v>
      </c>
      <c r="F389" s="73" t="n">
        <v>0.62627244</v>
      </c>
      <c r="G389" s="80" t="n">
        <v>22.325164032</v>
      </c>
      <c r="H389" s="73" t="n">
        <v>0.755</v>
      </c>
      <c r="I389" s="81" t="n">
        <v>0.04847</v>
      </c>
      <c r="J389" s="82" t="n">
        <v>23.401644</v>
      </c>
      <c r="K389" s="83" t="n">
        <v>-7106.500096</v>
      </c>
      <c r="L389" s="78" t="inlineStr">
        <is>
          <t>—</t>
        </is>
      </c>
      <c r="M389" s="78" t="inlineStr">
        <is>
          <t>—</t>
        </is>
      </c>
      <c r="N389" s="82" t="n">
        <v>-3.141512926042743</v>
      </c>
      <c r="O389" s="119" t="inlineStr">
        <is>
          <t>—</t>
        </is>
      </c>
      <c r="P389" s="119" t="inlineStr">
        <is>
          <t>—</t>
        </is>
      </c>
      <c r="Q389" s="119" t="inlineStr">
        <is>
          <t>—</t>
        </is>
      </c>
      <c r="R389" s="119" t="inlineStr">
        <is>
          <t>—</t>
        </is>
      </c>
      <c r="S389" s="119" t="inlineStr">
        <is>
          <t>—</t>
        </is>
      </c>
    </row>
    <row r="390" ht="20" customHeight="1" s="57">
      <c r="A390" s="62" t="n">
        <v>385</v>
      </c>
      <c r="B390" s="63" t="inlineStr">
        <is>
          <t>BLDR</t>
        </is>
      </c>
      <c r="C390" s="64" t="inlineStr">
        <is>
          <t>Builders FirstSource</t>
        </is>
      </c>
      <c r="D390" s="65" t="inlineStr">
        <is>
          <t>Industrials</t>
        </is>
      </c>
      <c r="E390" s="72" t="n">
        <v>96.01000000000001</v>
      </c>
      <c r="F390" s="84" t="n">
        <v>-0.27112937</v>
      </c>
      <c r="G390" s="74" t="n">
        <v>10.619193344</v>
      </c>
      <c r="H390" s="84" t="n">
        <v>-0.121</v>
      </c>
      <c r="I390" s="75" t="n">
        <v>0.30386</v>
      </c>
      <c r="J390" s="76" t="n">
        <v>24.681234</v>
      </c>
      <c r="K390" s="85" t="n">
        <v>623.833728</v>
      </c>
      <c r="L390" s="74" t="n">
        <v>4.845463668971888</v>
      </c>
      <c r="M390" s="84" t="n">
        <v>-0.5437069924233325</v>
      </c>
      <c r="N390" s="76" t="n">
        <v>17.02247281296404</v>
      </c>
      <c r="O390" s="118" t="inlineStr">
        <is>
          <t>—</t>
        </is>
      </c>
      <c r="P390" s="118" t="inlineStr">
        <is>
          <t>—</t>
        </is>
      </c>
      <c r="Q390" s="118" t="inlineStr">
        <is>
          <t>—</t>
        </is>
      </c>
      <c r="R390" s="118" t="inlineStr">
        <is>
          <t>—</t>
        </is>
      </c>
      <c r="S390" s="118" t="inlineStr">
        <is>
          <t>—</t>
        </is>
      </c>
    </row>
    <row r="391" ht="20" customHeight="1" s="57">
      <c r="A391" s="67" t="n">
        <v>386</v>
      </c>
      <c r="B391" s="68" t="inlineStr">
        <is>
          <t>BRO</t>
        </is>
      </c>
      <c r="C391" s="69" t="inlineStr">
        <is>
          <t>Brown &amp; Brown Inc</t>
        </is>
      </c>
      <c r="D391" s="70" t="inlineStr">
        <is>
          <t>Financials</t>
        </is>
      </c>
      <c r="E391" s="79" t="n">
        <v>71.705</v>
      </c>
      <c r="F391" s="84" t="n">
        <v>-0.39660507</v>
      </c>
      <c r="G391" s="80" t="n">
        <v>24.481579008</v>
      </c>
      <c r="H391" s="73" t="n">
        <v>0.362</v>
      </c>
      <c r="I391" s="81" t="n">
        <v>0.49071997</v>
      </c>
      <c r="J391" s="82" t="n">
        <v>22.691456</v>
      </c>
      <c r="K391" s="83" t="n">
        <v>1400.749952</v>
      </c>
      <c r="L391" s="80" t="n">
        <v>24.95685254167421</v>
      </c>
      <c r="M391" s="73" t="n">
        <v>0.01941351632257463</v>
      </c>
      <c r="N391" s="82" t="n">
        <v>17.4262492134035</v>
      </c>
      <c r="O391" s="119" t="inlineStr">
        <is>
          <t>—</t>
        </is>
      </c>
      <c r="P391" s="119" t="inlineStr">
        <is>
          <t>—</t>
        </is>
      </c>
      <c r="Q391" s="119" t="inlineStr">
        <is>
          <t>—</t>
        </is>
      </c>
      <c r="R391" s="119" t="inlineStr">
        <is>
          <t>—</t>
        </is>
      </c>
      <c r="S391" s="119" t="inlineStr">
        <is>
          <t>—</t>
        </is>
      </c>
    </row>
    <row r="392" ht="20" customHeight="1" s="57">
      <c r="A392" s="62" t="n">
        <v>387</v>
      </c>
      <c r="B392" s="63" t="inlineStr">
        <is>
          <t>CBOE</t>
        </is>
      </c>
      <c r="C392" s="64" t="inlineStr">
        <is>
          <t>Cboe Global Markets</t>
        </is>
      </c>
      <c r="D392" s="65" t="inlineStr">
        <is>
          <t>Financials</t>
        </is>
      </c>
      <c r="E392" s="72" t="n">
        <v>299.9</v>
      </c>
      <c r="F392" s="73" t="n">
        <v>0.43348873</v>
      </c>
      <c r="G392" s="74" t="n">
        <v>31.389841408</v>
      </c>
      <c r="H392" s="73" t="n">
        <v>0.08699999999999999</v>
      </c>
      <c r="I392" s="75" t="n">
        <v>0.51527</v>
      </c>
      <c r="J392" s="76" t="n">
        <v>28.808838</v>
      </c>
      <c r="K392" s="85" t="n">
        <v>1265.699968</v>
      </c>
      <c r="L392" s="74" t="n">
        <v>19.90518573713894</v>
      </c>
      <c r="M392" s="84" t="n">
        <v>-0.3658717328827946</v>
      </c>
      <c r="N392" s="76" t="n">
        <v>24.80038146797203</v>
      </c>
      <c r="O392" s="118" t="inlineStr">
        <is>
          <t>—</t>
        </is>
      </c>
      <c r="P392" s="118" t="inlineStr">
        <is>
          <t>—</t>
        </is>
      </c>
      <c r="Q392" s="118" t="inlineStr">
        <is>
          <t>—</t>
        </is>
      </c>
      <c r="R392" s="118" t="inlineStr">
        <is>
          <t>—</t>
        </is>
      </c>
      <c r="S392" s="118" t="inlineStr">
        <is>
          <t>—</t>
        </is>
      </c>
    </row>
    <row r="393" ht="20" customHeight="1" s="57">
      <c r="A393" s="67" t="n">
        <v>388</v>
      </c>
      <c r="B393" s="68" t="inlineStr">
        <is>
          <t>CEG</t>
        </is>
      </c>
      <c r="C393" s="69" t="inlineStr">
        <is>
          <t>Constellation Energy</t>
        </is>
      </c>
      <c r="D393" s="70" t="inlineStr">
        <is>
          <t>Utilities</t>
        </is>
      </c>
      <c r="E393" s="79" t="n">
        <v>322.95</v>
      </c>
      <c r="F393" s="73" t="n">
        <v>0.41666663</v>
      </c>
      <c r="G393" s="80" t="n">
        <v>116.904779776</v>
      </c>
      <c r="H393" s="73" t="n">
        <v>0.129</v>
      </c>
      <c r="I393" s="81" t="n">
        <v>0.1838</v>
      </c>
      <c r="J393" s="82" t="n">
        <v>43.583</v>
      </c>
      <c r="K393" s="83" t="n">
        <v>1258</v>
      </c>
      <c r="L393" s="80" t="n">
        <v>24.41747847458085</v>
      </c>
      <c r="M393" s="84" t="n">
        <v>-0.7911336172792341</v>
      </c>
      <c r="N393" s="82" t="n">
        <v>92.92907685870429</v>
      </c>
      <c r="O393" s="119" t="inlineStr">
        <is>
          <t>—</t>
        </is>
      </c>
      <c r="P393" s="119" t="inlineStr">
        <is>
          <t>—</t>
        </is>
      </c>
      <c r="Q393" s="119" t="inlineStr">
        <is>
          <t>—</t>
        </is>
      </c>
      <c r="R393" s="119" t="inlineStr">
        <is>
          <t>—</t>
        </is>
      </c>
      <c r="S393" s="119" t="inlineStr">
        <is>
          <t>—</t>
        </is>
      </c>
    </row>
    <row r="394" ht="20" customHeight="1" s="57">
      <c r="A394" s="62" t="n">
        <v>389</v>
      </c>
      <c r="B394" s="63" t="inlineStr">
        <is>
          <t>COIN</t>
        </is>
      </c>
      <c r="C394" s="64" t="inlineStr">
        <is>
          <t>Coinbase Global</t>
        </is>
      </c>
      <c r="D394" s="65" t="inlineStr">
        <is>
          <t>Financials</t>
        </is>
      </c>
      <c r="E394" s="72" t="n">
        <v>210.219</v>
      </c>
      <c r="F394" s="84" t="n">
        <v>-0.18022025</v>
      </c>
      <c r="G394" s="74" t="n">
        <v>56.687149056</v>
      </c>
      <c r="H394" s="84" t="n">
        <v>-0.222</v>
      </c>
      <c r="I394" s="75" t="n">
        <v>0.85178</v>
      </c>
      <c r="J394" s="76" t="n">
        <v>47.240227</v>
      </c>
      <c r="K394" s="85" t="n">
        <v>1298.361984</v>
      </c>
      <c r="L394" s="74" t="n">
        <v>18.4973895457255</v>
      </c>
      <c r="M394" s="84" t="n">
        <v>-0.6736934233991494</v>
      </c>
      <c r="N394" s="76" t="n">
        <v>36.11282138393386</v>
      </c>
      <c r="O394" s="118" t="inlineStr">
        <is>
          <t>—</t>
        </is>
      </c>
      <c r="P394" s="118" t="inlineStr">
        <is>
          <t>—</t>
        </is>
      </c>
      <c r="Q394" s="118" t="inlineStr">
        <is>
          <t>—</t>
        </is>
      </c>
      <c r="R394" s="118" t="inlineStr">
        <is>
          <t>—</t>
        </is>
      </c>
      <c r="S394" s="118" t="inlineStr">
        <is>
          <t>—</t>
        </is>
      </c>
    </row>
    <row r="395" ht="20" customHeight="1" s="57">
      <c r="A395" s="67" t="n">
        <v>390</v>
      </c>
      <c r="B395" s="68" t="inlineStr">
        <is>
          <t>COR</t>
        </is>
      </c>
      <c r="C395" s="69" t="inlineStr">
        <is>
          <t>Cencora Inc</t>
        </is>
      </c>
      <c r="D395" s="70" t="inlineStr">
        <is>
          <t>Healthcare</t>
        </is>
      </c>
      <c r="E395" s="79" t="n">
        <v>370.99</v>
      </c>
      <c r="F395" s="73" t="n">
        <v>0.47672248</v>
      </c>
      <c r="G395" s="80" t="n">
        <v>72.16893952</v>
      </c>
      <c r="H395" s="73" t="n">
        <v>0.055</v>
      </c>
      <c r="I395" s="81" t="n">
        <v>0.03613</v>
      </c>
      <c r="J395" s="82" t="n">
        <v>44.590145</v>
      </c>
      <c r="K395" s="83" t="n">
        <v>3463.32032</v>
      </c>
      <c r="L395" s="80" t="n">
        <v>43.20653462662123</v>
      </c>
      <c r="M395" s="84" t="n">
        <v>-0.4013139875133191</v>
      </c>
      <c r="N395" s="82" t="n">
        <v>20.83807763850732</v>
      </c>
      <c r="O395" s="119" t="inlineStr">
        <is>
          <t>—</t>
        </is>
      </c>
      <c r="P395" s="119" t="inlineStr">
        <is>
          <t>—</t>
        </is>
      </c>
      <c r="Q395" s="119" t="inlineStr">
        <is>
          <t>—</t>
        </is>
      </c>
      <c r="R395" s="119" t="inlineStr">
        <is>
          <t>—</t>
        </is>
      </c>
      <c r="S395" s="119" t="inlineStr">
        <is>
          <t>—</t>
        </is>
      </c>
    </row>
    <row r="396" ht="20" customHeight="1" s="57">
      <c r="A396" s="62" t="n">
        <v>391</v>
      </c>
      <c r="B396" s="63" t="inlineStr">
        <is>
          <t>CPT</t>
        </is>
      </c>
      <c r="C396" s="64" t="inlineStr">
        <is>
          <t>Camden Property Trust</t>
        </is>
      </c>
      <c r="D396" s="65" t="inlineStr">
        <is>
          <t>Real Estate</t>
        </is>
      </c>
      <c r="E396" s="72" t="n">
        <v>108.67</v>
      </c>
      <c r="F396" s="84" t="n">
        <v>-0.13044524</v>
      </c>
      <c r="G396" s="74" t="n">
        <v>11.561979904</v>
      </c>
      <c r="H396" s="73" t="n">
        <v>0.022</v>
      </c>
      <c r="I396" s="75" t="n">
        <v>0.61731</v>
      </c>
      <c r="J396" s="76" t="n">
        <v>30.69774</v>
      </c>
      <c r="K396" s="85" t="n">
        <v>767.721856</v>
      </c>
      <c r="L396" s="74" t="n">
        <v>7.758375841013251</v>
      </c>
      <c r="M396" s="84" t="n">
        <v>-0.3289751491153213</v>
      </c>
      <c r="N396" s="76" t="n">
        <v>14.63729356260505</v>
      </c>
      <c r="O396" s="118" t="inlineStr">
        <is>
          <t>—</t>
        </is>
      </c>
      <c r="P396" s="118" t="inlineStr">
        <is>
          <t>—</t>
        </is>
      </c>
      <c r="Q396" s="118" t="inlineStr">
        <is>
          <t>—</t>
        </is>
      </c>
      <c r="R396" s="118" t="inlineStr">
        <is>
          <t>—</t>
        </is>
      </c>
      <c r="S396" s="118" t="inlineStr">
        <is>
          <t>—</t>
        </is>
      </c>
    </row>
    <row r="397" ht="20" customHeight="1" s="57">
      <c r="A397" s="67" t="n">
        <v>392</v>
      </c>
      <c r="B397" s="68" t="inlineStr">
        <is>
          <t>CRWD</t>
        </is>
      </c>
      <c r="C397" s="69" t="inlineStr">
        <is>
          <t>CrowdStrike Holdings</t>
        </is>
      </c>
      <c r="D397" s="70" t="inlineStr">
        <is>
          <t>Technology</t>
        </is>
      </c>
      <c r="E397" s="79" t="n">
        <v>404.66</v>
      </c>
      <c r="F397" s="73" t="n">
        <v>0.07109237</v>
      </c>
      <c r="G397" s="80" t="n">
        <v>102.014148608</v>
      </c>
      <c r="H397" s="73" t="n">
        <v>0.222</v>
      </c>
      <c r="I397" s="81" t="n">
        <v>0.74277</v>
      </c>
      <c r="J397" s="82" t="n">
        <v>65.33877</v>
      </c>
      <c r="K397" s="83" t="n">
        <v>1416.660352</v>
      </c>
      <c r="L397" s="80" t="n">
        <v>28.02269488061036</v>
      </c>
      <c r="M397" s="84" t="n">
        <v>-0.7253058005876176</v>
      </c>
      <c r="N397" s="82" t="n">
        <v>72.01031255401436</v>
      </c>
      <c r="O397" s="119" t="inlineStr">
        <is>
          <t>—</t>
        </is>
      </c>
      <c r="P397" s="119" t="inlineStr">
        <is>
          <t>—</t>
        </is>
      </c>
      <c r="Q397" s="119" t="inlineStr">
        <is>
          <t>—</t>
        </is>
      </c>
      <c r="R397" s="119" t="inlineStr">
        <is>
          <t>—</t>
        </is>
      </c>
      <c r="S397" s="119" t="inlineStr">
        <is>
          <t>—</t>
        </is>
      </c>
    </row>
    <row r="398" ht="20" customHeight="1" s="57">
      <c r="A398" s="62" t="n">
        <v>393</v>
      </c>
      <c r="B398" s="63" t="inlineStr">
        <is>
          <t>CTRA</t>
        </is>
      </c>
      <c r="C398" s="64" t="inlineStr">
        <is>
          <t>Coterra Energy</t>
        </is>
      </c>
      <c r="D398" s="65" t="inlineStr">
        <is>
          <t>Energy</t>
        </is>
      </c>
      <c r="E398" s="72" t="n">
        <v>30.415</v>
      </c>
      <c r="F398" s="73" t="n">
        <v>0.1839081</v>
      </c>
      <c r="G398" s="74" t="n">
        <v>23.1572992</v>
      </c>
      <c r="H398" s="73" t="n">
        <v>0.234</v>
      </c>
      <c r="I398" s="75" t="n">
        <v>0.74124</v>
      </c>
      <c r="J398" s="76" t="n">
        <v>14.081018</v>
      </c>
      <c r="K398" s="85" t="n">
        <v>1216.499968</v>
      </c>
      <c r="L398" s="74" t="n">
        <v>21.0568072764263</v>
      </c>
      <c r="M398" s="84" t="n">
        <v>-0.09070539294900587</v>
      </c>
      <c r="N398" s="76" t="n">
        <v>18.96766102016864</v>
      </c>
      <c r="O398" s="118" t="inlineStr">
        <is>
          <t>—</t>
        </is>
      </c>
      <c r="P398" s="118" t="inlineStr">
        <is>
          <t>—</t>
        </is>
      </c>
      <c r="Q398" s="118" t="inlineStr">
        <is>
          <t>—</t>
        </is>
      </c>
      <c r="R398" s="118" t="inlineStr">
        <is>
          <t>—</t>
        </is>
      </c>
      <c r="S398" s="118" t="inlineStr">
        <is>
          <t>—</t>
        </is>
      </c>
    </row>
    <row r="399" ht="20" customHeight="1" s="57">
      <c r="A399" s="67" t="n">
        <v>394</v>
      </c>
      <c r="B399" s="68" t="inlineStr">
        <is>
          <t>CZR</t>
        </is>
      </c>
      <c r="C399" s="69" t="inlineStr">
        <is>
          <t>Caesars Entertainment</t>
        </is>
      </c>
      <c r="D399" s="70" t="inlineStr">
        <is>
          <t>Consumer Discretionary</t>
        </is>
      </c>
      <c r="E399" s="79" t="n">
        <v>25.36</v>
      </c>
      <c r="F399" s="84" t="n">
        <v>-0.1761607</v>
      </c>
      <c r="G399" s="80" t="n">
        <v>5.178218496</v>
      </c>
      <c r="H399" s="73" t="n">
        <v>0.042</v>
      </c>
      <c r="I399" s="81" t="n">
        <v>0.5</v>
      </c>
      <c r="J399" s="82" t="n">
        <v>23.063637</v>
      </c>
      <c r="K399" s="83" t="n">
        <v>693.249984</v>
      </c>
      <c r="L399" s="80" t="n">
        <v>8.471145172571486</v>
      </c>
      <c r="M399" s="73" t="n">
        <v>0.6359188356217801</v>
      </c>
      <c r="N399" s="82" t="n">
        <v>7.445067741335858</v>
      </c>
      <c r="O399" s="119" t="inlineStr">
        <is>
          <t>—</t>
        </is>
      </c>
      <c r="P399" s="119" t="inlineStr">
        <is>
          <t>—</t>
        </is>
      </c>
      <c r="Q399" s="119" t="inlineStr">
        <is>
          <t>—</t>
        </is>
      </c>
      <c r="R399" s="119" t="inlineStr">
        <is>
          <t>—</t>
        </is>
      </c>
      <c r="S399" s="119" t="inlineStr">
        <is>
          <t>—</t>
        </is>
      </c>
    </row>
    <row r="400" ht="20" customHeight="1" s="57">
      <c r="A400" s="62" t="n">
        <v>395</v>
      </c>
      <c r="B400" s="63" t="inlineStr">
        <is>
          <t>DASH</t>
        </is>
      </c>
      <c r="C400" s="64" t="inlineStr">
        <is>
          <t>DoorDash Inc</t>
        </is>
      </c>
      <c r="D400" s="65" t="inlineStr">
        <is>
          <t>Consumer Discretionary</t>
        </is>
      </c>
      <c r="E400" s="72" t="n">
        <v>177.22</v>
      </c>
      <c r="F400" s="84" t="n">
        <v>-0.100574136</v>
      </c>
      <c r="G400" s="74" t="n">
        <v>76.989038592</v>
      </c>
      <c r="H400" s="73" t="n">
        <v>0.377</v>
      </c>
      <c r="I400" s="75" t="n">
        <v>0.5182600000000001</v>
      </c>
      <c r="J400" s="76" t="n">
        <v>83.594345</v>
      </c>
      <c r="K400" s="85" t="n">
        <v>2375.62496</v>
      </c>
      <c r="L400" s="74" t="n">
        <v>45.08302421162082</v>
      </c>
      <c r="M400" s="84" t="n">
        <v>-0.4144228186750544</v>
      </c>
      <c r="N400" s="76" t="n">
        <v>30.58324769190841</v>
      </c>
      <c r="O400" s="118" t="inlineStr">
        <is>
          <t>—</t>
        </is>
      </c>
      <c r="P400" s="118" t="inlineStr">
        <is>
          <t>—</t>
        </is>
      </c>
      <c r="Q400" s="118" t="inlineStr">
        <is>
          <t>—</t>
        </is>
      </c>
      <c r="R400" s="118" t="inlineStr">
        <is>
          <t>—</t>
        </is>
      </c>
      <c r="S400" s="118" t="inlineStr">
        <is>
          <t>—</t>
        </is>
      </c>
    </row>
    <row r="401" ht="20" customHeight="1" s="57">
      <c r="A401" s="67" t="n">
        <v>396</v>
      </c>
      <c r="B401" s="68" t="inlineStr">
        <is>
          <t>DAY</t>
        </is>
      </c>
      <c r="C401" s="69" t="inlineStr">
        <is>
          <t>Dayforce Inc</t>
        </is>
      </c>
      <c r="D401" s="70" t="inlineStr">
        <is>
          <t>Industrials</t>
        </is>
      </c>
      <c r="E401" s="79" t="n">
        <v>69.86</v>
      </c>
      <c r="F401" s="73" t="n">
        <v>0.06380391000000001</v>
      </c>
      <c r="G401" s="80" t="n">
        <v>11.18004224</v>
      </c>
      <c r="H401" s="73" t="n">
        <v>0.095</v>
      </c>
      <c r="I401" s="81" t="n">
        <v>0.50922</v>
      </c>
      <c r="J401" s="82" t="n">
        <v>25.551184</v>
      </c>
      <c r="K401" s="83" t="n">
        <v>200.75</v>
      </c>
      <c r="L401" s="80" t="n">
        <v>3.492978471212305</v>
      </c>
      <c r="M401" s="84" t="n">
        <v>-0.6875701901451576</v>
      </c>
      <c r="N401" s="82" t="n">
        <v>55.69136993863014</v>
      </c>
      <c r="O401" s="119" t="inlineStr">
        <is>
          <t>—</t>
        </is>
      </c>
      <c r="P401" s="119" t="inlineStr">
        <is>
          <t>—</t>
        </is>
      </c>
      <c r="Q401" s="119" t="inlineStr">
        <is>
          <t>—</t>
        </is>
      </c>
      <c r="R401" s="119" t="inlineStr">
        <is>
          <t>—</t>
        </is>
      </c>
      <c r="S401" s="119" t="inlineStr">
        <is>
          <t>—</t>
        </is>
      </c>
    </row>
    <row r="402" ht="20" customHeight="1" s="57">
      <c r="A402" s="62" t="n">
        <v>397</v>
      </c>
      <c r="B402" s="63" t="inlineStr">
        <is>
          <t>DDOG</t>
        </is>
      </c>
      <c r="C402" s="64" t="inlineStr">
        <is>
          <t>Datadog Inc</t>
        </is>
      </c>
      <c r="D402" s="65" t="inlineStr">
        <is>
          <t>Technology</t>
        </is>
      </c>
      <c r="E402" s="72" t="n">
        <v>118.595</v>
      </c>
      <c r="F402" s="84" t="n">
        <v>-0.02884698</v>
      </c>
      <c r="G402" s="74" t="n">
        <v>41.813762048</v>
      </c>
      <c r="H402" s="73" t="n">
        <v>0.292</v>
      </c>
      <c r="I402" s="75" t="n">
        <v>0.79976</v>
      </c>
      <c r="J402" s="76" t="n">
        <v>382.5645</v>
      </c>
      <c r="K402" s="85" t="n">
        <v>879.64672</v>
      </c>
      <c r="L402" s="74" t="n">
        <v>18.5204032974775</v>
      </c>
      <c r="M402" s="84" t="n">
        <v>-0.5570739777918798</v>
      </c>
      <c r="N402" s="76" t="n">
        <v>44.25837213325822</v>
      </c>
      <c r="O402" s="118" t="inlineStr">
        <is>
          <t>—</t>
        </is>
      </c>
      <c r="P402" s="118" t="inlineStr">
        <is>
          <t>—</t>
        </is>
      </c>
      <c r="Q402" s="118" t="inlineStr">
        <is>
          <t>—</t>
        </is>
      </c>
      <c r="R402" s="118" t="inlineStr">
        <is>
          <t>—</t>
        </is>
      </c>
      <c r="S402" s="118" t="inlineStr">
        <is>
          <t>—</t>
        </is>
      </c>
    </row>
    <row r="403" ht="20" customHeight="1" s="57">
      <c r="A403" s="67" t="n">
        <v>398</v>
      </c>
      <c r="B403" s="68" t="inlineStr">
        <is>
          <t>DECK</t>
        </is>
      </c>
      <c r="C403" s="69" t="inlineStr">
        <is>
          <t>Deckers Outdoor</t>
        </is>
      </c>
      <c r="D403" s="70" t="inlineStr">
        <is>
          <t>Consumer Discretionary</t>
        </is>
      </c>
      <c r="E403" s="79" t="n">
        <v>109.01</v>
      </c>
      <c r="F403" s="84" t="n">
        <v>-0.19274008</v>
      </c>
      <c r="G403" s="80" t="n">
        <v>15.887644672</v>
      </c>
      <c r="H403" s="73" t="n">
        <v>0.07099999999999999</v>
      </c>
      <c r="I403" s="81" t="n">
        <v>0.57545</v>
      </c>
      <c r="J403" s="82" t="n">
        <v>15.484375</v>
      </c>
      <c r="K403" s="83" t="n">
        <v>758.731904</v>
      </c>
      <c r="L403" s="80" t="n">
        <v>11.58502113789408</v>
      </c>
      <c r="M403" s="84" t="n">
        <v>-0.2708156950217271</v>
      </c>
      <c r="N403" s="82" t="n">
        <v>20.39451123266592</v>
      </c>
      <c r="O403" s="119" t="inlineStr">
        <is>
          <t>—</t>
        </is>
      </c>
      <c r="P403" s="119" t="inlineStr">
        <is>
          <t>—</t>
        </is>
      </c>
      <c r="Q403" s="119" t="inlineStr">
        <is>
          <t>—</t>
        </is>
      </c>
      <c r="R403" s="119" t="inlineStr">
        <is>
          <t>—</t>
        </is>
      </c>
      <c r="S403" s="119" t="inlineStr">
        <is>
          <t>—</t>
        </is>
      </c>
    </row>
    <row r="404" ht="20" customHeight="1" s="57">
      <c r="A404" s="62" t="n">
        <v>399</v>
      </c>
      <c r="B404" s="63" t="inlineStr">
        <is>
          <t>DELL</t>
        </is>
      </c>
      <c r="C404" s="64" t="inlineStr">
        <is>
          <t>Dell Technologies</t>
        </is>
      </c>
      <c r="D404" s="65" t="inlineStr">
        <is>
          <t>Technology</t>
        </is>
      </c>
      <c r="E404" s="72" t="n">
        <v>147.11</v>
      </c>
      <c r="F404" s="73" t="n">
        <v>0.49285352</v>
      </c>
      <c r="G404" s="74" t="n">
        <v>98.593153024</v>
      </c>
      <c r="H404" s="73" t="n">
        <v>0.395</v>
      </c>
      <c r="I404" s="75" t="n">
        <v>0.19999</v>
      </c>
      <c r="J404" s="76" t="n">
        <v>19.667112</v>
      </c>
      <c r="K404" s="85" t="n">
        <v>-1360.625024</v>
      </c>
      <c r="L404" s="77" t="inlineStr">
        <is>
          <t>—</t>
        </is>
      </c>
      <c r="M404" s="77" t="inlineStr">
        <is>
          <t>—</t>
        </is>
      </c>
      <c r="N404" s="76" t="n">
        <v>-36.10300245938296</v>
      </c>
      <c r="O404" s="118" t="inlineStr">
        <is>
          <t>—</t>
        </is>
      </c>
      <c r="P404" s="118" t="inlineStr">
        <is>
          <t>—</t>
        </is>
      </c>
      <c r="Q404" s="118" t="inlineStr">
        <is>
          <t>—</t>
        </is>
      </c>
      <c r="R404" s="118" t="inlineStr">
        <is>
          <t>—</t>
        </is>
      </c>
      <c r="S404" s="118" t="inlineStr">
        <is>
          <t>—</t>
        </is>
      </c>
    </row>
    <row r="405" ht="20" customHeight="1" s="57">
      <c r="A405" s="67" t="n">
        <v>400</v>
      </c>
      <c r="B405" s="68" t="inlineStr">
        <is>
          <t>DKNG</t>
        </is>
      </c>
      <c r="C405" s="69" t="inlineStr">
        <is>
          <t>DraftKings Inc</t>
        </is>
      </c>
      <c r="D405" s="70" t="inlineStr">
        <is>
          <t>Consumer Discretionary</t>
        </is>
      </c>
      <c r="E405" s="79" t="n">
        <v>25.395</v>
      </c>
      <c r="F405" s="84" t="n">
        <v>-0.43676573</v>
      </c>
      <c r="G405" s="80" t="n">
        <v>12.640932864</v>
      </c>
      <c r="H405" s="73" t="n">
        <v>0.428</v>
      </c>
      <c r="I405" s="81" t="n">
        <v>0.76111</v>
      </c>
      <c r="J405" s="82" t="n">
        <v>13.435513</v>
      </c>
      <c r="K405" s="83" t="n">
        <v>605.9344</v>
      </c>
      <c r="L405" s="80" t="n">
        <v>11.29139388318992</v>
      </c>
      <c r="M405" s="84" t="n">
        <v>-0.1067594453138363</v>
      </c>
      <c r="N405" s="82" t="n">
        <v>20.66150431808295</v>
      </c>
      <c r="O405" s="119" t="inlineStr">
        <is>
          <t>—</t>
        </is>
      </c>
      <c r="P405" s="119" t="inlineStr">
        <is>
          <t>—</t>
        </is>
      </c>
      <c r="Q405" s="119" t="inlineStr">
        <is>
          <t>—</t>
        </is>
      </c>
      <c r="R405" s="119" t="inlineStr">
        <is>
          <t>—</t>
        </is>
      </c>
      <c r="S405" s="119" t="inlineStr">
        <is>
          <t>—</t>
        </is>
      </c>
    </row>
    <row r="406" ht="20" customHeight="1" s="57">
      <c r="A406" s="62" t="n">
        <v>401</v>
      </c>
      <c r="B406" s="63" t="inlineStr">
        <is>
          <t>DPZ</t>
        </is>
      </c>
      <c r="C406" s="64" t="inlineStr">
        <is>
          <t>Domino's Pizza Inc</t>
        </is>
      </c>
      <c r="D406" s="65" t="inlineStr">
        <is>
          <t>Consumer Discretionary</t>
        </is>
      </c>
      <c r="E406" s="72" t="n">
        <v>407.435</v>
      </c>
      <c r="F406" s="84" t="n">
        <v>-0.14238316</v>
      </c>
      <c r="G406" s="74" t="n">
        <v>13.701588992</v>
      </c>
      <c r="H406" s="73" t="n">
        <v>0.031</v>
      </c>
      <c r="I406" s="75" t="n">
        <v>0.28625</v>
      </c>
      <c r="J406" s="76" t="n">
        <v>23.20245</v>
      </c>
      <c r="K406" s="85" t="n">
        <v>508.715744</v>
      </c>
      <c r="L406" s="74" t="n">
        <v>5.611887499394894</v>
      </c>
      <c r="M406" s="84" t="n">
        <v>-0.5904206802093152</v>
      </c>
      <c r="N406" s="76" t="n">
        <v>26.93368508994878</v>
      </c>
      <c r="O406" s="120" t="inlineStr">
        <is>
          <t>YES</t>
        </is>
      </c>
      <c r="P406" s="121" t="n">
        <v>1.4</v>
      </c>
      <c r="Q406" s="131" t="inlineStr">
        <is>
          <t>Buy</t>
        </is>
      </c>
      <c r="R406" s="123" t="n">
        <v>437</v>
      </c>
      <c r="S406" s="124" t="inlineStr">
        <is>
          <t>Added 0.4M Q1 @~$430 → Added 1.1M Q2 @~$450 → Added 0.2M Q3 @~$440 → Added 0.4M Q4 @~$425</t>
        </is>
      </c>
    </row>
    <row r="407" ht="20" customHeight="1" s="57">
      <c r="A407" s="67" t="n">
        <v>402</v>
      </c>
      <c r="B407" s="68" t="inlineStr">
        <is>
          <t>DXCM</t>
        </is>
      </c>
      <c r="C407" s="69" t="inlineStr">
        <is>
          <t>DexCom Inc</t>
        </is>
      </c>
      <c r="D407" s="70" t="inlineStr">
        <is>
          <t>Healthcare</t>
        </is>
      </c>
      <c r="E407" s="79" t="n">
        <v>73.06999999999999</v>
      </c>
      <c r="F407" s="84" t="n">
        <v>-0.10834551</v>
      </c>
      <c r="G407" s="80" t="n">
        <v>28.498487296</v>
      </c>
      <c r="H407" s="73" t="n">
        <v>0.131</v>
      </c>
      <c r="I407" s="81" t="n">
        <v>0.60101</v>
      </c>
      <c r="J407" s="82" t="n">
        <v>34.961723</v>
      </c>
      <c r="K407" s="83" t="n">
        <v>719.537472</v>
      </c>
      <c r="L407" s="80" t="n">
        <v>13.9031695526869</v>
      </c>
      <c r="M407" s="84" t="n">
        <v>-0.5121435952623939</v>
      </c>
      <c r="N407" s="82" t="n">
        <v>39.08354338624354</v>
      </c>
      <c r="O407" s="119" t="inlineStr">
        <is>
          <t>—</t>
        </is>
      </c>
      <c r="P407" s="119" t="inlineStr">
        <is>
          <t>—</t>
        </is>
      </c>
      <c r="Q407" s="119" t="inlineStr">
        <is>
          <t>—</t>
        </is>
      </c>
      <c r="R407" s="119" t="inlineStr">
        <is>
          <t>—</t>
        </is>
      </c>
      <c r="S407" s="119" t="inlineStr">
        <is>
          <t>—</t>
        </is>
      </c>
    </row>
    <row r="408" ht="20" customHeight="1" s="57">
      <c r="A408" s="62" t="n">
        <v>403</v>
      </c>
      <c r="B408" s="63" t="inlineStr">
        <is>
          <t>ELV</t>
        </is>
      </c>
      <c r="C408" s="64" t="inlineStr">
        <is>
          <t>Elevance Health Inc</t>
        </is>
      </c>
      <c r="D408" s="65" t="inlineStr">
        <is>
          <t>Healthcare</t>
        </is>
      </c>
      <c r="E408" s="72" t="n">
        <v>291.945</v>
      </c>
      <c r="F408" s="84" t="n">
        <v>-0.28540516</v>
      </c>
      <c r="G408" s="74" t="n">
        <v>64.433627136</v>
      </c>
      <c r="H408" s="73" t="n">
        <v>0.095</v>
      </c>
      <c r="I408" s="75" t="n">
        <v>0.25563</v>
      </c>
      <c r="J408" s="76" t="n">
        <v>11.5759325</v>
      </c>
      <c r="K408" s="85" t="n">
        <v>3399.749888</v>
      </c>
      <c r="L408" s="74" t="n">
        <v>78.26926915997431</v>
      </c>
      <c r="M408" s="73" t="n">
        <v>0.2147270398851121</v>
      </c>
      <c r="N408" s="76" t="n">
        <v>18.95246007206133</v>
      </c>
      <c r="O408" s="118" t="inlineStr">
        <is>
          <t>—</t>
        </is>
      </c>
      <c r="P408" s="118" t="inlineStr">
        <is>
          <t>—</t>
        </is>
      </c>
      <c r="Q408" s="118" t="inlineStr">
        <is>
          <t>—</t>
        </is>
      </c>
      <c r="R408" s="118" t="inlineStr">
        <is>
          <t>—</t>
        </is>
      </c>
      <c r="S408" s="118" t="inlineStr">
        <is>
          <t>—</t>
        </is>
      </c>
    </row>
    <row r="409" ht="20" customHeight="1" s="57">
      <c r="A409" s="67" t="n">
        <v>404</v>
      </c>
      <c r="B409" s="68" t="inlineStr">
        <is>
          <t>ENPH</t>
        </is>
      </c>
      <c r="C409" s="69" t="inlineStr">
        <is>
          <t>Enphase Energy</t>
        </is>
      </c>
      <c r="D409" s="70" t="inlineStr">
        <is>
          <t>Technology</t>
        </is>
      </c>
      <c r="E409" s="79" t="n">
        <v>42.83</v>
      </c>
      <c r="F409" s="84" t="n">
        <v>-0.26342714</v>
      </c>
      <c r="G409" s="80" t="n">
        <v>5.614962688</v>
      </c>
      <c r="H409" s="84" t="n">
        <v>-0.103</v>
      </c>
      <c r="I409" s="81" t="n">
        <v>0.30435</v>
      </c>
      <c r="J409" s="82" t="n">
        <v>33.201553</v>
      </c>
      <c r="K409" s="83" t="n">
        <v>37.604</v>
      </c>
      <c r="L409" s="80" t="n">
        <v>1.418502746801519</v>
      </c>
      <c r="M409" s="84" t="n">
        <v>-0.7473709398224377</v>
      </c>
      <c r="N409" s="82" t="n">
        <v>149.3182219383576</v>
      </c>
      <c r="O409" s="119" t="inlineStr">
        <is>
          <t>—</t>
        </is>
      </c>
      <c r="P409" s="119" t="inlineStr">
        <is>
          <t>—</t>
        </is>
      </c>
      <c r="Q409" s="119" t="inlineStr">
        <is>
          <t>—</t>
        </is>
      </c>
      <c r="R409" s="119" t="inlineStr">
        <is>
          <t>—</t>
        </is>
      </c>
      <c r="S409" s="119" t="inlineStr">
        <is>
          <t>—</t>
        </is>
      </c>
    </row>
    <row r="410" ht="20" customHeight="1" s="57">
      <c r="A410" s="62" t="n">
        <v>405</v>
      </c>
      <c r="B410" s="63" t="inlineStr">
        <is>
          <t>EPAM</t>
        </is>
      </c>
      <c r="C410" s="64" t="inlineStr">
        <is>
          <t>EPAM Systems</t>
        </is>
      </c>
      <c r="D410" s="65" t="inlineStr">
        <is>
          <t>Technology</t>
        </is>
      </c>
      <c r="E410" s="72" t="n">
        <v>142.515</v>
      </c>
      <c r="F410" s="84" t="n">
        <v>-0.29667747</v>
      </c>
      <c r="G410" s="74" t="n">
        <v>7.872902144</v>
      </c>
      <c r="H410" s="73" t="n">
        <v>0.128</v>
      </c>
      <c r="I410" s="75" t="n">
        <v>0.28877002</v>
      </c>
      <c r="J410" s="76" t="n">
        <v>21.239195</v>
      </c>
      <c r="K410" s="85" t="n">
        <v>725.305344</v>
      </c>
      <c r="L410" s="74" t="n">
        <v>13.47563497109787</v>
      </c>
      <c r="M410" s="73" t="n">
        <v>0.7116477157496175</v>
      </c>
      <c r="N410" s="76" t="n">
        <v>10.63794406847084</v>
      </c>
      <c r="O410" s="118" t="inlineStr">
        <is>
          <t>—</t>
        </is>
      </c>
      <c r="P410" s="118" t="inlineStr">
        <is>
          <t>—</t>
        </is>
      </c>
      <c r="Q410" s="118" t="inlineStr">
        <is>
          <t>—</t>
        </is>
      </c>
      <c r="R410" s="118" t="inlineStr">
        <is>
          <t>—</t>
        </is>
      </c>
      <c r="S410" s="118" t="inlineStr">
        <is>
          <t>—</t>
        </is>
      </c>
    </row>
    <row r="411" ht="20" customHeight="1" s="57">
      <c r="A411" s="67" t="n">
        <v>406</v>
      </c>
      <c r="B411" s="68" t="inlineStr">
        <is>
          <t>EQT</t>
        </is>
      </c>
      <c r="C411" s="69" t="inlineStr">
        <is>
          <t>EQT Corp</t>
        </is>
      </c>
      <c r="D411" s="70" t="inlineStr">
        <is>
          <t>Energy</t>
        </is>
      </c>
      <c r="E411" s="79" t="n">
        <v>61.17</v>
      </c>
      <c r="F411" s="73" t="n">
        <v>0.22900462</v>
      </c>
      <c r="G411" s="80" t="n">
        <v>38.186840064</v>
      </c>
      <c r="H411" s="73" t="n">
        <v>0.269</v>
      </c>
      <c r="I411" s="81" t="n">
        <v>0.78629</v>
      </c>
      <c r="J411" s="82" t="n">
        <v>18.480362</v>
      </c>
      <c r="K411" s="83" t="n">
        <v>1829.176704</v>
      </c>
      <c r="L411" s="80" t="n">
        <v>31.61637017645248</v>
      </c>
      <c r="M411" s="84" t="n">
        <v>-0.1720611047296819</v>
      </c>
      <c r="N411" s="82" t="n">
        <v>20.87651810592926</v>
      </c>
      <c r="O411" s="119" t="inlineStr">
        <is>
          <t>—</t>
        </is>
      </c>
      <c r="P411" s="119" t="inlineStr">
        <is>
          <t>—</t>
        </is>
      </c>
      <c r="Q411" s="119" t="inlineStr">
        <is>
          <t>—</t>
        </is>
      </c>
      <c r="R411" s="119" t="inlineStr">
        <is>
          <t>—</t>
        </is>
      </c>
      <c r="S411" s="119" t="inlineStr">
        <is>
          <t>—</t>
        </is>
      </c>
    </row>
    <row r="412" ht="20" customHeight="1" s="57">
      <c r="A412" s="62" t="n">
        <v>407</v>
      </c>
      <c r="B412" s="63" t="inlineStr">
        <is>
          <t>ERIE</t>
        </is>
      </c>
      <c r="C412" s="64" t="inlineStr">
        <is>
          <t>Erie Indemnity Co</t>
        </is>
      </c>
      <c r="D412" s="65" t="inlineStr">
        <is>
          <t>Financials</t>
        </is>
      </c>
      <c r="E412" s="72" t="n">
        <v>272.77</v>
      </c>
      <c r="F412" s="84" t="n">
        <v>-0.39123625</v>
      </c>
      <c r="G412" s="74" t="n">
        <v>14.26310656</v>
      </c>
      <c r="H412" s="73" t="n">
        <v>0.029</v>
      </c>
      <c r="I412" s="75" t="n">
        <v>0.17633</v>
      </c>
      <c r="J412" s="76" t="n">
        <v>25.51637</v>
      </c>
      <c r="K412" s="85" t="n">
        <v>499.901376</v>
      </c>
      <c r="L412" s="74" t="n">
        <v>5.50088815203661</v>
      </c>
      <c r="M412" s="84" t="n">
        <v>-0.6143274868699706</v>
      </c>
      <c r="N412" s="76" t="n">
        <v>25.20295538926462</v>
      </c>
      <c r="O412" s="118" t="inlineStr">
        <is>
          <t>—</t>
        </is>
      </c>
      <c r="P412" s="118" t="inlineStr">
        <is>
          <t>—</t>
        </is>
      </c>
      <c r="Q412" s="118" t="inlineStr">
        <is>
          <t>—</t>
        </is>
      </c>
      <c r="R412" s="118" t="inlineStr">
        <is>
          <t>—</t>
        </is>
      </c>
      <c r="S412" s="118" t="inlineStr">
        <is>
          <t>—</t>
        </is>
      </c>
    </row>
    <row r="413" ht="20" customHeight="1" s="57">
      <c r="A413" s="67" t="n">
        <v>408</v>
      </c>
      <c r="B413" s="68" t="inlineStr">
        <is>
          <t>ETSY</t>
        </is>
      </c>
      <c r="C413" s="69" t="inlineStr">
        <is>
          <t>Etsy Inc</t>
        </is>
      </c>
      <c r="D413" s="70" t="inlineStr">
        <is>
          <t>Consumer Discretionary</t>
        </is>
      </c>
      <c r="E413" s="79" t="n">
        <v>55.66</v>
      </c>
      <c r="F413" s="73" t="n">
        <v>0.08920002</v>
      </c>
      <c r="G413" s="80" t="n">
        <v>5.51638272</v>
      </c>
      <c r="H413" s="73" t="n">
        <v>0.035</v>
      </c>
      <c r="I413" s="81" t="n">
        <v>0.71639</v>
      </c>
      <c r="J413" s="82" t="n">
        <v>37.60811</v>
      </c>
      <c r="K413" s="83" t="n">
        <v>517.296512</v>
      </c>
      <c r="L413" s="80" t="n">
        <v>6.818793466947008</v>
      </c>
      <c r="M413" s="73" t="n">
        <v>0.2360986923958402</v>
      </c>
      <c r="N413" s="82" t="n">
        <v>10.62055567326153</v>
      </c>
      <c r="O413" s="119" t="inlineStr">
        <is>
          <t>—</t>
        </is>
      </c>
      <c r="P413" s="119" t="inlineStr">
        <is>
          <t>—</t>
        </is>
      </c>
      <c r="Q413" s="119" t="inlineStr">
        <is>
          <t>—</t>
        </is>
      </c>
      <c r="R413" s="119" t="inlineStr">
        <is>
          <t>—</t>
        </is>
      </c>
      <c r="S413" s="119" t="inlineStr">
        <is>
          <t>—</t>
        </is>
      </c>
    </row>
    <row r="414" ht="20" customHeight="1" s="57">
      <c r="A414" s="62" t="n">
        <v>409</v>
      </c>
      <c r="B414" s="63" t="inlineStr">
        <is>
          <t>FDS</t>
        </is>
      </c>
      <c r="C414" s="64" t="inlineStr">
        <is>
          <t>FactSet Research Systems</t>
        </is>
      </c>
      <c r="D414" s="65" t="inlineStr">
        <is>
          <t>Financials</t>
        </is>
      </c>
      <c r="E414" s="72" t="n">
        <v>226.51</v>
      </c>
      <c r="F414" s="84" t="n">
        <v>-0.49964076</v>
      </c>
      <c r="G414" s="74" t="n">
        <v>8.475989503999999</v>
      </c>
      <c r="H414" s="73" t="n">
        <v>0.068</v>
      </c>
      <c r="I414" s="75" t="n">
        <v>0.52263</v>
      </c>
      <c r="J414" s="76" t="n">
        <v>14.418204</v>
      </c>
      <c r="K414" s="85" t="n">
        <v>545.510144</v>
      </c>
      <c r="L414" s="74" t="n">
        <v>7.306160483493728</v>
      </c>
      <c r="M414" s="84" t="n">
        <v>-0.1380168085335882</v>
      </c>
      <c r="N414" s="76" t="n">
        <v>15.40457725400245</v>
      </c>
      <c r="O414" s="118" t="inlineStr">
        <is>
          <t>—</t>
        </is>
      </c>
      <c r="P414" s="118" t="inlineStr">
        <is>
          <t>—</t>
        </is>
      </c>
      <c r="Q414" s="118" t="inlineStr">
        <is>
          <t>—</t>
        </is>
      </c>
      <c r="R414" s="118" t="inlineStr">
        <is>
          <t>—</t>
        </is>
      </c>
      <c r="S414" s="118" t="inlineStr">
        <is>
          <t>—</t>
        </is>
      </c>
    </row>
    <row r="415" ht="20" customHeight="1" s="57">
      <c r="A415" s="67" t="n">
        <v>410</v>
      </c>
      <c r="B415" s="68" t="inlineStr">
        <is>
          <t>FICO</t>
        </is>
      </c>
      <c r="C415" s="69" t="inlineStr">
        <is>
          <t>Fair Isaac Corp</t>
        </is>
      </c>
      <c r="D415" s="70" t="inlineStr">
        <is>
          <t>Technology</t>
        </is>
      </c>
      <c r="E415" s="79" t="n">
        <v>1464.76</v>
      </c>
      <c r="F415" s="84" t="n">
        <v>-0.22690213</v>
      </c>
      <c r="G415" s="80" t="n">
        <v>34.747232256</v>
      </c>
      <c r="H415" s="73" t="n">
        <v>0.164</v>
      </c>
      <c r="I415" s="81" t="n">
        <v>0.82857</v>
      </c>
      <c r="J415" s="82" t="n">
        <v>54.090103</v>
      </c>
      <c r="K415" s="83" t="n">
        <v>573.164032</v>
      </c>
      <c r="L415" s="80" t="n">
        <v>10.00233055635281</v>
      </c>
      <c r="M415" s="84" t="n">
        <v>-0.7121402222007004</v>
      </c>
      <c r="N415" s="82" t="n">
        <v>60.6235406583224</v>
      </c>
      <c r="O415" s="119" t="inlineStr">
        <is>
          <t>—</t>
        </is>
      </c>
      <c r="P415" s="119" t="inlineStr">
        <is>
          <t>—</t>
        </is>
      </c>
      <c r="Q415" s="119" t="inlineStr">
        <is>
          <t>—</t>
        </is>
      </c>
      <c r="R415" s="119" t="inlineStr">
        <is>
          <t>—</t>
        </is>
      </c>
      <c r="S415" s="119" t="inlineStr">
        <is>
          <t>—</t>
        </is>
      </c>
    </row>
    <row r="416" ht="20" customHeight="1" s="57">
      <c r="A416" s="62" t="n">
        <v>411</v>
      </c>
      <c r="B416" s="63" t="inlineStr">
        <is>
          <t>FSLR</t>
        </is>
      </c>
      <c r="C416" s="64" t="inlineStr">
        <is>
          <t>First Solar Inc</t>
        </is>
      </c>
      <c r="D416" s="65" t="inlineStr">
        <is>
          <t>Technology</t>
        </is>
      </c>
      <c r="E416" s="72" t="n">
        <v>197.7001</v>
      </c>
      <c r="F416" s="73" t="n">
        <v>0.5090145</v>
      </c>
      <c r="G416" s="74" t="n">
        <v>21.215393792</v>
      </c>
      <c r="H416" s="73" t="n">
        <v>0.111</v>
      </c>
      <c r="I416" s="75" t="n">
        <v>0.40624002</v>
      </c>
      <c r="J416" s="76" t="n">
        <v>13.922543</v>
      </c>
      <c r="K416" s="85" t="n">
        <v>963.923136</v>
      </c>
      <c r="L416" s="74" t="n">
        <v>17.96964440479686</v>
      </c>
      <c r="M416" s="84" t="n">
        <v>-0.1529902965283193</v>
      </c>
      <c r="N416" s="76" t="n">
        <v>22.00942528772273</v>
      </c>
      <c r="O416" s="118" t="inlineStr">
        <is>
          <t>—</t>
        </is>
      </c>
      <c r="P416" s="118" t="inlineStr">
        <is>
          <t>—</t>
        </is>
      </c>
      <c r="Q416" s="118" t="inlineStr">
        <is>
          <t>—</t>
        </is>
      </c>
      <c r="R416" s="118" t="inlineStr">
        <is>
          <t>—</t>
        </is>
      </c>
      <c r="S416" s="118" t="inlineStr">
        <is>
          <t>—</t>
        </is>
      </c>
    </row>
    <row r="417" ht="20" customHeight="1" s="57">
      <c r="A417" s="67" t="n">
        <v>412</v>
      </c>
      <c r="B417" s="68" t="inlineStr">
        <is>
          <t>GDDY</t>
        </is>
      </c>
      <c r="C417" s="69" t="inlineStr">
        <is>
          <t>GoDaddy Inc</t>
        </is>
      </c>
      <c r="D417" s="70" t="inlineStr">
        <is>
          <t>Technology</t>
        </is>
      </c>
      <c r="E417" s="79" t="n">
        <v>88.77</v>
      </c>
      <c r="F417" s="84" t="n">
        <v>-0.49387407</v>
      </c>
      <c r="G417" s="80" t="n">
        <v>11.996519424</v>
      </c>
      <c r="H417" s="73" t="n">
        <v>0.068</v>
      </c>
      <c r="I417" s="81" t="n">
        <v>0.63614</v>
      </c>
      <c r="J417" s="82" t="n">
        <v>14.271704</v>
      </c>
      <c r="K417" s="83" t="n">
        <v>1307.524992</v>
      </c>
      <c r="L417" s="80" t="n">
        <v>17.83345827414511</v>
      </c>
      <c r="M417" s="73" t="n">
        <v>0.4865526944813549</v>
      </c>
      <c r="N417" s="82" t="n">
        <v>9.053628067164318</v>
      </c>
      <c r="O417" s="119" t="inlineStr">
        <is>
          <t>—</t>
        </is>
      </c>
      <c r="P417" s="119" t="inlineStr">
        <is>
          <t>—</t>
        </is>
      </c>
      <c r="Q417" s="119" t="inlineStr">
        <is>
          <t>—</t>
        </is>
      </c>
      <c r="R417" s="119" t="inlineStr">
        <is>
          <t>—</t>
        </is>
      </c>
      <c r="S417" s="119" t="inlineStr">
        <is>
          <t>—</t>
        </is>
      </c>
    </row>
    <row r="418" ht="20" customHeight="1" s="57">
      <c r="A418" s="62" t="n">
        <v>413</v>
      </c>
      <c r="B418" s="63" t="inlineStr">
        <is>
          <t>GEHC</t>
        </is>
      </c>
      <c r="C418" s="64" t="inlineStr">
        <is>
          <t>GE HealthCare Technologies</t>
        </is>
      </c>
      <c r="D418" s="65" t="inlineStr">
        <is>
          <t>Healthcare</t>
        </is>
      </c>
      <c r="E418" s="72" t="n">
        <v>79.09</v>
      </c>
      <c r="F418" s="84" t="n">
        <v>-0.078220844</v>
      </c>
      <c r="G418" s="74" t="n">
        <v>36.045246464</v>
      </c>
      <c r="H418" s="73" t="n">
        <v>0.07099999999999999</v>
      </c>
      <c r="I418" s="75" t="n">
        <v>0.39985</v>
      </c>
      <c r="J418" s="76" t="n">
        <v>17.382416</v>
      </c>
      <c r="K418" s="85" t="n">
        <v>1687.000064</v>
      </c>
      <c r="L418" s="74" t="n">
        <v>25.64785238673894</v>
      </c>
      <c r="M418" s="84" t="n">
        <v>-0.288453959876385</v>
      </c>
      <c r="N418" s="76" t="n">
        <v>21.36647759607317</v>
      </c>
      <c r="O418" s="118" t="inlineStr">
        <is>
          <t>—</t>
        </is>
      </c>
      <c r="P418" s="118" t="inlineStr">
        <is>
          <t>—</t>
        </is>
      </c>
      <c r="Q418" s="118" t="inlineStr">
        <is>
          <t>—</t>
        </is>
      </c>
      <c r="R418" s="118" t="inlineStr">
        <is>
          <t>—</t>
        </is>
      </c>
      <c r="S418" s="118" t="inlineStr">
        <is>
          <t>—</t>
        </is>
      </c>
    </row>
    <row r="419" ht="20" customHeight="1" s="57">
      <c r="A419" s="67" t="n">
        <v>414</v>
      </c>
      <c r="B419" s="68" t="inlineStr">
        <is>
          <t>GEN</t>
        </is>
      </c>
      <c r="C419" s="69" t="inlineStr">
        <is>
          <t>Gen Digital Inc</t>
        </is>
      </c>
      <c r="D419" s="70" t="inlineStr">
        <is>
          <t>Technology</t>
        </is>
      </c>
      <c r="E419" s="79" t="n">
        <v>22.23</v>
      </c>
      <c r="F419" s="84" t="n">
        <v>-0.18693286</v>
      </c>
      <c r="G419" s="80" t="n">
        <v>13.70959872</v>
      </c>
      <c r="H419" s="73" t="n">
        <v>0.258</v>
      </c>
      <c r="I419" s="81" t="n">
        <v>0.78845</v>
      </c>
      <c r="J419" s="82" t="n">
        <v>22.917524</v>
      </c>
      <c r="K419" s="83" t="n">
        <v>1316.37504</v>
      </c>
      <c r="L419" s="80" t="n">
        <v>23.15505892399166</v>
      </c>
      <c r="M419" s="73" t="n">
        <v>0.6889669345472761</v>
      </c>
      <c r="N419" s="82" t="n">
        <v>10.22801655067845</v>
      </c>
      <c r="O419" s="119" t="inlineStr">
        <is>
          <t>—</t>
        </is>
      </c>
      <c r="P419" s="119" t="inlineStr">
        <is>
          <t>—</t>
        </is>
      </c>
      <c r="Q419" s="119" t="inlineStr">
        <is>
          <t>—</t>
        </is>
      </c>
      <c r="R419" s="119" t="inlineStr">
        <is>
          <t>—</t>
        </is>
      </c>
      <c r="S419" s="119" t="inlineStr">
        <is>
          <t>—</t>
        </is>
      </c>
    </row>
    <row r="420" ht="20" customHeight="1" s="57">
      <c r="A420" s="62" t="n">
        <v>415</v>
      </c>
      <c r="B420" s="63" t="inlineStr">
        <is>
          <t>GEV</t>
        </is>
      </c>
      <c r="C420" s="64" t="inlineStr">
        <is>
          <t>GE Vernova</t>
        </is>
      </c>
      <c r="D420" s="65" t="inlineStr">
        <is>
          <t>Industrials</t>
        </is>
      </c>
      <c r="E420" s="72" t="n">
        <v>848.27</v>
      </c>
      <c r="F420" s="73" t="n">
        <v>1.6578283</v>
      </c>
      <c r="G420" s="74" t="n">
        <v>230.152994816</v>
      </c>
      <c r="H420" s="73" t="n">
        <v>0.038</v>
      </c>
      <c r="I420" s="75" t="n">
        <v>0.20082001</v>
      </c>
      <c r="J420" s="76" t="n">
        <v>47.979073</v>
      </c>
      <c r="K420" s="85" t="n">
        <v>5277.74976</v>
      </c>
      <c r="L420" s="74" t="n">
        <v>64.83025453090637</v>
      </c>
      <c r="M420" s="84" t="n">
        <v>-0.718316702405997</v>
      </c>
      <c r="N420" s="76" t="n">
        <v>43.32031051568462</v>
      </c>
      <c r="O420" s="118" t="inlineStr">
        <is>
          <t>—</t>
        </is>
      </c>
      <c r="P420" s="118" t="inlineStr">
        <is>
          <t>—</t>
        </is>
      </c>
      <c r="Q420" s="118" t="inlineStr">
        <is>
          <t>—</t>
        </is>
      </c>
      <c r="R420" s="118" t="inlineStr">
        <is>
          <t>—</t>
        </is>
      </c>
      <c r="S420" s="118" t="inlineStr">
        <is>
          <t>—</t>
        </is>
      </c>
    </row>
    <row r="421" ht="20" customHeight="1" s="57">
      <c r="A421" s="67" t="n">
        <v>416</v>
      </c>
      <c r="B421" s="68" t="inlineStr">
        <is>
          <t>GNRC</t>
        </is>
      </c>
      <c r="C421" s="69" t="inlineStr">
        <is>
          <t>Generac Holdings</t>
        </is>
      </c>
      <c r="D421" s="70" t="inlineStr">
        <is>
          <t>Industrials</t>
        </is>
      </c>
      <c r="E421" s="79" t="n">
        <v>220.81</v>
      </c>
      <c r="F421" s="73" t="n">
        <v>0.70069957</v>
      </c>
      <c r="G421" s="80" t="n">
        <v>12.9580288</v>
      </c>
      <c r="H421" s="84" t="n">
        <v>-0.116</v>
      </c>
      <c r="I421" s="81" t="n">
        <v>0.38291</v>
      </c>
      <c r="J421" s="82" t="n">
        <v>81.78148</v>
      </c>
      <c r="K421" s="83" t="n">
        <v>91.862752</v>
      </c>
      <c r="L421" s="80" t="n">
        <v>0.9495063474926526</v>
      </c>
      <c r="M421" s="84" t="n">
        <v>-0.9267244762187399</v>
      </c>
      <c r="N421" s="82" t="n">
        <v>141.0387679205387</v>
      </c>
      <c r="O421" s="119" t="inlineStr">
        <is>
          <t>—</t>
        </is>
      </c>
      <c r="P421" s="119" t="inlineStr">
        <is>
          <t>—</t>
        </is>
      </c>
      <c r="Q421" s="119" t="inlineStr">
        <is>
          <t>—</t>
        </is>
      </c>
      <c r="R421" s="119" t="inlineStr">
        <is>
          <t>—</t>
        </is>
      </c>
      <c r="S421" s="119" t="inlineStr">
        <is>
          <t>—</t>
        </is>
      </c>
    </row>
    <row r="422" ht="20" customHeight="1" s="57">
      <c r="A422" s="62" t="n">
        <v>417</v>
      </c>
      <c r="B422" s="63" t="inlineStr">
        <is>
          <t>HEI</t>
        </is>
      </c>
      <c r="C422" s="64" t="inlineStr">
        <is>
          <t>HEICO Corp</t>
        </is>
      </c>
      <c r="D422" s="65" t="inlineStr">
        <is>
          <t>Industrials</t>
        </is>
      </c>
      <c r="E422" s="72" t="n">
        <v>321.065</v>
      </c>
      <c r="F422" s="73" t="n">
        <v>0.2163893</v>
      </c>
      <c r="G422" s="74" t="n">
        <v>44.759519232</v>
      </c>
      <c r="H422" s="73" t="n">
        <v>0.144</v>
      </c>
      <c r="I422" s="75" t="n">
        <v>0.3962</v>
      </c>
      <c r="J422" s="76" t="n">
        <v>65.52347</v>
      </c>
      <c r="K422" s="85" t="n">
        <v>690.7624960000001</v>
      </c>
      <c r="L422" s="74" t="n">
        <v>12.10381945181267</v>
      </c>
      <c r="M422" s="84" t="n">
        <v>-0.7295811112475207</v>
      </c>
      <c r="N422" s="76" t="n">
        <v>25.63026335367953</v>
      </c>
      <c r="O422" s="120" t="inlineStr">
        <is>
          <t>YES</t>
        </is>
      </c>
      <c r="P422" s="121" t="n">
        <v>1.64</v>
      </c>
      <c r="Q422" s="130" t="inlineStr">
        <is>
          <t>Hold</t>
        </is>
      </c>
      <c r="R422" s="123" t="n">
        <v>265</v>
      </c>
      <c r="S422" s="124" t="inlineStr">
        <is>
          <t>Held unchanged all year. ~5.6M shares (acquired Q4 2024)</t>
        </is>
      </c>
    </row>
    <row r="423" ht="20" customHeight="1" s="57">
      <c r="A423" s="67" t="n">
        <v>418</v>
      </c>
      <c r="B423" s="68" t="inlineStr">
        <is>
          <t>HUBB</t>
        </is>
      </c>
      <c r="C423" s="69" t="inlineStr">
        <is>
          <t>Hubbell Inc</t>
        </is>
      </c>
      <c r="D423" s="70" t="inlineStr">
        <is>
          <t>Industrials</t>
        </is>
      </c>
      <c r="E423" s="79" t="n">
        <v>489.45</v>
      </c>
      <c r="F423" s="73" t="n">
        <v>0.3805002</v>
      </c>
      <c r="G423" s="80" t="n">
        <v>26.019946496</v>
      </c>
      <c r="H423" s="73" t="n">
        <v>0.119</v>
      </c>
      <c r="I423" s="81" t="n">
        <v>0.35486</v>
      </c>
      <c r="J423" s="82" t="n">
        <v>29.556162</v>
      </c>
      <c r="K423" s="83" t="n">
        <v>680.912512</v>
      </c>
      <c r="L423" s="80" t="n">
        <v>12.04851978542284</v>
      </c>
      <c r="M423" s="84" t="n">
        <v>-0.5369506318056787</v>
      </c>
      <c r="N423" s="82" t="n">
        <v>38.21334700176578</v>
      </c>
      <c r="O423" s="119" t="inlineStr">
        <is>
          <t>—</t>
        </is>
      </c>
      <c r="P423" s="119" t="inlineStr">
        <is>
          <t>—</t>
        </is>
      </c>
      <c r="Q423" s="119" t="inlineStr">
        <is>
          <t>—</t>
        </is>
      </c>
      <c r="R423" s="119" t="inlineStr">
        <is>
          <t>—</t>
        </is>
      </c>
      <c r="S423" s="119" t="inlineStr">
        <is>
          <t>—</t>
        </is>
      </c>
    </row>
    <row r="424" ht="20" customHeight="1" s="57">
      <c r="A424" s="62" t="n">
        <v>419</v>
      </c>
      <c r="B424" s="63" t="inlineStr">
        <is>
          <t>INVH</t>
        </is>
      </c>
      <c r="C424" s="64" t="inlineStr">
        <is>
          <t>Invitation Homes</t>
        </is>
      </c>
      <c r="D424" s="65" t="inlineStr">
        <is>
          <t>Real Estate</t>
        </is>
      </c>
      <c r="E424" s="72" t="n">
        <v>26.75</v>
      </c>
      <c r="F424" s="84" t="n">
        <v>-0.22864687</v>
      </c>
      <c r="G424" s="74" t="n">
        <v>16.398301184</v>
      </c>
      <c r="H424" s="73" t="n">
        <v>0.043</v>
      </c>
      <c r="I424" s="75" t="n">
        <v>0.58247</v>
      </c>
      <c r="J424" s="76" t="n">
        <v>27.864584</v>
      </c>
      <c r="K424" s="85" t="n">
        <v>1086.718208</v>
      </c>
      <c r="L424" s="74" t="n">
        <v>12.41222428793902</v>
      </c>
      <c r="M424" s="84" t="n">
        <v>-0.2430786488999385</v>
      </c>
      <c r="N424" s="76" t="n">
        <v>15.00028053983798</v>
      </c>
      <c r="O424" s="118" t="inlineStr">
        <is>
          <t>—</t>
        </is>
      </c>
      <c r="P424" s="118" t="inlineStr">
        <is>
          <t>—</t>
        </is>
      </c>
      <c r="Q424" s="118" t="inlineStr">
        <is>
          <t>—</t>
        </is>
      </c>
      <c r="R424" s="118" t="inlineStr">
        <is>
          <t>—</t>
        </is>
      </c>
      <c r="S424" s="118" t="inlineStr">
        <is>
          <t>—</t>
        </is>
      </c>
    </row>
    <row r="425" ht="20" customHeight="1" s="57">
      <c r="A425" s="67" t="n">
        <v>420</v>
      </c>
      <c r="B425" s="68" t="inlineStr">
        <is>
          <t>KVUE</t>
        </is>
      </c>
      <c r="C425" s="69" t="inlineStr">
        <is>
          <t>Kenvue Inc</t>
        </is>
      </c>
      <c r="D425" s="70" t="inlineStr">
        <is>
          <t>Consumer Staples</t>
        </is>
      </c>
      <c r="E425" s="79" t="n">
        <v>18.2899</v>
      </c>
      <c r="F425" s="84" t="n">
        <v>-0.21223956</v>
      </c>
      <c r="G425" s="80" t="n">
        <v>35.04744448</v>
      </c>
      <c r="H425" s="73" t="n">
        <v>0.032</v>
      </c>
      <c r="I425" s="81" t="n">
        <v>0.58370996</v>
      </c>
      <c r="J425" s="82" t="n">
        <v>24.05921</v>
      </c>
      <c r="K425" s="83" t="n">
        <v>1807.874944</v>
      </c>
      <c r="L425" s="80" t="n">
        <v>20.05904427405708</v>
      </c>
      <c r="M425" s="84" t="n">
        <v>-0.4276602881701155</v>
      </c>
      <c r="N425" s="82" t="n">
        <v>19.39118541868071</v>
      </c>
      <c r="O425" s="119" t="inlineStr">
        <is>
          <t>—</t>
        </is>
      </c>
      <c r="P425" s="119" t="inlineStr">
        <is>
          <t>—</t>
        </is>
      </c>
      <c r="Q425" s="119" t="inlineStr">
        <is>
          <t>—</t>
        </is>
      </c>
      <c r="R425" s="119" t="inlineStr">
        <is>
          <t>—</t>
        </is>
      </c>
      <c r="S425" s="119" t="inlineStr">
        <is>
          <t>—</t>
        </is>
      </c>
    </row>
    <row r="426" ht="20" customHeight="1" s="57">
      <c r="A426" s="62" t="n">
        <v>421</v>
      </c>
      <c r="B426" s="63" t="inlineStr">
        <is>
          <t>LAMR</t>
        </is>
      </c>
      <c r="C426" s="64" t="inlineStr">
        <is>
          <t>Lamar Advertising</t>
        </is>
      </c>
      <c r="D426" s="65" t="inlineStr">
        <is>
          <t>Real Estate</t>
        </is>
      </c>
      <c r="E426" s="72" t="n">
        <v>139.39</v>
      </c>
      <c r="F426" s="73" t="n">
        <v>0.1170187</v>
      </c>
      <c r="G426" s="74" t="n">
        <v>14.124475392</v>
      </c>
      <c r="H426" s="73" t="n">
        <v>0.023</v>
      </c>
      <c r="I426" s="75" t="n">
        <v>0.67047</v>
      </c>
      <c r="J426" s="76" t="n">
        <v>24.157713</v>
      </c>
      <c r="K426" s="85" t="n">
        <v>537.700224</v>
      </c>
      <c r="L426" s="74" t="n">
        <v>5.499326204151346</v>
      </c>
      <c r="M426" s="84" t="n">
        <v>-0.6106527108775931</v>
      </c>
      <c r="N426" s="76" t="n">
        <v>22.53013837200856</v>
      </c>
      <c r="O426" s="120" t="inlineStr">
        <is>
          <t>YES</t>
        </is>
      </c>
      <c r="P426" s="121" t="n">
        <v>0.38</v>
      </c>
      <c r="Q426" s="131" t="inlineStr">
        <is>
          <t>Buy</t>
        </is>
      </c>
      <c r="R426" s="123" t="n">
        <v>123</v>
      </c>
      <c r="S426" s="124" t="inlineStr">
        <is>
          <t>New Q2: 2M @~$120 → Added 0.5M Q3 @~$127 → Added 0.2M Q4 @~$130</t>
        </is>
      </c>
    </row>
    <row r="427" ht="20" customHeight="1" s="57">
      <c r="A427" s="67" t="n">
        <v>422</v>
      </c>
      <c r="B427" s="68" t="inlineStr">
        <is>
          <t>LPX</t>
        </is>
      </c>
      <c r="C427" s="69" t="inlineStr">
        <is>
          <t>Louisiana-Pacific Corp</t>
        </is>
      </c>
      <c r="D427" s="70" t="inlineStr">
        <is>
          <t>Materials</t>
        </is>
      </c>
      <c r="E427" s="79" t="n">
        <v>80.925</v>
      </c>
      <c r="F427" s="84" t="n">
        <v>-0.1404804</v>
      </c>
      <c r="G427" s="80" t="n">
        <v>5.6510208</v>
      </c>
      <c r="H427" s="84" t="n">
        <v>-0.166</v>
      </c>
      <c r="I427" s="81" t="n">
        <v>0.2175</v>
      </c>
      <c r="J427" s="82" t="n">
        <v>38.906254</v>
      </c>
      <c r="K427" s="83" t="n">
        <v>26.75</v>
      </c>
      <c r="L427" s="80" t="n">
        <v>0.4209283794527347</v>
      </c>
      <c r="M427" s="84" t="n">
        <v>-0.9255128596495814</v>
      </c>
      <c r="N427" s="82" t="n">
        <v>211.2531030757009</v>
      </c>
      <c r="O427" s="125" t="inlineStr">
        <is>
          <t>YES</t>
        </is>
      </c>
      <c r="P427" s="126" t="n">
        <v>1.23</v>
      </c>
      <c r="Q427" s="127" t="inlineStr">
        <is>
          <t>Hold</t>
        </is>
      </c>
      <c r="R427" s="128" t="n">
        <v>75</v>
      </c>
      <c r="S427" s="129" t="inlineStr">
        <is>
          <t>Held unchanged all year. ~11M shares</t>
        </is>
      </c>
    </row>
    <row r="428" ht="20" customHeight="1" s="57">
      <c r="A428" s="62" t="n">
        <v>423</v>
      </c>
      <c r="B428" s="63" t="inlineStr">
        <is>
          <t>LULU</t>
        </is>
      </c>
      <c r="C428" s="64" t="inlineStr">
        <is>
          <t>Lululemon Athletica</t>
        </is>
      </c>
      <c r="D428" s="65" t="inlineStr">
        <is>
          <t>Consumer Discretionary</t>
        </is>
      </c>
      <c r="E428" s="72" t="n">
        <v>173.235</v>
      </c>
      <c r="F428" s="84" t="n">
        <v>-0.5014162</v>
      </c>
      <c r="G428" s="74" t="n">
        <v>20.543793152</v>
      </c>
      <c r="H428" s="73" t="n">
        <v>0.07099999999999999</v>
      </c>
      <c r="I428" s="75" t="n">
        <v>0.58413</v>
      </c>
      <c r="J428" s="76" t="n">
        <v>12.04694</v>
      </c>
      <c r="K428" s="85" t="n">
        <v>884.945152</v>
      </c>
      <c r="L428" s="74" t="n">
        <v>12.46365495533506</v>
      </c>
      <c r="M428" s="84" t="n">
        <v>-0.3933128676326412</v>
      </c>
      <c r="N428" s="76" t="n">
        <v>21.96208624761753</v>
      </c>
      <c r="O428" s="118" t="inlineStr">
        <is>
          <t>—</t>
        </is>
      </c>
      <c r="P428" s="118" t="inlineStr">
        <is>
          <t>—</t>
        </is>
      </c>
      <c r="Q428" s="118" t="inlineStr">
        <is>
          <t>—</t>
        </is>
      </c>
      <c r="R428" s="118" t="inlineStr">
        <is>
          <t>—</t>
        </is>
      </c>
      <c r="S428" s="118" t="inlineStr">
        <is>
          <t>—</t>
        </is>
      </c>
    </row>
    <row r="429" ht="20" customHeight="1" s="57">
      <c r="A429" s="67" t="n">
        <v>424</v>
      </c>
      <c r="B429" s="68" t="inlineStr">
        <is>
          <t>META</t>
        </is>
      </c>
      <c r="C429" s="69" t="inlineStr">
        <is>
          <t>Meta Platforms Inc</t>
        </is>
      </c>
      <c r="D429" s="70" t="inlineStr">
        <is>
          <t>Communication Services</t>
        </is>
      </c>
      <c r="E429" s="79" t="n">
        <v>666.84</v>
      </c>
      <c r="F429" s="84" t="n">
        <v>-0.0021173954</v>
      </c>
      <c r="G429" s="80" t="n">
        <v>1686.80882176</v>
      </c>
      <c r="H429" s="73" t="n">
        <v>0.238</v>
      </c>
      <c r="I429" s="81" t="n">
        <v>0.81999</v>
      </c>
      <c r="J429" s="82" t="n">
        <v>28.352041</v>
      </c>
      <c r="K429" s="83" t="n">
        <v>23432.374272</v>
      </c>
      <c r="L429" s="80" t="n">
        <v>465.1459395544071</v>
      </c>
      <c r="M429" s="84" t="n">
        <v>-0.7242450160599242</v>
      </c>
      <c r="N429" s="82" t="n">
        <v>62.24284370615912</v>
      </c>
      <c r="O429" s="119" t="inlineStr">
        <is>
          <t>—</t>
        </is>
      </c>
      <c r="P429" s="119" t="inlineStr">
        <is>
          <t>—</t>
        </is>
      </c>
      <c r="Q429" s="119" t="inlineStr">
        <is>
          <t>—</t>
        </is>
      </c>
      <c r="R429" s="119" t="inlineStr">
        <is>
          <t>—</t>
        </is>
      </c>
      <c r="S429" s="119" t="inlineStr">
        <is>
          <t>—</t>
        </is>
      </c>
    </row>
    <row r="430" ht="20" customHeight="1" s="57">
      <c r="A430" s="62" t="n">
        <v>425</v>
      </c>
      <c r="B430" s="63" t="inlineStr">
        <is>
          <t>MNDY</t>
        </is>
      </c>
      <c r="C430" s="64" t="inlineStr">
        <is>
          <t>monday.com Ltd</t>
        </is>
      </c>
      <c r="D430" s="65" t="inlineStr">
        <is>
          <t>Technology</t>
        </is>
      </c>
      <c r="E430" s="72" t="n">
        <v>76.105</v>
      </c>
      <c r="F430" s="84" t="n">
        <v>-0.73747325</v>
      </c>
      <c r="G430" s="74" t="n">
        <v>3.923324416</v>
      </c>
      <c r="H430" s="73" t="n">
        <v>0.246</v>
      </c>
      <c r="I430" s="75" t="n">
        <v>0.89195997</v>
      </c>
      <c r="J430" s="76" t="n">
        <v>33.97545</v>
      </c>
      <c r="K430" s="85" t="n">
        <v>255.467504</v>
      </c>
      <c r="L430" s="74" t="n">
        <v>5.65311057848437</v>
      </c>
      <c r="M430" s="73" t="n">
        <v>0.4408980698690123</v>
      </c>
      <c r="N430" s="76" t="n">
        <v>15.35742884742789</v>
      </c>
      <c r="O430" s="118" t="inlineStr">
        <is>
          <t>—</t>
        </is>
      </c>
      <c r="P430" s="118" t="inlineStr">
        <is>
          <t>—</t>
        </is>
      </c>
      <c r="Q430" s="118" t="inlineStr">
        <is>
          <t>—</t>
        </is>
      </c>
      <c r="R430" s="118" t="inlineStr">
        <is>
          <t>—</t>
        </is>
      </c>
      <c r="S430" s="118" t="inlineStr">
        <is>
          <t>—</t>
        </is>
      </c>
    </row>
    <row r="431" ht="20" customHeight="1" s="57">
      <c r="A431" s="67" t="n">
        <v>426</v>
      </c>
      <c r="B431" s="68" t="inlineStr">
        <is>
          <t>MOH</t>
        </is>
      </c>
      <c r="C431" s="69" t="inlineStr">
        <is>
          <t>Molina Healthcare</t>
        </is>
      </c>
      <c r="D431" s="70" t="inlineStr">
        <is>
          <t>Healthcare</t>
        </is>
      </c>
      <c r="E431" s="79" t="n">
        <v>150.37</v>
      </c>
      <c r="F431" s="84" t="n">
        <v>-0.5357016999999999</v>
      </c>
      <c r="G431" s="80" t="n">
        <v>7.744054784</v>
      </c>
      <c r="H431" s="73" t="n">
        <v>0.07099999999999999</v>
      </c>
      <c r="I431" s="81" t="n">
        <v>0.09354</v>
      </c>
      <c r="J431" s="82" t="n">
        <v>16.857622</v>
      </c>
      <c r="K431" s="83" t="n">
        <v>-100</v>
      </c>
      <c r="L431" s="78" t="inlineStr">
        <is>
          <t>—</t>
        </is>
      </c>
      <c r="M431" s="78" t="inlineStr">
        <is>
          <t>—</t>
        </is>
      </c>
      <c r="N431" s="82" t="n">
        <v>-77.44055</v>
      </c>
      <c r="O431" s="119" t="inlineStr">
        <is>
          <t>—</t>
        </is>
      </c>
      <c r="P431" s="119" t="inlineStr">
        <is>
          <t>—</t>
        </is>
      </c>
      <c r="Q431" s="119" t="inlineStr">
        <is>
          <t>—</t>
        </is>
      </c>
      <c r="R431" s="119" t="inlineStr">
        <is>
          <t>—</t>
        </is>
      </c>
      <c r="S431" s="119" t="inlineStr">
        <is>
          <t>—</t>
        </is>
      </c>
    </row>
    <row r="432" ht="20" customHeight="1" s="57">
      <c r="A432" s="62" t="n">
        <v>427</v>
      </c>
      <c r="B432" s="63" t="inlineStr">
        <is>
          <t>MPWR</t>
        </is>
      </c>
      <c r="C432" s="64" t="inlineStr">
        <is>
          <t>Monolithic Power Systems</t>
        </is>
      </c>
      <c r="D432" s="65" t="inlineStr">
        <is>
          <t>Technology</t>
        </is>
      </c>
      <c r="E432" s="72" t="n">
        <v>1097.39</v>
      </c>
      <c r="F432" s="73" t="n">
        <v>0.7549617</v>
      </c>
      <c r="G432" s="74" t="n">
        <v>53.452771328</v>
      </c>
      <c r="H432" s="73" t="n">
        <v>0.208</v>
      </c>
      <c r="I432" s="75" t="n">
        <v>0.55179</v>
      </c>
      <c r="J432" s="76" t="n">
        <v>85.80063</v>
      </c>
      <c r="K432" s="85" t="n">
        <v>408.796512</v>
      </c>
      <c r="L432" s="74" t="n">
        <v>7.98967345537835</v>
      </c>
      <c r="M432" s="84" t="n">
        <v>-0.8505283588319181</v>
      </c>
      <c r="N432" s="76" t="n">
        <v>130.756422672217</v>
      </c>
      <c r="O432" s="118" t="inlineStr">
        <is>
          <t>—</t>
        </is>
      </c>
      <c r="P432" s="118" t="inlineStr">
        <is>
          <t>—</t>
        </is>
      </c>
      <c r="Q432" s="118" t="inlineStr">
        <is>
          <t>—</t>
        </is>
      </c>
      <c r="R432" s="118" t="inlineStr">
        <is>
          <t>—</t>
        </is>
      </c>
      <c r="S432" s="118" t="inlineStr">
        <is>
          <t>—</t>
        </is>
      </c>
    </row>
    <row r="433" ht="20" customHeight="1" s="57">
      <c r="A433" s="67" t="n">
        <v>428</v>
      </c>
      <c r="B433" s="68" t="inlineStr">
        <is>
          <t>MRNA</t>
        </is>
      </c>
      <c r="C433" s="69" t="inlineStr">
        <is>
          <t>Moderna Inc</t>
        </is>
      </c>
      <c r="D433" s="70" t="inlineStr">
        <is>
          <t>Healthcare</t>
        </is>
      </c>
      <c r="E433" s="79" t="n">
        <v>59.45</v>
      </c>
      <c r="F433" s="73" t="n">
        <v>0.415223</v>
      </c>
      <c r="G433" s="80" t="n">
        <v>23.479148544</v>
      </c>
      <c r="H433" s="84" t="n">
        <v>-0.298</v>
      </c>
      <c r="I433" s="81" t="n">
        <v>-1.05761</v>
      </c>
      <c r="J433" s="82" t="n">
        <v>-12.933951</v>
      </c>
      <c r="K433" s="83" t="n">
        <v>-1326.499968</v>
      </c>
      <c r="L433" s="78" t="inlineStr">
        <is>
          <t>—</t>
        </is>
      </c>
      <c r="M433" s="78" t="inlineStr">
        <is>
          <t>—</t>
        </is>
      </c>
      <c r="N433" s="82" t="n">
        <v>-17.70007487614203</v>
      </c>
      <c r="O433" s="119" t="inlineStr">
        <is>
          <t>—</t>
        </is>
      </c>
      <c r="P433" s="119" t="inlineStr">
        <is>
          <t>—</t>
        </is>
      </c>
      <c r="Q433" s="119" t="inlineStr">
        <is>
          <t>—</t>
        </is>
      </c>
      <c r="R433" s="119" t="inlineStr">
        <is>
          <t>—</t>
        </is>
      </c>
      <c r="S433" s="119" t="inlineStr">
        <is>
          <t>—</t>
        </is>
      </c>
    </row>
    <row r="434" ht="20" customHeight="1" s="57">
      <c r="A434" s="62" t="n">
        <v>429</v>
      </c>
      <c r="B434" s="63" t="inlineStr">
        <is>
          <t>MSTR</t>
        </is>
      </c>
      <c r="C434" s="64" t="inlineStr">
        <is>
          <t>MicroStrategy Inc</t>
        </is>
      </c>
      <c r="D434" s="65" t="inlineStr">
        <is>
          <t>Technology</t>
        </is>
      </c>
      <c r="E434" s="72" t="n">
        <v>147.81</v>
      </c>
      <c r="F434" s="84" t="n">
        <v>-0.56998867</v>
      </c>
      <c r="G434" s="74" t="n">
        <v>49.331986432</v>
      </c>
      <c r="H434" s="73" t="n">
        <v>0.019</v>
      </c>
      <c r="I434" s="75" t="n">
        <v>0.6869100299999999</v>
      </c>
      <c r="J434" s="76" t="n">
        <v>2.145906</v>
      </c>
      <c r="K434" s="85" t="n">
        <v>-3363.319552</v>
      </c>
      <c r="L434" s="77" t="inlineStr">
        <is>
          <t>—</t>
        </is>
      </c>
      <c r="M434" s="77" t="inlineStr">
        <is>
          <t>—</t>
        </is>
      </c>
      <c r="N434" s="76" t="n">
        <v>-13.80450525117989</v>
      </c>
      <c r="O434" s="118" t="inlineStr">
        <is>
          <t>—</t>
        </is>
      </c>
      <c r="P434" s="118" t="inlineStr">
        <is>
          <t>—</t>
        </is>
      </c>
      <c r="Q434" s="118" t="inlineStr">
        <is>
          <t>—</t>
        </is>
      </c>
      <c r="R434" s="118" t="inlineStr">
        <is>
          <t>—</t>
        </is>
      </c>
      <c r="S434" s="118" t="inlineStr">
        <is>
          <t>—</t>
        </is>
      </c>
    </row>
    <row r="435" ht="20" customHeight="1" s="57">
      <c r="A435" s="67" t="n">
        <v>430</v>
      </c>
      <c r="B435" s="68" t="inlineStr">
        <is>
          <t>MTCH</t>
        </is>
      </c>
      <c r="C435" s="69" t="inlineStr">
        <is>
          <t>Match Group Inc</t>
        </is>
      </c>
      <c r="D435" s="70" t="inlineStr">
        <is>
          <t>Communication Services</t>
        </is>
      </c>
      <c r="E435" s="79" t="n">
        <v>30.8238</v>
      </c>
      <c r="F435" s="84" t="n">
        <v>-0.022687614</v>
      </c>
      <c r="G435" s="80" t="n">
        <v>7.416888832</v>
      </c>
      <c r="H435" s="73" t="n">
        <v>0.021</v>
      </c>
      <c r="I435" s="81" t="n">
        <v>0.7288</v>
      </c>
      <c r="J435" s="82" t="n">
        <v>12.951176</v>
      </c>
      <c r="K435" s="83" t="n">
        <v>873.88992</v>
      </c>
      <c r="L435" s="80" t="n">
        <v>9.53455883544682</v>
      </c>
      <c r="M435" s="73" t="n">
        <v>0.2855199870746586</v>
      </c>
      <c r="N435" s="82" t="n">
        <v>8.3266554804731</v>
      </c>
      <c r="O435" s="119" t="inlineStr">
        <is>
          <t>—</t>
        </is>
      </c>
      <c r="P435" s="119" t="inlineStr">
        <is>
          <t>—</t>
        </is>
      </c>
      <c r="Q435" s="119" t="inlineStr">
        <is>
          <t>—</t>
        </is>
      </c>
      <c r="R435" s="119" t="inlineStr">
        <is>
          <t>—</t>
        </is>
      </c>
      <c r="S435" s="119" t="inlineStr">
        <is>
          <t>—</t>
        </is>
      </c>
    </row>
    <row r="436" ht="20" customHeight="1" s="57">
      <c r="A436" s="62" t="n">
        <v>431</v>
      </c>
      <c r="B436" s="63" t="inlineStr">
        <is>
          <t>NDSN</t>
        </is>
      </c>
      <c r="C436" s="64" t="inlineStr">
        <is>
          <t>Nordson Corp</t>
        </is>
      </c>
      <c r="D436" s="65" t="inlineStr">
        <is>
          <t>Industrials</t>
        </is>
      </c>
      <c r="E436" s="72" t="n">
        <v>288.92</v>
      </c>
      <c r="F436" s="73" t="n">
        <v>0.36751568</v>
      </c>
      <c r="G436" s="74" t="n">
        <v>16.116998144</v>
      </c>
      <c r="H436" s="73" t="n">
        <v>0.08799999999999999</v>
      </c>
      <c r="I436" s="75" t="n">
        <v>0.55280995</v>
      </c>
      <c r="J436" s="76" t="n">
        <v>31.2684</v>
      </c>
      <c r="K436" s="85" t="n">
        <v>514.465248</v>
      </c>
      <c r="L436" s="74" t="n">
        <v>7.546888380041237</v>
      </c>
      <c r="M436" s="84" t="n">
        <v>-0.5317435472404782</v>
      </c>
      <c r="N436" s="76" t="n">
        <v>31.32766925815755</v>
      </c>
      <c r="O436" s="118" t="inlineStr">
        <is>
          <t>—</t>
        </is>
      </c>
      <c r="P436" s="118" t="inlineStr">
        <is>
          <t>—</t>
        </is>
      </c>
      <c r="Q436" s="118" t="inlineStr">
        <is>
          <t>—</t>
        </is>
      </c>
      <c r="R436" s="118" t="inlineStr">
        <is>
          <t>—</t>
        </is>
      </c>
      <c r="S436" s="118" t="inlineStr">
        <is>
          <t>—</t>
        </is>
      </c>
    </row>
    <row r="437" ht="20" customHeight="1" s="57">
      <c r="A437" s="67" t="n">
        <v>432</v>
      </c>
      <c r="B437" s="68" t="inlineStr">
        <is>
          <t>NET</t>
        </is>
      </c>
      <c r="C437" s="69" t="inlineStr">
        <is>
          <t>Cloudflare Inc</t>
        </is>
      </c>
      <c r="D437" s="70" t="inlineStr">
        <is>
          <t>Technology</t>
        </is>
      </c>
      <c r="E437" s="79" t="n">
        <v>185.3</v>
      </c>
      <c r="F437" s="73" t="n">
        <v>0.24459136</v>
      </c>
      <c r="G437" s="80" t="n">
        <v>65.20466227199999</v>
      </c>
      <c r="H437" s="73" t="n">
        <v>0.336</v>
      </c>
      <c r="I437" s="81" t="n">
        <v>0.74514</v>
      </c>
      <c r="J437" s="82" t="n">
        <v>128.24773</v>
      </c>
      <c r="K437" s="83" t="n">
        <v>388.02512</v>
      </c>
      <c r="L437" s="80" t="n">
        <v>9.765123866306723</v>
      </c>
      <c r="M437" s="84" t="n">
        <v>-0.8502388705646278</v>
      </c>
      <c r="N437" s="82" t="n">
        <v>151.5345467839814</v>
      </c>
      <c r="O437" s="119" t="inlineStr">
        <is>
          <t>—</t>
        </is>
      </c>
      <c r="P437" s="119" t="inlineStr">
        <is>
          <t>—</t>
        </is>
      </c>
      <c r="Q437" s="119" t="inlineStr">
        <is>
          <t>—</t>
        </is>
      </c>
      <c r="R437" s="119" t="inlineStr">
        <is>
          <t>—</t>
        </is>
      </c>
      <c r="S437" s="119" t="inlineStr">
        <is>
          <t>—</t>
        </is>
      </c>
    </row>
    <row r="438" ht="20" customHeight="1" s="57">
      <c r="A438" s="62" t="n">
        <v>433</v>
      </c>
      <c r="B438" s="63" t="inlineStr">
        <is>
          <t>NTNX</t>
        </is>
      </c>
      <c r="C438" s="64" t="inlineStr">
        <is>
          <t>Nutanix Inc</t>
        </is>
      </c>
      <c r="D438" s="65" t="inlineStr">
        <is>
          <t>Technology</t>
        </is>
      </c>
      <c r="E438" s="72" t="n">
        <v>40.49</v>
      </c>
      <c r="F438" s="84" t="n">
        <v>-0.47211415</v>
      </c>
      <c r="G438" s="74" t="n">
        <v>10.948494336</v>
      </c>
      <c r="H438" s="73" t="n">
        <v>0.104</v>
      </c>
      <c r="I438" s="75" t="n">
        <v>0.87133</v>
      </c>
      <c r="J438" s="76" t="n">
        <v>53.276318</v>
      </c>
      <c r="K438" s="85" t="n">
        <v>666.604608</v>
      </c>
      <c r="L438" s="74" t="n">
        <v>11.94409557568746</v>
      </c>
      <c r="M438" s="73" t="n">
        <v>0.09093499152790387</v>
      </c>
      <c r="N438" s="76" t="n">
        <v>16.42426828642625</v>
      </c>
      <c r="O438" s="118" t="inlineStr">
        <is>
          <t>—</t>
        </is>
      </c>
      <c r="P438" s="118" t="inlineStr">
        <is>
          <t>—</t>
        </is>
      </c>
      <c r="Q438" s="118" t="inlineStr">
        <is>
          <t>—</t>
        </is>
      </c>
      <c r="R438" s="118" t="inlineStr">
        <is>
          <t>—</t>
        </is>
      </c>
      <c r="S438" s="118" t="inlineStr">
        <is>
          <t>—</t>
        </is>
      </c>
    </row>
    <row r="439" ht="20" customHeight="1" s="57">
      <c r="A439" s="67" t="n">
        <v>434</v>
      </c>
      <c r="B439" s="68" t="inlineStr">
        <is>
          <t>NWS</t>
        </is>
      </c>
      <c r="C439" s="69" t="inlineStr">
        <is>
          <t>News Corp Class B</t>
        </is>
      </c>
      <c r="D439" s="70" t="inlineStr">
        <is>
          <t>Communication Services</t>
        </is>
      </c>
      <c r="E439" s="79" t="n">
        <v>26.705</v>
      </c>
      <c r="F439" s="84" t="n">
        <v>-0.17702448</v>
      </c>
      <c r="G439" s="80" t="n">
        <v>14.783171584</v>
      </c>
      <c r="H439" s="73" t="n">
        <v>0.055</v>
      </c>
      <c r="I439" s="81" t="n">
        <v>0.56667</v>
      </c>
      <c r="J439" s="82" t="n">
        <v>34.68182</v>
      </c>
      <c r="K439" s="83" t="n">
        <v>1718.37504</v>
      </c>
      <c r="L439" s="80" t="n">
        <v>22.32715214852087</v>
      </c>
      <c r="M439" s="73" t="n">
        <v>0.5103086656104164</v>
      </c>
      <c r="N439" s="82" t="n">
        <v>2.868599227817578</v>
      </c>
      <c r="O439" s="119" t="inlineStr">
        <is>
          <t>—</t>
        </is>
      </c>
      <c r="P439" s="119" t="inlineStr">
        <is>
          <t>—</t>
        </is>
      </c>
      <c r="Q439" s="119" t="inlineStr">
        <is>
          <t>—</t>
        </is>
      </c>
      <c r="R439" s="119" t="inlineStr">
        <is>
          <t>—</t>
        </is>
      </c>
      <c r="S439" s="119" t="inlineStr">
        <is>
          <t>—</t>
        </is>
      </c>
    </row>
    <row r="440" ht="20" customHeight="1" s="57">
      <c r="A440" s="62" t="n">
        <v>435</v>
      </c>
      <c r="B440" s="63" t="inlineStr">
        <is>
          <t>NXPI</t>
        </is>
      </c>
      <c r="C440" s="64" t="inlineStr">
        <is>
          <t>NXP Semiconductors</t>
        </is>
      </c>
      <c r="D440" s="65" t="inlineStr">
        <is>
          <t>Technology</t>
        </is>
      </c>
      <c r="E440" s="72" t="n">
        <v>217.19</v>
      </c>
      <c r="F440" s="84" t="n">
        <v>-0.007012069</v>
      </c>
      <c r="G440" s="74" t="n">
        <v>54.882361344</v>
      </c>
      <c r="H440" s="73" t="n">
        <v>0.07199999999999999</v>
      </c>
      <c r="I440" s="75" t="n">
        <v>0.55382997</v>
      </c>
      <c r="J440" s="76" t="n">
        <v>27.353905</v>
      </c>
      <c r="K440" s="85" t="n">
        <v>1881.750016</v>
      </c>
      <c r="L440" s="74" t="n">
        <v>27.43748601846815</v>
      </c>
      <c r="M440" s="84" t="n">
        <v>-0.5000673195074223</v>
      </c>
      <c r="N440" s="76" t="n">
        <v>29.16559507846445</v>
      </c>
      <c r="O440" s="118" t="inlineStr">
        <is>
          <t>—</t>
        </is>
      </c>
      <c r="P440" s="118" t="inlineStr">
        <is>
          <t>—</t>
        </is>
      </c>
      <c r="Q440" s="118" t="inlineStr">
        <is>
          <t>—</t>
        </is>
      </c>
      <c r="R440" s="118" t="inlineStr">
        <is>
          <t>—</t>
        </is>
      </c>
      <c r="S440" s="118" t="inlineStr">
        <is>
          <t>—</t>
        </is>
      </c>
    </row>
    <row r="441" ht="20" customHeight="1" s="57">
      <c r="A441" s="67" t="n">
        <v>436</v>
      </c>
      <c r="B441" s="68" t="inlineStr">
        <is>
          <t>ON</t>
        </is>
      </c>
      <c r="C441" s="69" t="inlineStr">
        <is>
          <t>ON Semiconductor</t>
        </is>
      </c>
      <c r="D441" s="70" t="inlineStr">
        <is>
          <t>Technology</t>
        </is>
      </c>
      <c r="E441" s="79" t="n">
        <v>62.98</v>
      </c>
      <c r="F441" s="73" t="n">
        <v>0.36416435</v>
      </c>
      <c r="G441" s="80" t="n">
        <v>25.341792256</v>
      </c>
      <c r="H441" s="84" t="n">
        <v>-0.112</v>
      </c>
      <c r="I441" s="81" t="n">
        <v>0.38321</v>
      </c>
      <c r="J441" s="82" t="n">
        <v>217.17242</v>
      </c>
      <c r="K441" s="83" t="n">
        <v>1560.125056</v>
      </c>
      <c r="L441" s="80" t="n">
        <v>13.68765408350231</v>
      </c>
      <c r="M441" s="84" t="n">
        <v>-0.4598782144044458</v>
      </c>
      <c r="N441" s="82" t="n">
        <v>15.90604091894028</v>
      </c>
      <c r="O441" s="119" t="inlineStr">
        <is>
          <t>—</t>
        </is>
      </c>
      <c r="P441" s="119" t="inlineStr">
        <is>
          <t>—</t>
        </is>
      </c>
      <c r="Q441" s="119" t="inlineStr">
        <is>
          <t>—</t>
        </is>
      </c>
      <c r="R441" s="119" t="inlineStr">
        <is>
          <t>—</t>
        </is>
      </c>
      <c r="S441" s="119" t="inlineStr">
        <is>
          <t>—</t>
        </is>
      </c>
    </row>
    <row r="442" ht="20" customHeight="1" s="57">
      <c r="A442" s="62" t="n">
        <v>437</v>
      </c>
      <c r="B442" s="63" t="inlineStr">
        <is>
          <t>PANW</t>
        </is>
      </c>
      <c r="C442" s="64" t="inlineStr">
        <is>
          <t>Palo Alto Networks</t>
        </is>
      </c>
      <c r="D442" s="65" t="inlineStr">
        <is>
          <t>Technology</t>
        </is>
      </c>
      <c r="E442" s="72" t="n">
        <v>159.71</v>
      </c>
      <c r="F442" s="84" t="n">
        <v>-0.15297371</v>
      </c>
      <c r="G442" s="74" t="n">
        <v>130.323365888</v>
      </c>
      <c r="H442" s="73" t="n">
        <v>0.149</v>
      </c>
      <c r="I442" s="75" t="n">
        <v>0.73502</v>
      </c>
      <c r="J442" s="76" t="n">
        <v>88.72778</v>
      </c>
      <c r="K442" s="85" t="n">
        <v>2804.84992</v>
      </c>
      <c r="L442" s="74" t="n">
        <v>51.75495609032004</v>
      </c>
      <c r="M442" s="84" t="n">
        <v>-0.6028727792773686</v>
      </c>
      <c r="N442" s="76" t="n">
        <v>46.46357691751294</v>
      </c>
      <c r="O442" s="118" t="inlineStr">
        <is>
          <t>—</t>
        </is>
      </c>
      <c r="P442" s="118" t="inlineStr">
        <is>
          <t>—</t>
        </is>
      </c>
      <c r="Q442" s="118" t="inlineStr">
        <is>
          <t>—</t>
        </is>
      </c>
      <c r="R442" s="118" t="inlineStr">
        <is>
          <t>—</t>
        </is>
      </c>
      <c r="S442" s="118" t="inlineStr">
        <is>
          <t>—</t>
        </is>
      </c>
    </row>
    <row r="443" ht="20" customHeight="1" s="57">
      <c r="A443" s="62" t="n">
        <v>438</v>
      </c>
      <c r="B443" s="63" t="inlineStr">
        <is>
          <t>PCG</t>
        </is>
      </c>
      <c r="C443" s="64" t="inlineStr">
        <is>
          <t>PG&amp;E Corp</t>
        </is>
      </c>
      <c r="D443" s="65" t="inlineStr">
        <is>
          <t>Utilities</t>
        </is>
      </c>
      <c r="E443" s="79" t="n">
        <v>18.88</v>
      </c>
      <c r="F443" s="73" t="n">
        <v>0.15436244</v>
      </c>
      <c r="G443" s="80" t="n">
        <v>41.497632768</v>
      </c>
      <c r="H443" s="73" t="n">
        <v>0.026</v>
      </c>
      <c r="I443" s="81" t="n">
        <v>0.39583</v>
      </c>
      <c r="J443" s="82" t="n">
        <v>16</v>
      </c>
      <c r="K443" s="83" t="n">
        <v>-3413.625088</v>
      </c>
      <c r="L443" s="78" t="inlineStr">
        <is>
          <t>—</t>
        </is>
      </c>
      <c r="M443" s="78" t="inlineStr">
        <is>
          <t>—</t>
        </is>
      </c>
      <c r="N443" s="82" t="n">
        <v>-12.15647117118914</v>
      </c>
      <c r="O443" s="119" t="inlineStr">
        <is>
          <t>—</t>
        </is>
      </c>
      <c r="P443" s="119" t="inlineStr">
        <is>
          <t>—</t>
        </is>
      </c>
      <c r="Q443" s="119" t="inlineStr">
        <is>
          <t>—</t>
        </is>
      </c>
      <c r="R443" s="119" t="inlineStr">
        <is>
          <t>—</t>
        </is>
      </c>
      <c r="S443" s="119" t="inlineStr">
        <is>
          <t>—</t>
        </is>
      </c>
    </row>
    <row r="444" ht="20" customHeight="1" s="57">
      <c r="A444" s="67" t="n">
        <v>439</v>
      </c>
      <c r="B444" s="68" t="inlineStr">
        <is>
          <t>PLTR</t>
        </is>
      </c>
      <c r="C444" s="69" t="inlineStr">
        <is>
          <t>Palantir Technologies</t>
        </is>
      </c>
      <c r="D444" s="70" t="inlineStr">
        <is>
          <t>Technology</t>
        </is>
      </c>
      <c r="E444" s="72" t="n">
        <v>153.41</v>
      </c>
      <c r="F444" s="73" t="n">
        <v>0.63341844</v>
      </c>
      <c r="G444" s="74" t="n">
        <v>366.906966016</v>
      </c>
      <c r="H444" s="73" t="n">
        <v>0.7</v>
      </c>
      <c r="I444" s="75" t="n">
        <v>0.82366997</v>
      </c>
      <c r="J444" s="76" t="n">
        <v>243.50795</v>
      </c>
      <c r="K444" s="85" t="n">
        <v>1260.9184</v>
      </c>
      <c r="L444" s="74" t="n">
        <v>27.11982118250478</v>
      </c>
      <c r="M444" s="84" t="n">
        <v>-0.9260852922009605</v>
      </c>
      <c r="N444" s="76" t="n">
        <v>278.7924483542393</v>
      </c>
      <c r="O444" s="118" t="inlineStr">
        <is>
          <t>—</t>
        </is>
      </c>
      <c r="P444" s="118" t="inlineStr">
        <is>
          <t>—</t>
        </is>
      </c>
      <c r="Q444" s="118" t="inlineStr">
        <is>
          <t>—</t>
        </is>
      </c>
      <c r="R444" s="118" t="inlineStr">
        <is>
          <t>—</t>
        </is>
      </c>
      <c r="S444" s="118" t="inlineStr">
        <is>
          <t>—</t>
        </is>
      </c>
    </row>
    <row r="445" ht="20" customHeight="1" s="57">
      <c r="A445" s="62" t="n">
        <v>440</v>
      </c>
      <c r="B445" s="63" t="inlineStr">
        <is>
          <t>PODD</t>
        </is>
      </c>
      <c r="C445" s="64" t="inlineStr">
        <is>
          <t>Insulet Corp</t>
        </is>
      </c>
      <c r="D445" s="65" t="inlineStr">
        <is>
          <t>Healthcare</t>
        </is>
      </c>
      <c r="E445" s="79" t="n">
        <v>244.16</v>
      </c>
      <c r="F445" s="84" t="n">
        <v>-0.10697538</v>
      </c>
      <c r="G445" s="80" t="n">
        <v>17.18785024</v>
      </c>
      <c r="H445" s="73" t="n">
        <v>0.312</v>
      </c>
      <c r="I445" s="81" t="n">
        <v>0.7163300500000001</v>
      </c>
      <c r="J445" s="82" t="n">
        <v>70.16092</v>
      </c>
      <c r="K445" s="83" t="n">
        <v>154.9</v>
      </c>
      <c r="L445" s="80" t="n">
        <v>3.207404267055464</v>
      </c>
      <c r="M445" s="84" t="n">
        <v>-0.8133911907382628</v>
      </c>
      <c r="N445" s="82" t="n">
        <v>110.9609441425436</v>
      </c>
      <c r="O445" s="119" t="inlineStr">
        <is>
          <t>—</t>
        </is>
      </c>
      <c r="P445" s="119" t="inlineStr">
        <is>
          <t>—</t>
        </is>
      </c>
      <c r="Q445" s="119" t="inlineStr">
        <is>
          <t>—</t>
        </is>
      </c>
      <c r="R445" s="119" t="inlineStr">
        <is>
          <t>—</t>
        </is>
      </c>
      <c r="S445" s="119" t="inlineStr">
        <is>
          <t>—</t>
        </is>
      </c>
    </row>
    <row r="446" ht="20" customHeight="1" s="57">
      <c r="A446" s="67" t="n">
        <v>441</v>
      </c>
      <c r="B446" s="68" t="inlineStr">
        <is>
          <t>POOL</t>
        </is>
      </c>
      <c r="C446" s="69" t="inlineStr">
        <is>
          <t>Pool Corp</t>
        </is>
      </c>
      <c r="D446" s="70" t="inlineStr">
        <is>
          <t>Consumer Discretionary</t>
        </is>
      </c>
      <c r="E446" s="72" t="n">
        <v>221.055</v>
      </c>
      <c r="F446" s="84" t="n">
        <v>-0.35676903</v>
      </c>
      <c r="G446" s="74" t="n">
        <v>8.249332224</v>
      </c>
      <c r="H446" s="84" t="n">
        <v>-0.005</v>
      </c>
      <c r="I446" s="75" t="n">
        <v>0.29728</v>
      </c>
      <c r="J446" s="76" t="n">
        <v>20.392527</v>
      </c>
      <c r="K446" s="85" t="n">
        <v>203.107872</v>
      </c>
      <c r="L446" s="74" t="n">
        <v>1.841165791974795</v>
      </c>
      <c r="M446" s="84" t="n">
        <v>-0.7768103233109895</v>
      </c>
      <c r="N446" s="76" t="n">
        <v>40.54094311824606</v>
      </c>
      <c r="O446" s="120" t="inlineStr">
        <is>
          <t>YES</t>
        </is>
      </c>
      <c r="P446" s="121" t="n">
        <v>0.96</v>
      </c>
      <c r="Q446" s="131" t="inlineStr">
        <is>
          <t>Buy</t>
        </is>
      </c>
      <c r="R446" s="123" t="n">
        <v>333</v>
      </c>
      <c r="S446" s="124" t="inlineStr">
        <is>
          <t>Added 0.9M Q1 (+145%) @~$340 → Added 2.0M Q2 (+136%) @~$325 → Hold Q3 → Trimmed 0.5M Q4 @~$355</t>
        </is>
      </c>
    </row>
    <row r="447" ht="20" customHeight="1" s="57">
      <c r="A447" s="62" t="n">
        <v>442</v>
      </c>
      <c r="B447" s="63" t="inlineStr">
        <is>
          <t>PTC</t>
        </is>
      </c>
      <c r="C447" s="64" t="inlineStr">
        <is>
          <t>PTC Inc</t>
        </is>
      </c>
      <c r="D447" s="65" t="inlineStr">
        <is>
          <t>Technology</t>
        </is>
      </c>
      <c r="E447" s="79" t="n">
        <v>163.835</v>
      </c>
      <c r="F447" s="73" t="n">
        <v>0.012037754</v>
      </c>
      <c r="G447" s="80" t="n">
        <v>19.495729152</v>
      </c>
      <c r="H447" s="73" t="n">
        <v>0.214</v>
      </c>
      <c r="I447" s="81" t="n">
        <v>0.84233004</v>
      </c>
      <c r="J447" s="82" t="n">
        <v>24.164455</v>
      </c>
      <c r="K447" s="83" t="n">
        <v>786.8784000000001</v>
      </c>
      <c r="L447" s="80" t="n">
        <v>13.72234034744259</v>
      </c>
      <c r="M447" s="84" t="n">
        <v>-0.2961360798329071</v>
      </c>
      <c r="N447" s="82" t="n">
        <v>24.7760373964516</v>
      </c>
      <c r="O447" s="119" t="inlineStr">
        <is>
          <t>—</t>
        </is>
      </c>
      <c r="P447" s="119" t="inlineStr">
        <is>
          <t>—</t>
        </is>
      </c>
      <c r="Q447" s="119" t="inlineStr">
        <is>
          <t>—</t>
        </is>
      </c>
      <c r="R447" s="119" t="inlineStr">
        <is>
          <t>—</t>
        </is>
      </c>
      <c r="S447" s="119" t="inlineStr">
        <is>
          <t>—</t>
        </is>
      </c>
    </row>
    <row r="448" ht="20" customHeight="1" s="57">
      <c r="A448" s="67" t="n">
        <v>443</v>
      </c>
      <c r="B448" s="68" t="inlineStr">
        <is>
          <t>RVTY</t>
        </is>
      </c>
      <c r="C448" s="69" t="inlineStr">
        <is>
          <t>Revvity Inc</t>
        </is>
      </c>
      <c r="D448" s="70" t="inlineStr">
        <is>
          <t>Healthcare</t>
        </is>
      </c>
      <c r="E448" s="72" t="n">
        <v>98.48</v>
      </c>
      <c r="F448" s="84" t="n">
        <v>-0.14123333</v>
      </c>
      <c r="G448" s="74" t="n">
        <v>11.165232128</v>
      </c>
      <c r="H448" s="73" t="n">
        <v>0.059</v>
      </c>
      <c r="I448" s="75" t="n">
        <v>0.54774</v>
      </c>
      <c r="J448" s="76" t="n">
        <v>47.80583</v>
      </c>
      <c r="K448" s="85" t="n">
        <v>523.275264</v>
      </c>
      <c r="L448" s="74" t="n">
        <v>7.16006608622019</v>
      </c>
      <c r="M448" s="84" t="n">
        <v>-0.3587176689086217</v>
      </c>
      <c r="N448" s="76" t="n">
        <v>21.04055572464438</v>
      </c>
      <c r="O448" s="118" t="inlineStr">
        <is>
          <t>—</t>
        </is>
      </c>
      <c r="P448" s="118" t="inlineStr">
        <is>
          <t>—</t>
        </is>
      </c>
      <c r="Q448" s="118" t="inlineStr">
        <is>
          <t>—</t>
        </is>
      </c>
      <c r="R448" s="118" t="inlineStr">
        <is>
          <t>—</t>
        </is>
      </c>
      <c r="S448" s="118" t="inlineStr">
        <is>
          <t>—</t>
        </is>
      </c>
    </row>
    <row r="449" ht="20" customHeight="1" s="57">
      <c r="A449" s="62" t="n">
        <v>444</v>
      </c>
      <c r="B449" s="63" t="inlineStr">
        <is>
          <t>SEDG</t>
        </is>
      </c>
      <c r="C449" s="64" t="inlineStr">
        <is>
          <t>SolarEdge Technologies</t>
        </is>
      </c>
      <c r="D449" s="65" t="inlineStr">
        <is>
          <t>Technology</t>
        </is>
      </c>
      <c r="E449" s="79" t="n">
        <v>37.96</v>
      </c>
      <c r="F449" s="73" t="n">
        <v>1.4252727</v>
      </c>
      <c r="G449" s="80" t="n">
        <v>2.291271424</v>
      </c>
      <c r="H449" s="73" t="n">
        <v>0.709</v>
      </c>
      <c r="I449" s="81" t="n">
        <v>0.15422</v>
      </c>
      <c r="J449" s="82" t="n">
        <v>20.322504</v>
      </c>
      <c r="K449" s="83" t="n">
        <v>235.121504</v>
      </c>
      <c r="L449" s="80" t="n">
        <v>4.423151040595314</v>
      </c>
      <c r="M449" s="73" t="n">
        <v>0.9304352135084776</v>
      </c>
      <c r="N449" s="82" t="n">
        <v>9.745052693436326</v>
      </c>
      <c r="O449" s="119" t="inlineStr">
        <is>
          <t>—</t>
        </is>
      </c>
      <c r="P449" s="119" t="inlineStr">
        <is>
          <t>—</t>
        </is>
      </c>
      <c r="Q449" s="119" t="inlineStr">
        <is>
          <t>—</t>
        </is>
      </c>
      <c r="R449" s="119" t="inlineStr">
        <is>
          <t>—</t>
        </is>
      </c>
      <c r="S449" s="119" t="inlineStr">
        <is>
          <t>—</t>
        </is>
      </c>
    </row>
    <row r="450" ht="20" customHeight="1" s="57">
      <c r="A450" s="67" t="n">
        <v>445</v>
      </c>
      <c r="B450" s="68" t="inlineStr">
        <is>
          <t>SIRI</t>
        </is>
      </c>
      <c r="C450" s="69" t="inlineStr">
        <is>
          <t>Sirius XM Holdings</t>
        </is>
      </c>
      <c r="D450" s="70" t="inlineStr">
        <is>
          <t>Communication Services</t>
        </is>
      </c>
      <c r="E450" s="72" t="n">
        <v>22.655</v>
      </c>
      <c r="F450" s="84" t="n">
        <v>-0.043908715</v>
      </c>
      <c r="G450" s="74" t="n">
        <v>7.62480384</v>
      </c>
      <c r="H450" s="73" t="n">
        <v>0.002</v>
      </c>
      <c r="I450" s="75" t="n">
        <v>0.47044</v>
      </c>
      <c r="J450" s="76" t="n">
        <v>10.159193</v>
      </c>
      <c r="K450" s="85" t="n">
        <v>926</v>
      </c>
      <c r="L450" s="74" t="n">
        <v>8.424787956715859</v>
      </c>
      <c r="M450" s="73" t="n">
        <v>0.1049186488600681</v>
      </c>
      <c r="N450" s="76" t="n">
        <v>8.19036666137689</v>
      </c>
      <c r="O450" s="120" t="inlineStr">
        <is>
          <t>YES</t>
        </is>
      </c>
      <c r="P450" s="121" t="n">
        <v>0.6899999999999999</v>
      </c>
      <c r="Q450" s="131" t="inlineStr">
        <is>
          <t>Buy</t>
        </is>
      </c>
      <c r="R450" s="123" t="n">
        <v>25.5</v>
      </c>
      <c r="S450" s="124" t="inlineStr">
        <is>
          <t>Added 13M Q1 @~$28 → Added 7M Q2 @~$25 → Added 8M Q3 @~$23 → Hold Q4</t>
        </is>
      </c>
    </row>
    <row r="451" ht="20" customHeight="1" s="57">
      <c r="A451" s="62" t="n">
        <v>446</v>
      </c>
      <c r="B451" s="63" t="inlineStr">
        <is>
          <t>SMCI</t>
        </is>
      </c>
      <c r="C451" s="64" t="inlineStr">
        <is>
          <t>Super Micro Computer</t>
        </is>
      </c>
      <c r="D451" s="65" t="inlineStr">
        <is>
          <t>Technology</t>
        </is>
      </c>
      <c r="E451" s="79" t="n">
        <v>32.4</v>
      </c>
      <c r="F451" s="84" t="n">
        <v>-0.21131104</v>
      </c>
      <c r="G451" s="80" t="n">
        <v>19.407259648</v>
      </c>
      <c r="H451" s="73" t="n">
        <v>1.234</v>
      </c>
      <c r="I451" s="81" t="n">
        <v>0.08019999999999999</v>
      </c>
      <c r="J451" s="82" t="n">
        <v>23.649635</v>
      </c>
      <c r="K451" s="83" t="n">
        <v>103.48</v>
      </c>
      <c r="L451" s="80" t="n">
        <v>4.863603495984631</v>
      </c>
      <c r="M451" s="84" t="n">
        <v>-0.7493925683379082</v>
      </c>
      <c r="N451" s="82" t="n">
        <v>187.5459747506765</v>
      </c>
      <c r="O451" s="119" t="inlineStr">
        <is>
          <t>—</t>
        </is>
      </c>
      <c r="P451" s="119" t="inlineStr">
        <is>
          <t>—</t>
        </is>
      </c>
      <c r="Q451" s="119" t="inlineStr">
        <is>
          <t>—</t>
        </is>
      </c>
      <c r="R451" s="119" t="inlineStr">
        <is>
          <t>—</t>
        </is>
      </c>
      <c r="S451" s="119" t="inlineStr">
        <is>
          <t>—</t>
        </is>
      </c>
    </row>
    <row r="452" ht="20" customHeight="1" s="57">
      <c r="A452" s="67" t="n">
        <v>447</v>
      </c>
      <c r="B452" s="68" t="inlineStr">
        <is>
          <t>SNOW</t>
        </is>
      </c>
      <c r="C452" s="69" t="inlineStr">
        <is>
          <t>Snowflake Inc</t>
        </is>
      </c>
      <c r="D452" s="70" t="inlineStr">
        <is>
          <t>Technology</t>
        </is>
      </c>
      <c r="E452" s="72" t="n">
        <v>168.245</v>
      </c>
      <c r="F452" s="84" t="n">
        <v>-0.06497097</v>
      </c>
      <c r="G452" s="74" t="n">
        <v>57.57343744</v>
      </c>
      <c r="H452" s="73" t="n">
        <v>0.301</v>
      </c>
      <c r="I452" s="75" t="n">
        <v>0.67061996</v>
      </c>
      <c r="J452" s="76" t="n">
        <v>69.37652</v>
      </c>
      <c r="K452" s="85" t="n">
        <v>1763.663744</v>
      </c>
      <c r="L452" s="74" t="n">
        <v>33.42615705671108</v>
      </c>
      <c r="M452" s="84" t="n">
        <v>-0.4194170342608767</v>
      </c>
      <c r="N452" s="76" t="n">
        <v>32.64422665367214</v>
      </c>
      <c r="O452" s="118" t="inlineStr">
        <is>
          <t>—</t>
        </is>
      </c>
      <c r="P452" s="118" t="inlineStr">
        <is>
          <t>—</t>
        </is>
      </c>
      <c r="Q452" s="118" t="inlineStr">
        <is>
          <t>—</t>
        </is>
      </c>
      <c r="R452" s="118" t="inlineStr">
        <is>
          <t>—</t>
        </is>
      </c>
      <c r="S452" s="118" t="inlineStr">
        <is>
          <t>—</t>
        </is>
      </c>
    </row>
    <row r="453" ht="20" customHeight="1" s="57">
      <c r="A453" s="62" t="n">
        <v>448</v>
      </c>
      <c r="B453" s="63" t="inlineStr">
        <is>
          <t>SOLV</t>
        </is>
      </c>
      <c r="C453" s="64" t="inlineStr">
        <is>
          <t>Solventum Corp</t>
        </is>
      </c>
      <c r="D453" s="65" t="inlineStr">
        <is>
          <t>Healthcare</t>
        </is>
      </c>
      <c r="E453" s="79" t="n">
        <v>71.02</v>
      </c>
      <c r="F453" s="84" t="n">
        <v>-0.09019661</v>
      </c>
      <c r="G453" s="80" t="n">
        <v>12.318244864</v>
      </c>
      <c r="H453" s="84" t="n">
        <v>-0.037</v>
      </c>
      <c r="I453" s="81" t="n">
        <v>0.53562</v>
      </c>
      <c r="J453" s="82" t="n">
        <v>8.153846</v>
      </c>
      <c r="K453" s="83" t="n">
        <v>600.750016</v>
      </c>
      <c r="L453" s="80" t="n">
        <v>5.193396343442407</v>
      </c>
      <c r="M453" s="84" t="n">
        <v>-0.5783980266036051</v>
      </c>
      <c r="N453" s="82" t="n">
        <v>20.5047776447167</v>
      </c>
      <c r="O453" s="119" t="inlineStr">
        <is>
          <t>—</t>
        </is>
      </c>
      <c r="P453" s="119" t="inlineStr">
        <is>
          <t>—</t>
        </is>
      </c>
      <c r="Q453" s="119" t="inlineStr">
        <is>
          <t>—</t>
        </is>
      </c>
      <c r="R453" s="119" t="inlineStr">
        <is>
          <t>—</t>
        </is>
      </c>
      <c r="S453" s="119" t="inlineStr">
        <is>
          <t>—</t>
        </is>
      </c>
    </row>
    <row r="454" ht="20" customHeight="1" s="57">
      <c r="A454" s="67" t="n">
        <v>449</v>
      </c>
      <c r="B454" s="68" t="inlineStr">
        <is>
          <t>SPOT</t>
        </is>
      </c>
      <c r="C454" s="69" t="inlineStr">
        <is>
          <t>Spotify Technology</t>
        </is>
      </c>
      <c r="D454" s="70" t="inlineStr">
        <is>
          <t>Communication Services</t>
        </is>
      </c>
      <c r="E454" s="72" t="n">
        <v>534.83</v>
      </c>
      <c r="F454" s="84" t="n">
        <v>-0.113951206</v>
      </c>
      <c r="G454" s="74" t="n">
        <v>110.1182976</v>
      </c>
      <c r="H454" s="73" t="n">
        <v>0.068</v>
      </c>
      <c r="I454" s="75" t="n">
        <v>0.3198</v>
      </c>
      <c r="J454" s="76" t="n">
        <v>43.201134</v>
      </c>
      <c r="K454" s="85" t="n">
        <v>675.3749759999999</v>
      </c>
      <c r="L454" s="74" t="n">
        <v>14.56070631075384</v>
      </c>
      <c r="M454" s="84" t="n">
        <v>-0.8677721447924578</v>
      </c>
      <c r="N454" s="76" t="n">
        <v>162.9989477362721</v>
      </c>
      <c r="O454" s="118" t="inlineStr">
        <is>
          <t>—</t>
        </is>
      </c>
      <c r="P454" s="118" t="inlineStr">
        <is>
          <t>—</t>
        </is>
      </c>
      <c r="Q454" s="118" t="inlineStr">
        <is>
          <t>—</t>
        </is>
      </c>
      <c r="R454" s="118" t="inlineStr">
        <is>
          <t>—</t>
        </is>
      </c>
      <c r="S454" s="118" t="inlineStr">
        <is>
          <t>—</t>
        </is>
      </c>
    </row>
    <row r="455" ht="20" customHeight="1" s="57">
      <c r="A455" s="67" t="n">
        <v>450</v>
      </c>
      <c r="B455" s="68" t="inlineStr">
        <is>
          <t>STLD</t>
        </is>
      </c>
      <c r="C455" s="69" t="inlineStr">
        <is>
          <t>Steel Dynamics</t>
        </is>
      </c>
      <c r="D455" s="70" t="inlineStr">
        <is>
          <t>Materials</t>
        </is>
      </c>
      <c r="E455" s="79" t="n">
        <v>195.555</v>
      </c>
      <c r="F455" s="73" t="n">
        <v>0.54595995</v>
      </c>
      <c r="G455" s="80" t="n">
        <v>28.786593792</v>
      </c>
      <c r="H455" s="73" t="n">
        <v>0.14</v>
      </c>
      <c r="I455" s="81" t="n">
        <v>0.13161</v>
      </c>
      <c r="J455" s="82" t="n">
        <v>24.444374</v>
      </c>
      <c r="K455" s="83" t="n">
        <v>-109.405624</v>
      </c>
      <c r="L455" s="78" t="inlineStr">
        <is>
          <t>—</t>
        </is>
      </c>
      <c r="M455" s="78" t="inlineStr">
        <is>
          <t>—</t>
        </is>
      </c>
      <c r="N455" s="82" t="n">
        <v>-261.0272288355579</v>
      </c>
      <c r="O455" s="119" t="inlineStr">
        <is>
          <t>—</t>
        </is>
      </c>
      <c r="P455" s="119" t="inlineStr">
        <is>
          <t>—</t>
        </is>
      </c>
      <c r="Q455" s="119" t="inlineStr">
        <is>
          <t>—</t>
        </is>
      </c>
      <c r="R455" s="119" t="inlineStr">
        <is>
          <t>—</t>
        </is>
      </c>
      <c r="S455" s="119" t="inlineStr">
        <is>
          <t>—</t>
        </is>
      </c>
    </row>
    <row r="456" ht="20" customHeight="1" s="57">
      <c r="A456" s="62" t="n">
        <v>451</v>
      </c>
      <c r="B456" s="63" t="inlineStr">
        <is>
          <t>TDY</t>
        </is>
      </c>
      <c r="C456" s="64" t="inlineStr">
        <is>
          <t>Teledyne Technologies</t>
        </is>
      </c>
      <c r="D456" s="65" t="inlineStr">
        <is>
          <t>Technology</t>
        </is>
      </c>
      <c r="E456" s="72" t="n">
        <v>682.1</v>
      </c>
      <c r="F456" s="73" t="n">
        <v>0.3807292</v>
      </c>
      <c r="G456" s="74" t="n">
        <v>32.025268224</v>
      </c>
      <c r="H456" s="73" t="n">
        <v>0.073</v>
      </c>
      <c r="I456" s="75" t="n">
        <v>0.42758</v>
      </c>
      <c r="J456" s="76" t="n">
        <v>36.14732</v>
      </c>
      <c r="K456" s="85" t="n">
        <v>686.2874880000001</v>
      </c>
      <c r="L456" s="74" t="n">
        <v>9.427355162413285</v>
      </c>
      <c r="M456" s="84" t="n">
        <v>-0.7056275970438759</v>
      </c>
      <c r="N456" s="76" t="n">
        <v>46.02277206764405</v>
      </c>
      <c r="O456" s="118" t="inlineStr">
        <is>
          <t>—</t>
        </is>
      </c>
      <c r="P456" s="118" t="inlineStr">
        <is>
          <t>—</t>
        </is>
      </c>
      <c r="Q456" s="118" t="inlineStr">
        <is>
          <t>—</t>
        </is>
      </c>
      <c r="R456" s="118" t="inlineStr">
        <is>
          <t>—</t>
        </is>
      </c>
      <c r="S456" s="118" t="inlineStr">
        <is>
          <t>—</t>
        </is>
      </c>
    </row>
    <row r="457" ht="20" customHeight="1" s="57">
      <c r="A457" s="67" t="n">
        <v>452</v>
      </c>
      <c r="B457" s="68" t="inlineStr">
        <is>
          <t>TECH</t>
        </is>
      </c>
      <c r="C457" s="69" t="inlineStr">
        <is>
          <t>Bio-Techne Corp</t>
        </is>
      </c>
      <c r="D457" s="70" t="inlineStr">
        <is>
          <t>Healthcare</t>
        </is>
      </c>
      <c r="E457" s="79" t="n">
        <v>57.89</v>
      </c>
      <c r="F457" s="84" t="n">
        <v>-0.08376205</v>
      </c>
      <c r="G457" s="80" t="n">
        <v>9.057081344</v>
      </c>
      <c r="H457" s="84" t="n">
        <v>-0.004</v>
      </c>
      <c r="I457" s="81" t="n">
        <v>0.66605</v>
      </c>
      <c r="J457" s="82" t="n">
        <v>109.22642</v>
      </c>
      <c r="K457" s="83" t="n">
        <v>260.837504</v>
      </c>
      <c r="L457" s="80" t="n">
        <v>2.410674443580347</v>
      </c>
      <c r="M457" s="84" t="n">
        <v>-0.7338353988421077</v>
      </c>
      <c r="N457" s="82" t="n">
        <v>34.72307829582667</v>
      </c>
      <c r="O457" s="119" t="inlineStr">
        <is>
          <t>—</t>
        </is>
      </c>
      <c r="P457" s="119" t="inlineStr">
        <is>
          <t>—</t>
        </is>
      </c>
      <c r="Q457" s="119" t="inlineStr">
        <is>
          <t>—</t>
        </is>
      </c>
      <c r="R457" s="119" t="inlineStr">
        <is>
          <t>—</t>
        </is>
      </c>
      <c r="S457" s="119" t="inlineStr">
        <is>
          <t>—</t>
        </is>
      </c>
    </row>
    <row r="458" ht="20" customHeight="1" s="57">
      <c r="A458" s="62" t="n">
        <v>453</v>
      </c>
      <c r="B458" s="63" t="inlineStr">
        <is>
          <t>TER</t>
        </is>
      </c>
      <c r="C458" s="64" t="inlineStr">
        <is>
          <t>Teradyne Inc</t>
        </is>
      </c>
      <c r="D458" s="65" t="inlineStr">
        <is>
          <t>Technology</t>
        </is>
      </c>
      <c r="E458" s="72" t="n">
        <v>305.33</v>
      </c>
      <c r="F458" s="73" t="n">
        <v>1.7603667</v>
      </c>
      <c r="G458" s="74" t="n">
        <v>47.801225216</v>
      </c>
      <c r="H458" s="73" t="n">
        <v>0.439</v>
      </c>
      <c r="I458" s="75" t="n">
        <v>0.58224</v>
      </c>
      <c r="J458" s="76" t="n">
        <v>87.99135</v>
      </c>
      <c r="K458" s="85" t="n">
        <v>270.628864</v>
      </c>
      <c r="L458" s="74" t="n">
        <v>4.906883809251552</v>
      </c>
      <c r="M458" s="84" t="n">
        <v>-0.897348158188859</v>
      </c>
      <c r="N458" s="76" t="n">
        <v>176.6301920163993</v>
      </c>
      <c r="O458" s="118" t="inlineStr">
        <is>
          <t>—</t>
        </is>
      </c>
      <c r="P458" s="118" t="inlineStr">
        <is>
          <t>—</t>
        </is>
      </c>
      <c r="Q458" s="118" t="inlineStr">
        <is>
          <t>—</t>
        </is>
      </c>
      <c r="R458" s="118" t="inlineStr">
        <is>
          <t>—</t>
        </is>
      </c>
      <c r="S458" s="118" t="inlineStr">
        <is>
          <t>—</t>
        </is>
      </c>
    </row>
    <row r="459" ht="20" customHeight="1" s="57">
      <c r="A459" s="67" t="n">
        <v>454</v>
      </c>
      <c r="B459" s="68" t="inlineStr">
        <is>
          <t>TPL</t>
        </is>
      </c>
      <c r="C459" s="69" t="inlineStr">
        <is>
          <t>Texas Pacific Land</t>
        </is>
      </c>
      <c r="D459" s="70" t="inlineStr">
        <is>
          <t>Energy</t>
        </is>
      </c>
      <c r="E459" s="79" t="n">
        <v>537.5</v>
      </c>
      <c r="F459" s="73" t="n">
        <v>0.1473856</v>
      </c>
      <c r="G459" s="80" t="n">
        <v>37.072285696</v>
      </c>
      <c r="H459" s="73" t="n">
        <v>0.139</v>
      </c>
      <c r="I459" s="81" t="n">
        <v>0.93294</v>
      </c>
      <c r="J459" s="82" t="n">
        <v>77.26076999999999</v>
      </c>
      <c r="K459" s="83" t="n">
        <v>-82.232</v>
      </c>
      <c r="L459" s="78" t="inlineStr">
        <is>
          <t>—</t>
        </is>
      </c>
      <c r="M459" s="78" t="inlineStr">
        <is>
          <t>—</t>
        </is>
      </c>
      <c r="N459" s="82" t="n">
        <v>-450.6285299518435</v>
      </c>
      <c r="O459" s="119" t="inlineStr">
        <is>
          <t>—</t>
        </is>
      </c>
      <c r="P459" s="119" t="inlineStr">
        <is>
          <t>—</t>
        </is>
      </c>
      <c r="Q459" s="119" t="inlineStr">
        <is>
          <t>—</t>
        </is>
      </c>
      <c r="R459" s="119" t="inlineStr">
        <is>
          <t>—</t>
        </is>
      </c>
      <c r="S459" s="119" t="inlineStr">
        <is>
          <t>—</t>
        </is>
      </c>
    </row>
    <row r="460" ht="20" customHeight="1" s="57">
      <c r="A460" s="62" t="n">
        <v>455</v>
      </c>
      <c r="B460" s="63" t="inlineStr">
        <is>
          <t>TRGP</t>
        </is>
      </c>
      <c r="C460" s="64" t="inlineStr">
        <is>
          <t>Targa Resources</t>
        </is>
      </c>
      <c r="D460" s="65" t="inlineStr">
        <is>
          <t>Energy</t>
        </is>
      </c>
      <c r="E460" s="72" t="n">
        <v>242.9899</v>
      </c>
      <c r="F460" s="73" t="n">
        <v>0.30635405</v>
      </c>
      <c r="G460" s="74" t="n">
        <v>52.231114752</v>
      </c>
      <c r="H460" s="84" t="n">
        <v>-0.079</v>
      </c>
      <c r="I460" s="75" t="n">
        <v>0.38292</v>
      </c>
      <c r="J460" s="76" t="n">
        <v>28.62072</v>
      </c>
      <c r="K460" s="85" t="n">
        <v>-264.4</v>
      </c>
      <c r="L460" s="77" t="inlineStr">
        <is>
          <t>—</t>
        </is>
      </c>
      <c r="M460" s="77" t="inlineStr">
        <is>
          <t>—</t>
        </is>
      </c>
      <c r="N460" s="76" t="n">
        <v>-197.5458241332837</v>
      </c>
      <c r="O460" s="118" t="inlineStr">
        <is>
          <t>—</t>
        </is>
      </c>
      <c r="P460" s="118" t="inlineStr">
        <is>
          <t>—</t>
        </is>
      </c>
      <c r="Q460" s="118" t="inlineStr">
        <is>
          <t>—</t>
        </is>
      </c>
      <c r="R460" s="118" t="inlineStr">
        <is>
          <t>—</t>
        </is>
      </c>
      <c r="S460" s="118" t="inlineStr">
        <is>
          <t>—</t>
        </is>
      </c>
    </row>
    <row r="461" ht="20" customHeight="1" s="57">
      <c r="A461" s="67" t="n">
        <v>456</v>
      </c>
      <c r="B461" s="68" t="inlineStr">
        <is>
          <t>TRMB</t>
        </is>
      </c>
      <c r="C461" s="69" t="inlineStr">
        <is>
          <t>Trimble Inc</t>
        </is>
      </c>
      <c r="D461" s="70" t="inlineStr">
        <is>
          <t>Technology</t>
        </is>
      </c>
      <c r="E461" s="79" t="n">
        <v>69.83</v>
      </c>
      <c r="F461" s="84" t="n">
        <v>-0.004748881</v>
      </c>
      <c r="G461" s="80" t="n">
        <v>16.617381888</v>
      </c>
      <c r="H461" s="84" t="n">
        <v>-0.014</v>
      </c>
      <c r="I461" s="81" t="n">
        <v>0.7108100000000001</v>
      </c>
      <c r="J461" s="82" t="n">
        <v>39.676136</v>
      </c>
      <c r="K461" s="83" t="n">
        <v>522.812512</v>
      </c>
      <c r="L461" s="80" t="n">
        <v>4.504933573268473</v>
      </c>
      <c r="M461" s="84" t="n">
        <v>-0.7289023262730908</v>
      </c>
      <c r="N461" s="82" t="n">
        <v>31.77816214249287</v>
      </c>
      <c r="O461" s="119" t="inlineStr">
        <is>
          <t>—</t>
        </is>
      </c>
      <c r="P461" s="119" t="inlineStr">
        <is>
          <t>—</t>
        </is>
      </c>
      <c r="Q461" s="119" t="inlineStr">
        <is>
          <t>—</t>
        </is>
      </c>
      <c r="R461" s="119" t="inlineStr">
        <is>
          <t>—</t>
        </is>
      </c>
      <c r="S461" s="119" t="inlineStr">
        <is>
          <t>—</t>
        </is>
      </c>
    </row>
    <row r="462" ht="20" customHeight="1" s="57">
      <c r="A462" s="62" t="n">
        <v>457</v>
      </c>
      <c r="B462" s="63" t="inlineStr">
        <is>
          <t>TSLA</t>
        </is>
      </c>
      <c r="C462" s="64" t="inlineStr">
        <is>
          <t>Tesla Inc</t>
        </is>
      </c>
      <c r="D462" s="65" t="inlineStr">
        <is>
          <t>Consumer Discretionary</t>
        </is>
      </c>
      <c r="E462" s="72" t="n">
        <v>406.76</v>
      </c>
      <c r="F462" s="73" t="n">
        <v>0.4060552</v>
      </c>
      <c r="G462" s="74" t="n">
        <v>1526.451798016</v>
      </c>
      <c r="H462" s="84" t="n">
        <v>-0.031</v>
      </c>
      <c r="I462" s="75" t="n">
        <v>0.18027</v>
      </c>
      <c r="J462" s="76" t="n">
        <v>369.80908</v>
      </c>
      <c r="K462" s="85" t="n">
        <v>3732.624896</v>
      </c>
      <c r="L462" s="74" t="n">
        <v>61.22080749705466</v>
      </c>
      <c r="M462" s="84" t="n">
        <v>-0.9598933896395377</v>
      </c>
      <c r="N462" s="76" t="n">
        <v>408.9184625670567</v>
      </c>
      <c r="O462" s="118" t="inlineStr">
        <is>
          <t>—</t>
        </is>
      </c>
      <c r="P462" s="118" t="inlineStr">
        <is>
          <t>—</t>
        </is>
      </c>
      <c r="Q462" s="118" t="inlineStr">
        <is>
          <t>—</t>
        </is>
      </c>
      <c r="R462" s="118" t="inlineStr">
        <is>
          <t>—</t>
        </is>
      </c>
      <c r="S462" s="118" t="inlineStr">
        <is>
          <t>—</t>
        </is>
      </c>
    </row>
    <row r="463" ht="20" customHeight="1" s="57">
      <c r="A463" s="67" t="n">
        <v>458</v>
      </c>
      <c r="B463" s="68" t="inlineStr">
        <is>
          <t>TYL</t>
        </is>
      </c>
      <c r="C463" s="69" t="inlineStr">
        <is>
          <t>Tyler Technologies</t>
        </is>
      </c>
      <c r="D463" s="70" t="inlineStr">
        <is>
          <t>Technology</t>
        </is>
      </c>
      <c r="E463" s="79" t="n">
        <v>366.855</v>
      </c>
      <c r="F463" s="84" t="n">
        <v>-0.4125796</v>
      </c>
      <c r="G463" s="80" t="n">
        <v>15.769387008</v>
      </c>
      <c r="H463" s="73" t="n">
        <v>0.063</v>
      </c>
      <c r="I463" s="81" t="n">
        <v>0.46464002</v>
      </c>
      <c r="J463" s="82" t="n">
        <v>50.952087</v>
      </c>
      <c r="K463" s="83" t="n">
        <v>503.551872</v>
      </c>
      <c r="L463" s="80" t="n">
        <v>7.187490020224416</v>
      </c>
      <c r="M463" s="84" t="n">
        <v>-0.5442124657998364</v>
      </c>
      <c r="N463" s="82" t="n">
        <v>31.31631075675953</v>
      </c>
      <c r="O463" s="119" t="inlineStr">
        <is>
          <t>—</t>
        </is>
      </c>
      <c r="P463" s="119" t="inlineStr">
        <is>
          <t>—</t>
        </is>
      </c>
      <c r="Q463" s="119" t="inlineStr">
        <is>
          <t>—</t>
        </is>
      </c>
      <c r="R463" s="119" t="inlineStr">
        <is>
          <t>—</t>
        </is>
      </c>
      <c r="S463" s="119" t="inlineStr">
        <is>
          <t>—</t>
        </is>
      </c>
    </row>
    <row r="464" ht="20" customHeight="1" s="57">
      <c r="A464" s="62" t="n">
        <v>459</v>
      </c>
      <c r="B464" s="63" t="inlineStr">
        <is>
          <t>UBER</t>
        </is>
      </c>
      <c r="C464" s="64" t="inlineStr">
        <is>
          <t>Uber Technologies</t>
        </is>
      </c>
      <c r="D464" s="65" t="inlineStr">
        <is>
          <t>Industrials</t>
        </is>
      </c>
      <c r="E464" s="72" t="n">
        <v>76.545</v>
      </c>
      <c r="F464" s="84" t="n">
        <v>-0.0015690327</v>
      </c>
      <c r="G464" s="74" t="n">
        <v>159.05792</v>
      </c>
      <c r="H464" s="73" t="n">
        <v>0.201</v>
      </c>
      <c r="I464" s="75" t="n">
        <v>0.38497</v>
      </c>
      <c r="J464" s="76" t="n">
        <v>16.183933</v>
      </c>
      <c r="K464" s="85" t="n">
        <v>6346.1248</v>
      </c>
      <c r="L464" s="74" t="n">
        <v>115.1259309599632</v>
      </c>
      <c r="M464" s="84" t="n">
        <v>-0.2762012041905039</v>
      </c>
      <c r="N464" s="76" t="n">
        <v>24.82436020147839</v>
      </c>
      <c r="O464" s="118" t="inlineStr">
        <is>
          <t>—</t>
        </is>
      </c>
      <c r="P464" s="118" t="inlineStr">
        <is>
          <t>—</t>
        </is>
      </c>
      <c r="Q464" s="118" t="inlineStr">
        <is>
          <t>—</t>
        </is>
      </c>
      <c r="R464" s="118" t="inlineStr">
        <is>
          <t>—</t>
        </is>
      </c>
      <c r="S464" s="118" t="inlineStr">
        <is>
          <t>—</t>
        </is>
      </c>
    </row>
    <row r="465" ht="20" customHeight="1" s="57">
      <c r="A465" s="67" t="n">
        <v>460</v>
      </c>
      <c r="B465" s="68" t="inlineStr">
        <is>
          <t>VICI</t>
        </is>
      </c>
      <c r="C465" s="69" t="inlineStr">
        <is>
          <t>VICI Properties</t>
        </is>
      </c>
      <c r="D465" s="70" t="inlineStr">
        <is>
          <t>Real Estate</t>
        </is>
      </c>
      <c r="E465" s="79" t="n">
        <v>29.885</v>
      </c>
      <c r="F465" s="84" t="n">
        <v>-0.06790125</v>
      </c>
      <c r="G465" s="80" t="n">
        <v>31.941429248</v>
      </c>
      <c r="H465" s="73" t="n">
        <v>0.038</v>
      </c>
      <c r="I465" s="81" t="n">
        <v>0.9913999999999999</v>
      </c>
      <c r="J465" s="82" t="n">
        <v>11.363117</v>
      </c>
      <c r="K465" s="83" t="n">
        <v>1466.810752</v>
      </c>
      <c r="L465" s="80" t="n">
        <v>16.57802634267848</v>
      </c>
      <c r="M465" s="84" t="n">
        <v>-0.4809867080786151</v>
      </c>
      <c r="N465" s="82" t="n">
        <v>21.7761069577536</v>
      </c>
      <c r="O465" s="119" t="inlineStr">
        <is>
          <t>—</t>
        </is>
      </c>
      <c r="P465" s="119" t="inlineStr">
        <is>
          <t>—</t>
        </is>
      </c>
      <c r="Q465" s="119" t="inlineStr">
        <is>
          <t>—</t>
        </is>
      </c>
      <c r="R465" s="119" t="inlineStr">
        <is>
          <t>—</t>
        </is>
      </c>
      <c r="S465" s="119" t="inlineStr">
        <is>
          <t>—</t>
        </is>
      </c>
    </row>
    <row r="466" ht="20" customHeight="1" s="57">
      <c r="A466" s="62" t="n">
        <v>461</v>
      </c>
      <c r="B466" s="63" t="inlineStr">
        <is>
          <t>VLTO</t>
        </is>
      </c>
      <c r="C466" s="64" t="inlineStr">
        <is>
          <t>Veralto Corp</t>
        </is>
      </c>
      <c r="D466" s="65" t="inlineStr">
        <is>
          <t>Industrials</t>
        </is>
      </c>
      <c r="E466" s="72" t="n">
        <v>94.95999999999999</v>
      </c>
      <c r="F466" s="84" t="n">
        <v>-0.030216992</v>
      </c>
      <c r="G466" s="74" t="n">
        <v>23.578314752</v>
      </c>
      <c r="H466" s="73" t="n">
        <v>0.038</v>
      </c>
      <c r="I466" s="75" t="n">
        <v>0.59949</v>
      </c>
      <c r="J466" s="76" t="n">
        <v>25.25532</v>
      </c>
      <c r="K466" s="85" t="n">
        <v>815.3749759999999</v>
      </c>
      <c r="L466" s="74" t="n">
        <v>10.50376973735217</v>
      </c>
      <c r="M466" s="84" t="n">
        <v>-0.5545156705289466</v>
      </c>
      <c r="N466" s="76" t="n">
        <v>28.86427246155761</v>
      </c>
      <c r="O466" s="118" t="inlineStr">
        <is>
          <t>—</t>
        </is>
      </c>
      <c r="P466" s="118" t="inlineStr">
        <is>
          <t>—</t>
        </is>
      </c>
      <c r="Q466" s="118" t="inlineStr">
        <is>
          <t>—</t>
        </is>
      </c>
      <c r="R466" s="118" t="inlineStr">
        <is>
          <t>—</t>
        </is>
      </c>
      <c r="S466" s="118" t="inlineStr">
        <is>
          <t>—</t>
        </is>
      </c>
    </row>
    <row r="467" ht="20" customHeight="1" s="57">
      <c r="A467" s="67" t="n">
        <v>462</v>
      </c>
      <c r="B467" s="68" t="inlineStr">
        <is>
          <t>VST</t>
        </is>
      </c>
      <c r="C467" s="69" t="inlineStr">
        <is>
          <t>Vistra Corp</t>
        </is>
      </c>
      <c r="D467" s="70" t="inlineStr">
        <is>
          <t>Utilities</t>
        </is>
      </c>
      <c r="E467" s="79" t="n">
        <v>163.005</v>
      </c>
      <c r="F467" s="73" t="n">
        <v>0.27453303</v>
      </c>
      <c r="G467" s="80" t="n">
        <v>55.230251008</v>
      </c>
      <c r="H467" s="73" t="n">
        <v>0.136</v>
      </c>
      <c r="I467" s="81" t="n">
        <v>0.32089</v>
      </c>
      <c r="J467" s="82" t="n">
        <v>58.634895</v>
      </c>
      <c r="K467" s="83" t="n">
        <v>-586.750016</v>
      </c>
      <c r="L467" s="78" t="inlineStr">
        <is>
          <t>—</t>
        </is>
      </c>
      <c r="M467" s="78" t="inlineStr">
        <is>
          <t>—</t>
        </is>
      </c>
      <c r="N467" s="82" t="n">
        <v>-94.12909670453251</v>
      </c>
      <c r="O467" s="119" t="inlineStr">
        <is>
          <t>—</t>
        </is>
      </c>
      <c r="P467" s="119" t="inlineStr">
        <is>
          <t>—</t>
        </is>
      </c>
      <c r="Q467" s="119" t="inlineStr">
        <is>
          <t>—</t>
        </is>
      </c>
      <c r="R467" s="119" t="inlineStr">
        <is>
          <t>—</t>
        </is>
      </c>
      <c r="S467" s="119" t="inlineStr">
        <is>
          <t>—</t>
        </is>
      </c>
    </row>
    <row r="468" ht="20" customHeight="1" s="57">
      <c r="A468" s="62" t="n">
        <v>463</v>
      </c>
      <c r="B468" s="63" t="inlineStr">
        <is>
          <t>VTRS</t>
        </is>
      </c>
      <c r="C468" s="64" t="inlineStr">
        <is>
          <t>Viatris Inc</t>
        </is>
      </c>
      <c r="D468" s="65" t="inlineStr">
        <is>
          <t>Healthcare</t>
        </is>
      </c>
      <c r="E468" s="72" t="n">
        <v>14.885</v>
      </c>
      <c r="F468" s="73" t="n">
        <v>0.57067513</v>
      </c>
      <c r="G468" s="74" t="n">
        <v>17.184243712</v>
      </c>
      <c r="H468" s="73" t="n">
        <v>0.05</v>
      </c>
      <c r="I468" s="75" t="n">
        <v>0.39547002</v>
      </c>
      <c r="J468" s="76" t="n">
        <v>5.576765</v>
      </c>
      <c r="K468" s="85" t="n">
        <v>2431.4624</v>
      </c>
      <c r="L468" s="74" t="n">
        <v>29.74697915121669</v>
      </c>
      <c r="M468" s="73" t="n">
        <v>0.7310612936921952</v>
      </c>
      <c r="N468" s="76" t="n">
        <v>7.050939609314954</v>
      </c>
      <c r="O468" s="118" t="inlineStr">
        <is>
          <t>—</t>
        </is>
      </c>
      <c r="P468" s="118" t="inlineStr">
        <is>
          <t>—</t>
        </is>
      </c>
      <c r="Q468" s="118" t="inlineStr">
        <is>
          <t>—</t>
        </is>
      </c>
      <c r="R468" s="118" t="inlineStr">
        <is>
          <t>—</t>
        </is>
      </c>
      <c r="S468" s="118" t="inlineStr">
        <is>
          <t>—</t>
        </is>
      </c>
    </row>
    <row r="469" ht="20" customHeight="1" s="57">
      <c r="A469" s="67" t="n">
        <v>464</v>
      </c>
      <c r="B469" s="68" t="inlineStr">
        <is>
          <t>WBD</t>
        </is>
      </c>
      <c r="C469" s="69" t="inlineStr">
        <is>
          <t>Warner Bros Discovery</t>
        </is>
      </c>
      <c r="D469" s="70" t="inlineStr">
        <is>
          <t>Communication Services</t>
        </is>
      </c>
      <c r="E469" s="79" t="n">
        <v>28.005</v>
      </c>
      <c r="F469" s="73" t="n">
        <v>1.4671917</v>
      </c>
      <c r="G469" s="80" t="n">
        <v>69.44924467200001</v>
      </c>
      <c r="H469" s="84" t="n">
        <v>-0.057</v>
      </c>
      <c r="I469" s="81" t="n">
        <v>0.44546002</v>
      </c>
      <c r="J469" s="82" t="n">
        <v>147.39473</v>
      </c>
      <c r="K469" s="83" t="n">
        <v>16017.750016</v>
      </c>
      <c r="L469" s="80" t="n">
        <v>124.3508314764072</v>
      </c>
      <c r="M469" s="73" t="n">
        <v>0.7905282060834568</v>
      </c>
      <c r="N469" s="82" t="n">
        <v>4.335767814788763</v>
      </c>
      <c r="O469" s="119" t="inlineStr">
        <is>
          <t>—</t>
        </is>
      </c>
      <c r="P469" s="119" t="inlineStr">
        <is>
          <t>—</t>
        </is>
      </c>
      <c r="Q469" s="119" t="inlineStr">
        <is>
          <t>—</t>
        </is>
      </c>
      <c r="R469" s="119" t="inlineStr">
        <is>
          <t>—</t>
        </is>
      </c>
      <c r="S469" s="119" t="inlineStr">
        <is>
          <t>—</t>
        </is>
      </c>
    </row>
    <row r="470" ht="20" customHeight="1" s="57">
      <c r="A470" s="62" t="n">
        <v>465</v>
      </c>
      <c r="B470" s="63" t="inlineStr">
        <is>
          <t>WDAY</t>
        </is>
      </c>
      <c r="C470" s="64" t="inlineStr">
        <is>
          <t>Workday Inc</t>
        </is>
      </c>
      <c r="D470" s="65" t="inlineStr">
        <is>
          <t>Technology</t>
        </is>
      </c>
      <c r="E470" s="72" t="n">
        <v>143.61</v>
      </c>
      <c r="F470" s="84" t="n">
        <v>-0.44682407</v>
      </c>
      <c r="G470" s="74" t="n">
        <v>38.343868416</v>
      </c>
      <c r="H470" s="73" t="n">
        <v>0.145</v>
      </c>
      <c r="I470" s="75" t="n">
        <v>0.75701</v>
      </c>
      <c r="J470" s="76" t="n">
        <v>55.662792</v>
      </c>
      <c r="K470" s="85" t="n">
        <v>3084</v>
      </c>
      <c r="L470" s="74" t="n">
        <v>57.2474889367944</v>
      </c>
      <c r="M470" s="73" t="n">
        <v>0.4930024356360029</v>
      </c>
      <c r="N470" s="76" t="n">
        <v>9.918589494163426</v>
      </c>
      <c r="O470" s="118" t="inlineStr">
        <is>
          <t>—</t>
        </is>
      </c>
      <c r="P470" s="118" t="inlineStr">
        <is>
          <t>—</t>
        </is>
      </c>
      <c r="Q470" s="118" t="inlineStr">
        <is>
          <t>—</t>
        </is>
      </c>
      <c r="R470" s="118" t="inlineStr">
        <is>
          <t>—</t>
        </is>
      </c>
      <c r="S470" s="118" t="inlineStr">
        <is>
          <t>—</t>
        </is>
      </c>
    </row>
    <row r="471" ht="20" customHeight="1" s="57">
      <c r="A471" s="67" t="n">
        <v>466</v>
      </c>
      <c r="B471" s="68" t="inlineStr">
        <is>
          <t>WSM</t>
        </is>
      </c>
      <c r="C471" s="69" t="inlineStr">
        <is>
          <t>Williams-Sonoma</t>
        </is>
      </c>
      <c r="D471" s="70" t="inlineStr">
        <is>
          <t>Consumer Discretionary</t>
        </is>
      </c>
      <c r="E471" s="79" t="n">
        <v>197.61</v>
      </c>
      <c r="F471" s="73" t="n">
        <v>0.06374586</v>
      </c>
      <c r="G471" s="80" t="n">
        <v>23.590821888</v>
      </c>
      <c r="H471" s="73" t="n">
        <v>0.046</v>
      </c>
      <c r="I471" s="81" t="n">
        <v>0.46307</v>
      </c>
      <c r="J471" s="82" t="n">
        <v>21.811256</v>
      </c>
      <c r="K471" s="83" t="n">
        <v>930.3505280000001</v>
      </c>
      <c r="L471" s="80" t="n">
        <v>11.37275942004109</v>
      </c>
      <c r="M471" s="84" t="n">
        <v>-0.5179159304396217</v>
      </c>
      <c r="N471" s="82" t="n">
        <v>25.35691826974489</v>
      </c>
      <c r="O471" s="119" t="inlineStr">
        <is>
          <t>—</t>
        </is>
      </c>
      <c r="P471" s="119" t="inlineStr">
        <is>
          <t>—</t>
        </is>
      </c>
      <c r="Q471" s="119" t="inlineStr">
        <is>
          <t>—</t>
        </is>
      </c>
      <c r="R471" s="119" t="inlineStr">
        <is>
          <t>—</t>
        </is>
      </c>
      <c r="S471" s="119" t="inlineStr">
        <is>
          <t>—</t>
        </is>
      </c>
    </row>
    <row r="472" ht="20" customHeight="1" s="57">
      <c r="A472" s="62" t="n">
        <v>467</v>
      </c>
      <c r="B472" s="63" t="inlineStr">
        <is>
          <t>WSO</t>
        </is>
      </c>
      <c r="C472" s="64" t="inlineStr">
        <is>
          <t>Watsco Inc</t>
        </is>
      </c>
      <c r="D472" s="65" t="inlineStr">
        <is>
          <t>Industrials</t>
        </is>
      </c>
      <c r="E472" s="72" t="n">
        <v>405.4675</v>
      </c>
      <c r="F472" s="84" t="n">
        <v>-0.18847048</v>
      </c>
      <c r="G472" s="74" t="n">
        <v>16.49024</v>
      </c>
      <c r="H472" s="84" t="n">
        <v>-0.1</v>
      </c>
      <c r="I472" s="75" t="n">
        <v>0.28048</v>
      </c>
      <c r="J472" s="76" t="n">
        <v>35.442963</v>
      </c>
      <c r="K472" s="85" t="n">
        <v>290.906752</v>
      </c>
      <c r="L472" s="74" t="n">
        <v>2.74593717200817</v>
      </c>
      <c r="M472" s="84" t="n">
        <v>-0.8334810668608722</v>
      </c>
      <c r="N472" s="76" t="n">
        <v>48.67699281349097</v>
      </c>
      <c r="O472" s="118" t="inlineStr">
        <is>
          <t>—</t>
        </is>
      </c>
      <c r="P472" s="118" t="inlineStr">
        <is>
          <t>—</t>
        </is>
      </c>
      <c r="Q472" s="118" t="inlineStr">
        <is>
          <t>—</t>
        </is>
      </c>
      <c r="R472" s="118" t="inlineStr">
        <is>
          <t>—</t>
        </is>
      </c>
      <c r="S472" s="118" t="inlineStr">
        <is>
          <t>—</t>
        </is>
      </c>
    </row>
    <row r="473" ht="20" customHeight="1" s="57">
      <c r="A473" s="67" t="n">
        <v>468</v>
      </c>
      <c r="B473" s="68" t="inlineStr">
        <is>
          <t>WST</t>
        </is>
      </c>
      <c r="C473" s="69" t="inlineStr">
        <is>
          <t>West Pharmaceutical</t>
        </is>
      </c>
      <c r="D473" s="70" t="inlineStr">
        <is>
          <t>Healthcare</t>
        </is>
      </c>
      <c r="E473" s="79" t="n">
        <v>251.43</v>
      </c>
      <c r="F473" s="73" t="n">
        <v>0.0903492</v>
      </c>
      <c r="G473" s="80" t="n">
        <v>18.108362752</v>
      </c>
      <c r="H473" s="73" t="n">
        <v>0.075</v>
      </c>
      <c r="I473" s="81" t="n">
        <v>0.35913</v>
      </c>
      <c r="J473" s="82" t="n">
        <v>37.029453</v>
      </c>
      <c r="K473" s="83" t="n">
        <v>273.875008</v>
      </c>
      <c r="L473" s="80" t="n">
        <v>4.290399052669463</v>
      </c>
      <c r="M473" s="84" t="n">
        <v>-0.7630708468000176</v>
      </c>
      <c r="N473" s="82" t="n">
        <v>66.11907970124095</v>
      </c>
      <c r="O473" s="119" t="inlineStr">
        <is>
          <t>—</t>
        </is>
      </c>
      <c r="P473" s="119" t="inlineStr">
        <is>
          <t>—</t>
        </is>
      </c>
      <c r="Q473" s="119" t="inlineStr">
        <is>
          <t>—</t>
        </is>
      </c>
      <c r="R473" s="119" t="inlineStr">
        <is>
          <t>—</t>
        </is>
      </c>
      <c r="S473" s="119" t="inlineStr">
        <is>
          <t>—</t>
        </is>
      </c>
    </row>
    <row r="474" ht="20" customHeight="1" s="57">
      <c r="A474" s="62" t="n">
        <v>469</v>
      </c>
      <c r="B474" s="63" t="inlineStr">
        <is>
          <t>ZS</t>
        </is>
      </c>
      <c r="C474" s="64" t="inlineStr">
        <is>
          <t>Zscaler Inc</t>
        </is>
      </c>
      <c r="D474" s="65" t="inlineStr">
        <is>
          <t>Technology</t>
        </is>
      </c>
      <c r="E474" s="72" t="n">
        <v>155.88</v>
      </c>
      <c r="F474" s="84" t="n">
        <v>-0.21267498</v>
      </c>
      <c r="G474" s="74" t="n">
        <v>24.858372096</v>
      </c>
      <c r="H474" s="73" t="n">
        <v>0.259</v>
      </c>
      <c r="I474" s="75" t="n">
        <v>0.76632005</v>
      </c>
      <c r="J474" s="76" t="n">
        <v>33.990036</v>
      </c>
      <c r="K474" s="85" t="n">
        <v>1020.966656</v>
      </c>
      <c r="L474" s="74" t="n">
        <v>20.23506149912813</v>
      </c>
      <c r="M474" s="84" t="n">
        <v>-0.1859860564890255</v>
      </c>
      <c r="N474" s="76" t="n">
        <v>24.34787831409844</v>
      </c>
      <c r="O474" s="118" t="inlineStr">
        <is>
          <t>—</t>
        </is>
      </c>
      <c r="P474" s="118" t="inlineStr">
        <is>
          <t>—</t>
        </is>
      </c>
      <c r="Q474" s="118" t="inlineStr">
        <is>
          <t>—</t>
        </is>
      </c>
      <c r="R474" s="118" t="inlineStr">
        <is>
          <t>—</t>
        </is>
      </c>
      <c r="S474" s="118" t="inlineStr">
        <is>
          <t>—</t>
        </is>
      </c>
    </row>
    <row r="475" ht="20" customHeight="1" s="57">
      <c r="A475" s="67" t="n">
        <v>470</v>
      </c>
      <c r="B475" s="68" t="inlineStr">
        <is>
          <t>ADSK</t>
        </is>
      </c>
      <c r="C475" s="69" t="inlineStr">
        <is>
          <t>Autodesk Inc</t>
        </is>
      </c>
      <c r="D475" s="70" t="inlineStr">
        <is>
          <t>Technology</t>
        </is>
      </c>
      <c r="E475" s="79" t="n">
        <v>257.6</v>
      </c>
      <c r="F475" s="84" t="n">
        <v>-0.051788628</v>
      </c>
      <c r="G475" s="80" t="n">
        <v>54.868799488</v>
      </c>
      <c r="H475" s="73" t="n">
        <v>0.194</v>
      </c>
      <c r="I475" s="81" t="n">
        <v>0.92326</v>
      </c>
      <c r="J475" s="82" t="n">
        <v>50.116734</v>
      </c>
      <c r="K475" s="83" t="n">
        <v>2778.249984</v>
      </c>
      <c r="L475" s="80" t="n">
        <v>49.84214833902112</v>
      </c>
      <c r="M475" s="84" t="n">
        <v>-0.09161219483357262</v>
      </c>
      <c r="N475" s="82" t="n">
        <v>19.65669047584165</v>
      </c>
      <c r="O475" s="119" t="inlineStr">
        <is>
          <t>—</t>
        </is>
      </c>
      <c r="P475" s="119" t="inlineStr">
        <is>
          <t>—</t>
        </is>
      </c>
      <c r="Q475" s="119" t="inlineStr">
        <is>
          <t>—</t>
        </is>
      </c>
      <c r="R475" s="119" t="inlineStr">
        <is>
          <t>—</t>
        </is>
      </c>
      <c r="S475" s="119" t="inlineStr">
        <is>
          <t>—</t>
        </is>
      </c>
    </row>
    <row r="476" ht="20" customHeight="1" s="57">
      <c r="A476" s="62" t="n">
        <v>471</v>
      </c>
      <c r="B476" s="63" t="inlineStr">
        <is>
          <t>AES</t>
        </is>
      </c>
      <c r="C476" s="64" t="inlineStr">
        <is>
          <t>AES Corp</t>
        </is>
      </c>
      <c r="D476" s="65" t="inlineStr">
        <is>
          <t>Utilities</t>
        </is>
      </c>
      <c r="E476" s="72" t="n">
        <v>14.255</v>
      </c>
      <c r="F476" s="73" t="n">
        <v>0.2937956</v>
      </c>
      <c r="G476" s="74" t="n">
        <v>10.151284736</v>
      </c>
      <c r="H476" s="73" t="n">
        <v>0.047</v>
      </c>
      <c r="I476" s="75" t="n">
        <v>0.18400998</v>
      </c>
      <c r="J476" s="76" t="n">
        <v>9.378289000000001</v>
      </c>
      <c r="K476" s="85" t="n">
        <v>-3086.125056</v>
      </c>
      <c r="L476" s="77" t="inlineStr">
        <is>
          <t>—</t>
        </is>
      </c>
      <c r="M476" s="77" t="inlineStr">
        <is>
          <t>—</t>
        </is>
      </c>
      <c r="N476" s="76" t="n">
        <v>-3.289330105720771</v>
      </c>
      <c r="O476" s="118" t="inlineStr">
        <is>
          <t>—</t>
        </is>
      </c>
      <c r="P476" s="118" t="inlineStr">
        <is>
          <t>—</t>
        </is>
      </c>
      <c r="Q476" s="118" t="inlineStr">
        <is>
          <t>—</t>
        </is>
      </c>
      <c r="R476" s="118" t="inlineStr">
        <is>
          <t>—</t>
        </is>
      </c>
      <c r="S476" s="118" t="inlineStr">
        <is>
          <t>—</t>
        </is>
      </c>
    </row>
    <row r="477" ht="20" customHeight="1" s="57">
      <c r="A477" s="67" t="n">
        <v>472</v>
      </c>
      <c r="B477" s="68" t="inlineStr">
        <is>
          <t>AMP</t>
        </is>
      </c>
      <c r="C477" s="69" t="inlineStr">
        <is>
          <t>Ameriprise Financial</t>
        </is>
      </c>
      <c r="D477" s="70" t="inlineStr">
        <is>
          <t>Financials</t>
        </is>
      </c>
      <c r="E477" s="79" t="n">
        <v>469.53</v>
      </c>
      <c r="F477" s="84" t="n">
        <v>-0.08526981</v>
      </c>
      <c r="G477" s="80" t="n">
        <v>43.622019072</v>
      </c>
      <c r="H477" s="73" t="n">
        <v>0.08599999999999999</v>
      </c>
      <c r="I477" s="81" t="n">
        <v>0.56184</v>
      </c>
      <c r="J477" s="82" t="n">
        <v>14.487195</v>
      </c>
      <c r="K477" s="83" t="n">
        <v>3568.75008</v>
      </c>
      <c r="L477" s="80" t="n">
        <v>58.72878067761624</v>
      </c>
      <c r="M477" s="73" t="n">
        <v>0.3463104626285611</v>
      </c>
      <c r="N477" s="82" t="n">
        <v>12.0120737062092</v>
      </c>
      <c r="O477" s="119" t="inlineStr">
        <is>
          <t>—</t>
        </is>
      </c>
      <c r="P477" s="119" t="inlineStr">
        <is>
          <t>—</t>
        </is>
      </c>
      <c r="Q477" s="119" t="inlineStr">
        <is>
          <t>—</t>
        </is>
      </c>
      <c r="R477" s="119" t="inlineStr">
        <is>
          <t>—</t>
        </is>
      </c>
      <c r="S477" s="119" t="inlineStr">
        <is>
          <t>—</t>
        </is>
      </c>
    </row>
    <row r="478" ht="20" customHeight="1" s="57">
      <c r="A478" s="62" t="n">
        <v>473</v>
      </c>
      <c r="B478" s="63" t="inlineStr">
        <is>
          <t>ANET</t>
        </is>
      </c>
      <c r="C478" s="64" t="inlineStr">
        <is>
          <t>Arista Networks</t>
        </is>
      </c>
      <c r="D478" s="65" t="inlineStr">
        <is>
          <t>Technology</t>
        </is>
      </c>
      <c r="E478" s="72" t="n">
        <v>134.63</v>
      </c>
      <c r="F478" s="73" t="n">
        <v>0.4188112</v>
      </c>
      <c r="G478" s="74" t="n">
        <v>169.537568768</v>
      </c>
      <c r="H478" s="73" t="n">
        <v>0.289</v>
      </c>
      <c r="I478" s="75" t="n">
        <v>0.64056</v>
      </c>
      <c r="J478" s="76" t="n">
        <v>48.956364</v>
      </c>
      <c r="K478" s="85" t="n">
        <v>3387.962624</v>
      </c>
      <c r="L478" s="74" t="n">
        <v>66.46251687736302</v>
      </c>
      <c r="M478" s="84" t="n">
        <v>-0.607977645542905</v>
      </c>
      <c r="N478" s="76" t="n">
        <v>49.93198481187849</v>
      </c>
      <c r="O478" s="118" t="inlineStr">
        <is>
          <t>—</t>
        </is>
      </c>
      <c r="P478" s="118" t="inlineStr">
        <is>
          <t>—</t>
        </is>
      </c>
      <c r="Q478" s="118" t="inlineStr">
        <is>
          <t>—</t>
        </is>
      </c>
      <c r="R478" s="118" t="inlineStr">
        <is>
          <t>—</t>
        </is>
      </c>
      <c r="S478" s="118" t="inlineStr">
        <is>
          <t>—</t>
        </is>
      </c>
    </row>
    <row r="479" ht="20" customHeight="1" s="57">
      <c r="A479" s="67" t="n">
        <v>474</v>
      </c>
      <c r="B479" s="68" t="inlineStr">
        <is>
          <t>BAX</t>
        </is>
      </c>
      <c r="C479" s="69" t="inlineStr">
        <is>
          <t>Baxter International</t>
        </is>
      </c>
      <c r="D479" s="70" t="inlineStr">
        <is>
          <t>Healthcare</t>
        </is>
      </c>
      <c r="E479" s="79" t="n">
        <v>19.125</v>
      </c>
      <c r="F479" s="84" t="n">
        <v>-0.45875996</v>
      </c>
      <c r="G479" s="80" t="n">
        <v>9.839622144</v>
      </c>
      <c r="H479" s="73" t="n">
        <v>0.08</v>
      </c>
      <c r="I479" s="81" t="n">
        <v>0.35735</v>
      </c>
      <c r="J479" s="82" t="n">
        <v>9.284973000000001</v>
      </c>
      <c r="K479" s="83" t="n">
        <v>2432.875008</v>
      </c>
      <c r="L479" s="80" t="n">
        <v>35.22507409382765</v>
      </c>
      <c r="M479" s="73" t="n">
        <v>2.579921421607351</v>
      </c>
      <c r="N479" s="82" t="n">
        <v>4.044442101739491</v>
      </c>
      <c r="O479" s="119" t="inlineStr">
        <is>
          <t>—</t>
        </is>
      </c>
      <c r="P479" s="119" t="inlineStr">
        <is>
          <t>—</t>
        </is>
      </c>
      <c r="Q479" s="119" t="inlineStr">
        <is>
          <t>—</t>
        </is>
      </c>
      <c r="R479" s="119" t="inlineStr">
        <is>
          <t>—</t>
        </is>
      </c>
      <c r="S479" s="119" t="inlineStr">
        <is>
          <t>—</t>
        </is>
      </c>
    </row>
    <row r="480" ht="20" customHeight="1" s="57">
      <c r="A480" s="62" t="n">
        <v>475</v>
      </c>
      <c r="B480" s="63" t="inlineStr">
        <is>
          <t>CMI</t>
        </is>
      </c>
      <c r="C480" s="64" t="inlineStr">
        <is>
          <t>Cummins Inc</t>
        </is>
      </c>
      <c r="D480" s="65" t="inlineStr">
        <is>
          <t>Industrials</t>
        </is>
      </c>
      <c r="E480" s="72" t="n">
        <v>574.14</v>
      </c>
      <c r="F480" s="73" t="n">
        <v>0.6126051</v>
      </c>
      <c r="G480" s="74" t="n">
        <v>79.32631449599999</v>
      </c>
      <c r="H480" s="73" t="n">
        <v>0.011</v>
      </c>
      <c r="I480" s="75" t="n">
        <v>0.25759</v>
      </c>
      <c r="J480" s="76" t="n">
        <v>28.00683</v>
      </c>
      <c r="K480" s="85" t="n">
        <v>1372.999936</v>
      </c>
      <c r="L480" s="74" t="n">
        <v>15.72892595459488</v>
      </c>
      <c r="M480" s="84" t="n">
        <v>-0.8017186849719583</v>
      </c>
      <c r="N480" s="76" t="n">
        <v>57.77590868498045</v>
      </c>
      <c r="O480" s="118" t="inlineStr">
        <is>
          <t>—</t>
        </is>
      </c>
      <c r="P480" s="118" t="inlineStr">
        <is>
          <t>—</t>
        </is>
      </c>
      <c r="Q480" s="118" t="inlineStr">
        <is>
          <t>—</t>
        </is>
      </c>
      <c r="R480" s="118" t="inlineStr">
        <is>
          <t>—</t>
        </is>
      </c>
      <c r="S480" s="118" t="inlineStr">
        <is>
          <t>—</t>
        </is>
      </c>
    </row>
    <row r="481" ht="20" customHeight="1" s="57">
      <c r="A481" s="67" t="n">
        <v>476</v>
      </c>
      <c r="B481" s="68" t="inlineStr">
        <is>
          <t>CVS</t>
        </is>
      </c>
      <c r="C481" s="69" t="inlineStr">
        <is>
          <t>CVS Health Corp</t>
        </is>
      </c>
      <c r="D481" s="70" t="inlineStr">
        <is>
          <t>Healthcare</t>
        </is>
      </c>
      <c r="E481" s="79" t="n">
        <v>80.8</v>
      </c>
      <c r="F481" s="73" t="n">
        <v>0.22047007</v>
      </c>
      <c r="G481" s="80" t="n">
        <v>102.794657792</v>
      </c>
      <c r="H481" s="73" t="n">
        <v>0.08400000000000001</v>
      </c>
      <c r="I481" s="81" t="n">
        <v>0.13288</v>
      </c>
      <c r="J481" s="82" t="n">
        <v>58.129498</v>
      </c>
      <c r="K481" s="83" t="n">
        <v>5929.50016</v>
      </c>
      <c r="L481" s="80" t="n">
        <v>92.0233262305963</v>
      </c>
      <c r="M481" s="84" t="n">
        <v>-0.1047849352560613</v>
      </c>
      <c r="N481" s="82" t="n">
        <v>17.3361415155776</v>
      </c>
      <c r="O481" s="119" t="inlineStr">
        <is>
          <t>—</t>
        </is>
      </c>
      <c r="P481" s="119" t="inlineStr">
        <is>
          <t>—</t>
        </is>
      </c>
      <c r="Q481" s="119" t="inlineStr">
        <is>
          <t>—</t>
        </is>
      </c>
      <c r="R481" s="119" t="inlineStr">
        <is>
          <t>—</t>
        </is>
      </c>
      <c r="S481" s="119" t="inlineStr">
        <is>
          <t>—</t>
        </is>
      </c>
    </row>
    <row r="482" ht="20" customHeight="1" s="57">
      <c r="A482" s="62" t="n">
        <v>477</v>
      </c>
      <c r="B482" s="63" t="inlineStr">
        <is>
          <t>DRI</t>
        </is>
      </c>
      <c r="C482" s="64" t="inlineStr">
        <is>
          <t>Darden Restaurants</t>
        </is>
      </c>
      <c r="D482" s="65" t="inlineStr">
        <is>
          <t>Consumer Discretionary</t>
        </is>
      </c>
      <c r="E482" s="72" t="n">
        <v>204.235</v>
      </c>
      <c r="F482" s="73" t="n">
        <v>0.08183074</v>
      </c>
      <c r="G482" s="74" t="n">
        <v>23.755341824</v>
      </c>
      <c r="H482" s="73" t="n">
        <v>0.073</v>
      </c>
      <c r="I482" s="75" t="n">
        <v>0.21552</v>
      </c>
      <c r="J482" s="76" t="n">
        <v>21.408281</v>
      </c>
      <c r="K482" s="85" t="n">
        <v>628.675008</v>
      </c>
      <c r="L482" s="74" t="n">
        <v>8.561909767878813</v>
      </c>
      <c r="M482" s="84" t="n">
        <v>-0.6395796014507893</v>
      </c>
      <c r="N482" s="76" t="n">
        <v>37.4048025136622</v>
      </c>
      <c r="O482" s="118" t="inlineStr">
        <is>
          <t>—</t>
        </is>
      </c>
      <c r="P482" s="118" t="inlineStr">
        <is>
          <t>—</t>
        </is>
      </c>
      <c r="Q482" s="118" t="inlineStr">
        <is>
          <t>—</t>
        </is>
      </c>
      <c r="R482" s="118" t="inlineStr">
        <is>
          <t>—</t>
        </is>
      </c>
      <c r="S482" s="118" t="inlineStr">
        <is>
          <t>—</t>
        </is>
      </c>
    </row>
    <row r="483" ht="20" customHeight="1" s="57">
      <c r="A483" s="67" t="n">
        <v>478</v>
      </c>
      <c r="B483" s="68" t="inlineStr">
        <is>
          <t>EL</t>
        </is>
      </c>
      <c r="C483" s="69" t="inlineStr">
        <is>
          <t>Estée Lauder Cos</t>
        </is>
      </c>
      <c r="D483" s="70" t="inlineStr">
        <is>
          <t>Consumer Staples</t>
        </is>
      </c>
      <c r="E483" s="79" t="n">
        <v>99.735</v>
      </c>
      <c r="F483" s="73" t="n">
        <v>0.37268806</v>
      </c>
      <c r="G483" s="80" t="n">
        <v>36.076847104</v>
      </c>
      <c r="H483" s="73" t="n">
        <v>0.056</v>
      </c>
      <c r="I483" s="81" t="n">
        <v>0.74317</v>
      </c>
      <c r="J483" s="82" t="n">
        <v>32.908024</v>
      </c>
      <c r="K483" s="83" t="n">
        <v>1695.000064</v>
      </c>
      <c r="L483" s="80" t="n">
        <v>22.92697941263714</v>
      </c>
      <c r="M483" s="84" t="n">
        <v>-0.3644960340756849</v>
      </c>
      <c r="N483" s="82" t="n">
        <v>14.54658156270429</v>
      </c>
      <c r="O483" s="119" t="inlineStr">
        <is>
          <t>—</t>
        </is>
      </c>
      <c r="P483" s="119" t="inlineStr">
        <is>
          <t>—</t>
        </is>
      </c>
      <c r="Q483" s="119" t="inlineStr">
        <is>
          <t>—</t>
        </is>
      </c>
      <c r="R483" s="119" t="inlineStr">
        <is>
          <t>—</t>
        </is>
      </c>
      <c r="S483" s="119" t="inlineStr">
        <is>
          <t>—</t>
        </is>
      </c>
    </row>
    <row r="484" ht="20" customHeight="1" s="57">
      <c r="A484" s="62" t="n">
        <v>479</v>
      </c>
      <c r="B484" s="63" t="inlineStr">
        <is>
          <t>FISV</t>
        </is>
      </c>
      <c r="C484" s="64" t="inlineStr">
        <is>
          <t>Fiserv Inc</t>
        </is>
      </c>
      <c r="D484" s="65" t="inlineStr">
        <is>
          <t>Financials</t>
        </is>
      </c>
      <c r="E484" s="72" t="n">
        <v>62.54</v>
      </c>
      <c r="F484" s="84" t="n">
        <v>-0.7207038205099743</v>
      </c>
      <c r="G484" s="74" t="n">
        <v>33.637259264</v>
      </c>
      <c r="H484" s="77" t="inlineStr">
        <is>
          <t>—</t>
        </is>
      </c>
      <c r="I484" s="77" t="inlineStr">
        <is>
          <t>—</t>
        </is>
      </c>
      <c r="J484" s="76" t="n">
        <v>9.864352999999999</v>
      </c>
      <c r="K484" s="77" t="inlineStr">
        <is>
          <t>—</t>
        </is>
      </c>
      <c r="L484" s="77" t="inlineStr">
        <is>
          <t>—</t>
        </is>
      </c>
      <c r="M484" s="77" t="inlineStr">
        <is>
          <t>—</t>
        </is>
      </c>
      <c r="N484" s="77" t="inlineStr">
        <is>
          <t>—</t>
        </is>
      </c>
      <c r="O484" s="118" t="inlineStr">
        <is>
          <t>—</t>
        </is>
      </c>
      <c r="P484" s="118" t="inlineStr">
        <is>
          <t>—</t>
        </is>
      </c>
      <c r="Q484" s="118" t="inlineStr">
        <is>
          <t>—</t>
        </is>
      </c>
      <c r="R484" s="118" t="inlineStr">
        <is>
          <t>—</t>
        </is>
      </c>
      <c r="S484" s="118" t="inlineStr">
        <is>
          <t>—</t>
        </is>
      </c>
    </row>
    <row r="485" ht="20" customHeight="1" s="57">
      <c r="A485" s="67" t="n">
        <v>480</v>
      </c>
      <c r="B485" s="68" t="inlineStr">
        <is>
          <t>FTV</t>
        </is>
      </c>
      <c r="C485" s="69" t="inlineStr">
        <is>
          <t>Fortive Corp</t>
        </is>
      </c>
      <c r="D485" s="70" t="inlineStr">
        <is>
          <t>Industrials</t>
        </is>
      </c>
      <c r="E485" s="79" t="n">
        <v>58.185</v>
      </c>
      <c r="F485" s="84" t="n">
        <v>-0.014136374</v>
      </c>
      <c r="G485" s="80" t="n">
        <v>18.480234496</v>
      </c>
      <c r="H485" s="73" t="n">
        <v>0.046</v>
      </c>
      <c r="I485" s="81" t="n">
        <v>0.63502</v>
      </c>
      <c r="J485" s="82" t="n">
        <v>36.59434</v>
      </c>
      <c r="K485" s="83" t="n">
        <v>855.862528</v>
      </c>
      <c r="L485" s="80" t="n">
        <v>10.13345603939901</v>
      </c>
      <c r="M485" s="84" t="n">
        <v>-0.4516597697073397</v>
      </c>
      <c r="N485" s="82" t="n">
        <v>21.30620094165403</v>
      </c>
      <c r="O485" s="119" t="inlineStr">
        <is>
          <t>—</t>
        </is>
      </c>
      <c r="P485" s="119" t="inlineStr">
        <is>
          <t>—</t>
        </is>
      </c>
      <c r="Q485" s="119" t="inlineStr">
        <is>
          <t>—</t>
        </is>
      </c>
      <c r="R485" s="119" t="inlineStr">
        <is>
          <t>—</t>
        </is>
      </c>
      <c r="S485" s="119" t="inlineStr">
        <is>
          <t>—</t>
        </is>
      </c>
    </row>
    <row r="486" ht="20" customHeight="1" s="57">
      <c r="A486" s="62" t="n">
        <v>481</v>
      </c>
      <c r="B486" s="63" t="inlineStr">
        <is>
          <t>GPN</t>
        </is>
      </c>
      <c r="C486" s="64" t="inlineStr">
        <is>
          <t>Global Payments</t>
        </is>
      </c>
      <c r="D486" s="65" t="inlineStr">
        <is>
          <t>Financials</t>
        </is>
      </c>
      <c r="E486" s="72" t="n">
        <v>77.125</v>
      </c>
      <c r="F486" s="84" t="n">
        <v>-0.22516954</v>
      </c>
      <c r="G486" s="74" t="n">
        <v>21.595906048</v>
      </c>
      <c r="H486" s="75" t="n">
        <v>-0</v>
      </c>
      <c r="I486" s="75" t="n">
        <v>0.72643</v>
      </c>
      <c r="J486" s="76" t="n">
        <v>17.409708</v>
      </c>
      <c r="K486" s="85" t="n">
        <v>1748.544256</v>
      </c>
      <c r="L486" s="74" t="n">
        <v>24.67775667706424</v>
      </c>
      <c r="M486" s="73" t="n">
        <v>0.1427053174900088</v>
      </c>
      <c r="N486" s="76" t="n">
        <v>12.34592134045191</v>
      </c>
      <c r="O486" s="118" t="inlineStr">
        <is>
          <t>—</t>
        </is>
      </c>
      <c r="P486" s="118" t="inlineStr">
        <is>
          <t>—</t>
        </is>
      </c>
      <c r="Q486" s="118" t="inlineStr">
        <is>
          <t>—</t>
        </is>
      </c>
      <c r="R486" s="118" t="inlineStr">
        <is>
          <t>—</t>
        </is>
      </c>
      <c r="S486" s="118" t="inlineStr">
        <is>
          <t>—</t>
        </is>
      </c>
    </row>
    <row r="487" ht="20" customHeight="1" s="57">
      <c r="A487" s="62" t="n">
        <v>482</v>
      </c>
      <c r="B487" s="63" t="inlineStr">
        <is>
          <t>HIG</t>
        </is>
      </c>
      <c r="C487" s="64" t="inlineStr">
        <is>
          <t>Hartford Financial Services</t>
        </is>
      </c>
      <c r="D487" s="65" t="inlineStr">
        <is>
          <t>Financials</t>
        </is>
      </c>
      <c r="E487" s="79" t="n">
        <v>142.085</v>
      </c>
      <c r="F487" s="73" t="n">
        <v>0.19843698</v>
      </c>
      <c r="G487" s="80" t="n">
        <v>39.62755072</v>
      </c>
      <c r="H487" s="73" t="n">
        <v>0.067</v>
      </c>
      <c r="I487" s="81" t="n">
        <v>0.37432998</v>
      </c>
      <c r="J487" s="82" t="n">
        <v>10.667043</v>
      </c>
      <c r="K487" s="83" t="n">
        <v>5811.999744</v>
      </c>
      <c r="L487" s="80" t="n">
        <v>78.45458472026601</v>
      </c>
      <c r="M487" s="73" t="n">
        <v>0.9797989856756408</v>
      </c>
      <c r="N487" s="82" t="n">
        <v>6.743982680688157</v>
      </c>
      <c r="O487" s="119" t="inlineStr">
        <is>
          <t>—</t>
        </is>
      </c>
      <c r="P487" s="119" t="inlineStr">
        <is>
          <t>—</t>
        </is>
      </c>
      <c r="Q487" s="119" t="inlineStr">
        <is>
          <t>—</t>
        </is>
      </c>
      <c r="R487" s="119" t="inlineStr">
        <is>
          <t>—</t>
        </is>
      </c>
      <c r="S487" s="119" t="inlineStr">
        <is>
          <t>—</t>
        </is>
      </c>
    </row>
    <row r="488" ht="20" customHeight="1" s="57">
      <c r="A488" s="67" t="n">
        <v>483</v>
      </c>
      <c r="B488" s="68" t="inlineStr">
        <is>
          <t>ILMN</t>
        </is>
      </c>
      <c r="C488" s="69" t="inlineStr">
        <is>
          <t>Illumina Inc</t>
        </is>
      </c>
      <c r="D488" s="70" t="inlineStr">
        <is>
          <t>Healthcare</t>
        </is>
      </c>
      <c r="E488" s="72" t="n">
        <v>129.815</v>
      </c>
      <c r="F488" s="73" t="n">
        <v>0.5119617</v>
      </c>
      <c r="G488" s="74" t="n">
        <v>19.84871424</v>
      </c>
      <c r="H488" s="73" t="n">
        <v>0.05</v>
      </c>
      <c r="I488" s="75" t="n">
        <v>0.68248004</v>
      </c>
      <c r="J488" s="76" t="n">
        <v>23.819267</v>
      </c>
      <c r="K488" s="85" t="n">
        <v>786</v>
      </c>
      <c r="L488" s="74" t="n">
        <v>10.47400346732655</v>
      </c>
      <c r="M488" s="84" t="n">
        <v>-0.4723082139890515</v>
      </c>
      <c r="N488" s="76" t="n">
        <v>25.25281615776081</v>
      </c>
      <c r="O488" s="118" t="inlineStr">
        <is>
          <t>—</t>
        </is>
      </c>
      <c r="P488" s="118" t="inlineStr">
        <is>
          <t>—</t>
        </is>
      </c>
      <c r="Q488" s="118" t="inlineStr">
        <is>
          <t>—</t>
        </is>
      </c>
      <c r="R488" s="118" t="inlineStr">
        <is>
          <t>—</t>
        </is>
      </c>
      <c r="S488" s="118" t="inlineStr">
        <is>
          <t>—</t>
        </is>
      </c>
    </row>
    <row r="489" ht="20" customHeight="1" s="57">
      <c r="A489" s="62" t="n">
        <v>484</v>
      </c>
      <c r="B489" s="63" t="inlineStr">
        <is>
          <t>INTC</t>
        </is>
      </c>
      <c r="C489" s="64" t="inlineStr">
        <is>
          <t>Intel Corp</t>
        </is>
      </c>
      <c r="D489" s="65" t="inlineStr">
        <is>
          <t>Technology</t>
        </is>
      </c>
      <c r="E489" s="79" t="n">
        <v>45.745</v>
      </c>
      <c r="F489" s="73" t="n">
        <v>1.0711195</v>
      </c>
      <c r="G489" s="80" t="n">
        <v>228.548395008</v>
      </c>
      <c r="H489" s="84" t="n">
        <v>-0.041</v>
      </c>
      <c r="I489" s="81" t="n">
        <v>0.36563998</v>
      </c>
      <c r="J489" s="82" t="n">
        <v>46.16094</v>
      </c>
      <c r="K489" s="83" t="n">
        <v>-4504.500224</v>
      </c>
      <c r="L489" s="78" t="inlineStr">
        <is>
          <t>—</t>
        </is>
      </c>
      <c r="M489" s="78" t="inlineStr">
        <is>
          <t>—</t>
        </is>
      </c>
      <c r="N489" s="82" t="n">
        <v>-50.72622125370772</v>
      </c>
      <c r="O489" s="119" t="inlineStr">
        <is>
          <t>—</t>
        </is>
      </c>
      <c r="P489" s="119" t="inlineStr">
        <is>
          <t>—</t>
        </is>
      </c>
      <c r="Q489" s="119" t="inlineStr">
        <is>
          <t>—</t>
        </is>
      </c>
      <c r="R489" s="119" t="inlineStr">
        <is>
          <t>—</t>
        </is>
      </c>
      <c r="S489" s="119" t="inlineStr">
        <is>
          <t>—</t>
        </is>
      </c>
    </row>
    <row r="490" ht="20" customHeight="1" s="57">
      <c r="A490" s="67" t="n">
        <v>485</v>
      </c>
      <c r="B490" s="68" t="inlineStr">
        <is>
          <t>JCI</t>
        </is>
      </c>
      <c r="C490" s="69" t="inlineStr">
        <is>
          <t>Johnson Controls Intl</t>
        </is>
      </c>
      <c r="D490" s="70" t="inlineStr">
        <is>
          <t>Industrials</t>
        </is>
      </c>
      <c r="E490" s="72" t="n">
        <v>139.92</v>
      </c>
      <c r="F490" s="73" t="n">
        <v>0.6976404</v>
      </c>
      <c r="G490" s="74" t="n">
        <v>85.640298496</v>
      </c>
      <c r="H490" s="73" t="n">
        <v>0.068</v>
      </c>
      <c r="I490" s="75" t="n">
        <v>0.36466998</v>
      </c>
      <c r="J490" s="76" t="n">
        <v>47.11111</v>
      </c>
      <c r="K490" s="85" t="n">
        <v>2764.999936</v>
      </c>
      <c r="L490" s="74" t="n">
        <v>36.33374648257791</v>
      </c>
      <c r="M490" s="84" t="n">
        <v>-0.5757400765683348</v>
      </c>
      <c r="N490" s="76" t="n">
        <v>30.97298572361341</v>
      </c>
      <c r="O490" s="118" t="inlineStr">
        <is>
          <t>—</t>
        </is>
      </c>
      <c r="P490" s="118" t="inlineStr">
        <is>
          <t>—</t>
        </is>
      </c>
      <c r="Q490" s="118" t="inlineStr">
        <is>
          <t>—</t>
        </is>
      </c>
      <c r="R490" s="118" t="inlineStr">
        <is>
          <t>—</t>
        </is>
      </c>
      <c r="S490" s="118" t="inlineStr">
        <is>
          <t>—</t>
        </is>
      </c>
    </row>
    <row r="491" ht="20" customHeight="1" s="57">
      <c r="A491" s="62" t="n">
        <v>486</v>
      </c>
      <c r="B491" s="63" t="inlineStr">
        <is>
          <t>PEG</t>
        </is>
      </c>
      <c r="C491" s="64" t="inlineStr">
        <is>
          <t>Public Service Enterprise</t>
        </is>
      </c>
      <c r="D491" s="65" t="inlineStr">
        <is>
          <t>Utilities</t>
        </is>
      </c>
      <c r="E491" s="79" t="n">
        <v>83.88</v>
      </c>
      <c r="F491" s="73" t="n">
        <v>0.028165579</v>
      </c>
      <c r="G491" s="80" t="n">
        <v>41.869033472</v>
      </c>
      <c r="H491" s="73" t="n">
        <v>0.183</v>
      </c>
      <c r="I491" s="81" t="n">
        <v>0.34820998</v>
      </c>
      <c r="J491" s="82" t="n">
        <v>20.163462</v>
      </c>
      <c r="K491" s="83" t="n">
        <v>-105</v>
      </c>
      <c r="L491" s="78" t="inlineStr">
        <is>
          <t>—</t>
        </is>
      </c>
      <c r="M491" s="78" t="inlineStr">
        <is>
          <t>—</t>
        </is>
      </c>
      <c r="N491" s="82" t="n">
        <v>-398.7527191131429</v>
      </c>
      <c r="O491" s="119" t="inlineStr">
        <is>
          <t>—</t>
        </is>
      </c>
      <c r="P491" s="119" t="inlineStr">
        <is>
          <t>—</t>
        </is>
      </c>
      <c r="Q491" s="119" t="inlineStr">
        <is>
          <t>—</t>
        </is>
      </c>
      <c r="R491" s="119" t="inlineStr">
        <is>
          <t>—</t>
        </is>
      </c>
      <c r="S491" s="119" t="inlineStr">
        <is>
          <t>—</t>
        </is>
      </c>
    </row>
    <row r="492" ht="20" customHeight="1" s="57">
      <c r="A492" s="67" t="n">
        <v>487</v>
      </c>
      <c r="B492" s="68" t="inlineStr">
        <is>
          <t>PFG</t>
        </is>
      </c>
      <c r="C492" s="69" t="inlineStr">
        <is>
          <t>Principal Financial Group</t>
        </is>
      </c>
      <c r="D492" s="70" t="inlineStr">
        <is>
          <t>Financials</t>
        </is>
      </c>
      <c r="E492" s="72" t="n">
        <v>93.69</v>
      </c>
      <c r="F492" s="73" t="n">
        <v>0.075924635</v>
      </c>
      <c r="G492" s="74" t="n">
        <v>20.5831168</v>
      </c>
      <c r="H492" s="84" t="n">
        <v>-0.037</v>
      </c>
      <c r="I492" s="75" t="n">
        <v>0.44241002</v>
      </c>
      <c r="J492" s="76" t="n">
        <v>17.845715</v>
      </c>
      <c r="K492" s="85" t="n">
        <v>1039.037504</v>
      </c>
      <c r="L492" s="74" t="n">
        <v>12.11218299504053</v>
      </c>
      <c r="M492" s="84" t="n">
        <v>-0.411547672165931</v>
      </c>
      <c r="N492" s="76" t="n">
        <v>19.55202221486896</v>
      </c>
      <c r="O492" s="118" t="inlineStr">
        <is>
          <t>—</t>
        </is>
      </c>
      <c r="P492" s="118" t="inlineStr">
        <is>
          <t>—</t>
        </is>
      </c>
      <c r="Q492" s="118" t="inlineStr">
        <is>
          <t>—</t>
        </is>
      </c>
      <c r="R492" s="118" t="inlineStr">
        <is>
          <t>—</t>
        </is>
      </c>
      <c r="S492" s="118" t="inlineStr">
        <is>
          <t>—</t>
        </is>
      </c>
    </row>
    <row r="493" ht="20" customHeight="1" s="57">
      <c r="A493" s="62" t="n">
        <v>488</v>
      </c>
      <c r="B493" s="63" t="inlineStr">
        <is>
          <t>PH</t>
        </is>
      </c>
      <c r="C493" s="64" t="inlineStr">
        <is>
          <t>Parker-Hannifin</t>
        </is>
      </c>
      <c r="D493" s="65" t="inlineStr">
        <is>
          <t>Industrials</t>
        </is>
      </c>
      <c r="E493" s="79" t="n">
        <v>988.385</v>
      </c>
      <c r="F493" s="73" t="n">
        <v>0.5446762000000001</v>
      </c>
      <c r="G493" s="80" t="n">
        <v>124.75052032</v>
      </c>
      <c r="H493" s="73" t="n">
        <v>0.091</v>
      </c>
      <c r="I493" s="81" t="n">
        <v>0.37427</v>
      </c>
      <c r="J493" s="82" t="n">
        <v>36.085617</v>
      </c>
      <c r="K493" s="83" t="n">
        <v>2473.325056</v>
      </c>
      <c r="L493" s="80" t="n">
        <v>36.75401890568697</v>
      </c>
      <c r="M493" s="84" t="n">
        <v>-0.7053798347982155</v>
      </c>
      <c r="N493" s="82" t="n">
        <v>50.43838605566005</v>
      </c>
      <c r="O493" s="119" t="inlineStr">
        <is>
          <t>—</t>
        </is>
      </c>
      <c r="P493" s="119" t="inlineStr">
        <is>
          <t>—</t>
        </is>
      </c>
      <c r="Q493" s="119" t="inlineStr">
        <is>
          <t>—</t>
        </is>
      </c>
      <c r="R493" s="119" t="inlineStr">
        <is>
          <t>—</t>
        </is>
      </c>
      <c r="S493" s="119" t="inlineStr">
        <is>
          <t>—</t>
        </is>
      </c>
    </row>
    <row r="494" ht="20" customHeight="1" s="57">
      <c r="A494" s="62" t="n">
        <v>489</v>
      </c>
      <c r="B494" s="63" t="inlineStr">
        <is>
          <t>ROL</t>
        </is>
      </c>
      <c r="C494" s="64" t="inlineStr">
        <is>
          <t>Rollins Inc</t>
        </is>
      </c>
      <c r="D494" s="65" t="inlineStr">
        <is>
          <t>Industrials</t>
        </is>
      </c>
      <c r="E494" s="72" t="n">
        <v>58.25</v>
      </c>
      <c r="F494" s="73" t="n">
        <v>0.14369893</v>
      </c>
      <c r="G494" s="74" t="n">
        <v>28.023621632</v>
      </c>
      <c r="H494" s="73" t="n">
        <v>0.097</v>
      </c>
      <c r="I494" s="75" t="n">
        <v>0.52752</v>
      </c>
      <c r="J494" s="76" t="n">
        <v>53.440365</v>
      </c>
      <c r="K494" s="85" t="n">
        <v>555.2127359999999</v>
      </c>
      <c r="L494" s="74" t="n">
        <v>8.525107468209608</v>
      </c>
      <c r="M494" s="84" t="n">
        <v>-0.6957885179810293</v>
      </c>
      <c r="N494" s="76" t="n">
        <v>50.47366541903318</v>
      </c>
      <c r="O494" s="118" t="inlineStr">
        <is>
          <t>—</t>
        </is>
      </c>
      <c r="P494" s="118" t="inlineStr">
        <is>
          <t>—</t>
        </is>
      </c>
      <c r="Q494" s="118" t="inlineStr">
        <is>
          <t>—</t>
        </is>
      </c>
      <c r="R494" s="118" t="inlineStr">
        <is>
          <t>—</t>
        </is>
      </c>
      <c r="S494" s="118" t="inlineStr">
        <is>
          <t>—</t>
        </is>
      </c>
    </row>
    <row r="495" ht="20" customHeight="1" s="57">
      <c r="A495" s="67" t="n">
        <v>490</v>
      </c>
      <c r="B495" s="68" t="inlineStr">
        <is>
          <t>STX</t>
        </is>
      </c>
      <c r="C495" s="69" t="inlineStr">
        <is>
          <t>Seagate Technology</t>
        </is>
      </c>
      <c r="D495" s="70" t="inlineStr">
        <is>
          <t>Technology</t>
        </is>
      </c>
      <c r="E495" s="79" t="n">
        <v>378.0625</v>
      </c>
      <c r="F495" s="73" t="n">
        <v>2.86909</v>
      </c>
      <c r="G495" s="80" t="n">
        <v>84.695597056</v>
      </c>
      <c r="H495" s="73" t="n">
        <v>0.215</v>
      </c>
      <c r="I495" s="81" t="n">
        <v>0.38775003</v>
      </c>
      <c r="J495" s="82" t="n">
        <v>42.815685</v>
      </c>
      <c r="K495" s="83" t="n">
        <v>1095.500032</v>
      </c>
      <c r="L495" s="80" t="n">
        <v>19.66988298128985</v>
      </c>
      <c r="M495" s="84" t="n">
        <v>-0.7677579040114176</v>
      </c>
      <c r="N495" s="82" t="n">
        <v>77.312269502517</v>
      </c>
      <c r="O495" s="119" t="inlineStr">
        <is>
          <t>—</t>
        </is>
      </c>
      <c r="P495" s="119" t="inlineStr">
        <is>
          <t>—</t>
        </is>
      </c>
      <c r="Q495" s="119" t="inlineStr">
        <is>
          <t>—</t>
        </is>
      </c>
      <c r="R495" s="119" t="inlineStr">
        <is>
          <t>—</t>
        </is>
      </c>
      <c r="S495" s="119" t="inlineStr">
        <is>
          <t>—</t>
        </is>
      </c>
    </row>
    <row r="496" ht="20" customHeight="1" s="57">
      <c r="A496" s="62" t="n">
        <v>491</v>
      </c>
      <c r="B496" s="63" t="inlineStr">
        <is>
          <t>TEL</t>
        </is>
      </c>
      <c r="C496" s="64" t="inlineStr">
        <is>
          <t>TE Connectivity</t>
        </is>
      </c>
      <c r="D496" s="65" t="inlineStr">
        <is>
          <t>Technology</t>
        </is>
      </c>
      <c r="E496" s="72" t="n">
        <v>209.485</v>
      </c>
      <c r="F496" s="73" t="n">
        <v>0.35502052</v>
      </c>
      <c r="G496" s="74" t="n">
        <v>61.49128192</v>
      </c>
      <c r="H496" s="73" t="n">
        <v>0.217</v>
      </c>
      <c r="I496" s="75" t="n">
        <v>0.35689</v>
      </c>
      <c r="J496" s="76" t="n">
        <v>30.141727</v>
      </c>
      <c r="K496" s="85" t="n">
        <v>1985.62496</v>
      </c>
      <c r="L496" s="74" t="n">
        <v>35.16854373256317</v>
      </c>
      <c r="M496" s="84" t="n">
        <v>-0.4280726855179673</v>
      </c>
      <c r="N496" s="76" t="n">
        <v>30.95754733028991</v>
      </c>
      <c r="O496" s="118" t="inlineStr">
        <is>
          <t>—</t>
        </is>
      </c>
      <c r="P496" s="118" t="inlineStr">
        <is>
          <t>—</t>
        </is>
      </c>
      <c r="Q496" s="118" t="inlineStr">
        <is>
          <t>—</t>
        </is>
      </c>
      <c r="R496" s="118" t="inlineStr">
        <is>
          <t>—</t>
        </is>
      </c>
      <c r="S496" s="118" t="inlineStr">
        <is>
          <t>—</t>
        </is>
      </c>
    </row>
    <row r="497" ht="20" customHeight="1" s="57">
      <c r="A497" s="67" t="n">
        <v>492</v>
      </c>
      <c r="B497" s="68" t="inlineStr">
        <is>
          <t>TSCO</t>
        </is>
      </c>
      <c r="C497" s="69" t="inlineStr">
        <is>
          <t>Tractor Supply Co</t>
        </is>
      </c>
      <c r="D497" s="70" t="inlineStr">
        <is>
          <t>Consumer Discretionary</t>
        </is>
      </c>
      <c r="E497" s="79" t="n">
        <v>51.015</v>
      </c>
      <c r="F497" s="84" t="n">
        <v>-0.060964525</v>
      </c>
      <c r="G497" s="80" t="n">
        <v>26.851811328</v>
      </c>
      <c r="H497" s="73" t="n">
        <v>0.033</v>
      </c>
      <c r="I497" s="81" t="n">
        <v>0.36424</v>
      </c>
      <c r="J497" s="82" t="n">
        <v>24.764563</v>
      </c>
      <c r="K497" s="83" t="n">
        <v>515.100128</v>
      </c>
      <c r="L497" s="80" t="n">
        <v>5.664297224313907</v>
      </c>
      <c r="M497" s="84" t="n">
        <v>-0.7890534401898093</v>
      </c>
      <c r="N497" s="82" t="n">
        <v>52.1293034027163</v>
      </c>
      <c r="O497" s="119" t="inlineStr">
        <is>
          <t>—</t>
        </is>
      </c>
      <c r="P497" s="119" t="inlineStr">
        <is>
          <t>—</t>
        </is>
      </c>
      <c r="Q497" s="119" t="inlineStr">
        <is>
          <t>—</t>
        </is>
      </c>
      <c r="R497" s="119" t="inlineStr">
        <is>
          <t>—</t>
        </is>
      </c>
      <c r="S497" s="119" t="inlineStr">
        <is>
          <t>—</t>
        </is>
      </c>
    </row>
    <row r="498" ht="20" customHeight="1" s="57">
      <c r="A498" s="62" t="n">
        <v>493</v>
      </c>
      <c r="B498" s="63" t="inlineStr">
        <is>
          <t>UHS</t>
        </is>
      </c>
      <c r="C498" s="64" t="inlineStr">
        <is>
          <t>Universal Health Services</t>
        </is>
      </c>
      <c r="D498" s="65" t="inlineStr">
        <is>
          <t>Healthcare</t>
        </is>
      </c>
      <c r="E498" s="72" t="n">
        <v>204.25</v>
      </c>
      <c r="F498" s="73" t="n">
        <v>0.15265584</v>
      </c>
      <c r="G498" s="74" t="n">
        <v>12.476946432</v>
      </c>
      <c r="H498" s="73" t="n">
        <v>0.091</v>
      </c>
      <c r="I498" s="75" t="n">
        <v>0.43889</v>
      </c>
      <c r="J498" s="76" t="n">
        <v>8.838165</v>
      </c>
      <c r="K498" s="85" t="n">
        <v>565.252736</v>
      </c>
      <c r="L498" s="74" t="n">
        <v>8.429906967087934</v>
      </c>
      <c r="M498" s="84" t="n">
        <v>-0.324361372148918</v>
      </c>
      <c r="N498" s="76" t="n">
        <v>19.45392066841761</v>
      </c>
      <c r="O498" s="118" t="inlineStr">
        <is>
          <t>—</t>
        </is>
      </c>
      <c r="P498" s="118" t="inlineStr">
        <is>
          <t>—</t>
        </is>
      </c>
      <c r="Q498" s="118" t="inlineStr">
        <is>
          <t>—</t>
        </is>
      </c>
      <c r="R498" s="118" t="inlineStr">
        <is>
          <t>—</t>
        </is>
      </c>
      <c r="S498" s="118" t="inlineStr">
        <is>
          <t>—</t>
        </is>
      </c>
    </row>
    <row r="499" ht="20" customHeight="1" s="57">
      <c r="A499" s="67" t="n">
        <v>494</v>
      </c>
      <c r="B499" s="68" t="inlineStr">
        <is>
          <t>WDC</t>
        </is>
      </c>
      <c r="C499" s="69" t="inlineStr">
        <is>
          <t>Western Digital</t>
        </is>
      </c>
      <c r="D499" s="70" t="inlineStr">
        <is>
          <t>Technology</t>
        </is>
      </c>
      <c r="E499" s="79" t="n">
        <v>263.3</v>
      </c>
      <c r="F499" s="73" t="n">
        <v>4.6699095</v>
      </c>
      <c r="G499" s="80" t="n">
        <v>90.022076416</v>
      </c>
      <c r="H499" s="78" t="inlineStr">
        <is>
          <t>—</t>
        </is>
      </c>
      <c r="I499" s="81" t="n">
        <v>0.42723998</v>
      </c>
      <c r="J499" s="82" t="n">
        <v>24.886578</v>
      </c>
      <c r="K499" s="83" t="n">
        <v>3899.375104</v>
      </c>
      <c r="L499" s="80" t="n">
        <v>41.09004458121919</v>
      </c>
      <c r="M499" s="84" t="n">
        <v>-0.5435559118705677</v>
      </c>
      <c r="N499" s="82" t="n">
        <v>22.893074526487</v>
      </c>
      <c r="O499" s="119" t="inlineStr">
        <is>
          <t>—</t>
        </is>
      </c>
      <c r="P499" s="119" t="inlineStr">
        <is>
          <t>—</t>
        </is>
      </c>
      <c r="Q499" s="119" t="inlineStr">
        <is>
          <t>—</t>
        </is>
      </c>
      <c r="R499" s="119" t="inlineStr">
        <is>
          <t>—</t>
        </is>
      </c>
      <c r="S499" s="119" t="inlineStr">
        <is>
          <t>—</t>
        </is>
      </c>
    </row>
    <row r="500" ht="20" customHeight="1" s="57">
      <c r="A500" s="62" t="n">
        <v>495</v>
      </c>
      <c r="B500" s="63" t="inlineStr">
        <is>
          <t>WY</t>
        </is>
      </c>
      <c r="C500" s="64" t="inlineStr">
        <is>
          <t>Weyerhaeuser Co</t>
        </is>
      </c>
      <c r="D500" s="65" t="inlineStr">
        <is>
          <t>Real Estate</t>
        </is>
      </c>
      <c r="E500" s="72" t="n">
        <v>24.895</v>
      </c>
      <c r="F500" s="84" t="n">
        <v>-0.19915938</v>
      </c>
      <c r="G500" s="74" t="n">
        <v>17.94583552</v>
      </c>
      <c r="H500" s="84" t="n">
        <v>-0.098</v>
      </c>
      <c r="I500" s="75" t="n">
        <v>0.14844</v>
      </c>
      <c r="J500" s="76" t="n">
        <v>55.322224</v>
      </c>
      <c r="K500" s="85" t="n">
        <v>-146.5</v>
      </c>
      <c r="L500" s="77" t="inlineStr">
        <is>
          <t>—</t>
        </is>
      </c>
      <c r="M500" s="77" t="inlineStr">
        <is>
          <t>—</t>
        </is>
      </c>
      <c r="N500" s="76" t="n">
        <v>-122.4638578498294</v>
      </c>
      <c r="O500" s="118" t="inlineStr">
        <is>
          <t>—</t>
        </is>
      </c>
      <c r="P500" s="118" t="inlineStr">
        <is>
          <t>—</t>
        </is>
      </c>
      <c r="Q500" s="118" t="inlineStr">
        <is>
          <t>—</t>
        </is>
      </c>
      <c r="R500" s="118" t="inlineStr">
        <is>
          <t>—</t>
        </is>
      </c>
      <c r="S500" s="118" t="inlineStr">
        <is>
          <t>—</t>
        </is>
      </c>
    </row>
    <row r="501" ht="20" customHeight="1" s="57">
      <c r="A501" s="67" t="n">
        <v>496</v>
      </c>
      <c r="B501" s="68" t="inlineStr">
        <is>
          <t>ZBH</t>
        </is>
      </c>
      <c r="C501" s="69" t="inlineStr">
        <is>
          <t>Zimmer Biomet Holdings</t>
        </is>
      </c>
      <c r="D501" s="70" t="inlineStr">
        <is>
          <t>Healthcare</t>
        </is>
      </c>
      <c r="E501" s="79" t="n">
        <v>96.43000000000001</v>
      </c>
      <c r="F501" s="84" t="n">
        <v>-0.06472551999999999</v>
      </c>
      <c r="G501" s="80" t="n">
        <v>19.110647808</v>
      </c>
      <c r="H501" s="73" t="n">
        <v>0.109</v>
      </c>
      <c r="I501" s="81" t="n">
        <v>0.69708</v>
      </c>
      <c r="J501" s="82" t="n">
        <v>27.163382</v>
      </c>
      <c r="K501" s="83" t="n">
        <v>1352</v>
      </c>
      <c r="L501" s="80" t="n">
        <v>22.42710131450812</v>
      </c>
      <c r="M501" s="73" t="n">
        <v>0.1735395649497454</v>
      </c>
      <c r="N501" s="82" t="n">
        <v>13.95467658707101</v>
      </c>
      <c r="O501" s="119" t="inlineStr">
        <is>
          <t>—</t>
        </is>
      </c>
      <c r="P501" s="119" t="inlineStr">
        <is>
          <t>—</t>
        </is>
      </c>
      <c r="Q501" s="119" t="inlineStr">
        <is>
          <t>—</t>
        </is>
      </c>
      <c r="R501" s="119" t="inlineStr">
        <is>
          <t>—</t>
        </is>
      </c>
      <c r="S501" s="119" t="inlineStr">
        <is>
          <t>—</t>
        </is>
      </c>
    </row>
    <row r="502" ht="20" customHeight="1" s="57"/>
    <row r="503" ht="20" customHeight="1" s="57"/>
    <row r="504" ht="20" customHeight="1" s="57"/>
    <row r="505" ht="20" customHeight="1" s="57"/>
    <row r="506" ht="20" customHeight="1" s="57"/>
    <row r="507" ht="20" customHeight="1" s="57"/>
    <row r="508" ht="20" customHeight="1" s="57"/>
    <row r="509" ht="20" customHeight="1" s="57"/>
    <row r="510" ht="20" customHeight="1" s="57"/>
    <row r="511" ht="20" customHeight="1" s="57"/>
    <row r="512" ht="20" customHeight="1" s="57"/>
    <row r="513" ht="20" customHeight="1" s="57"/>
    <row r="514" ht="20" customHeight="1" s="57"/>
    <row r="515" ht="20" customHeight="1" s="57"/>
    <row r="516" ht="20" customHeight="1" s="57"/>
    <row r="517" ht="20" customHeight="1" s="57"/>
  </sheetData>
  <autoFilter ref="A5:S501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8" defaultColWidth="12.63" defaultRowHeight="15.75" customHeight="1"/>
  <cols>
    <col width="4.63" customWidth="1" style="57" min="1" max="1"/>
    <col width="13.75" customWidth="1" style="57" min="2" max="2"/>
    <col width="28.38" customWidth="1" style="57" min="3" max="3"/>
    <col width="8.630000000000001" customWidth="1" style="57" min="4" max="4"/>
    <col width="10.25" customWidth="1" style="57" min="5" max="5"/>
    <col width="15.63" customWidth="1" style="57" min="6" max="6"/>
    <col width="12" customWidth="1" style="57" min="7" max="7"/>
    <col width="8.880000000000001" customWidth="1" style="57" min="8" max="9"/>
    <col width="12.5" customWidth="1" style="57" min="10" max="10"/>
    <col width="12.63" customWidth="1" style="57" min="11" max="11"/>
    <col width="8.880000000000001" customWidth="1" style="57" min="12" max="12"/>
    <col width="7" customWidth="1" style="57" min="13" max="14"/>
  </cols>
  <sheetData>
    <row r="1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5" t="inlineStr">
        <is>
          <t>USD/RUB</t>
        </is>
      </c>
      <c r="P1" s="5" t="inlineStr">
        <is>
          <t>HKD/USD</t>
        </is>
      </c>
      <c r="Q1" s="5" t="n"/>
      <c r="R1" s="5" t="n"/>
      <c r="S1" s="5" t="n"/>
    </row>
    <row r="2" ht="20.25" customHeight="1" s="57">
      <c r="A2" s="6" t="n"/>
      <c r="B2" s="6" t="n"/>
      <c r="C2" s="6" t="n"/>
      <c r="D2" s="6" t="n"/>
      <c r="E2" s="6" t="inlineStr">
        <is>
          <t>$</t>
        </is>
      </c>
      <c r="F2" s="6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6" t="n"/>
      <c r="M2" s="6" t="n"/>
      <c r="N2" s="3" t="n"/>
      <c r="O2" s="5" t="n">
        <v>77</v>
      </c>
      <c r="P2" s="5" t="n">
        <v>0.13</v>
      </c>
      <c r="Q2" s="5" t="n"/>
      <c r="R2" s="5" t="n"/>
      <c r="S2" s="5" t="n"/>
    </row>
    <row r="3" ht="20.25" customHeight="1" s="57">
      <c r="A3" s="7">
        <f>A2+1</f>
        <v/>
      </c>
      <c r="B3" s="8">
        <f>HYPERLINK("https://finance.yahoo.com/quote/"&amp;D3, C3)</f>
        <v/>
      </c>
      <c r="C3" s="7" t="inlineStr">
        <is>
          <t>Severstal' PAO</t>
        </is>
      </c>
      <c r="D3" s="7" t="inlineStr">
        <is>
          <t>SVST</t>
        </is>
      </c>
      <c r="E3" s="9">
        <f>IFERROR(__xludf.DUMMYFUNCTION("iferror(googlefinance(D3,""price""),"""")"),"")</f>
        <v/>
      </c>
      <c r="F3" s="26">
        <f>IFERROR(__xludf.DUMMYFUNCTION("IFERROR(GOOGLEFINANCE(D3,""price"") / index(GOOGLEFINANCE(D3,""price"", datevalue(today()-365) ) , 2,2) - 1,"""")"),"")</f>
        <v/>
      </c>
      <c r="G3" s="11">
        <f>IFERROR(__xludf.DUMMYFUNCTION("iferror(googlefinance(D3,""marketcap""),"""")/10^6"),0.0)</f>
        <v/>
      </c>
      <c r="H3" s="25">
        <f>IFERROR(__xludf.DUMMYFUNCTION("IMPORTRANGE(""https://docs.google.com/spreadsheets/d/1dlfFsw9YFF_dEa-0WVRTnvUf7PBFwRrC6Y6BImZdJ_g/edit#gid=412432278"",""Summary!C30"")"),985803.8889936024)</f>
        <v/>
      </c>
      <c r="I3" s="26">
        <f>(H3-G3)/G3</f>
        <v/>
      </c>
      <c r="J3" s="26">
        <f>IFERROR(__xludf.DUMMYFUNCTION("IMPORTRANGE(""https://docs.google.com/spreadsheets/d/1dlfFsw9YFF_dEa-0WVRTnvUf7PBFwRrC6Y6BImZdJ_g/edit#gid=412432278"",""Summary!H2"")"),-0.15777859507171754)</f>
        <v/>
      </c>
      <c r="K3" s="26">
        <f>IFERROR(__xludf.DUMMYFUNCTION("IMPORTRANGE(""https://docs.google.com/spreadsheets/d/1dlfFsw9YFF_dEa-0WVRTnvUf7PBFwRrC6Y6BImZdJ_g/edit#gid=412432278"",""Summary!B16"")"),0.28093158660844253)</f>
        <v/>
      </c>
      <c r="L3" s="13">
        <f>IFERROR(__xludf.DUMMYFUNCTION("IFERROR(googlefinance(D3,""pe""),"""")"),"")</f>
        <v/>
      </c>
      <c r="M3" s="13">
        <f>IFERROR(__xludf.DUMMYFUNCTION("IFERROR(googlefinance(D3,""beta""),"""")"),"")</f>
        <v/>
      </c>
      <c r="N3" s="14" t="n"/>
      <c r="O3" s="5" t="n"/>
      <c r="P3" s="5" t="n"/>
      <c r="Q3" s="5" t="n"/>
      <c r="R3" s="5" t="n"/>
      <c r="S3" s="5" t="n"/>
    </row>
    <row r="4" ht="20.25" customHeight="1" s="57">
      <c r="A4" s="7">
        <f>A3+1</f>
        <v/>
      </c>
      <c r="B4" s="8">
        <f>HYPERLINK("https://finance.yahoo.com/quote/"&amp;D4, C4)</f>
        <v/>
      </c>
      <c r="C4" s="7" t="inlineStr">
        <is>
          <t>Sberbank Rossii PAO</t>
        </is>
      </c>
      <c r="D4" s="7" t="inlineStr">
        <is>
          <t>SBRCY</t>
        </is>
      </c>
      <c r="E4" s="9">
        <f>IFERROR(__xludf.DUMMYFUNCTION("iferror(googlefinance(D4,""price""),"""")"),"")</f>
        <v/>
      </c>
      <c r="F4" s="26">
        <f>IFERROR(__xludf.DUMMYFUNCTION("IFERROR(GOOGLEFINANCE(D4,""price"") / index(GOOGLEFINANCE(D4,""price"", datevalue(today()-365) ) , 2,2) - 1,"""")"),"")</f>
        <v/>
      </c>
      <c r="G4" s="11">
        <f>IFERROR(__xludf.DUMMYFUNCTION("iferror(googlefinance(D4,""marketcap""),"""")/10^6"),0.0)</f>
        <v/>
      </c>
      <c r="H4" s="25">
        <f>IFERROR(__xludf.DUMMYFUNCTION("IMPORTRANGE(""https://docs.google.com/spreadsheets/d/1qkyVDQA4KrhGN7P_pvU-cCYRhkeObohXrHMSpHSzFaY/edit#gid=1866964818"",""Summary!C34"")"),9333100.828587357)</f>
        <v/>
      </c>
      <c r="I4" s="26">
        <f>(H4-G4)/G4</f>
        <v/>
      </c>
      <c r="J4" s="26">
        <f>IFERROR(__xludf.DUMMYFUNCTION("IMPORTRANGE(""https://docs.google.com/spreadsheets/d/1qkyVDQA4KrhGN7P_pvU-cCYRhkeObohXrHMSpHSzFaY/edit#gid=1866964818"",""Summary!I2"")"),0.08941877794336811)</f>
        <v/>
      </c>
      <c r="K4" s="26">
        <f>IFERROR(__xludf.DUMMYFUNCTION("IMPORTRANGE(""https://docs.google.com/spreadsheets/d/1qkyVDQA4KrhGN7P_pvU-cCYRhkeObohXrHMSpHSzFaY/edit#gid=1866964818"",""Summary!H20"")"),0.34701322389420886)</f>
        <v/>
      </c>
      <c r="L4" s="13">
        <f>IFERROR(__xludf.DUMMYFUNCTION("IFERROR(googlefinance(D4,""pe""),"""")"),"")</f>
        <v/>
      </c>
      <c r="M4" s="13">
        <f>IFERROR(__xludf.DUMMYFUNCTION("IFERROR(googlefinance(D4,""beta""),"""")"),"")</f>
        <v/>
      </c>
      <c r="N4" s="14" t="n"/>
      <c r="O4" s="5" t="n"/>
      <c r="P4" s="5" t="n"/>
      <c r="Q4" s="5" t="n"/>
      <c r="R4" s="5" t="n"/>
      <c r="S4" s="5" t="n"/>
    </row>
    <row r="5" ht="20.25" customHeight="1" s="57">
      <c r="A5" s="15">
        <f>A4+1</f>
        <v/>
      </c>
      <c r="B5" s="8">
        <f>HYPERLINK("https://finance.yahoo.com/quote/"&amp;D5, C5)</f>
        <v/>
      </c>
      <c r="C5" s="7" t="inlineStr">
        <is>
          <t>DouYu International Holdings Ltd</t>
        </is>
      </c>
      <c r="D5" s="7" t="inlineStr">
        <is>
          <t>DOYU</t>
        </is>
      </c>
      <c r="E5" s="9">
        <f>IFERROR(__xludf.DUMMYFUNCTION("iferror(googlefinance(D5,""price""),"""")"),5.28)</f>
        <v/>
      </c>
      <c r="F5" s="26">
        <f>IFERROR(__xludf.DUMMYFUNCTION("IFERROR(GOOGLEFINANCE(D5,""price"") / index(GOOGLEFINANCE(D5,""price"", datevalue(today()-365) ) , 2,2) - 1,"""")"),-0.21893491124260345)</f>
        <v/>
      </c>
      <c r="G5" s="11">
        <f>IFERROR(__xludf.DUMMYFUNCTION("iferror(googlefinance(D5,""marketcap""),"""")/10^6"),163.952824)</f>
        <v/>
      </c>
      <c r="H5" s="25">
        <f>IFERROR(__xludf.DUMMYFUNCTION("IMPORTRANGE(""https://docs.google.com/spreadsheets/d/1LupNll8EBZR0CxUoQzkZLRitp2lxm5UXiwXAxqniEg4/edit#gid=1537202402"",""DOYU!E29"")"),58.701638056861015)</f>
        <v/>
      </c>
      <c r="I5" s="26">
        <f>(H5-G5)/G5</f>
        <v/>
      </c>
      <c r="J5" s="26">
        <f>IFERROR(__xludf.DUMMYFUNCTION("IMPORTRANGE(""https://docs.google.com/spreadsheets/d/1LupNll8EBZR0CxUoQzkZLRitp2lxm5UXiwXAxqniEg4/edit#gid=1537202402"",""DOYU!I6"")"),5530.0)</f>
        <v/>
      </c>
      <c r="K5" s="26">
        <f>IFERROR(__xludf.DUMMYFUNCTION("IMPORTRANGE(""https://docs.google.com/spreadsheets/d/1LupNll8EBZR0CxUoQzkZLRitp2lxm5UXiwXAxqniEg4/edit#gid=1537202402"",""DOYU!F23"")"),0.16248307467972087)</f>
        <v/>
      </c>
      <c r="L5" s="13">
        <f>IFERROR(__xludf.DUMMYFUNCTION("IFERROR(googlefinance(D5,""pe""),"""")"),"")</f>
        <v/>
      </c>
      <c r="M5" s="13">
        <f>IFERROR(__xludf.DUMMYFUNCTION("IFERROR(googlefinance(D5,""beta""),"""")"),"")</f>
        <v/>
      </c>
      <c r="N5" s="14" t="n"/>
      <c r="O5" s="5" t="n"/>
      <c r="P5" s="5" t="n"/>
      <c r="Q5" s="5" t="n"/>
      <c r="R5" s="5" t="n"/>
      <c r="S5" s="5" t="n"/>
    </row>
    <row r="6" ht="20.25" customHeight="1" s="57">
      <c r="A6" s="7">
        <f>A5+1</f>
        <v/>
      </c>
      <c r="B6" s="8">
        <f>HYPERLINK("https://finance.yahoo.com/quote/"&amp;D6, C6)</f>
        <v/>
      </c>
      <c r="C6" s="16" t="inlineStr">
        <is>
          <t>TCS Group Holding PLC</t>
        </is>
      </c>
      <c r="D6" s="7" t="inlineStr">
        <is>
          <t>TCSG</t>
        </is>
      </c>
      <c r="E6" s="9">
        <f>IFERROR(__xludf.DUMMYFUNCTION("iferror(googlefinance(D6,""price""),"""")"),"")</f>
        <v/>
      </c>
      <c r="F6" s="26">
        <f>IFERROR(__xludf.DUMMYFUNCTION("IFERROR(GOOGLEFINANCE(D6,""price"") / index(GOOGLEFINANCE(D6,""price"", datevalue(today()-365) ) , 2,2) - 1,"""")"),"")</f>
        <v/>
      </c>
      <c r="G6" s="11">
        <f>IFERROR(__xludf.DUMMYFUNCTION("iferror(googlefinance(D6,""marketcap""),"""")/10^6"),0.0)</f>
        <v/>
      </c>
      <c r="H6" s="25">
        <f>IFERROR(__xludf.DUMMYFUNCTION("importrange(""https://docs.google.com/spreadsheets/d/1dcdnXtSf0zvBGYPG5ZVxziOJBBQiAwWkEZT-UAXL40I/edit#gid=1344089490"",""Summary!C36"")/#REF!*1000"),"#REF!")</f>
        <v/>
      </c>
      <c r="I6" s="26" t="n">
        <v>0</v>
      </c>
      <c r="J6" s="26">
        <f>IFERROR(__xludf.DUMMYFUNCTION("importrange(""https://docs.google.com/spreadsheets/d/1dcdnXtSf0zvBGYPG5ZVxziOJBBQiAwWkEZT-UAXL40I/edit#gid=1344089490"",""Summary!J2"")"),0.7800000000000001)</f>
        <v/>
      </c>
      <c r="K6" s="26">
        <f>IFERROR(__xludf.DUMMYFUNCTION("importrange(""https://docs.google.com/spreadsheets/d/1dcdnXtSf0zvBGYPG5ZVxziOJBBQiAwWkEZT-UAXL40I/edit#gid=1344089490"",""Summary!I22"")"),0.3512359550561797)</f>
        <v/>
      </c>
      <c r="L6" s="13">
        <f>IFERROR(__xludf.DUMMYFUNCTION("IFERROR(googlefinance(D6,""pe""),"""")"),"")</f>
        <v/>
      </c>
      <c r="M6" s="13">
        <f>IFERROR(__xludf.DUMMYFUNCTION("IFERROR(googlefinance(D6,""beta""),"""")"),"")</f>
        <v/>
      </c>
      <c r="N6" s="14" t="n"/>
      <c r="O6" s="5" t="n"/>
      <c r="P6" s="5" t="n"/>
      <c r="Q6" s="5" t="n"/>
      <c r="R6" s="5" t="n"/>
      <c r="S6" s="5" t="n"/>
    </row>
    <row r="7" ht="20.25" customHeight="1" s="57">
      <c r="A7" s="7">
        <f>A6+1</f>
        <v/>
      </c>
      <c r="B7" s="8">
        <f>HYPERLINK("https://finance.yahoo.com/quote/"&amp;D7, C7)</f>
        <v/>
      </c>
      <c r="C7" s="16" t="inlineStr">
        <is>
          <t>Boeing Co</t>
        </is>
      </c>
      <c r="D7" s="7" t="inlineStr">
        <is>
          <t>BA</t>
        </is>
      </c>
      <c r="E7" s="9">
        <f>IFERROR(__xludf.DUMMYFUNCTION("iferror(googlefinance(D7,""price""),"""")"),227.53)</f>
        <v/>
      </c>
      <c r="F7" s="26">
        <f>IFERROR(__xludf.DUMMYFUNCTION("IFERROR(GOOGLEFINANCE(D7,""price"") / index(GOOGLEFINANCE(D7,""price"", datevalue(today()-365) ) , 2,2) - 1,"""")"),0.33793955074679527)</f>
        <v/>
      </c>
      <c r="G7" s="11">
        <f>IFERROR(__xludf.DUMMYFUNCTION("iferror(googlefinance(D7,""marketcap""),"""")/10^6"),178690.024704)</f>
        <v/>
      </c>
      <c r="H7" s="25">
        <f>IFERROR(__xludf.DUMMYFUNCTION("importrange(""https://docs.google.com/spreadsheets/d/1NdaSGlewe3S15DWFefRKHC-Z0tqbjFNPLDNlxW-5Kck/edit#gid=314785295"",""Financials!B41"")*1000"),63766.771261882175)</f>
        <v/>
      </c>
      <c r="I7" s="26">
        <f>(H7-G7)/G7</f>
        <v/>
      </c>
      <c r="J7" s="26">
        <f>IFERROR(__xludf.DUMMYFUNCTION("importrange(""https://docs.google.com/spreadsheets/d/1NdaSGlewe3S15DWFefRKHC-Z0tqbjFNPLDNlxW-5Kck/edit#gid=314785295"",""Financials!F2"")"),-0.36801806569986945)</f>
        <v/>
      </c>
      <c r="K7" s="26">
        <f>IFERROR(__xludf.DUMMYFUNCTION("importrange(""https://docs.google.com/spreadsheets/d/1NdaSGlewe3S15DWFefRKHC-Z0tqbjFNPLDNlxW-5Kck/edit#gid=314785295"",""Financials!D19"")"),-0.0563899279772207)</f>
        <v/>
      </c>
      <c r="L7" s="13">
        <f>IFERROR(__xludf.DUMMYFUNCTION("IFERROR(googlefinance(D7,""pe""),"""")"),"")</f>
        <v/>
      </c>
      <c r="M7" s="13">
        <f>IFERROR(__xludf.DUMMYFUNCTION("IFERROR(googlefinance(D7,""beta""),"""")"),"")</f>
        <v/>
      </c>
      <c r="N7" s="14" t="n"/>
      <c r="O7" s="5" t="n"/>
      <c r="P7" s="5" t="n"/>
      <c r="Q7" s="5" t="n"/>
      <c r="R7" s="5" t="n"/>
      <c r="S7" s="5" t="n"/>
    </row>
    <row r="8" ht="20.25" customHeight="1" s="57">
      <c r="A8" s="7" t="n">
        <v>1</v>
      </c>
      <c r="B8" s="8">
        <f>HYPERLINK("https://finance.yahoo.com/quote/"&amp;D8, C8)</f>
        <v/>
      </c>
      <c r="C8" s="7" t="inlineStr">
        <is>
          <t>GameStop Corp.</t>
        </is>
      </c>
      <c r="D8" s="19" t="inlineStr">
        <is>
          <t>GME</t>
        </is>
      </c>
      <c r="E8" s="9">
        <f>IFERROR(__xludf.DUMMYFUNCTION("iferror(googlefinance(D8,""price""),"""")"),24.03)</f>
        <v/>
      </c>
      <c r="F8" s="26">
        <f>IFERROR(__xludf.DUMMYFUNCTION("IFERROR(GOOGLEFINANCE(D8,""price"") / index(GOOGLEFINANCE(D8,""price"", datevalue(today()-365) ) , 2,2) - 1,"""")"),-0.01516393442622943)</f>
        <v/>
      </c>
      <c r="G8" s="11">
        <f>IFERROR(__xludf.DUMMYFUNCTION("iferror(googlefinance(D8,""marketcap""),"""")/10^6"),10765.668592)</f>
        <v/>
      </c>
      <c r="H8" s="25">
        <f>IFERROR(__xludf.DUMMYFUNCTION("IMPORTRANGE(""https://docs.google.com/spreadsheets/d/1L4yfv89QVUE9L_HHdbGE4xVtgtA9FIdzCOWtDZY6v_8/edit#gid=469363836"",""Summary!B34"")"),4338.420083081603)</f>
        <v/>
      </c>
      <c r="I8" s="26">
        <f>(H8-G8)/G8</f>
        <v/>
      </c>
      <c r="J8" s="26">
        <f>IFERROR(__xludf.DUMMYFUNCTION("IMPORTRANGE(""https://docs.google.com/spreadsheets/d/1L4yfv89QVUE9L_HHdbGE4xVtgtA9FIdzCOWtDZY6v_8/edit#gid=469363836"",""Summary!I3"")"),-0.24756096402481303)</f>
        <v/>
      </c>
      <c r="K8" s="26">
        <f>IFERROR(__xludf.DUMMYFUNCTION("IMPORTRANGE(""https://docs.google.com/spreadsheets/d/1L4yfv89QVUE9L_HHdbGE4xVtgtA9FIdzCOWtDZY6v_8/edit#gid=469363836"",""Summary!H11"")"),0.37731513628845936)</f>
        <v/>
      </c>
      <c r="L8" s="13">
        <f>IFERROR(__xludf.DUMMYFUNCTION("IFERROR(googlefinance(D8,""pe""),"""")"),"")</f>
        <v/>
      </c>
      <c r="M8" s="13">
        <f>IFERROR(__xludf.DUMMYFUNCTION("IFERROR(googlefinance(D8,""beta""),"""")"),"")</f>
        <v/>
      </c>
      <c r="N8" s="14" t="n"/>
      <c r="O8" s="5" t="n"/>
      <c r="P8" s="5" t="n"/>
      <c r="Q8" s="5" t="n"/>
      <c r="R8" s="5" t="n"/>
      <c r="S8" s="5" t="n"/>
    </row>
    <row r="9" ht="20.25" customHeight="1" s="57">
      <c r="A9" s="15">
        <f>A8+1</f>
        <v/>
      </c>
      <c r="B9" s="8">
        <f>HYPERLINK("https://finance.yahoo.com/quote/"&amp;D9, C9)</f>
        <v/>
      </c>
      <c r="C9" s="16" t="inlineStr">
        <is>
          <t>Baidu Inc</t>
        </is>
      </c>
      <c r="D9" s="7" t="inlineStr">
        <is>
          <t>BIDU</t>
        </is>
      </c>
      <c r="E9" s="9">
        <f>IFERROR(__xludf.DUMMYFUNCTION("iferror(googlefinance(D9,""price""),"""")"),124.44)</f>
        <v/>
      </c>
      <c r="F9" s="26">
        <f>IFERROR(__xludf.DUMMYFUNCTION("IFERROR(GOOGLEFINANCE(D9,""price"") / index(GOOGLEFINANCE(D9,""price"", datevalue(today()-365) ) , 2,2) - 1,"""")"),0.47580645161290325)</f>
        <v/>
      </c>
      <c r="G9" s="11">
        <f>IFERROR(__xludf.DUMMYFUNCTION("iferror(googlefinance(D9,""marketcap""),"""")/10^6"),42778.851635)</f>
        <v/>
      </c>
      <c r="H9" s="25">
        <f>IFERROR(__xludf.DUMMYFUNCTION("IMPORTRANGE(""https://docs.google.com/spreadsheets/d/1IVS0z4Rl2pa89mr25nlgvj339ilU2tVdVu3j7nFXQIc/edit#gid=300601680"",""Summary!B87"")*1000"),68732.09981583584)</f>
        <v/>
      </c>
      <c r="I9" s="26">
        <f>(H9-G9)/G9</f>
        <v/>
      </c>
      <c r="J9" s="26">
        <f>IFERROR(__xludf.DUMMYFUNCTION("IMPORTRANGE(""https://docs.google.com/spreadsheets/d/1IVS0z4Rl2pa89mr25nlgvj339ilU2tVdVu3j7nFXQIc/edit#gid=300601680"",""Summary!N2"")"),-0.02891267605633803)</f>
        <v/>
      </c>
      <c r="K9" s="26">
        <f>IFERROR(__xludf.DUMMYFUNCTION("IMPORTRANGE(""https://docs.google.com/spreadsheets/d/1IVS0z4Rl2pa89mr25nlgvj339ilU2tVdVu3j7nFXQIc/edit#gid=300601680"",""Summary!G38"")"),0.2390903436309868)</f>
        <v/>
      </c>
      <c r="L9" s="13">
        <f>IFERROR(__xludf.DUMMYFUNCTION("IFERROR(googlefinance(D9,""pe""),"""")"),"")</f>
        <v/>
      </c>
      <c r="M9" s="13">
        <f>IFERROR(__xludf.DUMMYFUNCTION("IFERROR(googlefinance(D9,""beta""),"""")"),"")</f>
        <v/>
      </c>
      <c r="N9" s="14" t="n"/>
      <c r="O9" s="5" t="n"/>
      <c r="P9" s="5" t="n"/>
      <c r="Q9" s="5" t="n"/>
      <c r="R9" s="5" t="n"/>
      <c r="S9" s="5" t="n"/>
    </row>
    <row r="10" ht="20.25" customHeight="1" s="57">
      <c r="A10" s="7">
        <f>A9+1</f>
        <v/>
      </c>
      <c r="B10" s="8">
        <f>HYPERLINK("https://finance.yahoo.com/quote/"&amp;#REF!, C10)</f>
        <v/>
      </c>
      <c r="C10" s="16" t="inlineStr">
        <is>
          <t>Southwest Airlines Co</t>
        </is>
      </c>
      <c r="D10" s="26" t="n"/>
      <c r="E10" s="9">
        <f>IFERROR(__xludf.DUMMYFUNCTION("iferror(googlefinance(#REF!,""price""),"""")"),"")</f>
        <v/>
      </c>
      <c r="F10" s="26">
        <f>IFERROR(__xludf.DUMMYFUNCTION("IFERROR(GOOGLEFINANCE(#REF!,""price"") / index(GOOGLEFINANCE(#REF!,""price"", datevalue(today()-365) ) , 2,2) - 1,"""")"),"")</f>
        <v/>
      </c>
      <c r="G10" s="11">
        <f>IFERROR(__xludf.DUMMYFUNCTION("iferror(googlefinance(#REF!,""marketcap""),"""")/10^6"),0.0)</f>
        <v/>
      </c>
      <c r="H10" s="25">
        <f>IFERROR(__xludf.DUMMYFUNCTION("importrange(""https://docs.google.com/spreadsheets/d/134U-14NIeFgI3O-C1JHtY0ItSiJlwkxRAneHpKC9G-c/edit#gid=893603675"",""Financials!B49"")*1000"),31298.02324022975)</f>
        <v/>
      </c>
      <c r="I10" s="26">
        <f>(H10-G10)/G10</f>
        <v/>
      </c>
      <c r="K10" s="26">
        <f>IFERROR(__xludf.DUMMYFUNCTION("importrange(""https://docs.google.com/spreadsheets/d/134U-14NIeFgI3O-C1JHtY0ItSiJlwkxRAneHpKC9G-c/edit#gid=893603675"",""Financials!H16"")"),0.09848719576210258)</f>
        <v/>
      </c>
      <c r="L10" s="13">
        <f>IFERROR(__xludf.DUMMYFUNCTION("IFERROR(googlefinance(#REF!,""pe""),"""")"),"")</f>
        <v/>
      </c>
      <c r="M10" s="13">
        <f>IFERROR(__xludf.DUMMYFUNCTION("IFERROR(googlefinance(#REF!,""beta""),"""")"),"")</f>
        <v/>
      </c>
      <c r="N10" s="14" t="n"/>
      <c r="O10" s="5" t="n"/>
      <c r="P10" s="5" t="n"/>
      <c r="Q10" s="5" t="n"/>
      <c r="R10" s="5" t="n"/>
      <c r="S10" s="5" t="n"/>
    </row>
    <row r="11" ht="20.25" customHeight="1" s="57">
      <c r="A11" s="15">
        <f>A10+1</f>
        <v/>
      </c>
      <c r="B11" s="8">
        <f>HYPERLINK("https://finance.yahoo.com/quote/"&amp;D11, C11)</f>
        <v/>
      </c>
      <c r="C11" s="7" t="inlineStr">
        <is>
          <t>American Airlines Group Inc</t>
        </is>
      </c>
      <c r="D11" s="19" t="inlineStr">
        <is>
          <t>AAL</t>
        </is>
      </c>
      <c r="E11" s="9">
        <f>IFERROR(__xludf.DUMMYFUNCTION("iferror(googlefinance(D11,""price""),"""")"),13.07)</f>
        <v/>
      </c>
      <c r="F11" s="26">
        <f>IFERROR(__xludf.DUMMYFUNCTION("IFERROR(GOOGLEFINANCE(D11,""price"") / index(GOOGLEFINANCE(D11,""price"", datevalue(today()-365) ) , 2,2) - 1,"""")"),-0.05767844268204747)</f>
        <v/>
      </c>
      <c r="G11" s="11">
        <f>IFERROR(__xludf.DUMMYFUNCTION("iferror(googlefinance(D11,""marketcap""),"""")/10^6"),8630.179613)</f>
        <v/>
      </c>
      <c r="H11" s="25">
        <f>IFERROR(__xludf.DUMMYFUNCTION("importrange(""https://docs.google.com/spreadsheets/d/1Y-0VcPnHxxHb4ZZr1UWvNQuaZIkoxtvWgysgmaSL9Gs/edit#gid=1635501517"",""Financials!B48"")*1000"),14832.179634082588)</f>
        <v/>
      </c>
      <c r="I11" s="26">
        <f>(H11-G11)/G11</f>
        <v/>
      </c>
      <c r="J11" s="26">
        <f>IFERROR(__xludf.DUMMYFUNCTION("importrange(""https://docs.google.com/spreadsheets/d/1Y-0VcPnHxxHb4ZZr1UWvNQuaZIkoxtvWgysgmaSL9Gs/edit#gid=1635501517"",""Financials!Q3"")"),0.011695043441367988)</f>
        <v/>
      </c>
      <c r="K11" s="26">
        <f>IFERROR(__xludf.DUMMYFUNCTION("importrange(""https://docs.google.com/spreadsheets/d/1Y-0VcPnHxxHb4ZZr1UWvNQuaZIkoxtvWgysgmaSL9Gs/edit#gid=1635501517"",""Financials!M16"")"),0.0)</f>
        <v/>
      </c>
      <c r="L11" s="13">
        <f>IFERROR(__xludf.DUMMYFUNCTION("IFERROR(googlefinance(D11,""pe""),"""")"),"")</f>
        <v/>
      </c>
      <c r="M11" s="13">
        <f>IFERROR(__xludf.DUMMYFUNCTION("IFERROR(googlefinance(D11,""beta""),"""")"),"")</f>
        <v/>
      </c>
      <c r="N11" s="14">
        <f>IFERROR(__xludf.DUMMYFUNCTION("IMPORTRANGE(""https://docs.google.com/spreadsheets/d/1zPx-sYL2WZELC72hI-Xc5oMEa-YaHSyQySKfbmi4y7s/edit#gid=303626986"",""Summary!I13"")"),32.23)</f>
        <v/>
      </c>
      <c r="O11" s="5" t="n"/>
      <c r="P11" s="5" t="n"/>
      <c r="Q11" s="5" t="n"/>
      <c r="R11" s="5" t="n"/>
      <c r="S11" s="5" t="n"/>
    </row>
    <row r="12" ht="20.25" customHeight="1" s="57">
      <c r="A12" s="15">
        <f>A11+1</f>
        <v/>
      </c>
      <c r="B12" s="8">
        <f>HYPERLINK("https://finance.yahoo.com/quote/"&amp;D12, C12)</f>
        <v/>
      </c>
      <c r="C12" s="18" t="inlineStr">
        <is>
          <t>Synchrony</t>
        </is>
      </c>
      <c r="D12" s="19" t="inlineStr">
        <is>
          <t>SYF</t>
        </is>
      </c>
      <c r="E12" s="9">
        <f>IFERROR(__xludf.DUMMYFUNCTION("iferror(googlefinance(D12,""price""),"""")"),69.11)</f>
        <v/>
      </c>
      <c r="F12" s="26">
        <f>IFERROR(__xludf.DUMMYFUNCTION("IFERROR(GOOGLEFINANCE(D12,""price"") / index(GOOGLEFINANCE(D12,""price"", datevalue(today()-365) ) , 2,2) - 1,"""")"),0.1911409858669424)</f>
        <v/>
      </c>
      <c r="G12" s="11">
        <f>IFERROR(__xludf.DUMMYFUNCTION("iferror(googlefinance(D12,""marketcap""),"""")/10^6"),24022.373594)</f>
        <v/>
      </c>
      <c r="H12" s="25">
        <f>IFERROR(__xludf.DUMMYFUNCTION("IMPORTRANGE(""https://docs.google.com/spreadsheets/d/1iemsJA0zDOHQP6QC15q0vMx_VbJPUq1by9erqpBNeOY/edit#gid=1736956277"",""SYF!C28"")"),47018.17007173002)</f>
        <v/>
      </c>
      <c r="I12" s="26">
        <f>(H12-G12)/G12</f>
        <v/>
      </c>
      <c r="J12" s="26">
        <f>IFERROR(__xludf.DUMMYFUNCTION("IMPORTRANGE(""https://docs.google.com/spreadsheets/d/1iemsJA0zDOHQP6QC15q0vMx_VbJPUq1by9erqpBNeOY/edit#gid=1736956277"",""SYF!M2"")"),20759.0)</f>
        <v/>
      </c>
      <c r="K12" s="26">
        <f>IFERROR(__xludf.DUMMYFUNCTION("IMPORTRANGE(""https://docs.google.com/spreadsheets/d/1iemsJA0zDOHQP6QC15q0vMx_VbJPUq1by9erqpBNeOY/edit#gid=1736956277"",""SYF!I17"")"),0.11184415261094169)</f>
        <v/>
      </c>
      <c r="L12" s="13">
        <f>IFERROR(__xludf.DUMMYFUNCTION("IFERROR(googlefinance(D12,""pe""),"""")"),"")</f>
        <v/>
      </c>
      <c r="M12" s="13">
        <f>IFERROR(__xludf.DUMMYFUNCTION("IFERROR(googlefinance(D12,""beta""),"""")"),"")</f>
        <v/>
      </c>
      <c r="N12" s="14" t="n"/>
      <c r="O12" s="5" t="n"/>
      <c r="P12" s="5" t="n"/>
      <c r="Q12" s="5" t="n"/>
      <c r="R12" s="5" t="n"/>
      <c r="S12" s="5" t="n"/>
    </row>
    <row r="13" ht="20.25" customHeight="1" s="57">
      <c r="A13" s="7">
        <f>A12+1</f>
        <v/>
      </c>
      <c r="B13" s="8">
        <f>HYPERLINK("https://finance.yahoo.com/quote/"&amp;D13, C13)</f>
        <v/>
      </c>
      <c r="C13" s="7" t="inlineStr">
        <is>
          <t>JPMorgan Chase &amp; Co.</t>
        </is>
      </c>
      <c r="D13" s="19" t="inlineStr">
        <is>
          <t>JPM</t>
        </is>
      </c>
      <c r="E13" s="9">
        <f>IFERROR(__xludf.DUMMYFUNCTION("iferror(googlefinance(D13,""price""),"""")"),300.3)</f>
        <v/>
      </c>
      <c r="F13" s="26">
        <f>IFERROR(__xludf.DUMMYFUNCTION("IFERROR(GOOGLEFINANCE(D13,""price"") / index(GOOGLEFINANCE(D13,""price"", datevalue(today()-365) ) , 2,2) - 1,"""")"),0.1522523213874607)</f>
        <v/>
      </c>
      <c r="G13" s="11">
        <f>IFERROR(__xludf.DUMMYFUNCTION("iferror(googlefinance(D13,""marketcap""),"""")/10^6"),809918.676677)</f>
        <v/>
      </c>
      <c r="H13" s="25">
        <f>IFERROR(__xludf.DUMMYFUNCTION("IMPORTRANGE(""https://docs.google.com/spreadsheets/d/18ffdmQve-35mEbb2ekY2flpF2A2bw2ki4JoC3jzdg1I/edit#gid=650781654"",""JPM!B1"")*1000"),426806.63205865654)</f>
        <v/>
      </c>
      <c r="I13" s="26">
        <f>(H13-G13)/G13</f>
        <v/>
      </c>
      <c r="J13" s="26">
        <f>IFERROR(__xludf.DUMMYFUNCTION("IMPORTRANGE(""https://docs.google.com/spreadsheets/d/18ffdmQve-35mEbb2ekY2flpF2A2bw2ki4JoC3jzdg1I/edit#gid=650781654"",""JPM!I53"")"),0.026576837589836283)</f>
        <v/>
      </c>
      <c r="K13" s="26">
        <f>IFERROR(__xludf.DUMMYFUNCTION("IMPORTRANGE(""https://docs.google.com/spreadsheets/d/18ffdmQve-35mEbb2ekY2flpF2A2bw2ki4JoC3jzdg1I/edit#gid=650781654"",""JPM!H65"")"),0.26253580454928394)</f>
        <v/>
      </c>
      <c r="L13" s="13">
        <f>IFERROR(__xludf.DUMMYFUNCTION("G13/IMPORTRANGE(""https://docs.google.com/spreadsheets/d/18ffdmQve-35mEbb2ekY2flpF2A2bw2ki4JoC3jzdg1I/edit#gid=650781654"",""JPM!H55"")"),33.34233570775184)</f>
        <v/>
      </c>
      <c r="M13" s="13">
        <f>IFERROR(__xludf.DUMMYFUNCTION("IFERROR(googlefinance(D13,""beta""),"""")"),"")</f>
        <v/>
      </c>
      <c r="N13" s="14" t="n"/>
      <c r="O13" s="5" t="n"/>
      <c r="P13" s="5" t="n"/>
      <c r="Q13" s="5" t="n"/>
      <c r="R13" s="5" t="n"/>
      <c r="S13" s="5" t="n"/>
    </row>
    <row r="14" ht="20.25" customHeight="1" s="57">
      <c r="A14" s="7">
        <f>A13+1</f>
        <v/>
      </c>
      <c r="B14" s="8">
        <f>HYPERLINK("https://finance.yahoo.com/quote/"&amp;D14, C14)</f>
        <v/>
      </c>
      <c r="C14" s="16" t="inlineStr">
        <is>
          <t>United Airlines Holdings Inc</t>
        </is>
      </c>
      <c r="D14" s="7" t="inlineStr">
        <is>
          <t>UAL</t>
        </is>
      </c>
      <c r="E14" s="9">
        <f>IFERROR(__xludf.DUMMYFUNCTION("iferror(googlefinance(D14,""price""),"""")"),106.3)</f>
        <v/>
      </c>
      <c r="F14" s="26">
        <f>IFERROR(__xludf.DUMMYFUNCTION("IFERROR(GOOGLEFINANCE(D14,""price"") / index(GOOGLEFINANCE(D14,""price"", datevalue(today()-365) ) , 2,2) - 1,"""")"),0.1595941965746699)</f>
        <v/>
      </c>
      <c r="G14" s="11">
        <f>IFERROR(__xludf.DUMMYFUNCTION("iferror(googlefinance(D14,""marketcap""),"""")/10^6"),34380.641877)</f>
        <v/>
      </c>
      <c r="H14" s="25">
        <f>IFERROR(__xludf.DUMMYFUNCTION("importrange(""https://docs.google.com/spreadsheets/d/1E88W75oZAuEU3j_FKIjWcy8x6xr33WZ1jtcDeEarqCM/edit#gid=1816187640"",""Summary!B27"")"),21653.53697730998)</f>
        <v/>
      </c>
      <c r="I14" s="26">
        <f>(H14-G14)/G14</f>
        <v/>
      </c>
      <c r="J14" s="26">
        <f>IFERROR(__xludf.DUMMYFUNCTION("importrange(""https://docs.google.com/spreadsheets/d/1E88W75oZAuEU3j_FKIjWcy8x6xr33WZ1jtcDeEarqCM/edit#gid=1816187640"",""Summary!F2"")"),-0.3525665859564165)</f>
        <v/>
      </c>
      <c r="K14" s="26">
        <f>IFERROR(__xludf.DUMMYFUNCTION("importrange(""https://docs.google.com/spreadsheets/d/1E88W75oZAuEU3j_FKIjWcy8x6xr33WZ1jtcDeEarqCM/edit#gid=1816187640"",""Summary!D14"")"),0.09942439723525741)</f>
        <v/>
      </c>
      <c r="L14" s="13">
        <f>IFERROR(__xludf.DUMMYFUNCTION("IFERROR(googlefinance(D14,""pe""),"""")"),"")</f>
        <v/>
      </c>
      <c r="M14" s="13">
        <f>IFERROR(__xludf.DUMMYFUNCTION("IFERROR(googlefinance(D14,""beta""),"""")"),"")</f>
        <v/>
      </c>
      <c r="N14" s="14" t="n"/>
      <c r="O14" s="5" t="n"/>
      <c r="P14" s="5" t="n"/>
      <c r="Q14" s="5" t="n"/>
      <c r="R14" s="5" t="n"/>
      <c r="S14" s="5" t="n"/>
    </row>
    <row r="15" ht="20.25" customHeight="1" s="57">
      <c r="A15" s="15">
        <f>A14+1</f>
        <v/>
      </c>
      <c r="B15" s="8">
        <f>HYPERLINK("https://finance.yahoo.com/quote/"&amp;D15, C15)</f>
        <v/>
      </c>
      <c r="C15" s="20" t="inlineStr">
        <is>
          <t>U.S. Bancorp</t>
        </is>
      </c>
      <c r="D15" s="19" t="inlineStr">
        <is>
          <t>USB</t>
        </is>
      </c>
      <c r="E15" s="9">
        <f>IFERROR(__xludf.DUMMYFUNCTION("iferror(googlefinance(D15,""price""),"""")"),54.66)</f>
        <v/>
      </c>
      <c r="F15" s="26">
        <f>IFERROR(__xludf.DUMMYFUNCTION("IFERROR(GOOGLEFINANCE(D15,""price"") / index(GOOGLEFINANCE(D15,""price"", datevalue(today()-365) ) , 2,2) - 1,"""")"),0.1820934256055362)</f>
        <v/>
      </c>
      <c r="G15" s="11">
        <f>IFERROR(__xludf.DUMMYFUNCTION("iferror(googlefinance(D15,""marketcap""),"""")/10^6"),84924.968462)</f>
        <v/>
      </c>
      <c r="H15" s="25">
        <f>IFERROR(__xludf.DUMMYFUNCTION("IMPORTRANGE(""https://docs.google.com/spreadsheets/d/1BkE_9jEXhHz4aashYd9x7c-jGM6MGTH38F1LR9rqUwQ/edit#gid=467477759"",""Summary!C29"")"),120236.19642455017)</f>
        <v/>
      </c>
      <c r="I15" s="26">
        <f>(H15-G15)/G15</f>
        <v/>
      </c>
      <c r="J15" s="26">
        <f>IFERROR(__xludf.DUMMYFUNCTION("IMPORTRANGE(""https://docs.google.com/spreadsheets/d/1BkE_9jEXhHz4aashYd9x7c-jGM6MGTH38F1LR9rqUwQ/edit#gid=467477759"",""Summary!M2"")"),0.22566043947000247)</f>
        <v/>
      </c>
      <c r="K15" s="26">
        <f>IFERROR(__xludf.DUMMYFUNCTION("IMPORTRANGE(""https://docs.google.com/spreadsheets/d/1BkE_9jEXhHz4aashYd9x7c-jGM6MGTH38F1LR9rqUwQ/edit#gid=467477759"",""Summary!I19"")"),0.21260450160771704)</f>
        <v/>
      </c>
      <c r="L15" s="13">
        <f>IFERROR(__xludf.DUMMYFUNCTION("IFERROR(googlefinance(D15,""pe""),"""")"),"")</f>
        <v/>
      </c>
      <c r="M15" s="13">
        <f>IFERROR(__xludf.DUMMYFUNCTION("IFERROR(googlefinance(D15,""beta""),"""")"),"")</f>
        <v/>
      </c>
      <c r="N15" s="14">
        <f>IFERROR(__xludf.DUMMYFUNCTION("IMPORTRANGE(""https://docs.google.com/spreadsheets/d/18ffdmQve-35mEbb2ekY2flpF2A2bw2ki4JoC3jzdg1I/edit#gid=650781654"",""JPM!H72"")"),61.76)</f>
        <v/>
      </c>
      <c r="O15" s="5" t="n"/>
      <c r="P15" s="5" t="n"/>
      <c r="Q15" s="5" t="n"/>
      <c r="R15" s="5" t="n"/>
      <c r="S15" s="5" t="n"/>
    </row>
    <row r="16" ht="20.25" customHeight="1" s="57">
      <c r="A16" s="21">
        <f>A15+1</f>
        <v/>
      </c>
      <c r="B16" s="8">
        <f>HYPERLINK("https://finance.yahoo.com/quote/"&amp;D16, C16)</f>
        <v/>
      </c>
      <c r="C16" s="7" t="inlineStr">
        <is>
          <t>Bank of America Corp</t>
        </is>
      </c>
      <c r="D16" s="19" t="inlineStr">
        <is>
          <t>BAC</t>
        </is>
      </c>
      <c r="E16" s="9">
        <f>IFERROR(__xludf.DUMMYFUNCTION("iferror(googlefinance(D16,""price""),"""")"),49.83)</f>
        <v/>
      </c>
      <c r="F16" s="26">
        <f>IFERROR(__xludf.DUMMYFUNCTION("IFERROR(GOOGLEFINANCE(D16,""price"") / index(GOOGLEFINANCE(D16,""price"", datevalue(today()-365) ) , 2,2) - 1,"""")"),0.09372256365232645)</f>
        <v/>
      </c>
      <c r="G16" s="11">
        <f>IFERROR(__xludf.DUMMYFUNCTION("iferror(googlefinance(D16,""marketcap""),"""")/10^6"),357614.0772)</f>
        <v/>
      </c>
      <c r="H16" s="25">
        <f>IFERROR(__xludf.DUMMYFUNCTION("IMPORTRANGE(""https://docs.google.com/spreadsheets/d/1ajry6MlMHVl1AsbljgX5BXpRLc8MVU1N9Z23HIyADoU/edit#gid=1672282254"",""Summary!B73"")"),258602.06906614537)</f>
        <v/>
      </c>
      <c r="I16" s="26">
        <f>(H16-G16)/G16</f>
        <v/>
      </c>
      <c r="J16" s="26">
        <f>IFERROR(__xludf.DUMMYFUNCTION("IMPORTRANGE(""https://docs.google.com/spreadsheets/d/1ajry6MlMHVl1AsbljgX5BXpRLc8MVU1N9Z23HIyADoU/edit#gid=1672282254"",""Summary!K48"")"),-0.018896456328320068)</f>
        <v/>
      </c>
      <c r="K16" s="26">
        <f>IFERROR(__xludf.DUMMYFUNCTION("IMPORTRANGE(""https://docs.google.com/spreadsheets/d/1ajry6MlMHVl1AsbljgX5BXpRLc8MVU1N9Z23HIyADoU/edit#gid=1672282254"",""Summary!I64"")"),0.21958338706085082)</f>
        <v/>
      </c>
      <c r="L16" s="13">
        <f>IFERROR(__xludf.DUMMYFUNCTION("IFERROR(googlefinance(D16,""pe""),"""")"),"")</f>
        <v/>
      </c>
      <c r="M16" s="13">
        <f>IFERROR(__xludf.DUMMYFUNCTION("IFERROR(googlefinance(D16,""beta""),"""")"),"")</f>
        <v/>
      </c>
      <c r="N16" s="14">
        <f>IFERROR(__xludf.DUMMYFUNCTION("IMPORTRANGE(""https://docs.google.com/spreadsheets/d/1BkE_9jEXhHz4aashYd9x7c-jGM6MGTH38F1LR9rqUwQ/edit#gid=467477759"",""Summary!I21"")"),30.24)</f>
        <v/>
      </c>
      <c r="O16" s="5" t="n"/>
      <c r="P16" s="5" t="n"/>
      <c r="Q16" s="5" t="n"/>
      <c r="R16" s="5" t="n"/>
      <c r="S16" s="5" t="n"/>
    </row>
    <row r="17" ht="20.25" customHeight="1" s="57">
      <c r="A17" s="7">
        <f>A16+1</f>
        <v/>
      </c>
      <c r="B17" s="8">
        <f>HYPERLINK("https://finance.yahoo.com/quote/"&amp;D17, C17)</f>
        <v/>
      </c>
      <c r="C17" s="22" t="inlineStr">
        <is>
          <t>Delta Air Lines, Inc.</t>
        </is>
      </c>
      <c r="D17" s="23" t="inlineStr">
        <is>
          <t>DAL</t>
        </is>
      </c>
      <c r="E17" s="9">
        <f>IFERROR(__xludf.DUMMYFUNCTION("iferror(googlefinance(D17,""price""),"""")"),65.7)</f>
        <v/>
      </c>
      <c r="F17" s="26">
        <f>IFERROR(__xludf.DUMMYFUNCTION("IFERROR(GOOGLEFINANCE(D17,""price"") / index(GOOGLEFINANCE(D17,""price"", datevalue(today()-365) ) , 2,2) - 1,"""")"),0.12403763900769893)</f>
        <v/>
      </c>
      <c r="G17" s="11">
        <f>IFERROR(__xludf.DUMMYFUNCTION("iferror(googlefinance(D17,""marketcap""),"""")/10^6"),42910.684996)</f>
        <v/>
      </c>
      <c r="H17" s="25">
        <f>IFERROR(__xludf.DUMMYFUNCTION("IMPORTRANGE(""https://docs.google.com/spreadsheets/d/1Z6RobysQCGMiI-pRQ6lMweET1m6J6B9TgwscNtCNb1g/edit#gid=428240719"",""Financials!B46"")*1000"),3385.9020688478267)</f>
        <v/>
      </c>
      <c r="I17" s="26">
        <f>(H17-G17)/G17</f>
        <v/>
      </c>
      <c r="J17" s="26">
        <f>IFERROR(__xludf.DUMMYFUNCTION("IMPORTRANGE(""https://docs.google.com/spreadsheets/d/1Z6RobysQCGMiI-pRQ6lMweET1m6J6B9TgwscNtCNb1g/edit#gid=428240719"",""Financials!I3"")"),-0.6363307592486226)</f>
        <v/>
      </c>
      <c r="K17" s="26">
        <f>IFERROR(__xludf.DUMMYFUNCTION("IMPORTRANGE(""https://docs.google.com/spreadsheets/d/1Z6RobysQCGMiI-pRQ6lMweET1m6J6B9TgwscNtCNb1g/edit#gid=428240719"",""Financials!H16"")"),-0.7293945598128108)</f>
        <v/>
      </c>
      <c r="L17" s="13">
        <f>IFERROR(__xludf.DUMMYFUNCTION("IFERROR(googlefinance(D17,""pe""),"""")"),"")</f>
        <v/>
      </c>
      <c r="M17" s="13">
        <f>IFERROR(__xludf.DUMMYFUNCTION("IFERROR(googlefinance(D17,""beta""),"""")"),"")</f>
        <v/>
      </c>
      <c r="N17" s="14">
        <f>IFERROR(__xludf.DUMMYFUNCTION("IMPORTRANGE(""https://docs.google.com/spreadsheets/d/1ajry6MlMHVl1AsbljgX5BXpRLc8MVU1N9Z23HIyADoU/edit#gid=1672282254"",""Summary!I59"")"),19.9)</f>
        <v/>
      </c>
      <c r="O17" s="5" t="n"/>
      <c r="P17" s="5" t="n"/>
      <c r="Q17" s="5" t="n"/>
      <c r="R17" s="5" t="n"/>
      <c r="S17" s="5" t="n"/>
    </row>
    <row r="18" ht="20.25" customHeight="1" s="57">
      <c r="A18" s="24">
        <f>A17+1</f>
        <v/>
      </c>
      <c r="B18" s="8">
        <f>HYPERLINK("https://finance.yahoo.com/quote/"&amp;D18, C18)</f>
        <v/>
      </c>
      <c r="C18" s="7" t="inlineStr">
        <is>
          <t>Kraft Heinz Co</t>
        </is>
      </c>
      <c r="D18" s="7" t="inlineStr">
        <is>
          <t>KHC</t>
        </is>
      </c>
      <c r="E18" s="9">
        <f>IFERROR(__xludf.DUMMYFUNCTION("iferror(googlefinance(D18,""price""),"""")"),24.61)</f>
        <v/>
      </c>
      <c r="F18" s="26">
        <f>IFERROR(__xludf.DUMMYFUNCTION("IFERROR(GOOGLEFINANCE(D18,""price"") / index(GOOGLEFINANCE(D18,""price"", datevalue(today()-365) ) , 2,2) - 1,"""")"),-0.21424010217113665)</f>
        <v/>
      </c>
      <c r="G18" s="11">
        <f>IFERROR(__xludf.DUMMYFUNCTION("iferror(googlefinance(D18,""marketcap""),"""")/10^6"),29131.940562)</f>
        <v/>
      </c>
      <c r="H18" s="25">
        <f>IFERROR(__xludf.DUMMYFUNCTION("IMPORTRANGE(""https://docs.google.com/spreadsheets/d/1QoccdSVrkp1XvlXW4dlFxIR8583ws9aFmqE3W8dNEWw/edit#gid=254823806"",""Summary!B25"")"),38077.387446966786)</f>
        <v/>
      </c>
      <c r="I18" s="26">
        <f>(H18-G18)/G18</f>
        <v/>
      </c>
      <c r="J18" s="26">
        <f>IFERROR(__xludf.DUMMYFUNCTION("IMPORTRANGE(""https://docs.google.com/spreadsheets/d/1QoccdSVrkp1XvlXW4dlFxIR8583ws9aFmqE3W8dNEWw/edit#gid=254823806"",""Summary!H2"")"),0.03620393354974222)</f>
        <v/>
      </c>
      <c r="K18" s="26">
        <f>IFERROR(__xludf.DUMMYFUNCTION("IMPORTRANGE(""https://docs.google.com/spreadsheets/d/1QoccdSVrkp1XvlXW4dlFxIR8583ws9aFmqE3W8dNEWw/edit#gid=254823806"",""Summary!F18"")"),0.08126790147030742)</f>
        <v/>
      </c>
      <c r="L18" s="13">
        <f>IFERROR(__xludf.DUMMYFUNCTION("IFERROR(googlefinance(D18,""pe""),"""")"),"")</f>
        <v/>
      </c>
      <c r="M18" s="13">
        <f>IFERROR(__xludf.DUMMYFUNCTION("IFERROR(googlefinance(D18,""beta""),"""")"),"")</f>
        <v/>
      </c>
      <c r="N18" s="14" t="n"/>
      <c r="O18" s="5" t="n"/>
      <c r="P18" s="5" t="n"/>
      <c r="Q18" s="5" t="n"/>
      <c r="R18" s="5" t="n"/>
      <c r="S18" s="5" t="n"/>
    </row>
    <row r="19" ht="20.25" customHeight="1" s="57">
      <c r="A19" s="7">
        <f>A18+1</f>
        <v/>
      </c>
      <c r="B19" s="8">
        <f>HYPERLINK("https://finance.yahoo.com/quote/"&amp;D19, C19)</f>
        <v/>
      </c>
      <c r="C19" s="16" t="inlineStr">
        <is>
          <t>VANGUARD IX FUN/S&amp;P 500 ETF SHS NEW</t>
        </is>
      </c>
      <c r="D19" s="7" t="inlineStr">
        <is>
          <t>VOO</t>
        </is>
      </c>
      <c r="E19" s="9">
        <f>IFERROR(__xludf.DUMMYFUNCTION("iferror(googlefinance(D19,""price""),"""")"),631.04)</f>
        <v/>
      </c>
      <c r="F19" s="26">
        <f>IFERROR(__xludf.DUMMYFUNCTION("IFERROR(GOOGLEFINANCE(D19,""price"") / index(GOOGLEFINANCE(D19,""price"", datevalue(today()-365) ) , 2,2) - 1,"""")"),0.17529613350219764)</f>
        <v/>
      </c>
      <c r="G19" s="11">
        <f>IFERROR(__xludf.DUMMYFUNCTION("iferror(googlefinance(D19,""marketcap""),"""")/10^6"),0.0)</f>
        <v/>
      </c>
      <c r="H19" s="25" t="n"/>
      <c r="I19" s="26" t="n">
        <v>0</v>
      </c>
      <c r="J19" s="26" t="n"/>
      <c r="K19" s="26" t="n"/>
      <c r="L19" s="13">
        <f>IFERROR(__xludf.DUMMYFUNCTION("IFERROR(googlefinance(D19,""pe""),"""")"),"")</f>
        <v/>
      </c>
      <c r="M19" s="13">
        <f>IFERROR(__xludf.DUMMYFUNCTION("IFERROR(googlefinance(D19,""beta""),"""")"),"")</f>
        <v/>
      </c>
      <c r="N19" s="14" t="n"/>
      <c r="O19" s="5" t="n"/>
      <c r="P19" s="5" t="n"/>
      <c r="Q19" s="5" t="n"/>
      <c r="R19" s="5" t="n"/>
      <c r="S19" s="5" t="n"/>
    </row>
    <row r="20" ht="20.25" customHeight="1" s="57">
      <c r="A20" s="21">
        <f>A19+1</f>
        <v/>
      </c>
      <c r="B20" s="8">
        <f>HYPERLINK("https://finance.yahoo.com/quote/"&amp;D20, C20)</f>
        <v/>
      </c>
      <c r="C20" s="7" t="inlineStr">
        <is>
          <t>Wells Fargo &amp; Co</t>
        </is>
      </c>
      <c r="D20" s="7" t="inlineStr">
        <is>
          <t>WFC</t>
        </is>
      </c>
      <c r="E20" s="9">
        <f>IFERROR(__xludf.DUMMYFUNCTION("iferror(googlefinance(D20,""price""),"""")"),81.45)</f>
        <v/>
      </c>
      <c r="F20" s="26">
        <f>IFERROR(__xludf.DUMMYFUNCTION("IFERROR(GOOGLEFINANCE(D20,""price"") / index(GOOGLEFINANCE(D20,""price"", datevalue(today()-365) ) , 2,2) - 1,"""")"),0.05738024146436449)</f>
        <v/>
      </c>
      <c r="G20" s="11">
        <f>IFERROR(__xludf.DUMMYFUNCTION("iferror(googlefinance(D20,""marketcap""),"""")/10^6"),251324.879883)</f>
        <v/>
      </c>
      <c r="H20" s="25">
        <f>IFERROR(__xludf.DUMMYFUNCTION("IMPORTRANGE(""https://docs.google.com/spreadsheets/d/1zPx-sYL2WZELC72hI-Xc5oMEa-YaHSyQySKfbmi4y7s/edit#gid=303626986"",""Summary!C31"")"),263669.2184350595)</f>
        <v/>
      </c>
      <c r="I20" s="26">
        <f>(H20-G20)/G20</f>
        <v/>
      </c>
      <c r="J20" s="26">
        <f>IFERROR(__xludf.DUMMYFUNCTION("IMPORTRANGE(""https://docs.google.com/spreadsheets/d/1zPx-sYL2WZELC72hI-Xc5oMEa-YaHSyQySKfbmi4y7s/edit#gid=303626986"",""Summary!K2"")"),0.051092065247442635)</f>
        <v/>
      </c>
      <c r="K20" s="26">
        <f>IFERROR(__xludf.DUMMYFUNCTION("IMPORTRANGE(""https://docs.google.com/spreadsheets/d/1zPx-sYL2WZELC72hI-Xc5oMEa-YaHSyQySKfbmi4y7s/edit#gid=303626986"",""Summary!I18"")"),0.008031517832457837)</f>
        <v/>
      </c>
      <c r="L20" s="13">
        <f>IFERROR(__xludf.DUMMYFUNCTION("IFERROR(googlefinance(D20,""pe""),"""")"),"")</f>
        <v/>
      </c>
      <c r="M20" s="13">
        <f>IFERROR(__xludf.DUMMYFUNCTION("IFERROR(googlefinance(D20,""beta""),"""")"),"")</f>
        <v/>
      </c>
      <c r="N20" s="14" t="n"/>
      <c r="O20" s="5" t="n"/>
      <c r="P20" s="5" t="n"/>
      <c r="Q20" s="5" t="n"/>
      <c r="R20" s="5" t="n"/>
      <c r="S20" s="5" t="n"/>
    </row>
    <row r="21" ht="20.25" customHeight="1" s="57">
      <c r="A21" s="21">
        <f>A20+1</f>
        <v/>
      </c>
      <c r="B21" s="8">
        <f>HYPERLINK("https://finance.yahoo.com/quote/"&amp;D21, C21)</f>
        <v/>
      </c>
      <c r="C21" s="7" t="inlineStr">
        <is>
          <t>Berkshire Hathaway Inc. Class B</t>
        </is>
      </c>
      <c r="D21" s="7" t="inlineStr">
        <is>
          <t>BRK.B</t>
        </is>
      </c>
      <c r="E21" s="9">
        <f>IFERROR(__xludf.DUMMYFUNCTION("iferror(googlefinance(D21,""price""),"""")"),504.95)</f>
        <v/>
      </c>
      <c r="F21" s="26">
        <f>IFERROR(__xludf.DUMMYFUNCTION("IFERROR(GOOGLEFINANCE(D21,""price"") / index(GOOGLEFINANCE(D21,""price"", datevalue(today()-365) ) , 2,2) - 1,"""")"),-0.010057245922208247)</f>
        <v/>
      </c>
      <c r="G21" s="11">
        <f>IFERROR(__xludf.DUMMYFUNCTION("iferror(googlefinance(D21,""marketcap""),"""")/10^6"),1089429.737)</f>
        <v/>
      </c>
      <c r="H21" s="25">
        <f>IFERROR(__xludf.DUMMYFUNCTION("IMPORTRANGE(""https://docs.google.com/spreadsheets/d/1tZBWcuxGf2na1a_8BX668tEyP4ZXHcAPPbDukT46GvY/edit#gid=105525789"",""Summary!B41"")"),808581.7345405907)</f>
        <v/>
      </c>
      <c r="I21" s="26">
        <f>(H21-G21)/G21</f>
        <v/>
      </c>
      <c r="J21" s="26">
        <f>IFERROR(__xludf.DUMMYFUNCTION("IMPORTRANGE(""https://docs.google.com/spreadsheets/d/1tZBWcuxGf2na1a_8BX668tEyP4ZXHcAPPbDukT46GvY/edit#gid=105525789"",""Summary!L2"")"),365632.0)</f>
        <v/>
      </c>
      <c r="K21" s="26">
        <f>IFERROR(__xludf.DUMMYFUNCTION("IMPORTRANGE(""https://docs.google.com/spreadsheets/d/1tZBWcuxGf2na1a_8BX668tEyP4ZXHcAPPbDukT46GvY/edit#gid=105525789"",""Summary!H29"")"),0.08920206916215226)</f>
        <v/>
      </c>
      <c r="L21" s="13">
        <f>IFERROR(__xludf.DUMMYFUNCTION("IFERROR(googlefinance(D21,""pe""),"""")"),"")</f>
        <v/>
      </c>
      <c r="M21" s="13">
        <f>IFERROR(__xludf.DUMMYFUNCTION("IFERROR(googlefinance(D21,""beta""),"""")"),"")</f>
        <v/>
      </c>
      <c r="N21" s="14" t="n"/>
      <c r="O21" s="5" t="n"/>
      <c r="P21" s="5" t="n"/>
      <c r="Q21" s="5" t="n"/>
      <c r="R21" s="5" t="n"/>
      <c r="S21" s="5" t="n"/>
    </row>
    <row r="22" ht="20.25" customHeight="1" s="57">
      <c r="A22" s="7">
        <f>A21+1</f>
        <v/>
      </c>
      <c r="B22" s="8">
        <f>HYPERLINK("https://finance.yahoo.com/quote/"&amp;D22, C22)</f>
        <v/>
      </c>
      <c r="C22" s="7" t="inlineStr">
        <is>
          <t>Apple Inc.</t>
        </is>
      </c>
      <c r="D22" s="7" t="inlineStr">
        <is>
          <t>AAPL</t>
        </is>
      </c>
      <c r="E22" s="9">
        <f>IFERROR(__xludf.DUMMYFUNCTION("iferror(googlefinance(D22,""price""),"""")"),264.18)</f>
        <v/>
      </c>
      <c r="F22" s="26">
        <f>IFERROR(__xludf.DUMMYFUNCTION("IFERROR(GOOGLEFINANCE(D22,""price"") / index(GOOGLEFINANCE(D22,""price"", datevalue(today()-365) ) , 2,2) - 1,"""")"),0.10986010166785709)</f>
        <v/>
      </c>
      <c r="G22" s="11">
        <f>IFERROR(__xludf.DUMMYFUNCTION("iferror(googlefinance(D22,""marketcap""),"""")/10^6"),3884159.178314)</f>
        <v/>
      </c>
      <c r="H22" s="25">
        <f>IFERROR(__xludf.DUMMYFUNCTION("IMPORTRANGE(""https://docs.google.com/spreadsheets/d/1NuuuuRncvZrOMOsu3B716qUsqv19xrPgc9ljJgJ3oUU/edit#gid=1975317421"",""Summary!B34"")"),1020704.7132377303)</f>
        <v/>
      </c>
      <c r="I22" s="26">
        <f>(H22-G22)/G22</f>
        <v/>
      </c>
      <c r="J22" s="26">
        <f>IFERROR(__xludf.DUMMYFUNCTION("IMPORTRANGE(""https://docs.google.com/spreadsheets/d/1NuuuuRncvZrOMOsu3B716qUsqv19xrPgc9ljJgJ3oUU/edit#gid=1975317421"",""Summary!F2"")"),0.05259172707495753)</f>
        <v/>
      </c>
      <c r="K22" s="26">
        <f>IFERROR(__xludf.DUMMYFUNCTION("IMPORTRANGE(""https://docs.google.com/spreadsheets/d/1NuuuuRncvZrOMOsu3B716qUsqv19xrPgc9ljJgJ3oUU/edit#gid=1975317421"",""Summary!E20"")"),0.24946231062196694)</f>
        <v/>
      </c>
      <c r="L22" s="13">
        <f>IFERROR(__xludf.DUMMYFUNCTION("IFERROR(googlefinance(D22,""pe""),"""")"),"")</f>
        <v/>
      </c>
      <c r="M22" s="13">
        <f>IFERROR(__xludf.DUMMYFUNCTION("IFERROR(googlefinance(D22,""beta""),"""")"),"")</f>
        <v/>
      </c>
      <c r="N22" s="14" t="n"/>
      <c r="O22" s="5" t="n"/>
      <c r="P22" s="5" t="n"/>
      <c r="Q22" s="5" t="n"/>
      <c r="R22" s="5" t="n"/>
      <c r="S22" s="5" t="n"/>
    </row>
    <row r="23" ht="20.25" customHeight="1" s="57">
      <c r="A23" s="15">
        <f>A22+1</f>
        <v/>
      </c>
      <c r="B23" s="8">
        <f>HYPERLINK("https://finance.yahoo.com/quote/"&amp;D23, C23)</f>
        <v/>
      </c>
      <c r="C23" s="27" t="inlineStr">
        <is>
          <t>TotalEnergies SE</t>
        </is>
      </c>
      <c r="D23" s="28" t="inlineStr">
        <is>
          <t>TTE</t>
        </is>
      </c>
      <c r="E23" s="9">
        <f>IFERROR(__xludf.DUMMYFUNCTION("iferror(googlefinance(D23,""price""),"""")"),80.34)</f>
        <v/>
      </c>
      <c r="F23" s="26">
        <f>IFERROR(__xludf.DUMMYFUNCTION("IFERROR(GOOGLEFINANCE(D23,""price"") / index(GOOGLEFINANCE(D23,""price"", datevalue(today()-365) ) , 2,2) - 1,"""")"),0.33743965373730656)</f>
        <v/>
      </c>
      <c r="G23" s="11">
        <f>IFERROR(__xludf.DUMMYFUNCTION("iferror(googlefinance(D23,""marketcap""),"""")/10^6"),177141.336565)</f>
        <v/>
      </c>
      <c r="H23" s="25">
        <f>IFERROR(__xludf.DUMMYFUNCTION("IMPORTRANGE(""https://docs.google.com/spreadsheets/d/1mU5D8jxgWAnX--xBp56WIFjKkjv6_AK_aK6kbd_IxYE/edit#gid=1186441318"",""Summary!C58"")"),103710.45284987571)</f>
        <v/>
      </c>
      <c r="I23" s="26">
        <f>(H23-G23)/G23</f>
        <v/>
      </c>
      <c r="J23" s="26">
        <f>IFERROR(__xludf.DUMMYFUNCTION("IMPORTRANGE(""https://docs.google.com/spreadsheets/d/1mU5D8jxgWAnX--xBp56WIFjKkjv6_AK_aK6kbd_IxYE/edit#gid=1186441318"",""Summary!I26"")"),184630.0)</f>
        <v/>
      </c>
      <c r="K23" s="26">
        <f>IFERROR(__xludf.DUMMYFUNCTION("IMPORTRANGE(""https://docs.google.com/spreadsheets/d/1mU5D8jxgWAnX--xBp56WIFjKkjv6_AK_aK6kbd_IxYE/edit#gid=1186441318"",""Summary!G48"")"),-0.05147670327327007)</f>
        <v/>
      </c>
      <c r="L23" s="13">
        <f>IFERROR(__xludf.DUMMYFUNCTION("IFERROR(googlefinance(D23,""pe""),"""")"),"")</f>
        <v/>
      </c>
      <c r="M23" s="13">
        <f>IFERROR(__xludf.DUMMYFUNCTION("IFERROR(googlefinance(D23,""beta""),"""")"),"")</f>
        <v/>
      </c>
      <c r="N23" s="14" t="n"/>
      <c r="O23" s="5" t="n"/>
      <c r="P23" s="5" t="n"/>
      <c r="Q23" s="5" t="n"/>
      <c r="R23" s="5" t="n"/>
      <c r="S23" s="5" t="n"/>
    </row>
    <row r="24" ht="20.25" customHeight="1" s="57">
      <c r="A24" s="21">
        <f>A23+1</f>
        <v/>
      </c>
      <c r="B24" s="8">
        <f>HYPERLINK("https://finance.yahoo.com/quote/"&amp;D24, C24)</f>
        <v/>
      </c>
      <c r="C24" s="7" t="inlineStr">
        <is>
          <t>Capital Product Partners L.P.</t>
        </is>
      </c>
      <c r="D24" s="19" t="inlineStr">
        <is>
          <t>CPLP</t>
        </is>
      </c>
      <c r="E24" s="9">
        <f>IFERROR(__xludf.DUMMYFUNCTION("iferror(googlefinance(D24,""price""),"""")"),"")</f>
        <v/>
      </c>
      <c r="F24" s="26">
        <f>IFERROR(__xludf.DUMMYFUNCTION("IFERROR(GOOGLEFINANCE(D24,""price"") / index(GOOGLEFINANCE(D24,""price"", datevalue(today()-365) ) , 2,2) - 1,"""")"),"")</f>
        <v/>
      </c>
      <c r="G24" s="11">
        <f>IFERROR(__xludf.DUMMYFUNCTION("iferror(googlefinance(D24,""marketcap""),"""")/10^6"),0.0)</f>
        <v/>
      </c>
      <c r="H24" s="25">
        <f>IFERROR(__xludf.DUMMYFUNCTION("IMPORTRANGE(""https://docs.google.com/spreadsheets/d/1kl2650HmVB8eKAI4aW3PYUJGx0ZK4DWMgpwRB8Fac_c/edit#gid=87393437"",""Summary!B28"")"),842.8539882866849)</f>
        <v/>
      </c>
      <c r="I24" s="26">
        <f>(H24-G24)/G24</f>
        <v/>
      </c>
      <c r="J24" s="26">
        <f>IFERROR(__xludf.DUMMYFUNCTION("IMPORTRANGE(""https://docs.google.com/spreadsheets/d/1kl2650HmVB8eKAI4aW3PYUJGx0ZK4DWMgpwRB8Fac_c/edit#gid=87393437"",""Summary!J2"")"),342.692)</f>
        <v/>
      </c>
      <c r="K24" s="26">
        <f>IFERROR(__xludf.DUMMYFUNCTION("IMPORTRANGE(""https://docs.google.com/spreadsheets/d/1kl2650HmVB8eKAI4aW3PYUJGx0ZK4DWMgpwRB8Fac_c/edit#gid=87393437"",""Summary!E16"")"),0.21161395662513754)</f>
        <v/>
      </c>
      <c r="L24" s="13">
        <f>IFERROR(__xludf.DUMMYFUNCTION("IFERROR(googlefinance(D24,""pe""),"""")"),"")</f>
        <v/>
      </c>
      <c r="M24" s="13">
        <f>IFERROR(__xludf.DUMMYFUNCTION("IFERROR(googlefinance(D24,""beta""),"""")"),"")</f>
        <v/>
      </c>
      <c r="N24" s="14" t="n"/>
      <c r="O24" s="5" t="n"/>
      <c r="P24" s="5" t="n"/>
      <c r="Q24" s="5" t="n"/>
      <c r="R24" s="5" t="n"/>
      <c r="S24" s="5" t="n"/>
    </row>
    <row r="25" ht="20.25" customHeight="1" s="57">
      <c r="A25" s="15">
        <f>A24+1</f>
        <v/>
      </c>
      <c r="B25" s="8">
        <f>HYPERLINK("https://finance.yahoo.com/quote/"&amp;D25, C25)</f>
        <v/>
      </c>
      <c r="C25" s="7" t="inlineStr">
        <is>
          <t>Occidental Petroleum Corporation</t>
        </is>
      </c>
      <c r="D25" s="19" t="inlineStr">
        <is>
          <t>OXY</t>
        </is>
      </c>
      <c r="E25" s="9">
        <f>IFERROR(__xludf.DUMMYFUNCTION("iferror(googlefinance(D25,""price""),"""")"),53.08)</f>
        <v/>
      </c>
      <c r="F25" s="26">
        <f>IFERROR(__xludf.DUMMYFUNCTION("IFERROR(GOOGLEFINANCE(D25,""price"") / index(GOOGLEFINANCE(D25,""price"", datevalue(today()-365) ) , 2,2) - 1,"""")"),0.142734122712594)</f>
        <v/>
      </c>
      <c r="G25" s="11">
        <f>IFERROR(__xludf.DUMMYFUNCTION("iferror(googlefinance(D25,""marketcap""),"""")/10^6"),52351.038241)</f>
        <v/>
      </c>
      <c r="H25" s="25">
        <f>IFERROR(__xludf.DUMMYFUNCTION("importrange(""https://docs.google.com/spreadsheets/d/11j3ALnRBR3BKHGi2K9B3sAM9ODJYyy8euIH2EYSIsnI/edit#gid=1513331917"",""OXY!B50"")*1000"),56267.21951486968)</f>
        <v/>
      </c>
      <c r="I25" s="26">
        <f>(H25-G25)/G25</f>
        <v/>
      </c>
      <c r="J25" s="26">
        <f>IFERROR(__xludf.DUMMYFUNCTION("importrange(""https://docs.google.com/spreadsheets/d/11j3ALnRBR3BKHGi2K9B3sAM9ODJYyy8euIH2EYSIsnI/edit#gid=1513331917"",""OXY!M2"")"),21593.0)</f>
        <v/>
      </c>
      <c r="K25" s="26">
        <f>IFERROR(__xludf.DUMMYFUNCTION("importrange(""https://docs.google.com/spreadsheets/d/11j3ALnRBR3BKHGi2K9B3sAM9ODJYyy8euIH2EYSIsnI/edit#gid=1513331917"",""OXY!H26"")"),-8.81857487787074E-4)</f>
        <v/>
      </c>
      <c r="L25" s="13">
        <f>IFERROR(__xludf.DUMMYFUNCTION("IFERROR(googlefinance(D25,""pe""),"""")"),"")</f>
        <v/>
      </c>
      <c r="M25" s="13">
        <f>IFERROR(__xludf.DUMMYFUNCTION("IFERROR(googlefinance(D25,""beta""),"""")"),"")</f>
        <v/>
      </c>
      <c r="N25" s="14" t="n"/>
      <c r="O25" s="5" t="n"/>
      <c r="P25" s="5" t="n"/>
      <c r="Q25" s="5" t="n"/>
      <c r="R25" s="5" t="n"/>
      <c r="S25" s="5" t="n"/>
    </row>
    <row r="26" ht="20.25" customHeight="1" s="57">
      <c r="A26" s="7">
        <f>A25+1</f>
        <v/>
      </c>
      <c r="B26" s="8">
        <f>HYPERLINK("https://finance.yahoo.com/quote/"&amp;D26, C26)</f>
        <v/>
      </c>
      <c r="C26" s="16" t="inlineStr">
        <is>
          <t>Suncor Energy Inc.</t>
        </is>
      </c>
      <c r="D26" s="7" t="inlineStr">
        <is>
          <t>SU</t>
        </is>
      </c>
      <c r="E26" s="9">
        <f>IFERROR(__xludf.DUMMYFUNCTION("iferror(googlefinance(D26,""price""),"""")"),56.52)</f>
        <v/>
      </c>
      <c r="F26" s="26">
        <f>IFERROR(__xludf.DUMMYFUNCTION("IFERROR(GOOGLEFINANCE(D26,""price"") / index(GOOGLEFINANCE(D26,""price"", datevalue(today()-365) ) , 2,2) - 1,"""")"),0.5617573915446257)</f>
        <v/>
      </c>
      <c r="G26" s="11">
        <f>IFERROR(__xludf.DUMMYFUNCTION("iferror(googlefinance(D26,""marketcap""),"""")/10^6"),67272.591424)</f>
        <v/>
      </c>
      <c r="H26" s="25">
        <f>IFERROR(__xludf.DUMMYFUNCTION("importrange(""https://docs.google.com/spreadsheets/d/10OMzBR1Fr-0UWX4RkucmriJ6cc8Zs05zUfFXAYGqaYg/edit#gid=1507715394"",""Financials!B42"")*1000"),19070.55531486549)</f>
        <v/>
      </c>
      <c r="I26" s="26">
        <f>(H26-G26)/G26</f>
        <v/>
      </c>
      <c r="J26" s="26">
        <f>IFERROR(__xludf.DUMMYFUNCTION("importrange(""https://docs.google.com/spreadsheets/d/10OMzBR1Fr-0UWX4RkucmriJ6cc8Zs05zUfFXAYGqaYg/edit#gid=1507715394"",""Financials!I5"")"),-0.6666666666666666)</f>
        <v/>
      </c>
      <c r="K26" s="26">
        <f>IFERROR(__xludf.DUMMYFUNCTION("importrange(""https://docs.google.com/spreadsheets/d/10OMzBR1Fr-0UWX4RkucmriJ6cc8Zs05zUfFXAYGqaYg/edit#gid=1507715394"",""Financials!G22"")"),0.15873864243719935)</f>
        <v/>
      </c>
      <c r="L26" s="13">
        <f>IFERROR(__xludf.DUMMYFUNCTION("IFERROR(googlefinance(D26,""pe""),"""")"),"")</f>
        <v/>
      </c>
      <c r="M26" s="13">
        <f>IFERROR(__xludf.DUMMYFUNCTION("IFERROR(googlefinance(D26,""beta""),"""")"),"")</f>
        <v/>
      </c>
      <c r="N26" s="14" t="n"/>
      <c r="O26" s="5" t="n"/>
      <c r="P26" s="5" t="n"/>
      <c r="Q26" s="5" t="n"/>
      <c r="R26" s="5" t="n"/>
      <c r="S26" s="5" t="n"/>
    </row>
    <row r="27">
      <c r="A27" s="7">
        <f>A26+1</f>
        <v/>
      </c>
      <c r="B27" s="8">
        <f>HYPERLINK("https://finance.yahoo.com/quote/"&amp;D27, C27)</f>
        <v/>
      </c>
      <c r="C27" s="16" t="inlineStr">
        <is>
          <t>Western Midstream Partners LP</t>
        </is>
      </c>
      <c r="D27" s="7" t="inlineStr">
        <is>
          <t>WES</t>
        </is>
      </c>
      <c r="E27" s="9">
        <f>IFERROR(__xludf.DUMMYFUNCTION("iferror(googlefinance(D27,""price""),"""")"),41.59)</f>
        <v/>
      </c>
      <c r="F27" s="26">
        <f>IFERROR(__xludf.DUMMYFUNCTION("IFERROR(GOOGLEFINANCE(D27,""price"") / index(GOOGLEFINANCE(D27,""price"", datevalue(today()-365) ) , 2,2) - 1,"""")"),0.053711679756777375)</f>
        <v/>
      </c>
      <c r="G27" s="11">
        <f>IFERROR(__xludf.DUMMYFUNCTION("iferror(googlefinance(D27,""marketcap""),"""")/10^6"),16372.627226)</f>
        <v/>
      </c>
      <c r="H27" s="25">
        <f>IFERROR(__xludf.DUMMYFUNCTION("importrange(""https://docs.google.com/spreadsheets/d/1TVqA7MehmxEyS2xPogFAxn7w_OiM0llWV7V7QxYNm1Y/edit#gid=692269516"",""WES!B37"")*1000"),1173.9724833648042)</f>
        <v/>
      </c>
      <c r="I27" s="26">
        <f>(H27-G27)/G27</f>
        <v/>
      </c>
      <c r="J27" s="26">
        <f>IFERROR(__xludf.DUMMYFUNCTION("importrange(""https://docs.google.com/spreadsheets/d/1TVqA7MehmxEyS2xPogFAxn7w_OiM0llWV7V7QxYNm1Y/edit#gid=692269516"",""WES!H2"")"),0.29668297261284376)</f>
        <v/>
      </c>
      <c r="K27" s="26">
        <f>IFERROR(__xludf.DUMMYFUNCTION("importrange(""https://docs.google.com/spreadsheets/d/1TVqA7MehmxEyS2xPogFAxn7w_OiM0llWV7V7QxYNm1Y/edit#gid=692269516"",""WES!B17"")"),0.2454194641339731)</f>
        <v/>
      </c>
      <c r="L27" s="13">
        <f>IFERROR(__xludf.DUMMYFUNCTION("IFERROR(googlefinance(D27,""pe""),"""")"),"")</f>
        <v/>
      </c>
      <c r="M27" s="13">
        <f>IFERROR(__xludf.DUMMYFUNCTION("IFERROR(googlefinance(D27,""beta""),"""")"),"")</f>
        <v/>
      </c>
      <c r="N27" s="14" t="n"/>
      <c r="O27" s="5" t="n"/>
      <c r="P27" s="5" t="n"/>
      <c r="Q27" s="5" t="n"/>
      <c r="R27" s="5" t="n"/>
      <c r="S27" s="5" t="n"/>
    </row>
    <row r="28">
      <c r="A28" s="7">
        <f>A27+1</f>
        <v/>
      </c>
      <c r="B28" s="8">
        <f>HYPERLINK("https://finance.yahoo.com/quote/"&amp;D28, C28)</f>
        <v/>
      </c>
      <c r="C28" s="16" t="inlineStr">
        <is>
          <t>PNC Financial Services Group Inc</t>
        </is>
      </c>
      <c r="D28" s="7" t="inlineStr">
        <is>
          <t>PNC</t>
        </is>
      </c>
      <c r="E28" s="9">
        <f>IFERROR(__xludf.DUMMYFUNCTION("iferror(googlefinance(D28,""price""),"""")"),212.35)</f>
        <v/>
      </c>
      <c r="F28" s="26">
        <f>IFERROR(__xludf.DUMMYFUNCTION("IFERROR(GOOGLEFINANCE(D28,""price"") / index(GOOGLEFINANCE(D28,""price"", datevalue(today()-365) ) , 2,2) - 1,"""")"),0.12063961158900205)</f>
        <v/>
      </c>
      <c r="G28" s="11">
        <f>IFERROR(__xludf.DUMMYFUNCTION("iferror(googlefinance(D28,""marketcap""),"""")/10^6"),85655.813076)</f>
        <v/>
      </c>
      <c r="H28" s="25">
        <f>IFERROR(__xludf.DUMMYFUNCTION("importrange(""https://docs.google.com/spreadsheets/d/1reQ8upYIYmCrro_8afTKwl6jD0hb8jsQOtumLTkmqvM/edit#gid=544878967"",""Financials!B24"")*1000"),85346.40256261453)</f>
        <v/>
      </c>
      <c r="I28" s="26">
        <f>(H28-G28)/G28</f>
        <v/>
      </c>
      <c r="J28" s="26">
        <f>IFERROR(__xludf.DUMMYFUNCTION("importrange(""https://docs.google.com/spreadsheets/d/1reQ8upYIYmCrro_8afTKwl6jD0hb8jsQOtumLTkmqvM/edit#gid=544878967"",""Financials!H28"")"),0.020306276995568518)</f>
        <v/>
      </c>
      <c r="K28" s="26">
        <f>IFERROR(__xludf.DUMMYFUNCTION("importrange(""https://docs.google.com/spreadsheets/d/1reQ8upYIYmCrro_8afTKwl6jD0hb8jsQOtumLTkmqvM/edit#gid=544878967"",""Financials!G44"")"),0.034361427236241686)</f>
        <v/>
      </c>
      <c r="L28" s="13">
        <f>IFERROR(__xludf.DUMMYFUNCTION("IFERROR(googlefinance(D28,""pe""),"""")"),"")</f>
        <v/>
      </c>
      <c r="M28" s="13">
        <f>IFERROR(__xludf.DUMMYFUNCTION("IFERROR(googlefinance(D28,""beta""),"""")"),"")</f>
        <v/>
      </c>
      <c r="N28" s="29">
        <f>IFERROR(__xludf.DUMMYFUNCTION("importrange(""https://docs.google.com/spreadsheets/d/1reQ8upYIYmCrro_8afTKwl6jD0hb8jsQOtumLTkmqvM/edit#gid=544878967"",""Financials!G42"")"),93.54)</f>
        <v/>
      </c>
      <c r="O28" s="5" t="n"/>
      <c r="P28" s="5" t="n"/>
      <c r="Q28" s="5" t="n"/>
      <c r="R28" s="5" t="n"/>
      <c r="S28" s="5" t="n"/>
    </row>
    <row r="29">
      <c r="A29" s="7">
        <f>A28+1</f>
        <v/>
      </c>
      <c r="B29" s="8">
        <f>HYPERLINK("https://finance.yahoo.com/quote/"&amp;D29, C29)</f>
        <v/>
      </c>
      <c r="C29" s="16" t="inlineStr">
        <is>
          <t>Silvergate Capital Corporation</t>
        </is>
      </c>
      <c r="D29" s="7" t="inlineStr">
        <is>
          <t>SI</t>
        </is>
      </c>
      <c r="E29" s="9">
        <f>IFERROR(__xludf.DUMMYFUNCTION("iferror(googlefinance(D29,""price""),"""")"),13.56)</f>
        <v/>
      </c>
      <c r="F29" s="26">
        <f>IFERROR(__xludf.DUMMYFUNCTION("IFERROR(GOOGLEFINANCE(D29,""price"") / index(GOOGLEFINANCE(D29,""price"", datevalue(today()-365) ) , 2,2) - 1,"""")"),"")</f>
        <v/>
      </c>
      <c r="G29" s="11">
        <f>IFERROR(__xludf.DUMMYFUNCTION("iferror(googlefinance(D29,""marketcap""),"""")/10^6"),279.358789)</f>
        <v/>
      </c>
      <c r="H29" s="25">
        <f>IFERROR(__xludf.DUMMYFUNCTION("importrange(""https://docs.google.com/spreadsheets/d/1YFzudXBMN9O6LHJPHlI2Fee6KTcJLlI_a4y-R0kc6D8/edit#gid=429640807"",""Si!B36"")"),309.64608255791154)</f>
        <v/>
      </c>
      <c r="I29" s="26">
        <f>(H29-G29)/G29</f>
        <v/>
      </c>
      <c r="J29" s="26">
        <f>IFERROR(__xludf.DUMMYFUNCTION("importrange(""https://docs.google.com/spreadsheets/d/1YFzudXBMN9O6LHJPHlI2Fee6KTcJLlI_a4y-R0kc6D8/edit#gid=429640807"",""Si!I2"")"),-0.3184259259259259)</f>
        <v/>
      </c>
      <c r="K29" s="26">
        <f>IFERROR(__xludf.DUMMYFUNCTION("importrange(""https://docs.google.com/spreadsheets/d/1YFzudXBMN9O6LHJPHlI2Fee6KTcJLlI_a4y-R0kc6D8/edit#gid=429640807"",""Si!B18"")"),0.0686048091291944)</f>
        <v/>
      </c>
      <c r="L29" s="13">
        <f>IFERROR(__xludf.DUMMYFUNCTION("IFERROR(googlefinance(D29,""pe""),"""")"),"")</f>
        <v/>
      </c>
      <c r="M29" s="13">
        <f>IFERROR(__xludf.DUMMYFUNCTION("IFERROR(googlefinance(D29,""beta""),"""")"),"")</f>
        <v/>
      </c>
      <c r="N29" s="29" t="n"/>
      <c r="O29" s="5" t="n"/>
      <c r="P29" s="5" t="n"/>
      <c r="Q29" s="5" t="n"/>
      <c r="R29" s="5" t="n"/>
      <c r="S29" s="5" t="n"/>
    </row>
    <row r="30">
      <c r="A30" s="15">
        <f>A29+1</f>
        <v/>
      </c>
      <c r="B30" s="8">
        <f>HYPERLINK("https://finance.yahoo.com/quote/"&amp;D30, C30)</f>
        <v/>
      </c>
      <c r="C30" s="16" t="inlineStr">
        <is>
          <t>Alphabet Inc Class A</t>
        </is>
      </c>
      <c r="D30" s="7" t="inlineStr">
        <is>
          <t>GOOGL</t>
        </is>
      </c>
      <c r="E30" s="9">
        <f>IFERROR(__xludf.DUMMYFUNCTION("iferror(googlefinance(D30,""price""),"""")"),311.76)</f>
        <v/>
      </c>
      <c r="F30" s="26">
        <f>IFERROR(__xludf.DUMMYFUNCTION("IFERROR(GOOGLEFINANCE(D30,""price"") / index(GOOGLEFINANCE(D30,""price"", datevalue(today()-365) ) , 2,2) - 1,"""")"),0.8667145679899408)</f>
        <v/>
      </c>
      <c r="G30" s="11">
        <f>IFERROR(__xludf.DUMMYFUNCTION("iferror(googlefinance(D30,""marketcap""),"""")/10^6"),3772448.880568)</f>
        <v/>
      </c>
      <c r="H30" s="25">
        <f>IFERROR(__xludf.DUMMYFUNCTION("importrange(""https://docs.google.com/spreadsheets/d/1iAF7jMo93TaexbWSxBYGJ0tOkaL3h1mOkFPQL7_eiwc/edit?usp=sharing"",""Summary!B38"")"),2954821.6478650398)</f>
        <v/>
      </c>
      <c r="I30" s="26">
        <f>(H30-G30)/G30</f>
        <v/>
      </c>
      <c r="J30" s="26">
        <f>IFERROR(__xludf.DUMMYFUNCTION("importrange(""https://docs.google.com/spreadsheets/d/1iAF7jMo93TaexbWSxBYGJ0tOkaL3h1mOkFPQL7_eiwc/edit?usp=sharing"",""Summary!Q2"")"),0.14304978601100515)</f>
        <v/>
      </c>
      <c r="K30" s="26" t="n"/>
      <c r="L30" s="13">
        <f>IFERROR(__xludf.DUMMYFUNCTION("IFERROR(googlefinance(D30,""pe""),"""")"),"")</f>
        <v/>
      </c>
      <c r="M30" s="13">
        <f>IFERROR(__xludf.DUMMYFUNCTION("IFERROR(googlefinance(D30,""beta""),"""")"),"")</f>
        <v/>
      </c>
      <c r="N30" s="29" t="n"/>
      <c r="O30" s="5" t="n"/>
      <c r="P30" s="5" t="n"/>
      <c r="Q30" s="5" t="n"/>
      <c r="R30" s="5" t="n"/>
      <c r="S30" s="5" t="n"/>
    </row>
    <row r="31">
      <c r="A31" s="7">
        <f>A30+1</f>
        <v/>
      </c>
      <c r="B31" s="8">
        <f>HYPERLINK("https://finance.yahoo.com/quote/"&amp;D31, C31)</f>
        <v/>
      </c>
      <c r="C31" s="16" t="inlineStr">
        <is>
          <t>Amazon.com, Inc.</t>
        </is>
      </c>
      <c r="D31" s="7" t="inlineStr">
        <is>
          <t>AMZN</t>
        </is>
      </c>
      <c r="E31" s="9">
        <f>IFERROR(__xludf.DUMMYFUNCTION("iferror(googlefinance(D31,""price""),"""")"),210.0)</f>
        <v/>
      </c>
      <c r="F31" s="26">
        <f>IFERROR(__xludf.DUMMYFUNCTION("IFERROR(GOOGLEFINANCE(D31,""price"") / index(GOOGLEFINANCE(D31,""price"", datevalue(today()-365) ) , 2,2) - 1,"""")"),0.024290313140181485)</f>
        <v/>
      </c>
      <c r="G31" s="11">
        <f>IFERROR(__xludf.DUMMYFUNCTION("iferror(googlefinance(D31,""marketcap""),"""")/10^6"),2254333.2)</f>
        <v/>
      </c>
      <c r="H31" s="25">
        <f>IFERROR(__xludf.DUMMYFUNCTION("importrange(""https://docs.google.com/spreadsheets/d/17ZFyNeH7OiIizNcbhItyGFR-iS15ex-5EH0Bkr_P-5Y/edit#gid=2037953563"",""Summary!C20"")"),308018.2985736207)</f>
        <v/>
      </c>
      <c r="I31" s="26">
        <f>(H31-G31)/G31</f>
        <v/>
      </c>
      <c r="J31" s="26">
        <f>IFERROR(__xludf.DUMMYFUNCTION("importrange(""https://docs.google.com/spreadsheets/d/17ZFyNeH7OiIizNcbhItyGFR-iS15ex-5EH0Bkr_P-5Y/edit#gid=2037953563"",""Summary!S21"")"),0.09399517263985084)</f>
        <v/>
      </c>
      <c r="K31" s="26">
        <f>IFERROR(__xludf.DUMMYFUNCTION("importrange(""https://docs.google.com/spreadsheets/d/17ZFyNeH7OiIizNcbhItyGFR-iS15ex-5EH0Bkr_P-5Y/edit#gid=2037953563"",""Summary!P41"")"),0.05525249699531684)</f>
        <v/>
      </c>
      <c r="L31" s="13">
        <f>IFERROR(__xludf.DUMMYFUNCTION("IFERROR(googlefinance(D31,""pe""),"""")"),"")</f>
        <v/>
      </c>
      <c r="M31" s="13">
        <f>IFERROR(__xludf.DUMMYFUNCTION("IFERROR(googlefinance(D31,""beta""),"""")"),"")</f>
        <v/>
      </c>
      <c r="N31" s="29" t="n"/>
      <c r="O31" s="5" t="n"/>
      <c r="P31" s="5" t="n"/>
      <c r="Q31" s="5" t="n"/>
      <c r="R31" s="5" t="n"/>
      <c r="S31" s="5" t="n"/>
    </row>
    <row r="32">
      <c r="A32" s="7">
        <f>A31+1</f>
        <v/>
      </c>
      <c r="B32" s="8">
        <f>HYPERLINK("https://finance.yahoo.com/quote/"&amp;D32, C32)</f>
        <v/>
      </c>
      <c r="C32" s="16" t="inlineStr">
        <is>
          <t>Microsoft Corporation</t>
        </is>
      </c>
      <c r="D32" s="7" t="inlineStr">
        <is>
          <t>MSFT</t>
        </is>
      </c>
      <c r="E32" s="9">
        <f>IFERROR(__xludf.DUMMYFUNCTION("iferror(googlefinance(D32,""price""),"""")"),392.74)</f>
        <v/>
      </c>
      <c r="F32" s="26">
        <f>IFERROR(__xludf.DUMMYFUNCTION("IFERROR(GOOGLEFINANCE(D32,""price"") / index(GOOGLEFINANCE(D32,""price"", datevalue(today()-365) ) , 2,2) - 1,"""")"),0.010939792530052284)</f>
        <v/>
      </c>
      <c r="G32" s="11">
        <f>IFERROR(__xludf.DUMMYFUNCTION("iferror(googlefinance(D32,""marketcap""),"""")/10^6"),2916341.460944)</f>
        <v/>
      </c>
      <c r="H32" s="25">
        <f>IFERROR(__xludf.DUMMYFUNCTION("importrange(""https://docs.google.com/spreadsheets/d/1-0wE4FJcTwa8HIXiUmKh_2bax-86FCPaaGwzK8mYxjE/edit#gid=644621603"",""MSFT!B37"")*1000"),1430442.8704551526)</f>
        <v/>
      </c>
      <c r="I32" s="26">
        <f>(H32-G32)/G32</f>
        <v/>
      </c>
      <c r="J32" s="26">
        <f>IFERROR(__xludf.DUMMYFUNCTION("importrange(""https://docs.google.com/spreadsheets/d/1-0wE4FJcTwa8HIXiUmKh_2bax-86FCPaaGwzK8mYxjE/edit#gid=644621603"",""MSFT!J2"")"),0.1146453169247981)</f>
        <v/>
      </c>
      <c r="K32" s="26">
        <f>IFERROR(__xludf.DUMMYFUNCTION("importrange(""https://docs.google.com/spreadsheets/d/1-0wE4FJcTwa8HIXiUmKh_2bax-86FCPaaGwzK8mYxjE/edit#gid=644621603"",""MSFT!H16"")"),0.37030381428521486)</f>
        <v/>
      </c>
      <c r="L32" s="13">
        <f>IFERROR(__xludf.DUMMYFUNCTION("IFERROR(googlefinance(D32,""pe""),"""")"),"")</f>
        <v/>
      </c>
      <c r="M32" s="13">
        <f>IFERROR(__xludf.DUMMYFUNCTION("IFERROR(googlefinance(D32,""beta""),"""")"),"")</f>
        <v/>
      </c>
      <c r="N32" s="29" t="n"/>
      <c r="O32" s="5" t="n"/>
      <c r="P32" s="5" t="n"/>
      <c r="Q32" s="5" t="n"/>
      <c r="R32" s="5" t="n"/>
      <c r="S32" s="5" t="n"/>
    </row>
    <row r="33">
      <c r="A33" s="24">
        <f>A32+1</f>
        <v/>
      </c>
      <c r="B33" s="8">
        <f>HYPERLINK("https://finance.yahoo.com/quote/"&amp;D33, C33)</f>
        <v/>
      </c>
      <c r="C33" s="16" t="inlineStr">
        <is>
          <t>Meta Platforms, Inc.</t>
        </is>
      </c>
      <c r="D33" s="7" t="inlineStr">
        <is>
          <t>META</t>
        </is>
      </c>
      <c r="E33" s="9">
        <f>IFERROR(__xludf.DUMMYFUNCTION("iferror(googlefinance(D33,""price""),"""")"),648.18)</f>
        <v/>
      </c>
      <c r="F33" s="26">
        <f>IFERROR(__xludf.DUMMYFUNCTION("IFERROR(GOOGLEFINANCE(D33,""price"") / index(GOOGLEFINANCE(D33,""price"", datevalue(today()-365) ) , 2,2) - 1,"""")"),-0.010487749026791837)</f>
        <v/>
      </c>
      <c r="G33" s="11">
        <f>IFERROR(__xludf.DUMMYFUNCTION("iferror(googlefinance(D33,""marketcap""),"""")/10^6"),1639606.941372)</f>
        <v/>
      </c>
      <c r="H33" s="25">
        <f>IFERROR(__xludf.DUMMYFUNCTION("importrange(""https://docs.google.com/spreadsheets/d/17uqhWqgxDFZCVvpEWDzsuYjUy_GuQnhH4-9GU95cukk/edit#gid=150498026"",""Summary!B29"")"),240226.17484772633)</f>
        <v/>
      </c>
      <c r="I33" s="26">
        <f>(H33-G33)/G33</f>
        <v/>
      </c>
      <c r="J33" s="26">
        <f>IFERROR(__xludf.DUMMYFUNCTION("importrange(""https://docs.google.com/spreadsheets/d/17uqhWqgxDFZCVvpEWDzsuYjUy_GuQnhH4-9GU95cukk/edit#gid=150498026"",""Summary!J2"")"),-0.011193175554782962)</f>
        <v/>
      </c>
      <c r="K33" s="26">
        <f>IFERROR(__xludf.DUMMYFUNCTION("importrange(""https://docs.google.com/spreadsheets/d/17uqhWqgxDFZCVvpEWDzsuYjUy_GuQnhH4-9GU95cukk/edit#gid=150498026"",""Summary!G16"")"),0.3800500203571221)</f>
        <v/>
      </c>
      <c r="L33" s="13">
        <f>IFERROR(__xludf.DUMMYFUNCTION("IFERROR(googlefinance(D33,""pe""),"""")"),"")</f>
        <v/>
      </c>
      <c r="M33" s="13">
        <f>IFERROR(__xludf.DUMMYFUNCTION("IFERROR(googlefinance(D33,""beta""),"""")"),"")</f>
        <v/>
      </c>
      <c r="N33" s="29" t="n"/>
      <c r="O33" s="5" t="n"/>
      <c r="P33" s="5" t="n"/>
      <c r="Q33" s="5" t="n"/>
      <c r="R33" s="5" t="n"/>
      <c r="S33" s="5" t="n"/>
    </row>
    <row r="34">
      <c r="A34" s="7">
        <f>A33+1</f>
        <v/>
      </c>
      <c r="B34" s="8">
        <f>HYPERLINK("https://finance.yahoo.com/quote/"&amp;D34, C34)</f>
        <v/>
      </c>
      <c r="C34" s="16" t="inlineStr">
        <is>
          <t>Park Hotels &amp; Resorts Inc.</t>
        </is>
      </c>
      <c r="D34" s="7" t="inlineStr">
        <is>
          <t>PK</t>
        </is>
      </c>
      <c r="E34" s="9">
        <f>IFERROR(__xludf.DUMMYFUNCTION("iferror(googlefinance(D34,""price""),"""")"),11.31)</f>
        <v/>
      </c>
      <c r="F34" s="26">
        <f>IFERROR(__xludf.DUMMYFUNCTION("IFERROR(GOOGLEFINANCE(D34,""price"") / index(GOOGLEFINANCE(D34,""price"", datevalue(today()-365) ) , 2,2) - 1,"""")"),-0.058284762697751846)</f>
        <v/>
      </c>
      <c r="G34" s="11">
        <f>IFERROR(__xludf.DUMMYFUNCTION("iferror(googlefinance(D34,""marketcap""),"""")/10^6"),2277.815988)</f>
        <v/>
      </c>
      <c r="H34" s="25" t="n"/>
      <c r="I34" s="26" t="n">
        <v>0</v>
      </c>
      <c r="J34" s="26" t="n"/>
      <c r="K34" s="26" t="n"/>
      <c r="L34" s="13">
        <f>IFERROR(__xludf.DUMMYFUNCTION("IFERROR(googlefinance(D34,""pe""),"""")"),"")</f>
        <v/>
      </c>
      <c r="M34" s="13">
        <f>IFERROR(__xludf.DUMMYFUNCTION("IFERROR(googlefinance(D34,""beta""),"""")"),"")</f>
        <v/>
      </c>
      <c r="N34" s="29" t="n"/>
      <c r="O34" s="5" t="n"/>
      <c r="P34" s="5" t="n"/>
      <c r="Q34" s="5" t="n"/>
      <c r="R34" s="5" t="n"/>
      <c r="S34" s="5" t="n"/>
    </row>
    <row r="35">
      <c r="A35" s="7">
        <f>A34+1</f>
        <v/>
      </c>
      <c r="B35" s="8">
        <f>HYPERLINK("https://finance.yahoo.com/quote/"&amp;D35, C35)</f>
        <v/>
      </c>
      <c r="C35" s="16" t="inlineStr">
        <is>
          <t>The Howard Hughes Corporation</t>
        </is>
      </c>
      <c r="D35" s="7" t="inlineStr">
        <is>
          <t>HHC</t>
        </is>
      </c>
      <c r="E35" s="9">
        <f>IFERROR(__xludf.DUMMYFUNCTION("iferror(googlefinance(D35,""price""),"""")"),0.0)</f>
        <v/>
      </c>
      <c r="F35" s="26">
        <f>IFERROR(__xludf.DUMMYFUNCTION("IFERROR(GOOGLEFINANCE(D35,""price"") / index(GOOGLEFINANCE(D35,""price"", datevalue(today()-365) ) , 2,2) - 1,"""")"),"")</f>
        <v/>
      </c>
      <c r="G35" s="11">
        <f>IFERROR(__xludf.DUMMYFUNCTION("iferror(googlefinance(D35,""marketcap""),"""")/10^6"),4315.882813)</f>
        <v/>
      </c>
      <c r="H35" s="25" t="n"/>
      <c r="I35" s="26" t="n">
        <v>0</v>
      </c>
      <c r="J35" s="26" t="n"/>
      <c r="K35" s="26" t="n"/>
      <c r="L35" s="13">
        <f>IFERROR(__xludf.DUMMYFUNCTION("IFERROR(googlefinance(D35,""pe""),"""")"),"")</f>
        <v/>
      </c>
      <c r="M35" s="13">
        <f>IFERROR(__xludf.DUMMYFUNCTION("IFERROR(googlefinance(D35,""beta""),"""")"),"")</f>
        <v/>
      </c>
      <c r="N35" s="29" t="n"/>
      <c r="O35" s="5" t="n"/>
      <c r="P35" s="5" t="n"/>
      <c r="Q35" s="5" t="n"/>
      <c r="R35" s="5" t="n"/>
      <c r="S35" s="5" t="n"/>
    </row>
    <row r="36">
      <c r="A36" s="21">
        <f>A35+1</f>
        <v/>
      </c>
      <c r="B36" s="8">
        <f>HYPERLINK("https://finance.yahoo.com/quote/"&amp;D36, C36)</f>
        <v/>
      </c>
      <c r="C36" s="16" t="inlineStr">
        <is>
          <t xml:space="preserve">Charles Schwab Corp. </t>
        </is>
      </c>
      <c r="D36" s="7" t="inlineStr">
        <is>
          <t>SCHW</t>
        </is>
      </c>
      <c r="E36" s="9">
        <f>IFERROR(__xludf.DUMMYFUNCTION("iferror(googlefinance(D36,""price""),"""")"),95.2)</f>
        <v/>
      </c>
      <c r="F36" s="26">
        <f>IFERROR(__xludf.DUMMYFUNCTION("IFERROR(GOOGLEFINANCE(D36,""price"") / index(GOOGLEFINANCE(D36,""price"", datevalue(today()-365) ) , 2,2) - 1,"""")"),0.21863799283154117)</f>
        <v/>
      </c>
      <c r="G36" s="11">
        <f>IFERROR(__xludf.DUMMYFUNCTION("iferror(googlefinance(D36,""marketcap""),"""")/10^6"),166810.386652)</f>
        <v/>
      </c>
      <c r="H36" s="25">
        <f>IFERROR(__xludf.DUMMYFUNCTION("importrange(""https://docs.google.com/spreadsheets/d/1F8tm1olP0GJTuf6jBnMAafmh7af_8JW2W4-P4xhp35s/edit#gid=644621603"",""SCHW!B31"")*1000"),103739.31784730963)</f>
        <v/>
      </c>
      <c r="I36" s="26">
        <f>(H36-G36)/G36</f>
        <v/>
      </c>
      <c r="J36" s="26">
        <f>IFERROR(__xludf.DUMMYFUNCTION("importrange(""https://docs.google.com/spreadsheets/d/1F8tm1olP0GJTuf6jBnMAafmh7af_8JW2W4-P4xhp35s/edit#gid=644621603"",""SCHW!I2"")"),0.18441536224446156)</f>
        <v/>
      </c>
      <c r="K36" s="26">
        <f>IFERROR(__xludf.DUMMYFUNCTION("importrange(""https://docs.google.com/spreadsheets/d/1F8tm1olP0GJTuf6jBnMAafmh7af_8JW2W4-P4xhp35s/edit#gid=644621603"",""SCHW!H16"")"),0.3944794643501945)</f>
        <v/>
      </c>
      <c r="L36" s="13">
        <f>IFERROR(__xludf.DUMMYFUNCTION("IFERROR(googlefinance(D36,""pe""),"""")"),"")</f>
        <v/>
      </c>
      <c r="M36" s="13">
        <f>IFERROR(__xludf.DUMMYFUNCTION("IFERROR(googlefinance(D36,""beta""),"""")"),"")</f>
        <v/>
      </c>
      <c r="N36" s="29" t="n"/>
      <c r="O36" s="5" t="n"/>
      <c r="P36" s="5" t="n"/>
      <c r="Q36" s="5" t="n"/>
      <c r="R36" s="5" t="n"/>
      <c r="S36" s="5" t="n"/>
    </row>
    <row r="37">
      <c r="A37" s="7">
        <f>A36+1</f>
        <v/>
      </c>
      <c r="B37" s="8">
        <f>HYPERLINK("https://finance.yahoo.com/quote/"&amp;D37, C37)</f>
        <v/>
      </c>
      <c r="C37" s="16" t="inlineStr">
        <is>
          <t>Restaurant Brands International Inc.</t>
        </is>
      </c>
      <c r="D37" s="7" t="inlineStr">
        <is>
          <t>QSR</t>
        </is>
      </c>
      <c r="E37" s="9">
        <f>IFERROR(__xludf.DUMMYFUNCTION("iferror(googlefinance(D37,""price""),"""")"),71.71)</f>
        <v/>
      </c>
      <c r="F37" s="26">
        <f>IFERROR(__xludf.DUMMYFUNCTION("IFERROR(GOOGLEFINANCE(D37,""price"") / index(GOOGLEFINANCE(D37,""price"", datevalue(today()-365) ) , 2,2) - 1,"""")"),0.10612370815980254)</f>
        <v/>
      </c>
      <c r="G37" s="11">
        <f>IFERROR(__xludf.DUMMYFUNCTION("iferror(googlefinance(D37,""marketcap""),"""")/10^6"),24847.815864)</f>
        <v/>
      </c>
      <c r="H37" s="25" t="n"/>
      <c r="I37" s="26" t="n">
        <v>0</v>
      </c>
      <c r="J37" s="26" t="n"/>
      <c r="K37" s="26" t="n"/>
      <c r="L37" s="13">
        <f>IFERROR(__xludf.DUMMYFUNCTION("IFERROR(googlefinance(D37,""pe""),"""")"),"")</f>
        <v/>
      </c>
      <c r="M37" s="13">
        <f>IFERROR(__xludf.DUMMYFUNCTION("IFERROR(googlefinance(D37,""beta""),"""")"),"")</f>
        <v/>
      </c>
      <c r="N37" s="29" t="n"/>
      <c r="O37" s="5" t="n"/>
      <c r="P37" s="5" t="n"/>
      <c r="Q37" s="5" t="n"/>
      <c r="R37" s="5" t="n"/>
      <c r="S37" s="5" t="n"/>
    </row>
    <row r="38">
      <c r="A38" s="7">
        <f>A37+1</f>
        <v/>
      </c>
      <c r="B38" s="8">
        <f>HYPERLINK("https://finance.yahoo.com/quote/"&amp;D38, C38)</f>
        <v/>
      </c>
      <c r="C38" s="16" t="inlineStr">
        <is>
          <t>Xilinx Inc.</t>
        </is>
      </c>
      <c r="D38" s="7" t="inlineStr">
        <is>
          <t>XLNX</t>
        </is>
      </c>
      <c r="E38" s="9">
        <f>IFERROR(__xludf.DUMMYFUNCTION("iferror(googlefinance(D38,""price""),"""")"),"")</f>
        <v/>
      </c>
      <c r="F38" s="26" t="n">
        <v>0</v>
      </c>
      <c r="G38" s="11">
        <f>IFERROR(__xludf.DUMMYFUNCTION("iferror(googlefinance(D38,""marketcap""),"""")/10^6"),0.0)</f>
        <v/>
      </c>
      <c r="H38" s="25" t="n"/>
      <c r="I38" s="26" t="n">
        <v>0</v>
      </c>
      <c r="J38" s="26" t="n"/>
      <c r="K38" s="26" t="n"/>
      <c r="L38" s="13">
        <f>IFERROR(__xludf.DUMMYFUNCTION("IFERROR(googlefinance(D38,""pe""),"""")"),"")</f>
        <v/>
      </c>
      <c r="M38" s="13">
        <f>IFERROR(__xludf.DUMMYFUNCTION("IFERROR(googlefinance(D38,""beta""),"""")"),"")</f>
        <v/>
      </c>
      <c r="N38" s="29" t="n"/>
      <c r="O38" s="5" t="n"/>
      <c r="P38" s="5" t="n"/>
      <c r="Q38" s="5" t="n"/>
      <c r="R38" s="5" t="n"/>
      <c r="S38" s="5" t="n"/>
    </row>
    <row r="39">
      <c r="A39" s="7">
        <f>A38+1</f>
        <v/>
      </c>
      <c r="B39" s="8">
        <f>HYPERLINK("https://finance.yahoo.com/quote/"&amp;D39, C39)</f>
        <v/>
      </c>
      <c r="C39" s="16" t="inlineStr">
        <is>
          <t>Walt Disney Co.</t>
        </is>
      </c>
      <c r="D39" s="7" t="inlineStr">
        <is>
          <t>DIS</t>
        </is>
      </c>
      <c r="E39" s="9">
        <f>IFERROR(__xludf.DUMMYFUNCTION("iferror(googlefinance(D39,""price""),"""")"),106.04)</f>
        <v/>
      </c>
      <c r="F39" s="26">
        <f>IFERROR(__xludf.DUMMYFUNCTION("IFERROR(GOOGLEFINANCE(D39,""price"") / index(GOOGLEFINANCE(D39,""price"", datevalue(today()-365) ) , 2,2) - 1,"""")"),-0.05984573100452173)</f>
        <v/>
      </c>
      <c r="G39" s="11">
        <f>IFERROR(__xludf.DUMMYFUNCTION("iferror(googlefinance(D39,""marketcap""),"""")/10^6"),187851.876381)</f>
        <v/>
      </c>
      <c r="H39" s="25">
        <f>IFERROR(__xludf.DUMMYFUNCTION("importrange(""https://docs.google.com/spreadsheets/d/1L4FKQtUpj3I5jkPXYxo00-bMwvduNEaET-STfup6mZo/edit#gid=644621603"",""DIS!B32"")*1000"),117528.2358250757)</f>
        <v/>
      </c>
      <c r="I39" s="26">
        <f>(H39-G39)/G39</f>
        <v/>
      </c>
      <c r="J39" s="26">
        <f>IFERROR(__xludf.DUMMYFUNCTION("importrange(""https://docs.google.com/spreadsheets/d/1L4FKQtUpj3I5jkPXYxo00-bMwvduNEaET-STfup6mZo/edit#gid=644621603"",""DIS!I2"")*1000"),39.38008130081304)</f>
        <v/>
      </c>
      <c r="K39" s="26">
        <f>IFERROR(__xludf.DUMMYFUNCTION("importrange(""https://docs.google.com/spreadsheets/d/1L4FKQtUpj3I5jkPXYxo00-bMwvduNEaET-STfup6mZo/edit#gid=644621603"",""DIS!H15"")*1000"),230.6998671401602)</f>
        <v/>
      </c>
      <c r="L39" s="13">
        <f>IFERROR(__xludf.DUMMYFUNCTION("IFERROR(googlefinance(D39,""pe""),"""")"),"")</f>
        <v/>
      </c>
      <c r="M39" s="13">
        <f>IFERROR(__xludf.DUMMYFUNCTION("IFERROR(googlefinance(D39,""beta""),"""")"),"")</f>
        <v/>
      </c>
      <c r="N39" s="29" t="n"/>
      <c r="O39" s="5" t="n"/>
      <c r="P39" s="5" t="n"/>
      <c r="Q39" s="5" t="n"/>
      <c r="R39" s="5" t="n"/>
      <c r="S39" s="5" t="n"/>
    </row>
    <row r="40">
      <c r="A40" s="7">
        <f>A39+1</f>
        <v/>
      </c>
      <c r="B40" s="8">
        <f>HYPERLINK("https://finance.yahoo.com/quote/"&amp;D40, C40)</f>
        <v/>
      </c>
      <c r="C40" s="16" t="inlineStr">
        <is>
          <t>TD Ameritrade</t>
        </is>
      </c>
      <c r="D40" s="7" t="inlineStr">
        <is>
          <t>AMTD</t>
        </is>
      </c>
      <c r="E40" s="9">
        <f>IFERROR(__xludf.DUMMYFUNCTION("iferror(googlefinance(D40,""price""),"""")"),"")</f>
        <v/>
      </c>
      <c r="F40" s="26">
        <f>IFERROR(__xludf.DUMMYFUNCTION("IFERROR(GOOGLEFINANCE(D40,""price"") / index(GOOGLEFINANCE(D40,""price"", datevalue(today()-365) ) , 2,2) - 1,"""")"),"")</f>
        <v/>
      </c>
      <c r="G40" s="11">
        <f>IFERROR(__xludf.DUMMYFUNCTION("iferror(googlefinance(D40,""marketcap""),"""")/10^6"),0.0)</f>
        <v/>
      </c>
      <c r="H40" s="25">
        <f>IFERROR(__xludf.DUMMYFUNCTION("importrange(""https://docs.google.com/spreadsheets/d/1vtcCV4JW-Qg5Z2YuuMjmX7GPYTyQzX2iEzo7hKgj-j8/edit#gid=644621603"",""AMTD!B31"")*1000"),19943.95203052363)</f>
        <v/>
      </c>
      <c r="I40" s="26">
        <f>(H40-G40)/G40</f>
        <v/>
      </c>
      <c r="J40" s="26">
        <f>IFERROR(__xludf.DUMMYFUNCTION("importrange(""https://docs.google.com/spreadsheets/d/1vtcCV4JW-Qg5Z2YuuMjmX7GPYTyQzX2iEzo7hKgj-j8/edit#gid=644621603"",""AMTD!I2"")"),0.03729564032697548)</f>
        <v/>
      </c>
      <c r="K40" s="26">
        <f>IFERROR(__xludf.DUMMYFUNCTION("importrange(""https://docs.google.com/spreadsheets/d/1vtcCV4JW-Qg5Z2YuuMjmX7GPYTyQzX2iEzo7hKgj-j8/edit#gid=644621603"",""AMTD!H16"")"),0.4477319578114572)</f>
        <v/>
      </c>
      <c r="L40" s="13">
        <f>IFERROR(__xludf.DUMMYFUNCTION("IFERROR(googlefinance(D40,""pe""),"""")"),"")</f>
        <v/>
      </c>
      <c r="M40" s="13">
        <f>IFERROR(__xludf.DUMMYFUNCTION("IFERROR(googlefinance(D40,""beta""),"""")"),"")</f>
        <v/>
      </c>
      <c r="N40" s="29" t="n"/>
      <c r="O40" s="5" t="n"/>
      <c r="P40" s="5" t="n"/>
      <c r="Q40" s="5" t="n"/>
      <c r="R40" s="5" t="n"/>
      <c r="S40" s="5" t="n"/>
    </row>
    <row r="41">
      <c r="A41" s="7">
        <f>A40+1</f>
        <v/>
      </c>
      <c r="B41" s="8">
        <f>HYPERLINK("https://finance.yahoo.com/quote/"&amp;D41, C41)</f>
        <v/>
      </c>
      <c r="C41" s="16" t="inlineStr">
        <is>
          <t>Mail.ru Group Ltd GDR</t>
        </is>
      </c>
      <c r="D41" s="7" t="inlineStr">
        <is>
          <t>MLRYY</t>
        </is>
      </c>
      <c r="E41" s="9">
        <f>IFERROR(__xludf.DUMMYFUNCTION("iferror(googlefinance(D41,""price""),"""")"),0.0)</f>
        <v/>
      </c>
      <c r="F41" s="26" t="n">
        <v>0</v>
      </c>
      <c r="G41" s="11">
        <f>IFERROR(__xludf.DUMMYFUNCTION("iferror(googlefinance(D41,""marketcap""),"""")/10^6"),125.739851)</f>
        <v/>
      </c>
      <c r="H41" s="25">
        <f>IFERROR(__xludf.DUMMYFUNCTION("importrange(""https://docs.google.com/spreadsheets/d/1POuxvulNjw70dgr4wRAoUiHRR0maG6qOrFcFl7BShmU/edit#gid=1344089490"",""Summary!C33"")*1000"),1622.660519061799)</f>
        <v/>
      </c>
      <c r="I41" s="26">
        <f>(H41-G41)/G41</f>
        <v/>
      </c>
      <c r="J41" s="26">
        <f>IFERROR(__xludf.DUMMYFUNCTION("importrange(""https://docs.google.com/spreadsheets/d/1POuxvulNjw70dgr4wRAoUiHRR0maG6qOrFcFl7BShmU/edit#gid=1344089490"",""Summary!H2"")"),0.11592515592515593)</f>
        <v/>
      </c>
      <c r="K41" s="26">
        <f>IFERROR(__xludf.DUMMYFUNCTION("importrange(""https://docs.google.com/spreadsheets/d/1POuxvulNjw70dgr4wRAoUiHRR0maG6qOrFcFl7BShmU/edit#gid=1344089490"",""Summary!G19"")"),0.3073999552872792)</f>
        <v/>
      </c>
      <c r="L41" s="13">
        <f>IFERROR(__xludf.DUMMYFUNCTION("IFERROR(googlefinance(D41,""pe""),"""")"),"")</f>
        <v/>
      </c>
      <c r="M41" s="13">
        <f>IFERROR(__xludf.DUMMYFUNCTION("IFERROR(googlefinance(D41,""beta""),"""")"),"")</f>
        <v/>
      </c>
      <c r="N41" s="29" t="n"/>
      <c r="O41" s="5" t="n"/>
      <c r="P41" s="5" t="n"/>
      <c r="Q41" s="5" t="n"/>
      <c r="R41" s="5" t="n"/>
      <c r="S41" s="5" t="n"/>
    </row>
    <row r="42">
      <c r="A42" s="7">
        <f>A41+1</f>
        <v/>
      </c>
      <c r="B42" s="8">
        <f>HYPERLINK("https://finance.yahoo.com/quote/"&amp;D42, C42)</f>
        <v/>
      </c>
      <c r="C42" s="16" t="inlineStr">
        <is>
          <t>American Express Co</t>
        </is>
      </c>
      <c r="D42" s="7" t="inlineStr">
        <is>
          <t>AXP</t>
        </is>
      </c>
      <c r="E42" s="9">
        <f>IFERROR(__xludf.DUMMYFUNCTION("iferror(googlefinance(D42,""price""),"""")"),308.9)</f>
        <v/>
      </c>
      <c r="F42" s="26">
        <f>IFERROR(__xludf.DUMMYFUNCTION("IFERROR(GOOGLEFINANCE(D42,""price"") / index(GOOGLEFINANCE(D42,""price"", datevalue(today()-365) ) , 2,2) - 1,"""")"),0.04538224643811972)</f>
        <v/>
      </c>
      <c r="G42" s="11">
        <f>IFERROR(__xludf.DUMMYFUNCTION("iferror(googlefinance(D42,""marketcap""),"""")/10^6"),212095.029519)</f>
        <v/>
      </c>
      <c r="H42" s="25">
        <f>IFERROR(__xludf.DUMMYFUNCTION("importrange(""https://docs.google.com/spreadsheets/d/1pPtPZdU5W0LctnDqTA4epwxgxp6IRPtePwNDmucu_Fs/edit#gid=1023062230"",""Summary!C27"")"),96956.50695822583)</f>
        <v/>
      </c>
      <c r="I42" s="26">
        <f>(H42-G42)/G42</f>
        <v/>
      </c>
      <c r="J42" s="26">
        <f>IFERROR(__xludf.DUMMYFUNCTION("importrange(""https://docs.google.com/spreadsheets/d/1pPtPZdU5W0LctnDqTA4epwxgxp6IRPtePwNDmucu_Fs/edit#gid=1023062230"",""Summary!J2"")"),-0.0024795665350353566)</f>
        <v/>
      </c>
      <c r="K42" s="26">
        <f>IFERROR(__xludf.DUMMYFUNCTION("importrange(""https://docs.google.com/spreadsheets/d/1pPtPZdU5W0LctnDqTA4epwxgxp6IRPtePwNDmucu_Fs/edit#gid=1023062230"",""Summary!I14"")"),0.1011093721229976)</f>
        <v/>
      </c>
      <c r="L42" s="13">
        <f>IFERROR(__xludf.DUMMYFUNCTION("IFERROR(googlefinance(D42,""pe""),"""")"),"")</f>
        <v/>
      </c>
      <c r="M42" s="13">
        <f>IFERROR(__xludf.DUMMYFUNCTION("IFERROR(googlefinance(D42,""beta""),"""")"),"")</f>
        <v/>
      </c>
      <c r="N42" s="29" t="n"/>
      <c r="O42" s="5" t="n"/>
      <c r="P42" s="5" t="n"/>
      <c r="Q42" s="5" t="n"/>
      <c r="R42" s="5" t="n"/>
      <c r="S42" s="5" t="n"/>
    </row>
    <row r="43">
      <c r="A43" s="21">
        <f>A42+1</f>
        <v/>
      </c>
      <c r="B43" s="8">
        <f>HYPERLINK("https://finance.yahoo.com/quote/"&amp;D43, C43)</f>
        <v/>
      </c>
      <c r="C43" s="16" t="inlineStr">
        <is>
          <t>Bank of New York Mellon Corp</t>
        </is>
      </c>
      <c r="D43" s="7" t="inlineStr">
        <is>
          <t>BK</t>
        </is>
      </c>
      <c r="E43" s="9">
        <f>IFERROR(__xludf.DUMMYFUNCTION("iferror(googlefinance(D43,""price""),"""")"),119.1)</f>
        <v/>
      </c>
      <c r="F43" s="26">
        <f>IFERROR(__xludf.DUMMYFUNCTION("IFERROR(GOOGLEFINANCE(D43,""price"") / index(GOOGLEFINANCE(D43,""price"", datevalue(today()-365) ) , 2,2) - 1,"""")"),0.3480475382003396)</f>
        <v/>
      </c>
      <c r="G43" s="11">
        <f>IFERROR(__xludf.DUMMYFUNCTION("iferror(googlefinance(D43,""marketcap""),"""")/10^6"),81810.670291)</f>
        <v/>
      </c>
      <c r="H43" s="25">
        <f>IFERROR(__xludf.DUMMYFUNCTION("importrange(""https://docs.google.com/spreadsheets/d/1RDmGZo9Acgc7RPfWGhcWjGvuUfMMhJaYtkT38IdjaG8/edit#gid=892062421"",""BK!B32"")"),44754.69962114222)</f>
        <v/>
      </c>
      <c r="I43" s="26">
        <f>(H43-G43)/G43</f>
        <v/>
      </c>
      <c r="J43" s="26">
        <f>IFERROR(__xludf.DUMMYFUNCTION("importrange(""https://docs.google.com/spreadsheets/d/1RDmGZo9Acgc7RPfWGhcWjGvuUfMMhJaYtkT38IdjaG8/edit#gid=892062421"",""BK!J3"")"),-0.0295152004584886)</f>
        <v/>
      </c>
      <c r="K43" s="26">
        <f>IFERROR(__xludf.DUMMYFUNCTION("importrange(""https://docs.google.com/spreadsheets/d/1RDmGZo9Acgc7RPfWGhcWjGvuUfMMhJaYtkT38IdjaG8/edit#gid=892062421"",""BK!H24"")"),0.2826417004048583)</f>
        <v/>
      </c>
      <c r="L43" s="13">
        <f>IFERROR(__xludf.DUMMYFUNCTION("IFERROR(googlefinance(D43,""pe""),"""")"),"")</f>
        <v/>
      </c>
      <c r="M43" s="13">
        <f>IFERROR(__xludf.DUMMYFUNCTION("IFERROR(googlefinance(D43,""beta""),"""")"),"")</f>
        <v/>
      </c>
      <c r="N43" s="29" t="n"/>
      <c r="O43" s="5" t="n"/>
      <c r="P43" s="5" t="n"/>
      <c r="Q43" s="5" t="n"/>
      <c r="R43" s="5" t="n"/>
      <c r="S43" s="5" t="n"/>
    </row>
    <row r="44">
      <c r="A44" s="15">
        <f>A43+1</f>
        <v/>
      </c>
      <c r="B44" s="8">
        <f>HYPERLINK("https://finance.yahoo.com/quote/"&amp;D44, C44)</f>
        <v/>
      </c>
      <c r="C44" s="16" t="inlineStr">
        <is>
          <t>Tesla Inc</t>
        </is>
      </c>
      <c r="D44" s="7" t="inlineStr">
        <is>
          <t>TSLA</t>
        </is>
      </c>
      <c r="E44" s="9">
        <f>IFERROR(__xludf.DUMMYFUNCTION("iferror(googlefinance(D44,""price""),"""")"),402.51)</f>
        <v/>
      </c>
      <c r="F44" s="26">
        <f>IFERROR(__xludf.DUMMYFUNCTION("IFERROR(GOOGLEFINANCE(D44,""price"") / index(GOOGLEFINANCE(D44,""price"", datevalue(today()-365) ) , 2,2) - 1,"""")"),0.4140523449850695)</f>
        <v/>
      </c>
      <c r="G44" s="11">
        <f>IFERROR(__xludf.DUMMYFUNCTION("iferror(googlefinance(D44,""marketcap""),"""")/10^6"),1261253.0403)</f>
        <v/>
      </c>
      <c r="H44" s="25">
        <f>IFERROR(__xludf.DUMMYFUNCTION("importrange(""https://docs.google.com/spreadsheets/d/1s0WAt5f5uINzrh-BFNyDhLtn62N1pGkxpCpJuOZLxdU/edit#gid=1887439665"",""Summary!B4"")*1000"),24725.040074557306)</f>
        <v/>
      </c>
      <c r="I44" s="26">
        <f>(H44-G44)/G44</f>
        <v/>
      </c>
      <c r="J44" s="26">
        <f>IFERROR(__xludf.DUMMYFUNCTION("importrange(""https://docs.google.com/spreadsheets/d/1s0WAt5f5uINzrh-BFNyDhLtn62N1pGkxpCpJuOZLxdU/edit#gid=1887439665"",""Summary!B1"")"),0.14538676607642112)</f>
        <v/>
      </c>
      <c r="K44" s="26">
        <f>IFERROR(__xludf.DUMMYFUNCTION("importrange(""https://docs.google.com/spreadsheets/d/1s0WAt5f5uINzrh-BFNyDhLtn62N1pGkxpCpJuOZLxdU/edit#gid=1887439665"",""Summary!B10"")"),0.03228285933897002)</f>
        <v/>
      </c>
      <c r="L44" s="13">
        <f>IFERROR(__xludf.DUMMYFUNCTION("IFERROR(googlefinance(D44,""pe""),"""")"),"")</f>
        <v/>
      </c>
      <c r="M44" s="13">
        <f>IFERROR(__xludf.DUMMYFUNCTION("IFERROR(googlefinance(D44,""beta""),"""")"),"")</f>
        <v/>
      </c>
      <c r="N44" s="29" t="n"/>
      <c r="O44" s="5" t="n"/>
      <c r="P44" s="5" t="n"/>
      <c r="Q44" s="5" t="n"/>
      <c r="R44" s="5" t="n"/>
      <c r="S44" s="5" t="n"/>
    </row>
    <row r="45">
      <c r="A45" s="24">
        <f>A44+1</f>
        <v/>
      </c>
      <c r="B45" s="8">
        <f>HYPERLINK("https://finance.yahoo.com/quote/"&amp;D45, C45)</f>
        <v/>
      </c>
      <c r="C45" s="16" t="inlineStr">
        <is>
          <t>Bristol-Myers Squibb Company</t>
        </is>
      </c>
      <c r="D45" s="7" t="inlineStr">
        <is>
          <t>BMY</t>
        </is>
      </c>
      <c r="E45" s="9">
        <f>IFERROR(__xludf.DUMMYFUNCTION("iferror(googlefinance(D45,""price""),"""")"),62.37)</f>
        <v/>
      </c>
      <c r="F45" s="26">
        <f>IFERROR(__xludf.DUMMYFUNCTION("IFERROR(GOOGLEFINANCE(D45,""price"") / index(GOOGLEFINANCE(D45,""price"", datevalue(today()-365) ) , 2,2) - 1,"""")"),0.04175714047102064)</f>
        <v/>
      </c>
      <c r="G45" s="11">
        <f>IFERROR(__xludf.DUMMYFUNCTION("iferror(googlefinance(D45,""marketcap""),"""")/10^6"),127014.756464)</f>
        <v/>
      </c>
      <c r="H45" s="25">
        <f>IFERROR(__xludf.DUMMYFUNCTION("importrange(""https://docs.google.com/spreadsheets/d/1PKkvs4NFYwl4R4yvsfSA-VcPcz_8gWCI9jloSK2IhP0/edit#gid=254823806"",""Summary!B25"")*1000"),60721.112687298584)</f>
        <v/>
      </c>
      <c r="I45" s="26">
        <f>(H45-G45)/G45</f>
        <v/>
      </c>
      <c r="J45" s="26">
        <f>IFERROR(__xludf.DUMMYFUNCTION("importrange(""https://docs.google.com/spreadsheets/d/1PKkvs4NFYwl4R4yvsfSA-VcPcz_8gWCI9jloSK2IhP0/edit#gid=254823806"",""Summary!H2"")"),0.6262382864792504)</f>
        <v/>
      </c>
      <c r="K45" s="26">
        <f>IFERROR(__xludf.DUMMYFUNCTION("importrange(""https://docs.google.com/spreadsheets/d/1PKkvs4NFYwl4R4yvsfSA-VcPcz_8gWCI9jloSK2IhP0/edit#gid=254823806"",""Summary!G18"")"),-0.1616021449738934)</f>
        <v/>
      </c>
      <c r="L45" s="13">
        <f>IFERROR(__xludf.DUMMYFUNCTION("IFERROR(googlefinance(D45,""pe""),"""")"),"")</f>
        <v/>
      </c>
      <c r="M45" s="13">
        <f>IFERROR(__xludf.DUMMYFUNCTION("IFERROR(googlefinance(D45,""beta""),"""")"),"")</f>
        <v/>
      </c>
      <c r="N45" s="29" t="n"/>
      <c r="O45" s="5" t="n"/>
      <c r="P45" s="5" t="n"/>
      <c r="Q45" s="5" t="n"/>
      <c r="R45" s="5" t="n"/>
      <c r="S45" s="5" t="n"/>
    </row>
    <row r="46">
      <c r="A46" s="7">
        <f>A45+1</f>
        <v/>
      </c>
      <c r="B46" s="8">
        <f>HYPERLINK("https://finance.yahoo.com/quote/"&amp;D46, C46)</f>
        <v/>
      </c>
      <c r="C46" s="16" t="inlineStr">
        <is>
          <t>T-Mobile US, Inc.</t>
        </is>
      </c>
      <c r="D46" s="7" t="inlineStr">
        <is>
          <t>TMUS</t>
        </is>
      </c>
      <c r="E46" s="9">
        <f>IFERROR(__xludf.DUMMYFUNCTION("iferror(googlefinance(D46,""price""),"""")"),217.09)</f>
        <v/>
      </c>
      <c r="F46" s="26">
        <f>IFERROR(__xludf.DUMMYFUNCTION("IFERROR(GOOGLEFINANCE(D46,""price"") / index(GOOGLEFINANCE(D46,""price"", datevalue(today()-365) ) , 2,2) - 1,"""")"),-0.20430304585272874)</f>
        <v/>
      </c>
      <c r="G46" s="11">
        <f>IFERROR(__xludf.DUMMYFUNCTION("iferror(googlefinance(D46,""marketcap""),"""")/10^6"),239203.217544)</f>
        <v/>
      </c>
      <c r="H46" s="25" t="n"/>
      <c r="I46" s="26" t="n"/>
      <c r="J46" s="26" t="n"/>
      <c r="K46" s="26" t="n"/>
      <c r="L46" s="13">
        <f>IFERROR(__xludf.DUMMYFUNCTION("IFERROR(googlefinance(D46,""pe""),"""")"),"")</f>
        <v/>
      </c>
      <c r="M46" s="13">
        <f>IFERROR(__xludf.DUMMYFUNCTION("IFERROR(googlefinance(D46,""beta""),"""")"),"")</f>
        <v/>
      </c>
      <c r="N46" s="29" t="n"/>
      <c r="O46" s="5" t="n"/>
      <c r="P46" s="5" t="n"/>
      <c r="Q46" s="5" t="n"/>
      <c r="R46" s="5" t="n"/>
      <c r="S46" s="5" t="n"/>
    </row>
    <row r="47">
      <c r="A47" s="24">
        <f>A46+1</f>
        <v/>
      </c>
      <c r="B47" s="8">
        <f>HYPERLINK("https://finance.yahoo.com/quote/"&amp;D47, C47)</f>
        <v/>
      </c>
      <c r="C47" s="16" t="inlineStr">
        <is>
          <t>Pfizer Inc.</t>
        </is>
      </c>
      <c r="D47" s="7" t="inlineStr">
        <is>
          <t>PFE</t>
        </is>
      </c>
      <c r="E47" s="9">
        <f>IFERROR(__xludf.DUMMYFUNCTION("iferror(googlefinance(D47,""price""),"""")"),27.65)</f>
        <v/>
      </c>
      <c r="F47" s="26">
        <f>IFERROR(__xludf.DUMMYFUNCTION("IFERROR(GOOGLEFINANCE(D47,""price"") / index(GOOGLEFINANCE(D47,""price"", datevalue(today()-365) ) , 2,2) - 1,"""")"),0.05333333333333323)</f>
        <v/>
      </c>
      <c r="G47" s="11">
        <f>IFERROR(__xludf.DUMMYFUNCTION("iferror(googlefinance(D47,""marketcap""),"""")/10^6"),157209.824031)</f>
        <v/>
      </c>
      <c r="H47" s="25">
        <f>IFERROR(__xludf.DUMMYFUNCTION("importrange(""https://docs.google.com/spreadsheets/d/11SV-exCGxMmladm_kNssrzP_5btf3-nnwAh3xCyaL_g/edit#gid=254823806"",""Summary!B27"")*1000"),134501.09718723924)</f>
        <v/>
      </c>
      <c r="I47" s="26">
        <f>(H47-G47)/G47</f>
        <v/>
      </c>
      <c r="J47" s="26">
        <f>IFERROR(__xludf.DUMMYFUNCTION("importrange(""https://docs.google.com/spreadsheets/d/1oN8uGVHIkDbEs0vjYAQFVmfq4DbVF1dUmjRufJfa5kE/edit#gid=254823806"",""Summary!H2"")"),-0.04933333333333328)</f>
        <v/>
      </c>
      <c r="K47" s="26">
        <f>IFERROR(__xludf.DUMMYFUNCTION("importrange(""https://docs.google.com/spreadsheets/d/1oN8uGVHIkDbEs0vjYAQFVmfq4DbVF1dUmjRufJfa5kE/edit#gid=254823806"",""Summary!G18"")"),0.34670813260971195)</f>
        <v/>
      </c>
      <c r="L47" s="13">
        <f>IFERROR(__xludf.DUMMYFUNCTION("IFERROR(googlefinance(D47,""pe""),"""")"),"")</f>
        <v/>
      </c>
      <c r="M47" s="13">
        <f>IFERROR(__xludf.DUMMYFUNCTION("IFERROR(googlefinance(D47,""beta""),"""")"),"")</f>
        <v/>
      </c>
      <c r="N47" s="29" t="n"/>
      <c r="O47" s="5" t="n"/>
      <c r="P47" s="5" t="n"/>
      <c r="Q47" s="5" t="n"/>
      <c r="R47" s="5" t="n"/>
      <c r="S47" s="5" t="n"/>
    </row>
    <row r="48">
      <c r="A48" s="7">
        <f>A47+1</f>
        <v/>
      </c>
      <c r="B48" s="8">
        <f>HYPERLINK("https://finance.yahoo.com/quote/"&amp;D48, C48)</f>
        <v/>
      </c>
      <c r="C48" s="16" t="inlineStr">
        <is>
          <t>AbbVie Inc.</t>
        </is>
      </c>
      <c r="D48" s="7" t="inlineStr">
        <is>
          <t>ABBV</t>
        </is>
      </c>
      <c r="E48" s="9">
        <f>IFERROR(__xludf.DUMMYFUNCTION("iferror(googlefinance(D48,""price""),"""")"),232.08)</f>
        <v/>
      </c>
      <c r="F48" s="26">
        <f>IFERROR(__xludf.DUMMYFUNCTION("IFERROR(GOOGLEFINANCE(D48,""price"") / index(GOOGLEFINANCE(D48,""price"", datevalue(today()-365) ) , 2,2) - 1,"""")"),0.09740873841498021)</f>
        <v/>
      </c>
      <c r="G48" s="11">
        <f>IFERROR(__xludf.DUMMYFUNCTION("iferror(googlefinance(D48,""marketcap""),"""")/10^6"),410356.664757)</f>
        <v/>
      </c>
      <c r="H48" s="25">
        <f>IFERROR(__xludf.DUMMYFUNCTION("importrange(""https://docs.google.com/spreadsheets/d/1Lmha0aFigcxfAAQHBnl381BiKV2pruikPErrfchf7bM/edit#gid=254823806"",""Summary!B25"")*1000"),78350.50416026179)</f>
        <v/>
      </c>
      <c r="I48" s="26">
        <f>(H48-G48)/G48</f>
        <v/>
      </c>
      <c r="J48" s="26">
        <f>IFERROR(__xludf.DUMMYFUNCTION("importrange(""https://docs.google.com/spreadsheets/d/1Lmha0aFigcxfAAQHBnl381BiKV2pruikPErrfchf7bM/edit#gid=254823806"",""Summary!H2"")"),0.22196837611976195)</f>
        <v/>
      </c>
      <c r="K48" s="26">
        <f>IFERROR(__xludf.DUMMYFUNCTION("importrange(""https://docs.google.com/spreadsheets/d/1Lmha0aFigcxfAAQHBnl381BiKV2pruikPErrfchf7bM/edit#gid=254823806"",""Summary!G18"")"),0.19628536285362855)</f>
        <v/>
      </c>
      <c r="L48" s="13">
        <f>IFERROR(__xludf.DUMMYFUNCTION("IFERROR(googlefinance(D48,""pe""),"""")"),"")</f>
        <v/>
      </c>
      <c r="M48" s="13">
        <f>IFERROR(__xludf.DUMMYFUNCTION("IFERROR(googlefinance(D48,""beta""),"""")"),"")</f>
        <v/>
      </c>
      <c r="N48" s="29" t="n"/>
      <c r="O48" s="5" t="n"/>
      <c r="P48" s="5" t="n"/>
      <c r="Q48" s="5" t="n"/>
      <c r="R48" s="5" t="n"/>
      <c r="S48" s="5" t="n"/>
    </row>
    <row r="49">
      <c r="A49" s="21">
        <f>A48+1</f>
        <v/>
      </c>
      <c r="B49" s="8">
        <f>HYPERLINK("https://finance.yahoo.com/quote/"&amp;D49, C49)</f>
        <v/>
      </c>
      <c r="C49" s="16" t="inlineStr">
        <is>
          <t>Merck &amp; Co., Inc.</t>
        </is>
      </c>
      <c r="D49" s="7" t="inlineStr">
        <is>
          <t>MRK</t>
        </is>
      </c>
      <c r="E49" s="9">
        <f>IFERROR(__xludf.DUMMYFUNCTION("iferror(googlefinance(D49,""price""),"""")"),123.82)</f>
        <v/>
      </c>
      <c r="F49" s="26">
        <f>IFERROR(__xludf.DUMMYFUNCTION("IFERROR(GOOGLEFINANCE(D49,""price"") / index(GOOGLEFINANCE(D49,""price"", datevalue(today()-365) ) , 2,2) - 1,"""")"),0.3292538915727321)</f>
        <v/>
      </c>
      <c r="G49" s="11">
        <f>IFERROR(__xludf.DUMMYFUNCTION("iferror(googlefinance(D49,""marketcap""),"""")/10^6"),306131.576685)</f>
        <v/>
      </c>
      <c r="H49" s="25">
        <f>IFERROR(__xludf.DUMMYFUNCTION("importrange(""https://docs.google.com/spreadsheets/d/14Gn_cN5n5NHpurg7-PTOOMSPh6udDbRDZOjcOd1G0L0/edit#gid=254823806"",""Summary!B27"")*1000"),129175.14280474807)</f>
        <v/>
      </c>
      <c r="I49" s="26">
        <f>(H49-G49)/G49</f>
        <v/>
      </c>
      <c r="J49" s="26">
        <f>IFERROR(__xludf.DUMMYFUNCTION("importrange(""https://docs.google.com/spreadsheets/d/14Gn_cN5n5NHpurg7-PTOOMSPh6udDbRDZOjcOd1G0L0/edit#gid=254823806"",""Summary!I2"")"),0.0019431009356453155)</f>
        <v/>
      </c>
      <c r="K49" s="26">
        <f>IFERROR(__xludf.DUMMYFUNCTION("importrange(""https://docs.google.com/spreadsheets/d/14Gn_cN5n5NHpurg7-PTOOMSPh6udDbRDZOjcOd1G0L0/edit#gid=254823806"",""Summary!G18"")"),0.28671299131940775)</f>
        <v/>
      </c>
      <c r="L49" s="13">
        <f>IFERROR(__xludf.DUMMYFUNCTION("IFERROR(googlefinance(D49,""pe""),"""")"),"")</f>
        <v/>
      </c>
      <c r="M49" s="13">
        <f>IFERROR(__xludf.DUMMYFUNCTION("IFERROR(googlefinance(D49,""beta""),"""")"),"")</f>
        <v/>
      </c>
      <c r="N49" s="29" t="n"/>
      <c r="O49" s="5" t="n"/>
      <c r="P49" s="5" t="n"/>
      <c r="Q49" s="5" t="n"/>
      <c r="R49" s="5" t="n"/>
      <c r="S49" s="5" t="n"/>
    </row>
    <row r="50">
      <c r="A50" s="15">
        <f>A49+1</f>
        <v/>
      </c>
      <c r="B50" s="8">
        <f>HYPERLINK("https://finance.yahoo.com/quote/"&amp;D50, C50)</f>
        <v/>
      </c>
      <c r="C50" s="16" t="inlineStr">
        <is>
          <t>The Kroger Co.</t>
        </is>
      </c>
      <c r="D50" s="7" t="inlineStr">
        <is>
          <t>KR</t>
        </is>
      </c>
      <c r="E50" s="9">
        <f>IFERROR(__xludf.DUMMYFUNCTION("iferror(googlefinance(D50,""price""),"""")"),68.24)</f>
        <v/>
      </c>
      <c r="F50" s="26">
        <f>IFERROR(__xludf.DUMMYFUNCTION("IFERROR(GOOGLEFINANCE(D50,""price"") / index(GOOGLEFINANCE(D50,""price"", datevalue(today()-365) ) , 2,2) - 1,"""")"),0.08506916838925105)</f>
        <v/>
      </c>
      <c r="G50" s="11">
        <f>IFERROR(__xludf.DUMMYFUNCTION("iferror(googlefinance(D50,""marketcap""),"""")/10^6"),43185.614408)</f>
        <v/>
      </c>
      <c r="H50" s="25">
        <f>IFERROR(__xludf.DUMMYFUNCTION("importrange(""https://docs.google.com/spreadsheets/d/1j2x-RO8OrHlQoHZHO1fDKUUR3lcU5qiurqfM2Tagy3g/edit#gid=254823806"",""Summary!B25"")*1000"),30024.064512265646)</f>
        <v/>
      </c>
      <c r="I50" s="26">
        <f>(H50-G50)/G50</f>
        <v/>
      </c>
      <c r="J50" s="26">
        <f>IFERROR(__xludf.DUMMYFUNCTION("importrange(""https://docs.google.com/spreadsheets/d/1j2x-RO8OrHlQoHZHO1fDKUUR3lcU5qiurqfM2Tagy3g/edit#gid=254823806"",""Summary!H2"")"),0.1275861504996484)</f>
        <v/>
      </c>
      <c r="K50" s="26">
        <f>IFERROR(__xludf.DUMMYFUNCTION("importrange(""https://docs.google.com/spreadsheets/d/1j2x-RO8OrHlQoHZHO1fDKUUR3lcU5qiurqfM2Tagy3g/edit#gid=254823806"",""Summary!G18"")"),0.025216117428637733)</f>
        <v/>
      </c>
      <c r="L50" s="13">
        <f>IFERROR(__xludf.DUMMYFUNCTION("IFERROR(googlefinance(D50,""pe""),"""")"),"")</f>
        <v/>
      </c>
      <c r="M50" s="13">
        <f>IFERROR(__xludf.DUMMYFUNCTION("IFERROR(googlefinance(D50,""beta""),"""")"),"")</f>
        <v/>
      </c>
      <c r="N50" s="29" t="n"/>
      <c r="O50" s="5" t="n"/>
      <c r="P50" s="5" t="n"/>
      <c r="Q50" s="5" t="n"/>
      <c r="R50" s="5" t="n"/>
      <c r="S50" s="5" t="n"/>
    </row>
    <row r="51">
      <c r="A51" s="7">
        <f>A50+1</f>
        <v/>
      </c>
      <c r="B51" s="8">
        <f>HYPERLINK("https://finance.yahoo.com/quote/"&amp;D51, C51)</f>
        <v/>
      </c>
      <c r="C51" s="16" t="inlineStr">
        <is>
          <t>General Motors Company</t>
        </is>
      </c>
      <c r="D51" s="7" t="inlineStr">
        <is>
          <t>GME</t>
        </is>
      </c>
      <c r="E51" s="9">
        <f>IFERROR(__xludf.DUMMYFUNCTION("iferror(googlefinance(D51,""price""),"""")"),24.03)</f>
        <v/>
      </c>
      <c r="F51" s="26">
        <f>IFERROR(__xludf.DUMMYFUNCTION("IFERROR(GOOGLEFINANCE(D51,""price"") / index(GOOGLEFINANCE(D51,""price"", datevalue(today()-365) ) , 2,2) - 1,"""")"),-0.01516393442622943)</f>
        <v/>
      </c>
      <c r="G51" s="11">
        <f>IFERROR(__xludf.DUMMYFUNCTION("iferror(googlefinance(D51,""marketcap""),"""")/10^6"),10765.668592)</f>
        <v/>
      </c>
      <c r="H51" s="25" t="n"/>
      <c r="I51" s="26" t="n">
        <v>0</v>
      </c>
      <c r="J51" s="26" t="n"/>
      <c r="K51" s="26" t="n"/>
      <c r="L51" s="13">
        <f>IFERROR(__xludf.DUMMYFUNCTION("IFERROR(googlefinance(D51,""pe""),"""")"),"")</f>
        <v/>
      </c>
      <c r="M51" s="13">
        <f>IFERROR(__xludf.DUMMYFUNCTION("IFERROR(googlefinance(D51,""beta""),"""")"),"")</f>
        <v/>
      </c>
      <c r="N51" s="29" t="n"/>
      <c r="O51" s="5" t="n"/>
      <c r="P51" s="5" t="n"/>
      <c r="Q51" s="5" t="n"/>
      <c r="R51" s="5" t="n"/>
      <c r="S51" s="5" t="n"/>
    </row>
    <row r="52">
      <c r="A52" s="7">
        <f>A51+1</f>
        <v/>
      </c>
      <c r="B52" s="8">
        <f>HYPERLINK("https://finance.yahoo.com/quote/"&amp;D52, C52)</f>
        <v/>
      </c>
      <c r="C52" s="16" t="inlineStr">
        <is>
          <t>Globe Life Inc</t>
        </is>
      </c>
      <c r="D52" s="7" t="inlineStr">
        <is>
          <t>GL</t>
        </is>
      </c>
      <c r="E52" s="9">
        <f>IFERROR(__xludf.DUMMYFUNCTION("iferror(googlefinance(D52,""price""),"""")"),145.26)</f>
        <v/>
      </c>
      <c r="F52" s="26">
        <f>IFERROR(__xludf.DUMMYFUNCTION("IFERROR(GOOGLEFINANCE(D52,""price"") / index(GOOGLEFINANCE(D52,""price"", datevalue(today()-365) ) , 2,2) - 1,"""")"),0.12963683023563255)</f>
        <v/>
      </c>
      <c r="G52" s="11">
        <f>IFERROR(__xludf.DUMMYFUNCTION("iferror(googlefinance(D52,""marketcap""),"""")/10^6"),11422.826166)</f>
        <v/>
      </c>
      <c r="H52" s="25" t="n"/>
      <c r="I52" s="26" t="n">
        <v>0</v>
      </c>
      <c r="J52" s="26" t="n"/>
      <c r="K52" s="26" t="n"/>
      <c r="L52" s="13">
        <f>IFERROR(__xludf.DUMMYFUNCTION("IFERROR(googlefinance(D52,""pe""),"""")"),"")</f>
        <v/>
      </c>
      <c r="M52" s="13">
        <f>IFERROR(__xludf.DUMMYFUNCTION("IFERROR(googlefinance(D52,""beta""),"""")"),"")</f>
        <v/>
      </c>
      <c r="N52" s="29" t="n"/>
      <c r="O52" s="5" t="n"/>
      <c r="P52" s="5" t="n"/>
      <c r="Q52" s="5" t="n"/>
      <c r="R52" s="5" t="n"/>
      <c r="S52" s="5" t="n"/>
    </row>
    <row r="53">
      <c r="A53" s="7">
        <f>A52+1</f>
        <v/>
      </c>
      <c r="B53" s="8">
        <f>HYPERLINK("https://finance.yahoo.com/quote/"&amp;D53, C53)</f>
        <v/>
      </c>
      <c r="C53" s="16" t="inlineStr">
        <is>
          <t>Snowflake Inc</t>
        </is>
      </c>
      <c r="D53" s="7" t="inlineStr">
        <is>
          <t>SNOW</t>
        </is>
      </c>
      <c r="E53" s="9">
        <f>IFERROR(__xludf.DUMMYFUNCTION("iferror(googlefinance(D53,""price""),"""")"),168.41)</f>
        <v/>
      </c>
      <c r="F53" s="26">
        <f>IFERROR(__xludf.DUMMYFUNCTION("IFERROR(GOOGLEFINANCE(D53,""price"") / index(GOOGLEFINANCE(D53,""price"", datevalue(today()-365) ) , 2,2) - 1,"""")"),-0.03017564065649303)</f>
        <v/>
      </c>
      <c r="G53" s="11">
        <f>IFERROR(__xludf.DUMMYFUNCTION("iferror(googlefinance(D53,""marketcap""),"""")/10^6"),57629.886412)</f>
        <v/>
      </c>
      <c r="H53" s="25" t="n"/>
      <c r="I53" s="26" t="n">
        <v>0</v>
      </c>
      <c r="J53" s="26" t="n"/>
      <c r="K53" s="26" t="n"/>
      <c r="L53" s="13">
        <f>IFERROR(__xludf.DUMMYFUNCTION("IFERROR(googlefinance(D53,""pe""),"""")"),"")</f>
        <v/>
      </c>
      <c r="M53" s="13">
        <f>IFERROR(__xludf.DUMMYFUNCTION("IFERROR(googlefinance(D53,""beta""),"""")"),"")</f>
        <v/>
      </c>
      <c r="N53" s="29" t="n"/>
      <c r="O53" s="5" t="n"/>
      <c r="P53" s="5" t="n"/>
      <c r="Q53" s="5" t="n"/>
      <c r="R53" s="5" t="n"/>
      <c r="S53" s="5" t="n"/>
    </row>
    <row r="54">
      <c r="A54" s="7">
        <f>A53+1</f>
        <v/>
      </c>
      <c r="B54" s="8">
        <f>HYPERLINK("https://finance.yahoo.com/quote/"&amp;D54, C54)</f>
        <v/>
      </c>
      <c r="C54" s="16" t="inlineStr">
        <is>
          <t>AirBNB</t>
        </is>
      </c>
      <c r="D54" s="7" t="inlineStr">
        <is>
          <t>ABNB</t>
        </is>
      </c>
      <c r="E54" s="9">
        <f>IFERROR(__xludf.DUMMYFUNCTION("iferror(googlefinance(D54,""price""),"""")"),135.11)</f>
        <v/>
      </c>
      <c r="F54" s="26">
        <f>IFERROR(__xludf.DUMMYFUNCTION("IFERROR(GOOGLEFINANCE(D54,""price"") / index(GOOGLEFINANCE(D54,""price"", datevalue(today()-365) ) , 2,2) - 1,"""")"),-0.04163711164704198)</f>
        <v/>
      </c>
      <c r="G54" s="11">
        <f>IFERROR(__xludf.DUMMYFUNCTION("iferror(googlefinance(D54,""marketcap""),"""")/10^6"),82243.3354)</f>
        <v/>
      </c>
      <c r="H54" s="25">
        <f>IFERROR(__xludf.DUMMYFUNCTION("importrange(""https://docs.google.com/spreadsheets/d/1LupNll8EBZR0CxUoQzkZLRitp2lxm5UXiwXAxqniEg4/edit#gid=1608086994"",""ABNB!B34"")*1000"),-2820.06535744982)</f>
        <v/>
      </c>
      <c r="I54" s="26">
        <f>(H54-G54)/G54</f>
        <v/>
      </c>
      <c r="J54" s="26">
        <f>IFERROR(__xludf.DUMMYFUNCTION("importrange(""https://docs.google.com/spreadsheets/d/1LupNll8EBZR0CxUoQzkZLRitp2lxm5UXiwXAxqniEg4/edit#gid=1608086994"",""ABNB!F2"")"),-0.4862356944014848)</f>
        <v/>
      </c>
      <c r="K54" s="26">
        <f>IFERROR(__xludf.DUMMYFUNCTION("importrange(""https://docs.google.com/spreadsheets/d/1LupNll8EBZR0CxUoQzkZLRitp2lxm5UXiwXAxqniEg4/edit#gid=1608086994"",""ABNB!D18"")"),-0.0526534859521332)</f>
        <v/>
      </c>
      <c r="L54" s="13">
        <f>IFERROR(__xludf.DUMMYFUNCTION("IFERROR(googlefinance(D54,""pe""),"""")"),"")</f>
        <v/>
      </c>
      <c r="M54" s="13">
        <f>IFERROR(__xludf.DUMMYFUNCTION("IFERROR(googlefinance(D54,""beta""),"""")"),"")</f>
        <v/>
      </c>
      <c r="N54" s="29" t="n"/>
      <c r="O54" s="5" t="n"/>
      <c r="P54" s="5" t="n"/>
      <c r="Q54" s="5" t="n"/>
      <c r="R54" s="5" t="n"/>
      <c r="S54" s="5" t="n"/>
    </row>
    <row r="55">
      <c r="A55" s="7">
        <f>A54+1</f>
        <v/>
      </c>
      <c r="B55" s="8">
        <f>HYPERLINK("https://finance.yahoo.com/quote/"&amp;D55, C55)</f>
        <v/>
      </c>
      <c r="C55" s="8" t="inlineStr">
        <is>
          <t>Nano-X Imaging Ltd</t>
        </is>
      </c>
      <c r="D55" s="7" t="inlineStr">
        <is>
          <t>NNOX</t>
        </is>
      </c>
      <c r="E55" s="9">
        <f>IFERROR(__xludf.DUMMYFUNCTION("iferror(googlefinance(D55,""price""),"""")"),2.37)</f>
        <v/>
      </c>
      <c r="F55" s="26">
        <f>IFERROR(__xludf.DUMMYFUNCTION("IFERROR(GOOGLEFINANCE(D55,""price"") / index(GOOGLEFINANCE(D55,""price"", datevalue(today()-365) ) , 2,2) - 1,"""")"),-0.584938704028021)</f>
        <v/>
      </c>
      <c r="G55" s="11">
        <f>IFERROR(__xludf.DUMMYFUNCTION("iferror(googlefinance(D55,""marketcap""),"""")/10^6"),164.0263)</f>
        <v/>
      </c>
      <c r="H55" s="25" t="n"/>
      <c r="I55" s="26" t="n">
        <v>0</v>
      </c>
      <c r="J55" s="26" t="n"/>
      <c r="K55" s="26" t="n"/>
      <c r="L55" s="13">
        <f>IFERROR(__xludf.DUMMYFUNCTION("IFERROR(googlefinance(D55,""pe""),"""")"),"")</f>
        <v/>
      </c>
      <c r="M55" s="13">
        <f>IFERROR(__xludf.DUMMYFUNCTION("IFERROR(googlefinance(D55,""beta""),"""")"),"")</f>
        <v/>
      </c>
      <c r="N55" s="29" t="n"/>
      <c r="O55" s="5" t="n"/>
      <c r="P55" s="5" t="n"/>
      <c r="Q55" s="5" t="n"/>
      <c r="R55" s="5" t="n"/>
      <c r="S55" s="5" t="n"/>
    </row>
    <row r="56">
      <c r="A56" s="7">
        <f>A55+1</f>
        <v/>
      </c>
      <c r="B56" s="8">
        <f>HYPERLINK("https://finance.yahoo.com/quote/"&amp;D56, C56)</f>
        <v/>
      </c>
      <c r="C56" s="8" t="inlineStr">
        <is>
          <t>Ozon Holdings</t>
        </is>
      </c>
      <c r="D56" s="8" t="inlineStr">
        <is>
          <t>OZON</t>
        </is>
      </c>
      <c r="E56" s="9">
        <f>IFERROR(__xludf.DUMMYFUNCTION("iferror(googlefinance(D56,""price""),"""")"),"")</f>
        <v/>
      </c>
      <c r="F56" s="26">
        <f>IFERROR(__xludf.DUMMYFUNCTION("IFERROR(GOOGLEFINANCE(D56,""price"") / index(GOOGLEFINANCE(D56,""price"", datevalue(today()-365) ) , 2,2) - 1,"""")"),"")</f>
        <v/>
      </c>
      <c r="G56" s="11">
        <f>IFERROR(__xludf.DUMMYFUNCTION("iferror(googlefinance(D56,""marketcap""),"""")/10^6"),0.0)</f>
        <v/>
      </c>
      <c r="H56" s="25">
        <f>IFERROR(__xludf.DUMMYFUNCTION("importrange(""https://docs.google.com/spreadsheets/d/1LupNll8EBZR0CxUoQzkZLRitp2lxm5UXiwXAxqniEg4/edit#gid=865153574"",""OZON!B34"")*1000"),3382.201132899644)</f>
        <v/>
      </c>
      <c r="I56" s="26">
        <f>(H56-G56)/G56</f>
        <v/>
      </c>
      <c r="J56" s="26">
        <f>IFERROR(__xludf.DUMMYFUNCTION("importrange(""https://docs.google.com/spreadsheets/d/1LupNll8EBZR0CxUoQzkZLRitp2lxm5UXiwXAxqniEg4/edit#gid=865153574"",""OZON!F2"")"),0.3782479840099248)</f>
        <v/>
      </c>
      <c r="K56" s="26">
        <f>IFERROR(__xludf.DUMMYFUNCTION("importrange(""https://docs.google.com/spreadsheets/d/1LupNll8EBZR0CxUoQzkZLRitp2lxm5UXiwXAxqniEg4/edit#gid=865153574"",""OZON!E18"")"),-0.1838582948514715)</f>
        <v/>
      </c>
      <c r="L56" s="13">
        <f>IFERROR(__xludf.DUMMYFUNCTION("IFERROR(googlefinance(D56,""pe""),"""")"),"")</f>
        <v/>
      </c>
      <c r="M56" s="13">
        <f>IFERROR(__xludf.DUMMYFUNCTION("IFERROR(googlefinance(D56,""beta""),"""")"),"")</f>
        <v/>
      </c>
      <c r="N56" s="29" t="n"/>
      <c r="O56" s="5" t="n"/>
      <c r="P56" s="5" t="n"/>
      <c r="Q56" s="5" t="n"/>
      <c r="R56" s="5" t="n"/>
      <c r="S56" s="5" t="n"/>
    </row>
    <row r="57">
      <c r="A57" s="7">
        <f>A56+1</f>
        <v/>
      </c>
      <c r="B57" s="8">
        <f>HYPERLINK("https://finance.yahoo.com/quote/"&amp;D57, C57)</f>
        <v/>
      </c>
      <c r="C57" s="8" t="inlineStr">
        <is>
          <t>DoorDash, Inc.</t>
        </is>
      </c>
      <c r="D57" s="8" t="inlineStr">
        <is>
          <t>DD</t>
        </is>
      </c>
      <c r="E57" s="9">
        <f>IFERROR(__xludf.DUMMYFUNCTION("iferror(googlefinance(D57,""price""),"""")"),50.04)</f>
        <v/>
      </c>
      <c r="F57" s="26">
        <f>IFERROR(__xludf.DUMMYFUNCTION("IFERROR(GOOGLEFINANCE(D57,""price"") / index(GOOGLEFINANCE(D57,""price"", datevalue(today()-365) ) , 2,2) - 1,"""")"),0.5177434030937216)</f>
        <v/>
      </c>
      <c r="G57" s="11">
        <f>IFERROR(__xludf.DUMMYFUNCTION("iferror(googlefinance(D57,""marketcap""),"""")/10^6"),20462.55233)</f>
        <v/>
      </c>
      <c r="H57" s="25">
        <f>IFERROR(__xludf.DUMMYFUNCTION("importrange(""https://docs.google.com/spreadsheets/d/1LupNll8EBZR0CxUoQzkZLRitp2lxm5UXiwXAxqniEg4/edit#gid=1126927364"",""DD!B30"")*1000"),-11995.563401047542)</f>
        <v/>
      </c>
      <c r="I57" s="26">
        <f>(H57-G57)/G57</f>
        <v/>
      </c>
      <c r="J57" s="26">
        <f>IFERROR(__xludf.DUMMYFUNCTION("importrange(""https://docs.google.com/spreadsheets/d/1LupNll8EBZR0CxUoQzkZLRitp2lxm5UXiwXAxqniEg4/edit#gid=1126927364"",""DD!F2"")"),0.8614487117160914)</f>
        <v/>
      </c>
      <c r="K57" s="26">
        <f>IFERROR(__xludf.DUMMYFUNCTION("importrange(""https://docs.google.com/spreadsheets/d/1LupNll8EBZR0CxUoQzkZLRitp2lxm5UXiwXAxqniEg4/edit#gid=1126927364"",""DD!E18"")"),0.0717873926430076)</f>
        <v/>
      </c>
      <c r="L57" s="13">
        <f>IFERROR(__xludf.DUMMYFUNCTION("IFERROR(googlefinance(D57,""pe""),"""")"),"")</f>
        <v/>
      </c>
      <c r="M57" s="13">
        <f>IFERROR(__xludf.DUMMYFUNCTION("IFERROR(googlefinance(D57,""beta""),"""")"),"")</f>
        <v/>
      </c>
      <c r="N57" s="29" t="n"/>
      <c r="O57" s="5" t="n"/>
      <c r="P57" s="5" t="n"/>
      <c r="Q57" s="5" t="n"/>
      <c r="R57" s="5" t="n"/>
      <c r="S57" s="5" t="n"/>
    </row>
    <row r="58">
      <c r="A58" s="15">
        <f>A57+1</f>
        <v/>
      </c>
      <c r="B58" s="8">
        <f>HYPERLINK("https://finance.yahoo.com/quote/"&amp;D58, C58)</f>
        <v/>
      </c>
      <c r="C58" s="8" t="inlineStr">
        <is>
          <t>Alibaba Group Holding Ltd ADR</t>
        </is>
      </c>
      <c r="D58" s="8" t="inlineStr">
        <is>
          <t>BABA</t>
        </is>
      </c>
      <c r="E58" s="9">
        <f>IFERROR(__xludf.DUMMYFUNCTION("iferror(googlefinance(D58,""price""),"""")"),144.11)</f>
        <v/>
      </c>
      <c r="F58" s="26">
        <f>IFERROR(__xludf.DUMMYFUNCTION("IFERROR(GOOGLEFINANCE(D58,""price"") / index(GOOGLEFINANCE(D58,""price"", datevalue(today()-365) ) , 2,2) - 1,"""")"),0.10167418393089211)</f>
        <v/>
      </c>
      <c r="G58" s="11">
        <f>IFERROR(__xludf.DUMMYFUNCTION("E58*importrange(""https://docs.google.com/spreadsheets/d/18wXnZnXLelWNP84oOajcjx739bSr2i1dqUwcRDFtaMk/edit#gid=1602544562"",""Summary!J9"")"),389909.78040000005)</f>
        <v/>
      </c>
      <c r="H58" s="25">
        <f>IFERROR(__xludf.DUMMYFUNCTION("importrange(""https://docs.google.com/spreadsheets/d/18wXnZnXLelWNP84oOajcjx739bSr2i1dqUwcRDFtaMk/edit#gid=1602544562"",""Summary!B32"")"),353530.19442130433)</f>
        <v/>
      </c>
      <c r="I58" s="26">
        <f>(H58-G58)/G58</f>
        <v/>
      </c>
      <c r="J58" s="26">
        <f>IFERROR(__xludf.DUMMYFUNCTION("importrange(""https://docs.google.com/spreadsheets/d/18wXnZnXLelWNP84oOajcjx739bSr2i1dqUwcRDFtaMk/edit#gid=1602544562"",""Summary!M2"")"),941.168)</f>
        <v/>
      </c>
      <c r="K58" s="26">
        <f>IFERROR(__xludf.DUMMYFUNCTION("importrange(""https://docs.google.com/spreadsheets/d/18wXnZnXLelWNP84oOajcjx739bSr2i1dqUwcRDFtaMk/edit#gid=1602544562"",""Summary!K14"")"),0.08163298798914968)</f>
        <v/>
      </c>
      <c r="L58" s="13">
        <f>IFERROR(__xludf.DUMMYFUNCTION("IFERROR(googlefinance(D58,""pe""),"""")"),"")</f>
        <v/>
      </c>
      <c r="M58" s="13">
        <f>IFERROR(__xludf.DUMMYFUNCTION("IFERROR(googlefinance(D58,""beta""),"""")"),"")</f>
        <v/>
      </c>
      <c r="N58" s="29" t="n"/>
      <c r="O58" s="5" t="n"/>
      <c r="P58" s="5" t="n"/>
      <c r="Q58" s="5" t="n"/>
      <c r="R58" s="5" t="n"/>
      <c r="S58" s="5" t="n"/>
    </row>
    <row r="59">
      <c r="A59" s="15">
        <f>A58+1</f>
        <v/>
      </c>
      <c r="B59" s="8">
        <f>HYPERLINK("https://finance.yahoo.com/quote/"&amp;D59, C59)</f>
        <v/>
      </c>
      <c r="C59" s="8" t="inlineStr">
        <is>
          <t>Verizon Communications Inc</t>
        </is>
      </c>
      <c r="D59" s="8" t="inlineStr">
        <is>
          <t>VZ</t>
        </is>
      </c>
      <c r="E59" s="9">
        <f>IFERROR(__xludf.DUMMYFUNCTION("iferror(googlefinance(D59,""price""),"""")"),50.14)</f>
        <v/>
      </c>
      <c r="F59" s="26">
        <f>IFERROR(__xludf.DUMMYFUNCTION("IFERROR(GOOGLEFINANCE(D59,""price"") / index(GOOGLEFINANCE(D59,""price"", datevalue(today()-365) ) , 2,2) - 1,"""")"),0.1429222703441988)</f>
        <v/>
      </c>
      <c r="G59" s="11">
        <f>IFERROR(__xludf.DUMMYFUNCTION("iferror(googlefinance(D59,""marketcap""),"""")/10^6"),211474.673185)</f>
        <v/>
      </c>
      <c r="H59" s="25">
        <f>IFERROR(__xludf.DUMMYFUNCTION("importrange(""https://docs.google.com/spreadsheets/d/1s2M_ltAGS6izvtgc6SVn4ngI84PWAhIzn_dv0RMInIU/edit#gid=1579911573"",""Summary!C18"")"),197185.25680411185)</f>
        <v/>
      </c>
      <c r="I59" s="26">
        <f>(H59-G59)/G59</f>
        <v/>
      </c>
      <c r="J59" s="26">
        <f>IFERROR(__xludf.DUMMYFUNCTION("importrange(""https://docs.google.com/spreadsheets/d/1s2M_ltAGS6izvtgc6SVn4ngI84PWAhIzn_dv0RMInIU/edit#gid=1579911573"",""Summary!H44"")"),0.009710536472404552)</f>
        <v/>
      </c>
      <c r="K59" s="26">
        <f>IFERROR(__xludf.DUMMYFUNCTION("importrange(""https://docs.google.com/spreadsheets/d/1s2M_ltAGS6izvtgc6SVn4ngI84PWAhIzn_dv0RMInIU/edit#gid=1579911573"",""Summary!G54"")"),0.23149363180239288)</f>
        <v/>
      </c>
      <c r="L59" s="13">
        <f>IFERROR(__xludf.DUMMYFUNCTION("IFERROR(googlefinance(D59,""pe""),"""")"),"")</f>
        <v/>
      </c>
      <c r="M59" s="13" t="n"/>
      <c r="N59" s="29" t="n"/>
      <c r="O59" s="5" t="n"/>
      <c r="P59" s="5" t="n"/>
      <c r="Q59" s="5" t="n"/>
      <c r="R59" s="5" t="n"/>
      <c r="S59" s="5" t="n"/>
    </row>
    <row r="60">
      <c r="A60" s="21">
        <f>A59+1</f>
        <v/>
      </c>
      <c r="B60" s="8">
        <f>HYPERLINK("https://finance.yahoo.com/quote/"&amp;D60, C60)</f>
        <v/>
      </c>
      <c r="C60" s="8" t="inlineStr">
        <is>
          <t>POSCO</t>
        </is>
      </c>
      <c r="D60" s="8" t="inlineStr">
        <is>
          <t>PKX</t>
        </is>
      </c>
      <c r="E60" s="9">
        <f>IFERROR(__xludf.DUMMYFUNCTION("iferror(googlefinance(D60,""price""),"""")"),69.59)</f>
        <v/>
      </c>
      <c r="F60" s="26">
        <f>IFERROR(__xludf.DUMMYFUNCTION("IFERROR(GOOGLEFINANCE(D60,""price"") / index(GOOGLEFINANCE(D60,""price"", datevalue(today()-365) ) , 2,2) - 1,"""")"),0.5214254481853957)</f>
        <v/>
      </c>
      <c r="G60" s="11">
        <f>IFERROR(__xludf.DUMMYFUNCTION("iferror(googlefinance(D60,""marketcap""),"""")/10^6"),23114.212898)</f>
        <v/>
      </c>
      <c r="H60" s="25" t="n"/>
      <c r="I60" s="26" t="n">
        <v>0</v>
      </c>
      <c r="J60" s="26" t="n"/>
      <c r="K60" s="26" t="n"/>
      <c r="L60" s="13" t="n"/>
      <c r="M60" s="13" t="n"/>
      <c r="N60" s="29" t="n"/>
      <c r="O60" s="5" t="n"/>
      <c r="P60" s="5" t="n"/>
      <c r="Q60" s="5" t="n"/>
      <c r="R60" s="5" t="n"/>
      <c r="S60" s="5" t="n"/>
    </row>
    <row r="61">
      <c r="A61" s="21">
        <f>A60+1</f>
        <v/>
      </c>
      <c r="B61" s="8">
        <f>HYPERLINK("https://finance.yahoo.com/quote/"&amp;D61, C61)</f>
        <v/>
      </c>
      <c r="C61" s="8" t="inlineStr">
        <is>
          <t>Chevron Corp</t>
        </is>
      </c>
      <c r="D61" s="8" t="inlineStr">
        <is>
          <t>CVX</t>
        </is>
      </c>
      <c r="E61" s="9">
        <f>IFERROR(__xludf.DUMMYFUNCTION("iferror(googlefinance(D61,""price""),"""")"),186.76)</f>
        <v/>
      </c>
      <c r="F61" s="26">
        <f>IFERROR(__xludf.DUMMYFUNCTION("IFERROR(GOOGLEFINANCE(D61,""price"") / index(GOOGLEFINANCE(D61,""price"", datevalue(today()-365) ) , 2,2) - 1,"""")"),0.219935985368084)</f>
        <v/>
      </c>
      <c r="G61" s="11">
        <f>IFERROR(__xludf.DUMMYFUNCTION("iferror(googlefinance(D61,""marketcap""),"""")/10^6"),372658.091639)</f>
        <v/>
      </c>
      <c r="H61" s="25">
        <f>IFERROR(__xludf.DUMMYFUNCTION("importrange(""https://docs.google.com/spreadsheets/d/1D0UrAGo7_Xn5F11kLcw58eM9AUUwte6YDSCpw6-idzw/edit?gid=1513331917"",""Summary!B43"")*1000"),151973.10968923886)</f>
        <v/>
      </c>
      <c r="I61" s="26">
        <f>(H61-G61)/G61</f>
        <v/>
      </c>
      <c r="J61" s="26">
        <f>IFERROR(__xludf.DUMMYFUNCTION("importrange(""https://docs.google.com/spreadsheets/d/1D0UrAGo7_Xn5F11kLcw58eM9AUUwte6YDSCpw6-idzw/edit?gid=1513331917"",""Summary!H19"")"),0.11253801960121662)</f>
        <v/>
      </c>
      <c r="K61" s="26" t="n"/>
      <c r="L61" s="13">
        <f>IFERROR(__xludf.DUMMYFUNCTION("IFERROR(googlefinance(D61,""pe""),"""")"),"")</f>
        <v/>
      </c>
      <c r="M61" s="13">
        <f>IFERROR(__xludf.DUMMYFUNCTION("IFERROR(googlefinance(D61,""beta""),"""")"),"")</f>
        <v/>
      </c>
      <c r="N61" s="29" t="n"/>
      <c r="O61" s="5" t="n"/>
      <c r="P61" s="5" t="n"/>
      <c r="Q61" s="5" t="n"/>
      <c r="R61" s="5" t="n"/>
      <c r="S61" s="5" t="n"/>
    </row>
    <row r="62">
      <c r="A62" s="7">
        <f>A61+1</f>
        <v/>
      </c>
      <c r="B62" s="8">
        <f>HYPERLINK("https://finance.yahoo.com/quote/"&amp;D62, C62)</f>
        <v/>
      </c>
      <c r="C62" s="8" t="inlineStr">
        <is>
          <t>The E W Scripps Co Class A</t>
        </is>
      </c>
      <c r="D62" s="8" t="inlineStr">
        <is>
          <t>SSP</t>
        </is>
      </c>
      <c r="E62" s="9">
        <f>IFERROR(__xludf.DUMMYFUNCTION("iferror(googlefinance(D62,""price""),"""")"),4.15)</f>
        <v/>
      </c>
      <c r="F62" s="26">
        <f>IFERROR(__xludf.DUMMYFUNCTION("IFERROR(GOOGLEFINANCE(D62,""price"") / index(GOOGLEFINANCE(D62,""price"", datevalue(today()-365) ) , 2,2) - 1,"""")"),1.842465753424658)</f>
        <v/>
      </c>
      <c r="G62" s="11">
        <f>IFERROR(__xludf.DUMMYFUNCTION("iferror(googlefinance(D62,""marketcap""),"""")/10^6"),368.528889)</f>
        <v/>
      </c>
      <c r="H62" s="25" t="n"/>
      <c r="I62" s="26" t="n">
        <v>0</v>
      </c>
      <c r="J62" s="26" t="n"/>
      <c r="K62" s="26" t="n"/>
      <c r="L62" s="13" t="n"/>
      <c r="M62" s="13">
        <f>IFERROR(__xludf.DUMMYFUNCTION("IFERROR(googlefinance(D62,""beta""),"""")"),"")</f>
        <v/>
      </c>
      <c r="N62" s="29" t="n"/>
      <c r="O62" s="5" t="n"/>
      <c r="P62" s="5" t="n"/>
      <c r="Q62" s="5" t="n"/>
      <c r="R62" s="5" t="n"/>
      <c r="S62" s="5" t="n"/>
    </row>
    <row r="63">
      <c r="A63" s="7">
        <f>A62+1</f>
        <v/>
      </c>
      <c r="B63" s="8">
        <f>HYPERLINK("https://finance.yahoo.com/quote/"&amp;D63, C63)</f>
        <v/>
      </c>
      <c r="C63" s="8" t="inlineStr">
        <is>
          <t>Marsh &amp; McLennan Companies Inc</t>
        </is>
      </c>
      <c r="D63" s="8" t="inlineStr">
        <is>
          <t>MMC</t>
        </is>
      </c>
      <c r="E63" s="9">
        <f>IFERROR(__xludf.DUMMYFUNCTION("iferror(googlefinance(D63,""price""),"""")"),"")</f>
        <v/>
      </c>
      <c r="F63" s="26">
        <f>IFERROR(__xludf.DUMMYFUNCTION("IFERROR(GOOGLEFINANCE(D63,""price"") / index(GOOGLEFINANCE(D63,""price"", datevalue(today()-365) ) , 2,2) - 1,"""")"),"")</f>
        <v/>
      </c>
      <c r="G63" s="11">
        <f>IFERROR(__xludf.DUMMYFUNCTION("iferror(googlefinance(D63,""marketcap""),"""")/10^6"),0.0)</f>
        <v/>
      </c>
      <c r="H63" s="25" t="n"/>
      <c r="I63" s="26" t="n">
        <v>0</v>
      </c>
      <c r="J63" s="26" t="n"/>
      <c r="K63" s="26" t="n"/>
      <c r="L63" s="13" t="n"/>
      <c r="M63" s="13">
        <f>IFERROR(__xludf.DUMMYFUNCTION("IFERROR(googlefinance(D63,""beta""),"""")"),"")</f>
        <v/>
      </c>
      <c r="N63" s="29" t="n"/>
      <c r="O63" s="5" t="n"/>
      <c r="P63" s="5" t="n"/>
      <c r="Q63" s="5" t="n"/>
      <c r="R63" s="5" t="n"/>
      <c r="S63" s="5" t="n"/>
    </row>
    <row r="64">
      <c r="A64" s="7">
        <f>A63+1</f>
        <v/>
      </c>
      <c r="B64" s="8">
        <f>HYPERLINK("https://finance.yahoo.com/quote/"&amp;D64, C64)</f>
        <v/>
      </c>
      <c r="C64" s="8" t="inlineStr">
        <is>
          <t>Segezha Group</t>
        </is>
      </c>
      <c r="D64" s="8" t="n"/>
      <c r="E64" s="9">
        <f>IFERROR(__xludf.DUMMYFUNCTION("iferror(googlefinance(D64,""price""),"""")"),"")</f>
        <v/>
      </c>
      <c r="F64" s="26">
        <f>IFERROR(__xludf.DUMMYFUNCTION("IFERROR(GOOGLEFINANCE(D64,""price"") / index(GOOGLEFINANCE(D64,""price"", datevalue(today()-365) ) , 2,2) - 1,"""")"),"")</f>
        <v/>
      </c>
      <c r="G64" s="11">
        <f>IFERROR(__xludf.DUMMYFUNCTION("importrange(""https://docs.google.com/spreadsheets/d/1jU-MirNEtnSxLLg8W-onD3ZzFvcJwcUyUn9TIvxZtjU/edit#gid=134408949"",""Summary!C34"")"),122.38499999999999)</f>
        <v/>
      </c>
      <c r="H64" s="25">
        <f>IFERROR(__xludf.DUMMYFUNCTION("importrange(""https://docs.google.com/spreadsheets/d/1jU-MirNEtnSxLLg8W-onD3ZzFvcJwcUyUn9TIvxZtjU/edit#gid=134408949"",""Summary!C32"")"),167.07162639677608)</f>
        <v/>
      </c>
      <c r="I64" s="26">
        <f>(H64-G64)/G64</f>
        <v/>
      </c>
      <c r="J64" s="26">
        <f>IFERROR(__xludf.DUMMYFUNCTION("importrange(""https://docs.google.com/spreadsheets/d/1jU-MirNEtnSxLLg8W-onD3ZzFvcJwcUyUn9TIvxZtjU/edit#gid=134408949"",""Summary!J2"")"),0.1794871794871795)</f>
        <v/>
      </c>
      <c r="K64" s="26">
        <f>IFERROR(__xludf.DUMMYFUNCTION("importrange(""https://docs.google.com/spreadsheets/d/1jU-MirNEtnSxLLg8W-onD3ZzFvcJwcUyUn9TIvxZtjU/edit#gid=134408949"",""Summary!I16"")"),0.16182608695652173)</f>
        <v/>
      </c>
      <c r="L64" s="13" t="n"/>
      <c r="M64" s="13">
        <f>IFERROR(__xludf.DUMMYFUNCTION("IFERROR(googlefinance(D64,""beta""),"""")"),"")</f>
        <v/>
      </c>
      <c r="N64" s="29" t="n"/>
      <c r="O64" s="5" t="n"/>
      <c r="P64" s="5" t="n"/>
      <c r="Q64" s="5" t="n"/>
      <c r="R64" s="5" t="n"/>
      <c r="S64" s="5" t="n"/>
    </row>
    <row r="65">
      <c r="A65" s="7">
        <f>A64+1</f>
        <v/>
      </c>
      <c r="B65" s="8">
        <f>HYPERLINK("https://finance.yahoo.com/quote/"&amp;D65, C65)</f>
        <v/>
      </c>
      <c r="C65" s="8" t="inlineStr">
        <is>
          <t>Elaton Group Plc</t>
        </is>
      </c>
      <c r="D65" s="8" t="inlineStr">
        <is>
          <t>ETLN</t>
        </is>
      </c>
      <c r="E65" s="9">
        <f>IFERROR(__xludf.DUMMYFUNCTION("iferror(googlefinance(D65,""price""),"""")"),0.0)</f>
        <v/>
      </c>
      <c r="F65" s="26">
        <f>IFERROR(__xludf.DUMMYFUNCTION("IFERROR(GOOGLEFINANCE(D65,""price"") / index(GOOGLEFINANCE(D65,""price"", datevalue(today()-365) ) , 2,2) - 1,"""")"),"")</f>
        <v/>
      </c>
      <c r="G65" s="11" t="n"/>
      <c r="H65" s="25" t="n"/>
      <c r="I65" s="26" t="n">
        <v>0</v>
      </c>
      <c r="J65" s="26" t="n"/>
      <c r="K65" s="26" t="n"/>
      <c r="L65" s="13" t="n"/>
      <c r="M65" s="13">
        <f>IFERROR(__xludf.DUMMYFUNCTION("IFERROR(googlefinance(D65,""beta""),"""")"),"")</f>
        <v/>
      </c>
      <c r="N65" s="29" t="n"/>
      <c r="O65" s="5" t="n"/>
      <c r="P65" s="5" t="n"/>
      <c r="Q65" s="5" t="n"/>
      <c r="R65" s="5" t="n"/>
      <c r="S65" s="5" t="n"/>
    </row>
    <row r="66">
      <c r="A66" s="15">
        <f>A65+1</f>
        <v/>
      </c>
      <c r="B66" s="8">
        <f>HYPERLINK("https://finance.yahoo.com/quote/"&amp;D66, C66)</f>
        <v/>
      </c>
      <c r="C66" s="8" t="inlineStr">
        <is>
          <t>Wise plc</t>
        </is>
      </c>
      <c r="D66" s="8" t="inlineStr">
        <is>
          <t>WISE.L</t>
        </is>
      </c>
      <c r="E66" s="9">
        <f>IFERROR(__xludf.DUMMYFUNCTION("iferror(googlefinance(D66,""price""),"""")"),"")</f>
        <v/>
      </c>
      <c r="F66" s="26">
        <f>IFERROR(__xludf.DUMMYFUNCTION("IFERROR(GOOGLEFINANCE(D66,""price"") / index(GOOGLEFINANCE(D66,""price"", datevalue(today()-365) ) , 2,2) - 1,"""")"),"")</f>
        <v/>
      </c>
      <c r="G66" s="11">
        <f>IFERROR(__xludf.DUMMYFUNCTION("importrange(""https://docs.google.com/spreadsheets/d/11C3zL8Lqn71AMKui3dRgPghYoFUIcpycZSsaYmD_Gsg/edit#gid=254823806"",""Summary!B26"")"),7.704400000000001)</f>
        <v/>
      </c>
      <c r="H66" s="25">
        <f>IFERROR(__xludf.DUMMYFUNCTION("importrange(""https://docs.google.com/spreadsheets/d/11C3zL8Lqn71AMKui3dRgPghYoFUIcpycZSsaYmD_Gsg/edit#gid=254823806"",""Summary!B25"")"),11.452207994905798)</f>
        <v/>
      </c>
      <c r="I66" s="26">
        <f>(H66-G66)/G66</f>
        <v/>
      </c>
      <c r="J66" s="26">
        <f>IFERROR(__xludf.DUMMYFUNCTION("importrange(""https://docs.google.com/spreadsheets/d/11C3zL8Lqn71AMKui3dRgPghYoFUIcpycZSsaYmD_Gsg/edit#gid=254823806"",""Summary!H2"")"),0.25312868949232575)</f>
        <v/>
      </c>
      <c r="K66" s="26">
        <f>IFERROR(__xludf.DUMMYFUNCTION("importrange(""https://docs.google.com/spreadsheets/d/11C3zL8Lqn71AMKui3dRgPghYoFUIcpycZSsaYmD_Gsg/edit#gid=254823806"",""Summary!D18"")"),0.09762470308788598)</f>
        <v/>
      </c>
      <c r="L66" s="13" t="n"/>
      <c r="M66" s="13">
        <f>IFERROR(__xludf.DUMMYFUNCTION("IFERROR(googlefinance(D66,""beta""),"""")"),"")</f>
        <v/>
      </c>
      <c r="N66" s="29" t="n"/>
      <c r="O66" s="5" t="n"/>
      <c r="P66" s="5" t="n"/>
      <c r="Q66" s="5" t="n"/>
      <c r="R66" s="5" t="n"/>
      <c r="S66" s="5" t="n"/>
    </row>
    <row r="67">
      <c r="A67" s="21">
        <f>A66+1</f>
        <v/>
      </c>
      <c r="B67" s="8">
        <f>HYPERLINK("https://finance.yahoo.com/quote/"&amp;D67, C67)</f>
        <v/>
      </c>
      <c r="C67" s="8" t="inlineStr">
        <is>
          <t>Coinbase Global Inc Ordinary Shares - Class A - Stock Quote</t>
        </is>
      </c>
      <c r="D67" s="8" t="inlineStr">
        <is>
          <t>COIN</t>
        </is>
      </c>
      <c r="E67" s="9">
        <f>IFERROR(__xludf.DUMMYFUNCTION("iferror(googlefinance(D67,""price""),"""")"),175.85)</f>
        <v/>
      </c>
      <c r="F67" s="26">
        <f>IFERROR(__xludf.DUMMYFUNCTION("IFERROR(GOOGLEFINANCE(D67,""price"") / index(GOOGLEFINANCE(D67,""price"", datevalue(today()-365) ) , 2,2) - 1,"""")"),-0.145321992709599)</f>
        <v/>
      </c>
      <c r="G67" s="11">
        <f>IFERROR(__xludf.DUMMYFUNCTION("iferror(googlefinance(D67,""marketcap""),"""")/10^6"),46437.607946)</f>
        <v/>
      </c>
      <c r="H67" s="25">
        <f>IFERROR(__xludf.DUMMYFUNCTION("importrange(""https://docs.google.com/spreadsheets/d/1Su6GwjWTshoYV5M4DYz6MZVzzpMhsogTV4mioI8emKc/edit#gid=254823806"",""Summary!B25"")*1000"),0.0)</f>
        <v/>
      </c>
      <c r="I67" s="26">
        <f>(H67-G67)/G67</f>
        <v/>
      </c>
      <c r="J67" s="26">
        <f>IFERROR(__xludf.DUMMYFUNCTION("importrange(""https://docs.google.com/spreadsheets/d/1Su6GwjWTshoYV5M4DYz6MZVzzpMhsogTV4mioI8emKc/edit#gid=254823806"",""Summary!F2"")"),3.108)</f>
        <v/>
      </c>
      <c r="K67" s="26">
        <f>IFERROR(__xludf.DUMMYFUNCTION("importrange(""https://docs.google.com/spreadsheets/d/1Su6GwjWTshoYV5M4DYz6MZVzzpMhsogTV4mioI8emKc/edit#gid=254823806"",""Summary!E18"")"),-0.5565250469630558)</f>
        <v/>
      </c>
      <c r="L67" s="13">
        <f>IFERROR(__xludf.DUMMYFUNCTION("IFERROR(googlefinance(D67,""pe""),"""")"),"")</f>
        <v/>
      </c>
      <c r="M67" s="13">
        <f>IFERROR(__xludf.DUMMYFUNCTION("IFERROR(googlefinance(D67,""beta""),"""")"),"")</f>
        <v/>
      </c>
      <c r="N67" s="29" t="n"/>
      <c r="O67" s="5" t="n"/>
      <c r="P67" s="5" t="n"/>
      <c r="Q67" s="5" t="n"/>
      <c r="R67" s="5" t="n"/>
      <c r="S67" s="5" t="n"/>
    </row>
    <row r="68" ht="18" customHeight="1" s="57">
      <c r="A68" s="21">
        <f>A67+1</f>
        <v/>
      </c>
      <c r="B68" s="8">
        <f>HYPERLINK("https://finance.yahoo.com/quote/"&amp;D68, C68)</f>
        <v/>
      </c>
      <c r="C68" s="8" t="inlineStr">
        <is>
          <t>Ally Financial Inc.</t>
        </is>
      </c>
      <c r="D68" s="8" t="inlineStr">
        <is>
          <t>ALLY</t>
        </is>
      </c>
      <c r="E68" s="9">
        <f>IFERROR(__xludf.DUMMYFUNCTION("iferror(googlefinance(D68,""price""),"""")"),39.44)</f>
        <v/>
      </c>
      <c r="F68" s="26">
        <f>IFERROR(__xludf.DUMMYFUNCTION("IFERROR(GOOGLEFINANCE(D68,""price"") / index(GOOGLEFINANCE(D68,""price"", datevalue(today()-365) ) , 2,2) - 1,"""")"),0.12013632490769655)</f>
        <v/>
      </c>
      <c r="G68" s="11">
        <f>IFERROR(__xludf.DUMMYFUNCTION("iferror(googlefinance(D68,""marketcap""),"""")/10^6"),12190.576223)</f>
        <v/>
      </c>
      <c r="H68" s="25">
        <f>IFERROR(__xludf.DUMMYFUNCTION("importrange(""https://docs.google.com/spreadsheets/d/1f_Jzu9pXiiSiiKEQUwtTFdX08DOB9GKdGgfSvPnCqxM/edit#gid=254823806"",""Summary!B25"")*1000"),27766.70100247309)</f>
        <v/>
      </c>
      <c r="I68" s="26">
        <f>(H68-G68)/G68</f>
        <v/>
      </c>
      <c r="J68" s="26">
        <f>IFERROR(__xludf.DUMMYFUNCTION("importrange(""https://docs.google.com/spreadsheets/d/1f_Jzu9pXiiSiiKEQUwtTFdX08DOB9GKdGgfSvPnCqxM/edit#gid=254823806"",""Summary!H2"")"),0.028230713068873124)</f>
        <v/>
      </c>
      <c r="K68" s="26">
        <f>IFERROR(__xludf.DUMMYFUNCTION("importrange(""https://docs.google.com/spreadsheets/d/1f_Jzu9pXiiSiiKEQUwtTFdX08DOB9GKdGgfSvPnCqxM/edit#gid=254823806"",""Summary!G18"")"),0.4371597633136095)</f>
        <v/>
      </c>
      <c r="L68" s="13">
        <f>IFERROR(__xludf.DUMMYFUNCTION("IFERROR(googlefinance(D68,""pe""),"""")"),"")</f>
        <v/>
      </c>
      <c r="M68" s="13">
        <f>IFERROR(__xludf.DUMMYFUNCTION("IFERROR(googlefinance(D68,""beta""),"""")"),"")</f>
        <v/>
      </c>
      <c r="N68" s="29" t="n"/>
      <c r="O68" s="5" t="n"/>
      <c r="P68" s="5" t="n"/>
      <c r="Q68" s="5" t="n"/>
      <c r="R68" s="5" t="n"/>
      <c r="S68" s="5" t="n"/>
    </row>
    <row r="69" ht="18" customHeight="1" s="57">
      <c r="A69" s="21">
        <f>A68+1</f>
        <v/>
      </c>
      <c r="B69" s="8">
        <f>HYPERLINK("https://finance.yahoo.com/quote/"&amp;D69, C69)</f>
        <v/>
      </c>
      <c r="C69" s="8" t="inlineStr">
        <is>
          <t>Celanese Corporation</t>
        </is>
      </c>
      <c r="D69" s="8" t="inlineStr">
        <is>
          <t>CE</t>
        </is>
      </c>
      <c r="E69" s="9">
        <f>IFERROR(__xludf.DUMMYFUNCTION("iferror(googlefinance(D69,""price""),"""")"),49.94)</f>
        <v/>
      </c>
      <c r="F69" s="26">
        <f>IFERROR(__xludf.DUMMYFUNCTION("IFERROR(GOOGLEFINANCE(D69,""price"") / index(GOOGLEFINANCE(D69,""price"", datevalue(today()-365) ) , 2,2) - 1,"""")"),0.062101233517651844)</f>
        <v/>
      </c>
      <c r="G69" s="11">
        <f>IFERROR(__xludf.DUMMYFUNCTION("iferror(googlefinance(D69,""marketcap""),"""")/10^6"),5472.020535)</f>
        <v/>
      </c>
      <c r="H69" s="25">
        <f>IFERROR(__xludf.DUMMYFUNCTION("importrange(""https://docs.google.com/spreadsheets/d/1Fanf8gqdVakniENbQR3f6zZtBUSq0HtMFYxPGHvZhhI/edit#gid=254823806"",""Summary!B25"")*1000"),10978.491092661574)</f>
        <v/>
      </c>
      <c r="I69" s="26">
        <f>(H69-G69)/G69</f>
        <v/>
      </c>
      <c r="J69" s="26">
        <f>IFERROR(__xludf.DUMMYFUNCTION("importrange(""https://docs.google.com/spreadsheets/d/1Fanf8gqdVakniENbQR3f6zZtBUSq0HtMFYxPGHvZhhI/edit#gid=254823806"",""Summary!H2"")"),0.0866815040412321)</f>
        <v/>
      </c>
      <c r="K69" s="26">
        <f>IFERROR(__xludf.DUMMYFUNCTION("importrange(""https://docs.google.com/spreadsheets/d/1Fanf8gqdVakniENbQR3f6zZtBUSq0HtMFYxPGHvZhhI/edit#gid=254823806"",""Summary!G18"")"),0.2646329632424275)</f>
        <v/>
      </c>
      <c r="L69" s="13">
        <f>IFERROR(__xludf.DUMMYFUNCTION("IFERROR(googlefinance(D69,""pe""),"""")"),"")</f>
        <v/>
      </c>
      <c r="M69" s="13">
        <f>IFERROR(__xludf.DUMMYFUNCTION("IFERROR(googlefinance(D69,""beta""),"""")"),"")</f>
        <v/>
      </c>
      <c r="N69" s="29" t="n"/>
      <c r="O69" s="5" t="n"/>
      <c r="P69" s="5" t="n"/>
      <c r="Q69" s="5" t="n"/>
      <c r="R69" s="5" t="n"/>
      <c r="S69" s="5" t="n"/>
    </row>
    <row r="70" ht="18" customHeight="1" s="57">
      <c r="A70" s="21">
        <f>A69+1</f>
        <v/>
      </c>
      <c r="B70" s="8">
        <f>HYPERLINK("https://finance.yahoo.com/quote/"&amp;D70, C70)</f>
        <v/>
      </c>
      <c r="C70" s="8" t="inlineStr">
        <is>
          <t>Paramount Global</t>
        </is>
      </c>
      <c r="D70" s="8" t="inlineStr">
        <is>
          <t>PARA</t>
        </is>
      </c>
      <c r="E70" s="9">
        <f>IFERROR(__xludf.DUMMYFUNCTION("iferror(googlefinance(D70,""price""),"""")"),"")</f>
        <v/>
      </c>
      <c r="F70" s="26">
        <f>IFERROR(__xludf.DUMMYFUNCTION("IFERROR(GOOGLEFINANCE(D70,""price"") / index(GOOGLEFINANCE(D70,""price"", datevalue(today()-365) ) , 2,2) - 1,"""")"),"")</f>
        <v/>
      </c>
      <c r="G70" s="11">
        <f>IFERROR(__xludf.DUMMYFUNCTION("iferror(googlefinance(D70,""marketcap""),"""")/10^6"),0.0)</f>
        <v/>
      </c>
      <c r="H70" s="25">
        <f>IFERROR(__xludf.DUMMYFUNCTION("importrange(""https://docs.google.com/spreadsheets/d/1wvZQWyHqlMg08UNd26ujkZyRTp2yIJKEq1fCghrvFHM/edit#gid=254823806"",""Summary!B25"")*1000"),25485.34541262419)</f>
        <v/>
      </c>
      <c r="I70" s="26">
        <f>(H70-G70)/G70</f>
        <v/>
      </c>
      <c r="J70" s="26">
        <f>IFERROR(__xludf.DUMMYFUNCTION("importrange(""https://docs.google.com/spreadsheets/d/1wvZQWyHqlMg08UNd26ujkZyRTp2yIJKEq1fCghrvFHM/edit#gid=254823806"",""Summary!H2"")"),-0.04768492897989312)</f>
        <v/>
      </c>
      <c r="K70" s="26">
        <f>IFERROR(__xludf.DUMMYFUNCTION("importrange(""https://docs.google.com/spreadsheets/d/1wvZQWyHqlMg08UNd26ujkZyRTp2yIJKEq1fCghrvFHM/edit#gid=254823806"",""Summary!G18"")"),0.43786924939467314)</f>
        <v/>
      </c>
      <c r="L70" s="13">
        <f>IFERROR(__xludf.DUMMYFUNCTION("IFERROR(googlefinance(D70,""pe""),"""")"),"")</f>
        <v/>
      </c>
      <c r="M70" s="13">
        <f>IFERROR(__xludf.DUMMYFUNCTION("IFERROR(googlefinance(D70,""beta""),"""")"),"")</f>
        <v/>
      </c>
      <c r="N70" s="29" t="n"/>
      <c r="O70" s="5" t="n"/>
      <c r="P70" s="5" t="n"/>
      <c r="Q70" s="5" t="n"/>
      <c r="R70" s="5" t="n"/>
      <c r="S70" s="5" t="n"/>
    </row>
    <row r="71">
      <c r="A71" s="21">
        <f>A70+1</f>
        <v/>
      </c>
      <c r="B71" s="8">
        <f>HYPERLINK("https://finance.yahoo.com/quote/"&amp;D71, C71)</f>
        <v/>
      </c>
      <c r="C71" s="8" t="inlineStr">
        <is>
          <t>Markel Corporation</t>
        </is>
      </c>
      <c r="D71" s="8" t="inlineStr">
        <is>
          <t>MKL</t>
        </is>
      </c>
      <c r="E71" s="9">
        <f>IFERROR(__xludf.DUMMYFUNCTION("iferror(googlefinance(D71,""price""),"""")"),2072.47)</f>
        <v/>
      </c>
      <c r="F71" s="26">
        <f>IFERROR(__xludf.DUMMYFUNCTION("IFERROR(GOOGLEFINANCE(D71,""price"") / index(GOOGLEFINANCE(D71,""price"", datevalue(today()-365) ) , 2,2) - 1,"""")"),0.08022162455174708)</f>
        <v/>
      </c>
      <c r="G71" s="11">
        <f>IFERROR(__xludf.DUMMYFUNCTION("iferror(googlefinance(D71,""marketcap""),"""")/10^6"),26092.376206)</f>
        <v/>
      </c>
      <c r="H71" s="25">
        <f>IFERROR(__xludf.DUMMYFUNCTION("importrange(""https://docs.google.com/spreadsheets/d/1PbR9WKj3KQAFiIxPRhAZBzf_n1_MWKzDvgKboQnr7bU/edit#gid=254823806"",""Summary!B25"")*1000"),8029.072955584091)</f>
        <v/>
      </c>
      <c r="I71" s="26">
        <f>(H71-G71)/G71</f>
        <v/>
      </c>
      <c r="J71" s="26">
        <f>IFERROR(__xludf.DUMMYFUNCTION("importrange(""https://docs.google.com/spreadsheets/d/1PbR9WKj3KQAFiIxPRhAZBzf_n1_MWKzDvgKboQnr7bU/edit#gid=254823806"",""Summary!H2"")"),-0.020556234539852815)</f>
        <v/>
      </c>
      <c r="K71" s="26">
        <f>IFERROR(__xludf.DUMMYFUNCTION("importrange(""https://docs.google.com/spreadsheets/d/1PbR9WKj3KQAFiIxPRhAZBzf_n1_MWKzDvgKboQnr7bU/edit#gid=254823806"",""Summary!G18"")"),0.18472941720025474)</f>
        <v/>
      </c>
      <c r="L71" s="13">
        <f>IFERROR(__xludf.DUMMYFUNCTION("IFERROR(googlefinance(D71,""pe""),"""")"),"")</f>
        <v/>
      </c>
      <c r="M71" s="13">
        <f>IFERROR(__xludf.DUMMYFUNCTION("IFERROR(googlefinance(D71,""beta""),"""")"),"")</f>
        <v/>
      </c>
      <c r="N71" s="29" t="n"/>
      <c r="O71" s="5" t="n"/>
      <c r="P71" s="5" t="n"/>
      <c r="Q71" s="5" t="n"/>
      <c r="R71" s="5" t="n"/>
      <c r="S71" s="5" t="n"/>
    </row>
    <row r="72">
      <c r="A72" s="21">
        <f>A71+1</f>
        <v/>
      </c>
      <c r="B72" s="8">
        <f>HYPERLINK("https://finance.yahoo.com/quote/"&amp;D72, C72)</f>
        <v/>
      </c>
      <c r="C72" s="8" t="inlineStr">
        <is>
          <t>McKesson Corporation</t>
        </is>
      </c>
      <c r="D72" s="8" t="inlineStr">
        <is>
          <t>MCK</t>
        </is>
      </c>
      <c r="E72" s="9">
        <f>IFERROR(__xludf.DUMMYFUNCTION("iferror(googlefinance(D72,""price""),"""")"),987.37)</f>
        <v/>
      </c>
      <c r="F72" s="26">
        <f>IFERROR(__xludf.DUMMYFUNCTION("IFERROR(GOOGLEFINANCE(D72,""price"") / index(GOOGLEFINANCE(D72,""price"", datevalue(today()-365) ) , 2,2) - 1,"""")"),0.5319224861527005)</f>
        <v/>
      </c>
      <c r="G72" s="11">
        <f>IFERROR(__xludf.DUMMYFUNCTION("iferror(googlefinance(D72,""marketcap""),"""")/10^6"),120940.383539)</f>
        <v/>
      </c>
      <c r="H72" s="25">
        <f>IFERROR(__xludf.DUMMYFUNCTION("importrange(""https://docs.google.com/spreadsheets/d/1zt6-MZSWh25h7jG4V610KioqWf37FAqPrfKMpjCURpw/edit#gid=254823806"",""Summary!B25"")*1000"),38484.70010900521)</f>
        <v/>
      </c>
      <c r="I72" s="26">
        <f>(H72-G72)/G72</f>
        <v/>
      </c>
      <c r="J72" s="26">
        <f>IFERROR(__xludf.DUMMYFUNCTION("importrange(""https://docs.google.com/spreadsheets/d/1zt6-MZSWh25h7jG4V610KioqWf37FAqPrfKMpjCURpw/edit#gid=254823806"",""Summary!G2"")"),0.10803935725439494)</f>
        <v/>
      </c>
      <c r="K72" s="26">
        <f>IFERROR(__xludf.DUMMYFUNCTION("importrange(""https://docs.google.com/spreadsheets/d/1zt6-MZSWh25h7jG4V610KioqWf37FAqPrfKMpjCURpw/edit#gid=254823806"",""Summary!F18"")"),0.0073039709659577364)</f>
        <v/>
      </c>
      <c r="L72" s="13">
        <f>IFERROR(__xludf.DUMMYFUNCTION("IFERROR(googlefinance(D72,""pe""),"""")"),"")</f>
        <v/>
      </c>
      <c r="M72" s="13">
        <f>IFERROR(__xludf.DUMMYFUNCTION("IFERROR(googlefinance(D72,""beta""),"""")"),"")</f>
        <v/>
      </c>
      <c r="N72" s="29" t="n"/>
      <c r="O72" s="5" t="n"/>
      <c r="P72" s="5" t="n"/>
      <c r="Q72" s="5" t="n"/>
      <c r="R72" s="5" t="n"/>
      <c r="S72" s="5" t="n"/>
    </row>
    <row r="73" ht="18" customHeight="1" s="57">
      <c r="A73" s="15">
        <f>A72+1</f>
        <v/>
      </c>
      <c r="B73" s="8">
        <f>HYPERLINK("https://finance.yahoo.com/quote/"&amp;D73, C73)</f>
        <v/>
      </c>
      <c r="C73" s="8" t="inlineStr">
        <is>
          <t>NVDIA</t>
        </is>
      </c>
      <c r="D73" s="8" t="inlineStr">
        <is>
          <t>NVDA</t>
        </is>
      </c>
      <c r="E73" s="9">
        <f>IFERROR(__xludf.DUMMYFUNCTION("iferror(googlefinance(D73,""price""),"""")"),177.19)</f>
        <v/>
      </c>
      <c r="F73" s="26">
        <f>IFERROR(__xludf.DUMMYFUNCTION("IFERROR(GOOGLEFINANCE(D73,""price"") / index(GOOGLEFINANCE(D73,""price"", datevalue(today()-365) ) , 2,2) - 1,"""")"),0.5534806242328598)</f>
        <v/>
      </c>
      <c r="G73" s="11">
        <f>IFERROR(__xludf.DUMMYFUNCTION("iferror(googlefinance(D73,""marketcap""),"""")/10^6"),4305717.0)</f>
        <v/>
      </c>
      <c r="H73" s="25">
        <f>IFERROR(__xludf.DUMMYFUNCTION("importrange(""https://docs.google.com/spreadsheets/d/1xz4QVVw6eAJJPxzKhqgOCGtx5P_w0ajl78rdYcFlRZM/edit?usp=sharing"",""Summary!C28"")"),3169036.9422701094)</f>
        <v/>
      </c>
      <c r="I73" s="26">
        <f>(H73-G73)/G73</f>
        <v/>
      </c>
      <c r="J73" s="26">
        <f>IFERROR(__xludf.DUMMYFUNCTION("importrange(""https://docs.google.com/spreadsheets/d/1xz4QVVw6eAJJPxzKhqgOCGtx5P_w0ajl78rdYcFlRZM/edit?usp=sharing"",""Summary!J7"")"),1.1420340763599357)</f>
        <v/>
      </c>
      <c r="K73" s="25" t="n"/>
      <c r="L73" s="13">
        <f>IFERROR(__xludf.DUMMYFUNCTION("IFERROR(googlefinance(D73,""pe""),"""")"),"")</f>
        <v/>
      </c>
      <c r="M73" s="13">
        <f>IFERROR(__xludf.DUMMYFUNCTION("IFERROR(googlefinance(D73,""beta""),"""")"),"")</f>
        <v/>
      </c>
      <c r="N73" s="29" t="n"/>
      <c r="O73" s="5" t="n"/>
      <c r="P73" s="5" t="n"/>
      <c r="Q73" s="5" t="n"/>
      <c r="R73" s="5" t="n"/>
      <c r="S73" s="5" t="n"/>
    </row>
    <row r="74" ht="18" customHeight="1" s="57">
      <c r="A74" s="15">
        <f>A73+1</f>
        <v/>
      </c>
      <c r="B74" s="8">
        <f>HYPERLINK("https://finance.yahoo.com/quote/"&amp;D74, C74)</f>
        <v/>
      </c>
      <c r="C74" s="8" t="inlineStr">
        <is>
          <t>STZ</t>
        </is>
      </c>
      <c r="D74" s="8" t="inlineStr">
        <is>
          <t>STZ</t>
        </is>
      </c>
      <c r="E74" s="9">
        <f>IFERROR(__xludf.DUMMYFUNCTION("iferror(googlefinance(D74,""price""),"""")"),157.86)</f>
        <v/>
      </c>
      <c r="F74" s="26">
        <f>IFERROR(__xludf.DUMMYFUNCTION("IFERROR(GOOGLEFINANCE(D74,""price"") / index(GOOGLEFINANCE(D74,""price"", datevalue(today()-365) ) , 2,2) - 1,"""")"),-0.09938384299406655)</f>
        <v/>
      </c>
      <c r="G74" s="11">
        <f>IFERROR(__xludf.DUMMYFUNCTION("iferror(googlefinance(D74,""marketcap""),"""")/10^6"),27374.628993)</f>
        <v/>
      </c>
      <c r="H74" s="25">
        <f>IFERROR(__xludf.DUMMYFUNCTION("importrange(""https://docs.google.com/spreadsheets/d/1wXUxPs_ekZAd3ic7Nbhf8YE-qk6wcB7VPJvwAvLgbV8/edit?usp=sharing"",""Summary!C28"")*1000"),20454.9308688541)</f>
        <v/>
      </c>
      <c r="I74" s="26">
        <f>(H74-G74)/G74</f>
        <v/>
      </c>
      <c r="J74" s="26">
        <f>IFERROR(__xludf.DUMMYFUNCTION("importrange(""https://docs.google.com/spreadsheets/d/1wXUxPs_ekZAd3ic7Nbhf8YE-qk6wcB7VPJvwAvLgbV8/edit?usp=sharing"",""Summary!N6"")"),0.024899598393574227)</f>
        <v/>
      </c>
      <c r="K74" s="25" t="n"/>
      <c r="L74" s="13">
        <f>IFERROR(__xludf.DUMMYFUNCTION("IFERROR(googlefinance(D74,""pe""),"""")"),"")</f>
        <v/>
      </c>
      <c r="M74" s="13">
        <f>IFERROR(__xludf.DUMMYFUNCTION("IFERROR(googlefinance(D74,""beta""),"""")"),"")</f>
        <v/>
      </c>
      <c r="N74" s="29" t="n"/>
      <c r="O74" s="5" t="n"/>
      <c r="P74" s="5" t="n"/>
      <c r="Q74" s="5" t="n"/>
      <c r="R74" s="5" t="n"/>
      <c r="S74" s="5" t="n"/>
    </row>
    <row r="75" ht="18" customHeight="1" s="57">
      <c r="A75" s="15">
        <f>A74+1</f>
        <v/>
      </c>
      <c r="B75" s="8">
        <f>HYPERLINK("https://finance.yahoo.com/quote/"&amp;D75, C75)</f>
        <v/>
      </c>
      <c r="C75" s="8" t="inlineStr">
        <is>
          <t>POOL</t>
        </is>
      </c>
      <c r="D75" s="8" t="inlineStr">
        <is>
          <t>POOL</t>
        </is>
      </c>
      <c r="E75" s="9">
        <f>IFERROR(__xludf.DUMMYFUNCTION("iferror(googlefinance(D75,""price""),"""")"),227.18)</f>
        <v/>
      </c>
      <c r="F75" s="26">
        <f>IFERROR(__xludf.DUMMYFUNCTION("IFERROR(GOOGLEFINANCE(D75,""price"") / index(GOOGLEFINANCE(D75,""price"", datevalue(today()-365) ) , 2,2) - 1,"""")"),-0.33993840432331923)</f>
        <v/>
      </c>
      <c r="G75" s="11">
        <f>IFERROR(__xludf.DUMMYFUNCTION("iferror(googlefinance(D75,""marketcap""),"""")/10^6"),8462.336593)</f>
        <v/>
      </c>
      <c r="H75" s="25">
        <f>IFERROR(__xludf.DUMMYFUNCTION("importrange(""https://docs.google.com/spreadsheets/d/1AjHA3YbkgHW1O9Dt-6Buiwed8NsU2S933D9cwB0cVIg/edit?usp=sharing"",""Summary!C28"")*1000"),5529.193475848641)</f>
        <v/>
      </c>
      <c r="I75" s="26">
        <f>(H75-G75)/G75</f>
        <v/>
      </c>
      <c r="J75" s="26">
        <f>IFERROR(__xludf.DUMMYFUNCTION("importrange(""https://docs.google.com/spreadsheets/d/1AjHA3YbkgHW1O9Dt-6Buiwed8NsU2S933D9cwB0cVIg/edit?usp=sharing"",""Summary!H6"")"),0.016757672754660217)</f>
        <v/>
      </c>
      <c r="K75" s="25" t="n"/>
      <c r="L75" s="13">
        <f>IFERROR(__xludf.DUMMYFUNCTION("IFERROR(googlefinance(D75,""pe""),"""")"),"")</f>
        <v/>
      </c>
      <c r="M75" s="13">
        <f>IFERROR(__xludf.DUMMYFUNCTION("IFERROR(googlefinance(D75,""beta""),"""")"),"")</f>
        <v/>
      </c>
      <c r="N75" s="29" t="n"/>
      <c r="O75" s="5" t="n"/>
      <c r="P75" s="5" t="n"/>
      <c r="Q75" s="5" t="n"/>
      <c r="R75" s="5" t="n"/>
      <c r="S75" s="5" t="n"/>
    </row>
    <row r="76">
      <c r="A76" s="15">
        <f>A75+1</f>
        <v/>
      </c>
      <c r="B76" s="8">
        <f>HYPERLINK("https://finance.yahoo.com/quote/"&amp;D76, C76)</f>
        <v/>
      </c>
      <c r="C76" s="8" t="inlineStr">
        <is>
          <t>CRCL</t>
        </is>
      </c>
      <c r="D76" s="8" t="inlineStr">
        <is>
          <t>CRCL</t>
        </is>
      </c>
      <c r="E76" s="9">
        <f>IFERROR(__xludf.DUMMYFUNCTION("iferror(googlefinance(D76,""price""),"""")"),83.44)</f>
        <v/>
      </c>
      <c r="F76" s="26">
        <f>IFERROR(__xludf.DUMMYFUNCTION("IFERROR(GOOGLEFINANCE(D76,""price"") / index(GOOGLEFINANCE(D76,""price"", datevalue(today()-90) ) , 2,2) - 1,"""")"),0.07747933884297531)</f>
        <v/>
      </c>
      <c r="G76" s="11">
        <f>IFERROR(__xludf.DUMMYFUNCTION("iferror(googlefinance(D76,""marketcap""),"""")/10^6"),19648.084638)</f>
        <v/>
      </c>
      <c r="H76" s="25" t="n"/>
      <c r="I76" s="26">
        <f>(H76-G76)/G76</f>
        <v/>
      </c>
      <c r="J76" s="26">
        <f>IFERROR(__xludf.DUMMYFUNCTION("importrange(""https://docs.google.com/spreadsheets/d/1PbR9WKj3KQAFiIxPRhAZBzf_n1_MWKzDvgKboQnr7bU/edit#gid=254823806"",""Summary!H2"")"),-0.020556234539852815)</f>
        <v/>
      </c>
      <c r="K76" s="26">
        <f>IFERROR(__xludf.DUMMYFUNCTION("importrange(""https://docs.google.com/spreadsheets/d/1PbR9WKj3KQAFiIxPRhAZBzf_n1_MWKzDvgKboQnr7bU/edit#gid=254823806"",""Summary!G18"")"),0.18472941720025474)</f>
        <v/>
      </c>
      <c r="L76" s="13">
        <f>IFERROR(__xludf.DUMMYFUNCTION("IFERROR(googlefinance(D76,""pe""),"""")"),"")</f>
        <v/>
      </c>
      <c r="M76" s="13">
        <f>IFERROR(__xludf.DUMMYFUNCTION("IFERROR(googlefinance(D76,""beta""),"""")"),"")</f>
        <v/>
      </c>
      <c r="N76" s="29" t="n"/>
      <c r="O76" s="5" t="n"/>
      <c r="P76" s="5" t="n"/>
      <c r="Q76" s="5" t="n"/>
      <c r="R76" s="5" t="n"/>
      <c r="S76" s="5" t="n"/>
    </row>
    <row r="77">
      <c r="A77" s="15">
        <f>A76+1</f>
        <v/>
      </c>
      <c r="B77" s="8">
        <f>HYPERLINK("https://finance.yahoo.com/quote/"&amp;D77, C77)</f>
        <v/>
      </c>
      <c r="C77" s="8" t="inlineStr">
        <is>
          <t>LEN</t>
        </is>
      </c>
      <c r="D77" s="8" t="inlineStr">
        <is>
          <t>LEN</t>
        </is>
      </c>
      <c r="E77" s="9">
        <f>IFERROR(__xludf.DUMMYFUNCTION("iferror(googlefinance(D77,""price""),"""")"),114.36)</f>
        <v/>
      </c>
      <c r="F77" s="26">
        <f>IFERROR(__xludf.DUMMYFUNCTION("IFERROR(GOOGLEFINANCE(D77,""price"") / index(GOOGLEFINANCE(D77,""price"", datevalue(today()-365) ) , 2,2) - 1,"""")"),-0.030272195370134924)</f>
        <v/>
      </c>
      <c r="G77" s="11">
        <f>IFERROR(__xludf.DUMMYFUNCTION("iferror(googlefinance(D77,""marketcap""),"""")/10^6"),28032.152069)</f>
        <v/>
      </c>
      <c r="H77" s="25">
        <f>IFERROR(__xludf.DUMMYFUNCTION("importrange(""https://docs.google.com/spreadsheets/d/1PSz-z1Lv-gZ1WOwdTZ8qAxUigZaO9b52l0_4wx34KIs/edit?gid=2118916648#gid=2118916648&amp;range=B28"",""Summary!B28"")*1000"),35428.35395575847)</f>
        <v/>
      </c>
      <c r="I77" s="26">
        <f>(H77-G77)/G77</f>
        <v/>
      </c>
      <c r="J77" s="26">
        <f>IFERROR(__xludf.DUMMYFUNCTION("importrange(""https://docs.google.com/spreadsheets/d/1zt6-MZSWh25h7jG4V610KioqWf37FAqPrfKMpjCURpw/edit#gid=254823806"",""Summary!G2"")"),0.10803935725439494)</f>
        <v/>
      </c>
      <c r="K77" s="26">
        <f>IFERROR(__xludf.DUMMYFUNCTION("importrange(""https://docs.google.com/spreadsheets/d/1zt6-MZSWh25h7jG4V610KioqWf37FAqPrfKMpjCURpw/edit#gid=254823806"",""Summary!F18"")"),0.0073039709659577364)</f>
        <v/>
      </c>
      <c r="L77" s="13">
        <f>IFERROR(__xludf.DUMMYFUNCTION("IFERROR(googlefinance(D77,""pe""),"""")"),"")</f>
        <v/>
      </c>
      <c r="M77" s="13">
        <f>IFERROR(__xludf.DUMMYFUNCTION("IFERROR(googlefinance(D77,""beta""),"""")"),"")</f>
        <v/>
      </c>
      <c r="N77" s="29" t="n"/>
      <c r="O77" s="5" t="n"/>
      <c r="P77" s="5" t="n"/>
      <c r="Q77" s="5" t="n"/>
      <c r="R77" s="5" t="n"/>
      <c r="S77" s="5" t="n"/>
    </row>
    <row r="78">
      <c r="A78" s="21">
        <f>A77+1</f>
        <v/>
      </c>
      <c r="B78" s="8">
        <f>HYPERLINK("https://finance.yahoo.com/quote/"&amp;D78, C78)</f>
        <v/>
      </c>
      <c r="C78" s="32" t="inlineStr">
        <is>
          <t>DHI</t>
        </is>
      </c>
      <c r="D78" s="32" t="inlineStr">
        <is>
          <t>DHI</t>
        </is>
      </c>
      <c r="E78" s="9">
        <f>IFERROR(__xludf.DUMMYFUNCTION("iferror(googlefinance(D78,""price""),"""")"),160.39)</f>
        <v/>
      </c>
      <c r="F78" s="26">
        <f>IFERROR(__xludf.DUMMYFUNCTION("IFERROR(GOOGLEFINANCE(D78,""price"") / index(GOOGLEFINANCE(D78,""price"", datevalue(today()-365) ) , 2,2) - 1,"""")"),0.27617759388924235)</f>
        <v/>
      </c>
      <c r="G78" s="11">
        <f>IFERROR(__xludf.DUMMYFUNCTION("iferror(googlefinance(D78,""marketcap""),"""")/10^6"),46465.528149)</f>
        <v/>
      </c>
      <c r="H78" s="25">
        <f>IFERROR(__xludf.DUMMYFUNCTION("importrange(""https://docs.google.com/spreadsheets/d/1PSz-z1Lv-gZ1WOwdTZ8qAxUigZaO9b52l0_4wx34KIs/edit?gid=2118916648#gid=2118916648&amp;range=B28"",""Summary!B28"")*1000"),35428.35395575847)</f>
        <v/>
      </c>
      <c r="I78" s="29" t="n"/>
      <c r="J78" s="29" t="n"/>
      <c r="K78" s="29" t="n"/>
      <c r="L78" s="13">
        <f>IFERROR(__xludf.DUMMYFUNCTION("IFERROR(googlefinance(D78,""pe""),"""")"),"")</f>
        <v/>
      </c>
      <c r="M78" s="13">
        <f>IFERROR(__xludf.DUMMYFUNCTION("IFERROR(googlefinance(D78,""beta""),"""")"),"")</f>
        <v/>
      </c>
      <c r="N78" s="29" t="n"/>
      <c r="O78" s="5" t="n"/>
      <c r="P78" s="5" t="n"/>
      <c r="Q78" s="5" t="n"/>
      <c r="R78" s="5" t="n"/>
      <c r="S78" s="5" t="n"/>
    </row>
    <row r="79">
      <c r="A79" s="21">
        <f>A78+1</f>
        <v/>
      </c>
      <c r="B79" s="8">
        <f>HYPERLINK("https://finance.yahoo.com/quote/"&amp;D79, C79)</f>
        <v/>
      </c>
      <c r="C79" s="32" t="inlineStr">
        <is>
          <t>NUE</t>
        </is>
      </c>
      <c r="D79" s="32" t="inlineStr">
        <is>
          <t>NUE</t>
        </is>
      </c>
      <c r="E79" s="9">
        <f>IFERROR(__xludf.DUMMYFUNCTION("iferror(googlefinance(D79,""price""),"""")"),176.88)</f>
        <v/>
      </c>
      <c r="F79" s="26">
        <f>IFERROR(__xludf.DUMMYFUNCTION("IFERROR(GOOGLEFINANCE(D79,""price"") / index(GOOGLEFINANCE(D79,""price"", datevalue(today()-365) ) , 2,2) - 1,"""")"),0.31931080778697707)</f>
        <v/>
      </c>
      <c r="G79" s="11">
        <f>IFERROR(__xludf.DUMMYFUNCTION("iferror(googlefinance(D79,""marketcap""),"""")/10^6"),40288.77236)</f>
        <v/>
      </c>
      <c r="H79" s="25">
        <f>IFERROR(__xludf.DUMMYFUNCTION("importrange(""https://docs.google.com/spreadsheets/d/1PSz-z1Lv-gZ1WOwdTZ8qAxUigZaO9b52l0_4wx34KIs/edit?gid=2118916648#gid=2118916648&amp;range=B28"",""Summary!B28"")*1000"),35428.35395575847)</f>
        <v/>
      </c>
      <c r="I79" s="29" t="n"/>
      <c r="J79" s="29" t="n"/>
      <c r="K79" s="29" t="n"/>
      <c r="L79" s="13">
        <f>IFERROR(__xludf.DUMMYFUNCTION("IFERROR(googlefinance(D79,""pe""),"""")"),"")</f>
        <v/>
      </c>
      <c r="M79" s="13">
        <f>IFERROR(__xludf.DUMMYFUNCTION("IFERROR(googlefinance(D79,""beta""),"""")"),"")</f>
        <v/>
      </c>
      <c r="N79" s="29" t="n"/>
      <c r="O79" s="5" t="n"/>
      <c r="P79" s="5" t="n"/>
      <c r="Q79" s="5" t="n"/>
      <c r="R79" s="5" t="n"/>
      <c r="S79" s="5" t="n"/>
    </row>
    <row r="80">
      <c r="A80" s="21">
        <f>A79+1</f>
        <v/>
      </c>
      <c r="B80" s="8">
        <f>HYPERLINK("https://finance.yahoo.com/quote/"&amp;D80, C80)</f>
        <v/>
      </c>
      <c r="C80" s="32" t="inlineStr">
        <is>
          <t>UNH</t>
        </is>
      </c>
      <c r="D80" s="32" t="inlineStr">
        <is>
          <t>UNH</t>
        </is>
      </c>
      <c r="E80" s="9">
        <f>IFERROR(__xludf.DUMMYFUNCTION("iferror(googlefinance(D80,""price""),"""")"),293.27)</f>
        <v/>
      </c>
      <c r="F80" s="26">
        <f>IFERROR(__xludf.DUMMYFUNCTION("IFERROR(GOOGLEFINANCE(D80,""price"") / index(GOOGLEFINANCE(D80,""price"", datevalue(today()-365) ) , 2,2) - 1,"""")"),-0.3720800770795418)</f>
        <v/>
      </c>
      <c r="G80" s="11">
        <f>IFERROR(__xludf.DUMMYFUNCTION("iferror(googlefinance(D80,""marketcap""),"""")/10^6"),265655.27627)</f>
        <v/>
      </c>
      <c r="H80" s="25">
        <f>IFERROR(__xludf.DUMMYFUNCTION("importrange(""https://docs.google.com/spreadsheets/d/1FjIVEcih8zxcZhJICjNCjhvohqB0dWGFE_KZsagtJAk/edit?gid=2118916648#gid=2118916648&amp;range=B28"",""Summary!B28"")*1000"),263282.37240960484)</f>
        <v/>
      </c>
      <c r="I80" s="26">
        <f>(H80-G80)/G80</f>
        <v/>
      </c>
      <c r="J80" s="29" t="n"/>
      <c r="K80" s="29" t="n"/>
      <c r="L80" s="13">
        <f>IFERROR(__xludf.DUMMYFUNCTION("IFERROR(googlefinance(D80,""pe""),"""")"),"")</f>
        <v/>
      </c>
      <c r="M80" s="13">
        <f>IFERROR(__xludf.DUMMYFUNCTION("IFERROR(googlefinance(D80,""beta""),"""")"),"")</f>
        <v/>
      </c>
      <c r="N80" s="29" t="n"/>
      <c r="O80" s="5" t="n"/>
      <c r="P80" s="5" t="n"/>
      <c r="Q80" s="5" t="n"/>
      <c r="R80" s="5" t="n"/>
      <c r="S80" s="5" t="n"/>
    </row>
    <row r="81">
      <c r="A81" s="21">
        <f>A80+1</f>
        <v/>
      </c>
      <c r="B81" s="8">
        <f>HYPERLINK("https://finance.yahoo.com/quote/"&amp;D81, C81)</f>
        <v/>
      </c>
      <c r="C81" s="32" t="inlineStr">
        <is>
          <t>DPZ</t>
        </is>
      </c>
      <c r="D81" s="32" t="inlineStr">
        <is>
          <t>DPZ</t>
        </is>
      </c>
      <c r="E81" s="9">
        <f>IFERROR(__xludf.DUMMYFUNCTION("iferror(googlefinance(D81,""price""),"""")"),402.51)</f>
        <v/>
      </c>
      <c r="F81" s="26">
        <f>IFERROR(__xludf.DUMMYFUNCTION("IFERROR(GOOGLEFINANCE(D81,""price"") / index(GOOGLEFINANCE(D81,""price"", datevalue(today()-365) ) , 2,2) - 1,"""")"),-0.16805836881484848)</f>
        <v/>
      </c>
      <c r="G81" s="11">
        <f>IFERROR(__xludf.DUMMYFUNCTION("iferror(googlefinance(D81,""marketcap""),"""")/10^6"),13535.964842)</f>
        <v/>
      </c>
      <c r="I81" s="29" t="n"/>
      <c r="J81" s="29" t="n"/>
      <c r="K81" s="29" t="n"/>
      <c r="L81" s="13">
        <f>IFERROR(__xludf.DUMMYFUNCTION("IFERROR(googlefinance(D81,""pe""),"""")"),"")</f>
        <v/>
      </c>
      <c r="M81" s="13">
        <f>IFERROR(__xludf.DUMMYFUNCTION("IFERROR(googlefinance(D81,""beta""),"""")"),"")</f>
        <v/>
      </c>
      <c r="N81" s="29" t="n"/>
      <c r="O81" s="5" t="n"/>
      <c r="P81" s="5" t="n"/>
      <c r="Q81" s="5" t="n"/>
      <c r="R81" s="5" t="n"/>
      <c r="S81" s="5" t="n"/>
    </row>
    <row r="82">
      <c r="A82" s="21">
        <f>A81+1</f>
        <v/>
      </c>
      <c r="B82" s="8">
        <f>HYPERLINK("https://finance.yahoo.com/quote/"&amp;D82, C82)</f>
        <v/>
      </c>
      <c r="C82" s="32" t="inlineStr">
        <is>
          <t>SIRI</t>
        </is>
      </c>
      <c r="D82" s="32" t="inlineStr">
        <is>
          <t>SIRI</t>
        </is>
      </c>
      <c r="E82" s="9">
        <f>IFERROR(__xludf.DUMMYFUNCTION("iferror(googlefinance(D82,""price""),"""")"),21.96)</f>
        <v/>
      </c>
      <c r="F82" s="26">
        <f>IFERROR(__xludf.DUMMYFUNCTION("IFERROR(GOOGLEFINANCE(D82,""price"") / index(GOOGLEFINANCE(D82,""price"", datevalue(today()-365) ) , 2,2) - 1,"""")"),-0.08652246256239593)</f>
        <v/>
      </c>
      <c r="G82" s="11">
        <f>IFERROR(__xludf.DUMMYFUNCTION("iferror(googlefinance(D82,""marketcap""),"""")/10^6"),7351.612577)</f>
        <v/>
      </c>
      <c r="H82" s="25">
        <f>IFERROR(__xludf.DUMMYFUNCTION("importrange(""https://docs.google.com/spreadsheets/d/1PSz-z1Lv-gZ1WOwdTZ8qAxUigZaO9b52l0_4wx34KIs/edit?gid=2118916648#gid=2118916648&amp;range=B28"",""Summary!B28"")*1000"),35428.35395575847)</f>
        <v/>
      </c>
      <c r="I82" s="29" t="n"/>
      <c r="J82" s="29" t="n"/>
      <c r="K82" s="29" t="n"/>
      <c r="L82" s="13">
        <f>IFERROR(__xludf.DUMMYFUNCTION("IFERROR(googlefinance(D82,""pe""),"""")"),"")</f>
        <v/>
      </c>
      <c r="M82" s="13">
        <f>IFERROR(__xludf.DUMMYFUNCTION("IFERROR(googlefinance(D82,""beta""),"""")"),"")</f>
        <v/>
      </c>
      <c r="N82" s="29" t="n"/>
      <c r="O82" s="5" t="n"/>
      <c r="P82" s="5" t="n"/>
      <c r="Q82" s="5" t="n"/>
      <c r="R82" s="5" t="n"/>
      <c r="S82" s="5" t="n"/>
    </row>
    <row r="83">
      <c r="A83" s="21">
        <f>A82+1</f>
        <v/>
      </c>
      <c r="B83" s="8">
        <f>HYPERLINK("https://finance.yahoo.com/quote/"&amp;D83, C83)</f>
        <v/>
      </c>
      <c r="C83" s="32" t="inlineStr">
        <is>
          <t>LAMR</t>
        </is>
      </c>
      <c r="D83" s="32" t="inlineStr">
        <is>
          <t>LAMR</t>
        </is>
      </c>
      <c r="E83" s="9">
        <f>IFERROR(__xludf.DUMMYFUNCTION("iferror(googlefinance(D83,""price""),"""")"),137.74)</f>
        <v/>
      </c>
      <c r="F83" s="26">
        <f>IFERROR(__xludf.DUMMYFUNCTION("IFERROR(GOOGLEFINANCE(D83,""price"") / index(GOOGLEFINANCE(D83,""price"", datevalue(today()-365) ) , 2,2) - 1,"""")"),0.10714572783538312)</f>
        <v/>
      </c>
      <c r="G83" s="11">
        <f>IFERROR(__xludf.DUMMYFUNCTION("iferror(googlefinance(D83,""marketcap""),"""")/10^6"),13952.139698)</f>
        <v/>
      </c>
      <c r="H83" s="25">
        <f>IFERROR(__xludf.DUMMYFUNCTION("importrange(""https://docs.google.com/spreadsheets/d/1PSz-z1Lv-gZ1WOwdTZ8qAxUigZaO9b52l0_4wx34KIs/edit?gid=2118916648#gid=2118916648&amp;range=B28"",""Summary!B28"")*1000"),35428.35395575847)</f>
        <v/>
      </c>
      <c r="I83" s="29" t="n"/>
      <c r="J83" s="29" t="n"/>
      <c r="K83" s="29" t="n"/>
      <c r="L83" s="13">
        <f>IFERROR(__xludf.DUMMYFUNCTION("IFERROR(googlefinance(D83,""pe""),"""")"),"")</f>
        <v/>
      </c>
      <c r="M83" s="13">
        <f>IFERROR(__xludf.DUMMYFUNCTION("IFERROR(googlefinance(D83,""beta""),"""")"),"")</f>
        <v/>
      </c>
      <c r="N83" s="29" t="n"/>
      <c r="O83" s="5" t="n"/>
      <c r="P83" s="5" t="n"/>
      <c r="Q83" s="5" t="n"/>
      <c r="R83" s="5" t="n"/>
      <c r="S83" s="5" t="n"/>
    </row>
    <row r="84">
      <c r="A84" s="21">
        <f>A83+1</f>
        <v/>
      </c>
      <c r="B84" s="8">
        <f>HYPERLINK("https://finance.yahoo.com/quote/"&amp;D84, C84)</f>
        <v/>
      </c>
      <c r="C84" s="32" t="inlineStr">
        <is>
          <t>ALLE</t>
        </is>
      </c>
      <c r="D84" s="32" t="inlineStr">
        <is>
          <t>ALLE</t>
        </is>
      </c>
      <c r="E84" s="9">
        <f>IFERROR(__xludf.DUMMYFUNCTION("iferror(googlefinance(D84,""price""),"""")"),161.15)</f>
        <v/>
      </c>
      <c r="F84" s="26">
        <f>IFERROR(__xludf.DUMMYFUNCTION("IFERROR(GOOGLEFINANCE(D84,""price"") / index(GOOGLEFINANCE(D84,""price"", datevalue(today()-365) ) , 2,2) - 1,"""")"),0.27371166613974074)</f>
        <v/>
      </c>
      <c r="G84" s="11">
        <f>IFERROR(__xludf.DUMMYFUNCTION("iferror(googlefinance(D84,""marketcap""),"""")/10^6"),13882.346799)</f>
        <v/>
      </c>
      <c r="H84" s="25">
        <f>IFERROR(__xludf.DUMMYFUNCTION("importrange(""https://docs.google.com/spreadsheets/d/1PSz-z1Lv-gZ1WOwdTZ8qAxUigZaO9b52l0_4wx34KIs/edit?gid=2118916648#gid=2118916648&amp;range=B28"",""Summary!B28"")*1000"),35428.35395575847)</f>
        <v/>
      </c>
      <c r="I84" s="29" t="n"/>
      <c r="J84" s="29" t="n"/>
      <c r="K84" s="29" t="n"/>
      <c r="L84" s="13">
        <f>IFERROR(__xludf.DUMMYFUNCTION("IFERROR(googlefinance(D84,""pe""),"""")"),"")</f>
        <v/>
      </c>
      <c r="M84" s="13">
        <f>IFERROR(__xludf.DUMMYFUNCTION("IFERROR(googlefinance(D84,""beta""),"""")"),"")</f>
        <v/>
      </c>
      <c r="N84" s="29" t="n"/>
      <c r="O84" s="5" t="n"/>
      <c r="P84" s="5" t="n"/>
      <c r="Q84" s="5" t="n"/>
      <c r="R84" s="5" t="n"/>
      <c r="S84" s="5" t="n"/>
    </row>
    <row r="85">
      <c r="A85" s="21">
        <f>A84+1</f>
        <v/>
      </c>
      <c r="B85" s="8">
        <f>HYPERLINK("https://finance.yahoo.com/quote/"&amp;D85, C85)</f>
        <v/>
      </c>
      <c r="C85" s="32" t="inlineStr">
        <is>
          <t>CB</t>
        </is>
      </c>
      <c r="D85" s="32" t="inlineStr">
        <is>
          <t>CB</t>
        </is>
      </c>
      <c r="E85" s="9">
        <f>IFERROR(__xludf.DUMMYFUNCTION("iferror(googlefinance(D85,""price""),"""")"),340.86)</f>
        <v/>
      </c>
      <c r="F85" s="26">
        <f>IFERROR(__xludf.DUMMYFUNCTION("IFERROR(GOOGLEFINANCE(D85,""price"") / index(GOOGLEFINANCE(D85,""price"", datevalue(today()-365) ) , 2,2) - 1,"""")"),0.17663709482550316)</f>
        <v/>
      </c>
      <c r="G85" s="11">
        <f>IFERROR(__xludf.DUMMYFUNCTION("iferror(googlefinance(D85,""marketcap""),"""")/10^6"),133310.715216)</f>
        <v/>
      </c>
      <c r="H85" s="25">
        <f>IFERROR(__xludf.DUMMYFUNCTION("importrange(""https://docs.google.com/spreadsheets/d/1PSz-z1Lv-gZ1WOwdTZ8qAxUigZaO9b52l0_4wx34KIs/edit?gid=2118916648#gid=2118916648&amp;range=B28"",""Summary!B28"")*1000"),35428.35395575847)</f>
        <v/>
      </c>
      <c r="I85" s="29" t="n"/>
      <c r="J85" s="29" t="n"/>
      <c r="K85" s="29" t="n"/>
      <c r="L85" s="13">
        <f>IFERROR(__xludf.DUMMYFUNCTION("IFERROR(googlefinance(D85,""pe""),"""")"),"")</f>
        <v/>
      </c>
      <c r="M85" s="13">
        <f>IFERROR(__xludf.DUMMYFUNCTION("IFERROR(googlefinance(D85,""beta""),"""")"),"")</f>
        <v/>
      </c>
      <c r="N85" s="29" t="n"/>
      <c r="O85" s="5" t="n"/>
      <c r="P85" s="5" t="n"/>
      <c r="Q85" s="5" t="n"/>
      <c r="R85" s="5" t="n"/>
      <c r="S85" s="5" t="n"/>
    </row>
    <row r="86">
      <c r="A86" s="21">
        <f>A85+1</f>
        <v/>
      </c>
      <c r="B86" s="8" t="inlineStr">
        <is>
          <t>BYD</t>
        </is>
      </c>
      <c r="C86" s="32" t="inlineStr">
        <is>
          <t>BYD</t>
        </is>
      </c>
      <c r="D86" s="32" t="n">
        <v>1211</v>
      </c>
      <c r="E86" s="9" t="n">
        <v>97.11</v>
      </c>
      <c r="F86" s="26" t="n"/>
      <c r="G86" s="11">
        <f>IFERROR(__xludf.DUMMYFUNCTION("E86*importrange(""https://docs.google.com/spreadsheets/d/1sj5i_x98T-YjDlenwVw1sMU5c0j62zlaOGR3hVGvzVE/edit?gid=2118916648#gid=2118916648&amp;range=G13"",""Summary!G13"")*1000"),885643.1999999998)</f>
        <v/>
      </c>
      <c r="H86" s="25">
        <f>IFERROR(__xludf.DUMMYFUNCTION("importrange(""https://docs.google.com/spreadsheets/d/1sj5i_x98T-YjDlenwVw1sMU5c0j62zlaOGR3hVGvzVE/edit?gid=2118916648#gid=2118916648&amp;range=B28"",""Summary!B28"")*1000"),722603.0701737367)</f>
        <v/>
      </c>
      <c r="I86" s="26">
        <f>(H86-G86)/G86</f>
        <v/>
      </c>
      <c r="J86" s="31">
        <f>IFERROR(__xludf.DUMMYFUNCTION("importrange(""https://docs.google.com/spreadsheets/d/1Cq6JV7ifnjjUQxYb_qlclo8JPOj4y_cw0UWStLqeSrk/edit?gid=2118916648#gid=2118916648&amp;range=G68"",""Summary!G6"")"),0.22885245901639342)</f>
        <v/>
      </c>
      <c r="K86" s="29" t="n"/>
      <c r="L86" s="13">
        <f>IFERROR(__xludf.DUMMYFUNCTION("IFERROR(googlefinance(D86,""pe""),"""")"),"")</f>
        <v/>
      </c>
      <c r="M86" s="13">
        <f>IFERROR(__xludf.DUMMYFUNCTION("IFERROR(googlefinance(D86,""beta""),"""")"),"")</f>
        <v/>
      </c>
      <c r="N86" s="29" t="n"/>
      <c r="O86" s="5" t="n"/>
      <c r="P86" s="5" t="n"/>
      <c r="Q86" s="5" t="n"/>
      <c r="R86" s="5" t="n"/>
      <c r="S86" s="5" t="n"/>
    </row>
    <row r="87">
      <c r="A87" s="21">
        <f>A86+1</f>
        <v/>
      </c>
      <c r="B87" s="8" t="inlineStr">
        <is>
          <t>XIAOMI</t>
        </is>
      </c>
      <c r="C87" s="32" t="inlineStr">
        <is>
          <t>XIAOMI</t>
        </is>
      </c>
      <c r="D87" s="32" t="n">
        <v>1810</v>
      </c>
      <c r="E87" s="9" t="n">
        <v>38.58</v>
      </c>
      <c r="F87" s="26">
        <f>IFERROR(__xludf.DUMMYFUNCTION("IFERROR(GOOGLEFINANCE(D87,""price"") / index(GOOGLEFINANCE(D87,""price"", datevalue(today()-365) ) , 2,2) - 1,"""")"),"")</f>
        <v/>
      </c>
      <c r="G87" s="11">
        <f>IFERROR(__xludf.DUMMYFUNCTION("E87*importrange(""https://docs.google.com/spreadsheets/d/1Cq6JV7ifnjjUQxYb_qlclo8JPOj4y_cw0UWStLqeSrk/edit?gid=2118916648#gid=2118916648&amp;range=G13"",""Summary!G13"")*1000"),1005009.0)</f>
        <v/>
      </c>
      <c r="H87" s="25">
        <f>IFERROR(__xludf.DUMMYFUNCTION("importrange(""https://docs.google.com/spreadsheets/d/1Cq6JV7ifnjjUQxYb_qlclo8JPOj4y_cw0UWStLqeSrk/edit?gid=2118916648#gid=2118916648&amp;range=B28"",""Summary!B28"")*1000"),1365415.8078598694)</f>
        <v/>
      </c>
      <c r="I87" s="26">
        <f>(H87-G87)/G87</f>
        <v/>
      </c>
      <c r="J87" s="31">
        <f>IFERROR(__xludf.DUMMYFUNCTION("importrange(""https://docs.google.com/spreadsheets/d/1sj5i_x98T-YjDlenwVw1sMU5c0j62zlaOGR3hVGvzVE/edit?gid=2118916648#gid=2118916648&amp;range=G68"",""Summary!G6"")"),0.08103569415597962)</f>
        <v/>
      </c>
      <c r="K87" s="29" t="n"/>
      <c r="L87" s="13">
        <f>IFERROR(__xludf.DUMMYFUNCTION("IFERROR(googlefinance(D87,""pe""),"""")"),"")</f>
        <v/>
      </c>
      <c r="M87" s="13">
        <f>IFERROR(__xludf.DUMMYFUNCTION("IFERROR(googlefinance(D87,""beta""),"""")"),"")</f>
        <v/>
      </c>
      <c r="N87" s="29" t="n"/>
      <c r="O87" s="5" t="n"/>
      <c r="P87" s="5" t="n"/>
      <c r="Q87" s="5" t="n"/>
      <c r="R87" s="5" t="n"/>
      <c r="S87" s="5" t="n"/>
    </row>
    <row r="88">
      <c r="A88" s="32" t="n"/>
      <c r="B88" s="32" t="n"/>
      <c r="C88" s="32" t="n"/>
      <c r="D88" s="32" t="n"/>
      <c r="E88" s="32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5" t="n"/>
      <c r="P88" s="5" t="n"/>
      <c r="Q88" s="5" t="n"/>
      <c r="R88" s="5" t="n"/>
      <c r="S88" s="5" t="n"/>
    </row>
    <row r="89">
      <c r="A89" s="32" t="n"/>
      <c r="B89" s="32" t="n"/>
      <c r="C89" s="32" t="n"/>
      <c r="D89" s="32" t="n"/>
      <c r="E89" s="32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5" t="n"/>
      <c r="P89" s="5" t="n"/>
      <c r="Q89" s="5" t="n"/>
      <c r="R89" s="5" t="n"/>
      <c r="S89" s="5" t="n"/>
    </row>
    <row r="90">
      <c r="A90" s="32" t="n"/>
      <c r="B90" s="32" t="n"/>
      <c r="C90" s="32" t="n"/>
      <c r="D90" s="32" t="n"/>
      <c r="E90" s="32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5" t="n"/>
      <c r="P90" s="5" t="n"/>
      <c r="Q90" s="5" t="n"/>
      <c r="R90" s="5" t="n"/>
      <c r="S90" s="5" t="n"/>
    </row>
    <row r="91">
      <c r="A91" s="32" t="n"/>
      <c r="B91" s="32" t="n"/>
      <c r="C91" s="32" t="n"/>
      <c r="D91" s="32" t="n"/>
      <c r="E91" s="32" t="n"/>
      <c r="F91" s="29" t="n"/>
      <c r="G91" s="29" t="n"/>
      <c r="H91" s="29" t="n"/>
      <c r="I91" s="29" t="n"/>
      <c r="J91" s="29" t="n"/>
      <c r="K91" s="29" t="n"/>
      <c r="L91" s="29" t="n"/>
      <c r="M91" s="29" t="n"/>
      <c r="N91" s="29" t="n"/>
      <c r="O91" s="5" t="n"/>
      <c r="P91" s="5" t="n"/>
      <c r="Q91" s="5" t="n"/>
      <c r="R91" s="5" t="n"/>
      <c r="S91" s="5" t="n"/>
    </row>
    <row r="92">
      <c r="A92" s="32" t="n"/>
      <c r="B92" s="32" t="n"/>
      <c r="C92" s="32" t="n"/>
      <c r="D92" s="32" t="n"/>
      <c r="E92" s="32" t="n"/>
      <c r="F92" s="29" t="n"/>
      <c r="G92" s="29" t="n"/>
      <c r="H92" s="29" t="n"/>
      <c r="I92" s="29" t="n"/>
      <c r="J92" s="29" t="n"/>
      <c r="K92" s="29" t="n"/>
      <c r="L92" s="29" t="n"/>
      <c r="M92" s="29" t="n"/>
      <c r="N92" s="29" t="n"/>
      <c r="O92" s="5" t="n"/>
      <c r="P92" s="5" t="n"/>
      <c r="Q92" s="5" t="n"/>
      <c r="R92" s="5" t="n"/>
      <c r="S92" s="5" t="n"/>
    </row>
    <row r="93">
      <c r="A93" s="32" t="n"/>
      <c r="B93" s="32" t="n"/>
      <c r="C93" s="32" t="n"/>
      <c r="D93" s="32" t="n"/>
      <c r="E93" s="32" t="n"/>
      <c r="F93" s="29" t="n"/>
      <c r="G93" s="29" t="n"/>
      <c r="H93" s="29" t="n"/>
      <c r="I93" s="29" t="n"/>
      <c r="J93" s="29" t="n"/>
      <c r="K93" s="29" t="n"/>
      <c r="L93" s="29" t="n"/>
      <c r="M93" s="29" t="n"/>
      <c r="N93" s="29" t="n"/>
      <c r="O93" s="5" t="n"/>
      <c r="P93" s="5" t="n"/>
      <c r="Q93" s="5" t="n"/>
      <c r="R93" s="5" t="n"/>
      <c r="S93" s="5" t="n"/>
    </row>
    <row r="94">
      <c r="A94" s="32" t="n"/>
      <c r="B94" s="32" t="n"/>
      <c r="C94" s="32" t="n"/>
      <c r="D94" s="32" t="n"/>
      <c r="E94" s="32" t="n"/>
      <c r="F94" s="29" t="n"/>
      <c r="G94" s="29" t="n"/>
      <c r="H94" s="29" t="n"/>
      <c r="I94" s="29" t="n"/>
      <c r="J94" s="29" t="n"/>
      <c r="K94" s="29" t="n"/>
      <c r="L94" s="29" t="n"/>
      <c r="M94" s="29" t="n"/>
      <c r="N94" s="29" t="n"/>
      <c r="O94" s="5" t="n"/>
      <c r="P94" s="5" t="n"/>
      <c r="Q94" s="5" t="n"/>
      <c r="R94" s="5" t="n"/>
      <c r="S94" s="5" t="n"/>
    </row>
    <row r="95">
      <c r="A95" s="32" t="n"/>
      <c r="B95" s="32" t="n"/>
      <c r="C95" s="32" t="n"/>
      <c r="D95" s="32" t="n"/>
      <c r="E95" s="32" t="n"/>
      <c r="F95" s="29" t="n"/>
      <c r="G95" s="29" t="n"/>
      <c r="H95" s="29" t="n"/>
      <c r="I95" s="29" t="n"/>
      <c r="J95" s="29" t="n"/>
      <c r="K95" s="29" t="n"/>
      <c r="L95" s="29" t="n"/>
      <c r="M95" s="29" t="n"/>
      <c r="N95" s="29" t="n"/>
      <c r="O95" s="5" t="n"/>
      <c r="P95" s="5" t="n"/>
      <c r="Q95" s="5" t="n"/>
      <c r="R95" s="5" t="n"/>
      <c r="S95" s="5" t="n"/>
    </row>
    <row r="96">
      <c r="A96" s="32" t="n"/>
      <c r="B96" s="32" t="n"/>
      <c r="C96" s="32" t="n"/>
      <c r="D96" s="32" t="n"/>
      <c r="E96" s="32" t="n"/>
      <c r="F96" s="29" t="n"/>
      <c r="G96" s="29" t="n"/>
      <c r="H96" s="29" t="n"/>
      <c r="I96" s="29" t="n"/>
      <c r="J96" s="29" t="n"/>
      <c r="K96" s="29" t="n"/>
      <c r="L96" s="29" t="n"/>
      <c r="M96" s="29" t="n"/>
      <c r="N96" s="29" t="n"/>
      <c r="O96" s="5" t="n"/>
      <c r="P96" s="5" t="n"/>
      <c r="Q96" s="5" t="n"/>
      <c r="R96" s="5" t="n"/>
      <c r="S96" s="5" t="n"/>
    </row>
    <row r="97">
      <c r="A97" s="32" t="n"/>
      <c r="B97" s="32" t="n"/>
      <c r="C97" s="32" t="n"/>
      <c r="D97" s="32" t="n"/>
      <c r="E97" s="32" t="n"/>
      <c r="F97" s="29" t="n"/>
      <c r="G97" s="29" t="n"/>
      <c r="H97" s="29" t="n"/>
      <c r="I97" s="29" t="n"/>
      <c r="J97" s="29" t="n"/>
      <c r="K97" s="29" t="n"/>
      <c r="L97" s="29" t="n"/>
      <c r="M97" s="29" t="n"/>
      <c r="N97" s="29" t="n"/>
      <c r="O97" s="5" t="n"/>
      <c r="P97" s="5" t="n"/>
      <c r="Q97" s="5" t="n"/>
      <c r="R97" s="5" t="n"/>
      <c r="S97" s="5" t="n"/>
    </row>
    <row r="98">
      <c r="A98" s="32" t="n"/>
      <c r="B98" s="32" t="n"/>
      <c r="C98" s="32" t="n"/>
      <c r="D98" s="32" t="n"/>
      <c r="E98" s="32" t="n"/>
      <c r="F98" s="29" t="n"/>
      <c r="G98" s="29" t="n"/>
      <c r="H98" s="29" t="n"/>
      <c r="I98" s="29" t="n"/>
      <c r="J98" s="29" t="n"/>
      <c r="K98" s="29" t="n"/>
      <c r="L98" s="29" t="n"/>
      <c r="M98" s="29" t="n"/>
      <c r="N98" s="29" t="n"/>
      <c r="O98" s="5" t="n"/>
      <c r="P98" s="5" t="n"/>
      <c r="Q98" s="5" t="n"/>
      <c r="R98" s="5" t="n"/>
      <c r="S98" s="5" t="n"/>
    </row>
    <row r="99">
      <c r="A99" s="32" t="n"/>
      <c r="B99" s="32" t="n"/>
      <c r="C99" s="32" t="n"/>
      <c r="D99" s="32" t="n"/>
      <c r="E99" s="32" t="n"/>
      <c r="F99" s="29" t="n"/>
      <c r="G99" s="29" t="n"/>
      <c r="H99" s="29" t="n"/>
      <c r="I99" s="29" t="n"/>
      <c r="J99" s="29" t="n"/>
      <c r="K99" s="29" t="n"/>
      <c r="L99" s="29" t="n"/>
      <c r="M99" s="29" t="n"/>
      <c r="N99" s="29" t="n"/>
      <c r="O99" s="5" t="n"/>
      <c r="P99" s="5" t="n"/>
      <c r="Q99" s="5" t="n"/>
      <c r="R99" s="5" t="n"/>
      <c r="S99" s="5" t="n"/>
    </row>
    <row r="100">
      <c r="A100" s="32" t="n"/>
      <c r="B100" s="32" t="n"/>
      <c r="C100" s="32" t="n"/>
      <c r="D100" s="32" t="n"/>
      <c r="E100" s="32" t="n"/>
      <c r="F100" s="29" t="n"/>
      <c r="G100" s="29" t="n"/>
      <c r="H100" s="29" t="n"/>
      <c r="I100" s="29" t="n"/>
      <c r="J100" s="29" t="n"/>
      <c r="K100" s="29" t="n"/>
      <c r="L100" s="29" t="n"/>
      <c r="M100" s="29" t="n"/>
      <c r="N100" s="29" t="n"/>
      <c r="O100" s="5" t="n"/>
      <c r="P100" s="5" t="n"/>
      <c r="Q100" s="5" t="n"/>
      <c r="R100" s="5" t="n"/>
      <c r="S100" s="5" t="n"/>
    </row>
    <row r="101">
      <c r="A101" s="32" t="n"/>
      <c r="B101" s="32" t="n"/>
      <c r="C101" s="32" t="n"/>
      <c r="D101" s="32" t="n"/>
      <c r="E101" s="32" t="n"/>
      <c r="F101" s="29" t="n"/>
      <c r="G101" s="29" t="n"/>
      <c r="H101" s="29" t="n"/>
      <c r="I101" s="29" t="n"/>
      <c r="J101" s="29" t="n"/>
      <c r="K101" s="29" t="n"/>
      <c r="L101" s="29" t="n"/>
      <c r="M101" s="29" t="n"/>
      <c r="N101" s="29" t="n"/>
      <c r="O101" s="5" t="n"/>
      <c r="P101" s="5" t="n"/>
      <c r="Q101" s="5" t="n"/>
      <c r="R101" s="5" t="n"/>
      <c r="S101" s="5" t="n"/>
    </row>
    <row r="102">
      <c r="A102" s="32" t="n"/>
      <c r="B102" s="32" t="n"/>
      <c r="C102" s="32" t="n"/>
      <c r="D102" s="32" t="n"/>
      <c r="E102" s="32" t="n"/>
      <c r="F102" s="29" t="n"/>
      <c r="G102" s="29" t="n"/>
      <c r="H102" s="29" t="n"/>
      <c r="I102" s="29" t="n"/>
      <c r="J102" s="29" t="n"/>
      <c r="K102" s="29" t="n"/>
      <c r="L102" s="29" t="n"/>
      <c r="M102" s="29" t="n"/>
      <c r="N102" s="29" t="n"/>
      <c r="O102" s="5" t="n"/>
      <c r="P102" s="5" t="n"/>
      <c r="Q102" s="5" t="n"/>
      <c r="R102" s="5" t="n"/>
      <c r="S102" s="5" t="n"/>
    </row>
    <row r="103">
      <c r="A103" s="32" t="n"/>
      <c r="B103" s="32" t="n"/>
      <c r="C103" s="32" t="n"/>
      <c r="D103" s="32" t="n"/>
      <c r="E103" s="32" t="n"/>
      <c r="F103" s="29" t="n"/>
      <c r="G103" s="29" t="n"/>
      <c r="H103" s="29" t="n"/>
      <c r="I103" s="29" t="n"/>
      <c r="J103" s="29" t="n"/>
      <c r="K103" s="29" t="n"/>
      <c r="L103" s="29" t="n"/>
      <c r="M103" s="29" t="n"/>
      <c r="N103" s="29" t="n"/>
      <c r="O103" s="5" t="n"/>
      <c r="P103" s="5" t="n"/>
      <c r="Q103" s="5" t="n"/>
      <c r="R103" s="5" t="n"/>
      <c r="S103" s="5" t="n"/>
    </row>
    <row r="104">
      <c r="A104" s="32" t="n"/>
      <c r="B104" s="32" t="n"/>
      <c r="C104" s="32" t="n"/>
      <c r="D104" s="32" t="n"/>
      <c r="E104" s="32" t="n"/>
      <c r="F104" s="29" t="n"/>
      <c r="G104" s="29" t="n"/>
      <c r="H104" s="29" t="n"/>
      <c r="I104" s="29" t="n"/>
      <c r="J104" s="29" t="n"/>
      <c r="K104" s="29" t="n"/>
      <c r="L104" s="29" t="n"/>
      <c r="M104" s="29" t="n"/>
      <c r="N104" s="29" t="n"/>
      <c r="O104" s="5" t="n"/>
      <c r="P104" s="5" t="n"/>
      <c r="Q104" s="5" t="n"/>
      <c r="R104" s="5" t="n"/>
      <c r="S104" s="5" t="n"/>
    </row>
    <row r="105">
      <c r="A105" s="32" t="n"/>
      <c r="B105" s="32" t="n"/>
      <c r="C105" s="32" t="n"/>
      <c r="D105" s="32" t="n"/>
      <c r="E105" s="32" t="n"/>
      <c r="F105" s="29" t="n"/>
      <c r="G105" s="29" t="n"/>
      <c r="H105" s="29" t="n"/>
      <c r="I105" s="29" t="n"/>
      <c r="J105" s="29" t="n"/>
      <c r="K105" s="29" t="n"/>
      <c r="L105" s="29" t="n"/>
      <c r="M105" s="29" t="n"/>
      <c r="N105" s="29" t="n"/>
      <c r="O105" s="5" t="n"/>
      <c r="P105" s="5" t="n"/>
      <c r="Q105" s="5" t="n"/>
      <c r="R105" s="5" t="n"/>
      <c r="S105" s="5" t="n"/>
    </row>
    <row r="106">
      <c r="A106" s="32" t="n"/>
      <c r="B106" s="32" t="n"/>
      <c r="C106" s="32" t="n"/>
      <c r="D106" s="32" t="n"/>
      <c r="E106" s="32" t="n"/>
      <c r="F106" s="29" t="n"/>
      <c r="G106" s="29" t="n"/>
      <c r="H106" s="29" t="n"/>
      <c r="I106" s="29" t="n"/>
      <c r="J106" s="29" t="n"/>
      <c r="K106" s="29" t="n"/>
      <c r="L106" s="29" t="n"/>
      <c r="M106" s="29" t="n"/>
      <c r="N106" s="29" t="n"/>
      <c r="O106" s="5" t="n"/>
      <c r="P106" s="5" t="n"/>
      <c r="Q106" s="5" t="n"/>
      <c r="R106" s="5" t="n"/>
      <c r="S106" s="5" t="n"/>
    </row>
    <row r="107">
      <c r="A107" s="32" t="n"/>
      <c r="B107" s="32" t="n"/>
      <c r="C107" s="32" t="n"/>
      <c r="D107" s="32" t="n"/>
      <c r="E107" s="32" t="n"/>
      <c r="F107" s="29" t="n"/>
      <c r="G107" s="29" t="n"/>
      <c r="H107" s="29" t="n"/>
      <c r="I107" s="29" t="n"/>
      <c r="J107" s="29" t="n"/>
      <c r="K107" s="29" t="n"/>
      <c r="L107" s="29" t="n"/>
      <c r="M107" s="29" t="n"/>
      <c r="N107" s="29" t="n"/>
      <c r="O107" s="5" t="n"/>
      <c r="P107" s="5" t="n"/>
      <c r="Q107" s="5" t="n"/>
      <c r="R107" s="5" t="n"/>
      <c r="S107" s="5" t="n"/>
    </row>
    <row r="108">
      <c r="A108" s="32" t="n"/>
      <c r="B108" s="32" t="n"/>
      <c r="C108" s="32" t="n"/>
      <c r="D108" s="32" t="n"/>
      <c r="E108" s="32" t="n"/>
      <c r="F108" s="29" t="n"/>
      <c r="G108" s="29" t="n"/>
      <c r="H108" s="29" t="n"/>
      <c r="I108" s="29" t="n"/>
      <c r="J108" s="29" t="n"/>
      <c r="K108" s="29" t="n"/>
      <c r="L108" s="29" t="n"/>
      <c r="M108" s="29" t="n"/>
      <c r="N108" s="29" t="n"/>
      <c r="O108" s="5" t="n"/>
      <c r="P108" s="5" t="n"/>
      <c r="Q108" s="5" t="n"/>
      <c r="R108" s="5" t="n"/>
      <c r="S108" s="5" t="n"/>
    </row>
    <row r="109">
      <c r="A109" s="32" t="n"/>
      <c r="B109" s="32" t="n"/>
      <c r="C109" s="32" t="n"/>
      <c r="D109" s="32" t="n"/>
      <c r="E109" s="32" t="n"/>
      <c r="F109" s="29" t="n"/>
      <c r="G109" s="29" t="n"/>
      <c r="H109" s="29" t="n"/>
      <c r="I109" s="29" t="n"/>
      <c r="J109" s="29" t="n"/>
      <c r="K109" s="29" t="n"/>
      <c r="L109" s="29" t="n"/>
      <c r="M109" s="29" t="n"/>
      <c r="N109" s="29" t="n"/>
      <c r="O109" s="5" t="n"/>
      <c r="P109" s="5" t="n"/>
      <c r="Q109" s="5" t="n"/>
      <c r="R109" s="5" t="n"/>
      <c r="S109" s="5" t="n"/>
    </row>
    <row r="110">
      <c r="A110" s="32" t="n"/>
      <c r="B110" s="32" t="n"/>
      <c r="C110" s="32" t="n"/>
      <c r="D110" s="32" t="n"/>
      <c r="E110" s="32" t="n"/>
      <c r="F110" s="29" t="n"/>
      <c r="G110" s="29" t="n"/>
      <c r="H110" s="29" t="n"/>
      <c r="I110" s="29" t="n"/>
      <c r="J110" s="29" t="n"/>
      <c r="K110" s="29" t="n"/>
      <c r="L110" s="29" t="n"/>
      <c r="M110" s="29" t="n"/>
      <c r="N110" s="29" t="n"/>
      <c r="O110" s="5" t="n"/>
      <c r="P110" s="5" t="n"/>
      <c r="Q110" s="5" t="n"/>
      <c r="R110" s="5" t="n"/>
      <c r="S110" s="5" t="n"/>
    </row>
    <row r="111">
      <c r="A111" s="32" t="n"/>
      <c r="B111" s="32" t="n"/>
      <c r="C111" s="32" t="n"/>
      <c r="D111" s="32" t="n"/>
      <c r="E111" s="32" t="n"/>
      <c r="F111" s="29" t="n"/>
      <c r="G111" s="29" t="n"/>
      <c r="H111" s="29" t="n"/>
      <c r="I111" s="29" t="n"/>
      <c r="J111" s="29" t="n"/>
      <c r="K111" s="29" t="n"/>
      <c r="L111" s="29" t="n"/>
      <c r="M111" s="29" t="n"/>
      <c r="N111" s="29" t="n"/>
      <c r="O111" s="5" t="n"/>
      <c r="P111" s="5" t="n"/>
      <c r="Q111" s="5" t="n"/>
      <c r="R111" s="5" t="n"/>
      <c r="S111" s="5" t="n"/>
    </row>
    <row r="112">
      <c r="A112" s="32" t="n"/>
      <c r="B112" s="32" t="n"/>
      <c r="C112" s="32" t="n"/>
      <c r="D112" s="32" t="n"/>
      <c r="E112" s="32" t="n"/>
      <c r="F112" s="29" t="n"/>
      <c r="G112" s="29" t="n"/>
      <c r="H112" s="29" t="n"/>
      <c r="I112" s="29" t="n"/>
      <c r="J112" s="29" t="n"/>
      <c r="K112" s="29" t="n"/>
      <c r="L112" s="29" t="n"/>
      <c r="M112" s="29" t="n"/>
      <c r="N112" s="29" t="n"/>
      <c r="O112" s="5" t="n"/>
      <c r="P112" s="5" t="n"/>
      <c r="Q112" s="5" t="n"/>
      <c r="R112" s="5" t="n"/>
      <c r="S112" s="5" t="n"/>
    </row>
    <row r="113">
      <c r="A113" s="32" t="n"/>
      <c r="B113" s="32" t="n"/>
      <c r="C113" s="32" t="n"/>
      <c r="D113" s="32" t="n"/>
      <c r="E113" s="32" t="n"/>
      <c r="F113" s="29" t="n"/>
      <c r="G113" s="29" t="n"/>
      <c r="H113" s="29" t="n"/>
      <c r="I113" s="29" t="n"/>
      <c r="J113" s="29" t="n"/>
      <c r="K113" s="29" t="n"/>
      <c r="L113" s="29" t="n"/>
      <c r="M113" s="29" t="n"/>
      <c r="N113" s="29" t="n"/>
      <c r="O113" s="5" t="n"/>
      <c r="P113" s="5" t="n"/>
      <c r="Q113" s="5" t="n"/>
      <c r="R113" s="5" t="n"/>
      <c r="S113" s="5" t="n"/>
    </row>
    <row r="114">
      <c r="A114" s="32" t="n"/>
      <c r="B114" s="32" t="n"/>
      <c r="C114" s="32" t="n"/>
      <c r="D114" s="32" t="n"/>
      <c r="E114" s="32" t="n"/>
      <c r="F114" s="29" t="n"/>
      <c r="G114" s="29" t="n"/>
      <c r="H114" s="29" t="n"/>
      <c r="I114" s="29" t="n"/>
      <c r="J114" s="29" t="n"/>
      <c r="K114" s="29" t="n"/>
      <c r="L114" s="29" t="n"/>
      <c r="M114" s="29" t="n"/>
      <c r="N114" s="29" t="n"/>
      <c r="O114" s="5" t="n"/>
      <c r="P114" s="5" t="n"/>
      <c r="Q114" s="5" t="n"/>
      <c r="R114" s="5" t="n"/>
      <c r="S114" s="5" t="n"/>
    </row>
    <row r="115">
      <c r="A115" s="32" t="n"/>
      <c r="B115" s="32" t="n"/>
      <c r="C115" s="32" t="n"/>
      <c r="D115" s="32" t="n"/>
      <c r="E115" s="32" t="n"/>
      <c r="F115" s="29" t="n"/>
      <c r="G115" s="29" t="n"/>
      <c r="H115" s="29" t="n"/>
      <c r="I115" s="29" t="n"/>
      <c r="J115" s="29" t="n"/>
      <c r="K115" s="29" t="n"/>
      <c r="L115" s="29" t="n"/>
      <c r="M115" s="29" t="n"/>
      <c r="N115" s="29" t="n"/>
      <c r="O115" s="5" t="n"/>
      <c r="P115" s="5" t="n"/>
      <c r="Q115" s="5" t="n"/>
      <c r="R115" s="5" t="n"/>
      <c r="S115" s="5" t="n"/>
    </row>
    <row r="116">
      <c r="A116" s="32" t="n"/>
      <c r="B116" s="32" t="n"/>
      <c r="C116" s="32" t="n"/>
      <c r="D116" s="32" t="n"/>
      <c r="E116" s="32" t="n"/>
      <c r="F116" s="29" t="n"/>
      <c r="G116" s="29" t="n"/>
      <c r="H116" s="29" t="n"/>
      <c r="I116" s="29" t="n"/>
      <c r="J116" s="29" t="n"/>
      <c r="K116" s="29" t="n"/>
      <c r="L116" s="29" t="n"/>
      <c r="M116" s="29" t="n"/>
      <c r="N116" s="29" t="n"/>
      <c r="O116" s="5" t="n"/>
      <c r="P116" s="5" t="n"/>
      <c r="Q116" s="5" t="n"/>
      <c r="R116" s="5" t="n"/>
      <c r="S116" s="5" t="n"/>
    </row>
    <row r="117">
      <c r="A117" s="32" t="n"/>
      <c r="B117" s="32" t="n"/>
      <c r="C117" s="32" t="n"/>
      <c r="D117" s="32" t="n"/>
      <c r="E117" s="32" t="n"/>
      <c r="F117" s="29" t="n"/>
      <c r="G117" s="29" t="n"/>
      <c r="H117" s="29" t="n"/>
      <c r="I117" s="29" t="n"/>
      <c r="J117" s="29" t="n"/>
      <c r="K117" s="29" t="n"/>
      <c r="L117" s="29" t="n"/>
      <c r="M117" s="29" t="n"/>
      <c r="N117" s="29" t="n"/>
      <c r="O117" s="5" t="n"/>
      <c r="P117" s="5" t="n"/>
      <c r="Q117" s="5" t="n"/>
      <c r="R117" s="5" t="n"/>
      <c r="S117" s="5" t="n"/>
    </row>
    <row r="118">
      <c r="A118" s="32" t="n"/>
      <c r="B118" s="32" t="n"/>
      <c r="C118" s="32" t="n"/>
      <c r="D118" s="32" t="n"/>
      <c r="E118" s="32" t="n"/>
      <c r="F118" s="29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5" t="n"/>
      <c r="P118" s="5" t="n"/>
      <c r="Q118" s="5" t="n"/>
      <c r="R118" s="5" t="n"/>
      <c r="S118" s="5" t="n"/>
    </row>
    <row r="119">
      <c r="A119" s="32" t="n"/>
      <c r="B119" s="32" t="n"/>
      <c r="C119" s="32" t="n"/>
      <c r="D119" s="32" t="n"/>
      <c r="E119" s="32" t="n"/>
      <c r="F119" s="29" t="n"/>
      <c r="G119" s="29" t="n"/>
      <c r="H119" s="29" t="n"/>
      <c r="I119" s="29" t="n"/>
      <c r="J119" s="29" t="n"/>
      <c r="K119" s="29" t="n"/>
      <c r="L119" s="29" t="n"/>
      <c r="M119" s="29" t="n"/>
      <c r="N119" s="29" t="n"/>
      <c r="O119" s="5" t="n"/>
      <c r="P119" s="5" t="n"/>
      <c r="Q119" s="5" t="n"/>
      <c r="R119" s="5" t="n"/>
      <c r="S119" s="5" t="n"/>
    </row>
    <row r="120">
      <c r="A120" s="32" t="n"/>
      <c r="B120" s="32" t="n"/>
      <c r="C120" s="32" t="n"/>
      <c r="D120" s="32" t="n"/>
      <c r="E120" s="32" t="n"/>
      <c r="F120" s="29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5" t="n"/>
      <c r="P120" s="5" t="n"/>
      <c r="Q120" s="5" t="n"/>
      <c r="R120" s="5" t="n"/>
      <c r="S120" s="5" t="n"/>
    </row>
    <row r="121">
      <c r="A121" s="32" t="n"/>
      <c r="B121" s="32" t="n"/>
      <c r="C121" s="32" t="n"/>
      <c r="D121" s="32" t="n"/>
      <c r="E121" s="32" t="n"/>
      <c r="F121" s="29" t="n"/>
      <c r="G121" s="29" t="n"/>
      <c r="H121" s="29" t="n"/>
      <c r="I121" s="29" t="n"/>
      <c r="J121" s="29" t="n"/>
      <c r="K121" s="29" t="n"/>
      <c r="L121" s="29" t="n"/>
      <c r="M121" s="29" t="n"/>
      <c r="N121" s="29" t="n"/>
      <c r="O121" s="5" t="n"/>
      <c r="P121" s="5" t="n"/>
      <c r="Q121" s="5" t="n"/>
      <c r="R121" s="5" t="n"/>
      <c r="S121" s="5" t="n"/>
    </row>
    <row r="122">
      <c r="A122" s="32" t="n"/>
      <c r="B122" s="32" t="n"/>
      <c r="C122" s="32" t="n"/>
      <c r="D122" s="32" t="n"/>
      <c r="E122" s="32" t="n"/>
      <c r="F122" s="29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5" t="n"/>
      <c r="P122" s="5" t="n"/>
      <c r="Q122" s="5" t="n"/>
      <c r="R122" s="5" t="n"/>
      <c r="S122" s="5" t="n"/>
    </row>
    <row r="123">
      <c r="A123" s="32" t="n"/>
      <c r="B123" s="32" t="n"/>
      <c r="C123" s="32" t="n"/>
      <c r="D123" s="32" t="n"/>
      <c r="E123" s="32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5" t="n"/>
      <c r="P123" s="5" t="n"/>
      <c r="Q123" s="5" t="n"/>
      <c r="R123" s="5" t="n"/>
      <c r="S123" s="5" t="n"/>
    </row>
    <row r="124">
      <c r="A124" s="32" t="n"/>
      <c r="B124" s="32" t="n"/>
      <c r="C124" s="32" t="n"/>
      <c r="D124" s="32" t="n"/>
      <c r="E124" s="32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5" t="n"/>
      <c r="P124" s="5" t="n"/>
      <c r="Q124" s="5" t="n"/>
      <c r="R124" s="5" t="n"/>
      <c r="S124" s="5" t="n"/>
    </row>
    <row r="125">
      <c r="A125" s="32" t="n"/>
      <c r="B125" s="32" t="n"/>
      <c r="C125" s="32" t="n"/>
      <c r="D125" s="32" t="n"/>
      <c r="E125" s="32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5" t="n"/>
      <c r="P125" s="5" t="n"/>
      <c r="Q125" s="5" t="n"/>
      <c r="R125" s="5" t="n"/>
      <c r="S125" s="5" t="n"/>
    </row>
    <row r="126">
      <c r="A126" s="32" t="n"/>
      <c r="B126" s="32" t="n"/>
      <c r="C126" s="32" t="n"/>
      <c r="D126" s="32" t="n"/>
      <c r="E126" s="32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5" t="n"/>
      <c r="P126" s="5" t="n"/>
      <c r="Q126" s="5" t="n"/>
      <c r="R126" s="5" t="n"/>
      <c r="S126" s="5" t="n"/>
    </row>
    <row r="127">
      <c r="A127" s="32" t="n"/>
      <c r="B127" s="32" t="n"/>
      <c r="C127" s="32" t="n"/>
      <c r="D127" s="32" t="n"/>
      <c r="E127" s="32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5" t="n"/>
      <c r="P127" s="5" t="n"/>
      <c r="Q127" s="5" t="n"/>
      <c r="R127" s="5" t="n"/>
      <c r="S127" s="5" t="n"/>
    </row>
    <row r="128">
      <c r="A128" s="32" t="n"/>
      <c r="B128" s="32" t="n"/>
      <c r="C128" s="32" t="n"/>
      <c r="D128" s="32" t="n"/>
      <c r="E128" s="32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5" t="n"/>
      <c r="P128" s="5" t="n"/>
      <c r="Q128" s="5" t="n"/>
      <c r="R128" s="5" t="n"/>
      <c r="S128" s="5" t="n"/>
    </row>
    <row r="129">
      <c r="A129" s="32" t="n"/>
      <c r="B129" s="32" t="n"/>
      <c r="C129" s="32" t="n"/>
      <c r="D129" s="32" t="n"/>
      <c r="E129" s="32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5" t="n"/>
      <c r="P129" s="5" t="n"/>
      <c r="Q129" s="5" t="n"/>
      <c r="R129" s="5" t="n"/>
      <c r="S129" s="5" t="n"/>
    </row>
    <row r="130">
      <c r="A130" s="32" t="n"/>
      <c r="B130" s="32" t="n"/>
      <c r="C130" s="32" t="n"/>
      <c r="D130" s="32" t="n"/>
      <c r="E130" s="32" t="n"/>
      <c r="F130" s="29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5" t="n"/>
      <c r="P130" s="5" t="n"/>
      <c r="Q130" s="5" t="n"/>
      <c r="R130" s="5" t="n"/>
      <c r="S130" s="5" t="n"/>
    </row>
    <row r="131">
      <c r="A131" s="32" t="n"/>
      <c r="B131" s="32" t="n"/>
      <c r="C131" s="32" t="n"/>
      <c r="D131" s="32" t="n"/>
      <c r="E131" s="32" t="n"/>
      <c r="F131" s="29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5" t="n"/>
      <c r="P131" s="5" t="n"/>
      <c r="Q131" s="5" t="n"/>
      <c r="R131" s="5" t="n"/>
      <c r="S131" s="5" t="n"/>
    </row>
    <row r="132">
      <c r="A132" s="32" t="n"/>
      <c r="B132" s="32" t="n"/>
      <c r="C132" s="32" t="n"/>
      <c r="D132" s="32" t="n"/>
      <c r="E132" s="32" t="n"/>
      <c r="F132" s="29" t="n"/>
      <c r="G132" s="29" t="n"/>
      <c r="H132" s="29" t="n"/>
      <c r="I132" s="29" t="n"/>
      <c r="J132" s="29" t="n"/>
      <c r="K132" s="29" t="n"/>
      <c r="L132" s="29" t="n"/>
      <c r="M132" s="29" t="n"/>
      <c r="N132" s="29" t="n"/>
      <c r="O132" s="5" t="n"/>
      <c r="P132" s="5" t="n"/>
      <c r="Q132" s="5" t="n"/>
      <c r="R132" s="5" t="n"/>
      <c r="S132" s="5" t="n"/>
    </row>
    <row r="133">
      <c r="A133" s="32" t="n"/>
      <c r="B133" s="32" t="n"/>
      <c r="C133" s="32" t="n"/>
      <c r="D133" s="32" t="n"/>
      <c r="E133" s="32" t="n"/>
      <c r="F133" s="29" t="n"/>
      <c r="G133" s="29" t="n"/>
      <c r="H133" s="29" t="n"/>
      <c r="I133" s="29" t="n"/>
      <c r="J133" s="29" t="n"/>
      <c r="K133" s="29" t="n"/>
      <c r="L133" s="29" t="n"/>
      <c r="M133" s="29" t="n"/>
      <c r="N133" s="29" t="n"/>
      <c r="O133" s="5" t="n"/>
      <c r="P133" s="5" t="n"/>
      <c r="Q133" s="5" t="n"/>
      <c r="R133" s="5" t="n"/>
      <c r="S133" s="5" t="n"/>
    </row>
    <row r="134">
      <c r="A134" s="32" t="n"/>
      <c r="B134" s="32" t="n"/>
      <c r="C134" s="32" t="n"/>
      <c r="D134" s="32" t="n"/>
      <c r="E134" s="32" t="n"/>
      <c r="F134" s="29" t="n"/>
      <c r="G134" s="29" t="n"/>
      <c r="H134" s="29" t="n"/>
      <c r="I134" s="29" t="n"/>
      <c r="J134" s="29" t="n"/>
      <c r="K134" s="29" t="n"/>
      <c r="L134" s="29" t="n"/>
      <c r="M134" s="29" t="n"/>
      <c r="N134" s="29" t="n"/>
      <c r="O134" s="5" t="n"/>
      <c r="P134" s="5" t="n"/>
      <c r="Q134" s="5" t="n"/>
      <c r="R134" s="5" t="n"/>
      <c r="S134" s="5" t="n"/>
    </row>
    <row r="135">
      <c r="A135" s="32" t="n"/>
      <c r="B135" s="32" t="n"/>
      <c r="C135" s="32" t="n"/>
      <c r="D135" s="32" t="n"/>
      <c r="E135" s="32" t="n"/>
      <c r="F135" s="29" t="n"/>
      <c r="G135" s="29" t="n"/>
      <c r="H135" s="29" t="n"/>
      <c r="I135" s="29" t="n"/>
      <c r="J135" s="29" t="n"/>
      <c r="K135" s="29" t="n"/>
      <c r="L135" s="29" t="n"/>
      <c r="M135" s="29" t="n"/>
      <c r="N135" s="29" t="n"/>
      <c r="O135" s="5" t="n"/>
      <c r="P135" s="5" t="n"/>
      <c r="Q135" s="5" t="n"/>
      <c r="R135" s="5" t="n"/>
      <c r="S135" s="5" t="n"/>
    </row>
    <row r="136">
      <c r="A136" s="32" t="n"/>
      <c r="B136" s="32" t="n"/>
      <c r="C136" s="32" t="n"/>
      <c r="D136" s="32" t="n"/>
      <c r="E136" s="32" t="n"/>
      <c r="F136" s="29" t="n"/>
      <c r="G136" s="29" t="n"/>
      <c r="H136" s="29" t="n"/>
      <c r="I136" s="29" t="n"/>
      <c r="J136" s="29" t="n"/>
      <c r="K136" s="29" t="n"/>
      <c r="L136" s="29" t="n"/>
      <c r="M136" s="29" t="n"/>
      <c r="N136" s="29" t="n"/>
      <c r="O136" s="5" t="n"/>
      <c r="P136" s="5" t="n"/>
      <c r="Q136" s="5" t="n"/>
      <c r="R136" s="5" t="n"/>
      <c r="S136" s="5" t="n"/>
    </row>
    <row r="137">
      <c r="A137" s="32" t="n"/>
      <c r="B137" s="32" t="n"/>
      <c r="C137" s="32" t="n"/>
      <c r="D137" s="32" t="n"/>
      <c r="E137" s="32" t="n"/>
      <c r="F137" s="29" t="n"/>
      <c r="G137" s="29" t="n"/>
      <c r="H137" s="29" t="n"/>
      <c r="I137" s="29" t="n"/>
      <c r="J137" s="29" t="n"/>
      <c r="K137" s="29" t="n"/>
      <c r="L137" s="29" t="n"/>
      <c r="M137" s="29" t="n"/>
      <c r="N137" s="29" t="n"/>
      <c r="O137" s="5" t="n"/>
      <c r="P137" s="5" t="n"/>
      <c r="Q137" s="5" t="n"/>
      <c r="R137" s="5" t="n"/>
      <c r="S137" s="5" t="n"/>
    </row>
    <row r="138">
      <c r="A138" s="32" t="n"/>
      <c r="B138" s="32" t="n"/>
      <c r="C138" s="32" t="n"/>
      <c r="D138" s="32" t="n"/>
      <c r="E138" s="32" t="n"/>
      <c r="F138" s="29" t="n"/>
      <c r="G138" s="29" t="n"/>
      <c r="H138" s="29" t="n"/>
      <c r="I138" s="29" t="n"/>
      <c r="J138" s="29" t="n"/>
      <c r="K138" s="29" t="n"/>
      <c r="L138" s="29" t="n"/>
      <c r="M138" s="29" t="n"/>
      <c r="N138" s="29" t="n"/>
      <c r="O138" s="5" t="n"/>
      <c r="P138" s="5" t="n"/>
      <c r="Q138" s="5" t="n"/>
      <c r="R138" s="5" t="n"/>
      <c r="S138" s="5" t="n"/>
    </row>
    <row r="139">
      <c r="A139" s="32" t="n"/>
      <c r="B139" s="32" t="n"/>
      <c r="C139" s="32" t="n"/>
      <c r="D139" s="32" t="n"/>
      <c r="E139" s="32" t="n"/>
      <c r="F139" s="29" t="n"/>
      <c r="G139" s="29" t="n"/>
      <c r="H139" s="29" t="n"/>
      <c r="I139" s="29" t="n"/>
      <c r="J139" s="29" t="n"/>
      <c r="K139" s="29" t="n"/>
      <c r="L139" s="29" t="n"/>
      <c r="M139" s="29" t="n"/>
      <c r="N139" s="29" t="n"/>
      <c r="O139" s="5" t="n"/>
      <c r="P139" s="5" t="n"/>
      <c r="Q139" s="5" t="n"/>
      <c r="R139" s="5" t="n"/>
      <c r="S139" s="5" t="n"/>
    </row>
    <row r="140">
      <c r="A140" s="32" t="n"/>
      <c r="B140" s="32" t="n"/>
      <c r="C140" s="32" t="n"/>
      <c r="D140" s="32" t="n"/>
      <c r="E140" s="32" t="n"/>
      <c r="F140" s="29" t="n"/>
      <c r="G140" s="29" t="n"/>
      <c r="H140" s="29" t="n"/>
      <c r="I140" s="29" t="n"/>
      <c r="J140" s="29" t="n"/>
      <c r="K140" s="29" t="n"/>
      <c r="L140" s="29" t="n"/>
      <c r="M140" s="29" t="n"/>
      <c r="N140" s="29" t="n"/>
      <c r="O140" s="5" t="n"/>
      <c r="P140" s="5" t="n"/>
      <c r="Q140" s="5" t="n"/>
      <c r="R140" s="5" t="n"/>
      <c r="S140" s="5" t="n"/>
    </row>
    <row r="141">
      <c r="A141" s="32" t="n"/>
      <c r="B141" s="32" t="n"/>
      <c r="C141" s="32" t="n"/>
      <c r="D141" s="32" t="n"/>
      <c r="E141" s="32" t="n"/>
      <c r="F141" s="29" t="n"/>
      <c r="G141" s="29" t="n"/>
      <c r="H141" s="29" t="n"/>
      <c r="I141" s="29" t="n"/>
      <c r="J141" s="29" t="n"/>
      <c r="K141" s="29" t="n"/>
      <c r="L141" s="29" t="n"/>
      <c r="M141" s="29" t="n"/>
      <c r="N141" s="29" t="n"/>
      <c r="O141" s="5" t="n"/>
      <c r="P141" s="5" t="n"/>
      <c r="Q141" s="5" t="n"/>
      <c r="R141" s="5" t="n"/>
      <c r="S141" s="5" t="n"/>
    </row>
    <row r="142">
      <c r="A142" s="32" t="n"/>
      <c r="B142" s="32" t="n"/>
      <c r="C142" s="32" t="n"/>
      <c r="D142" s="32" t="n"/>
      <c r="E142" s="32" t="n"/>
      <c r="F142" s="29" t="n"/>
      <c r="G142" s="29" t="n"/>
      <c r="H142" s="29" t="n"/>
      <c r="I142" s="29" t="n"/>
      <c r="J142" s="29" t="n"/>
      <c r="K142" s="29" t="n"/>
      <c r="L142" s="29" t="n"/>
      <c r="M142" s="29" t="n"/>
      <c r="N142" s="29" t="n"/>
      <c r="O142" s="5" t="n"/>
      <c r="P142" s="5" t="n"/>
      <c r="Q142" s="5" t="n"/>
      <c r="R142" s="5" t="n"/>
      <c r="S142" s="5" t="n"/>
    </row>
    <row r="143">
      <c r="A143" s="32" t="n"/>
      <c r="B143" s="32" t="n"/>
      <c r="C143" s="32" t="n"/>
      <c r="D143" s="32" t="n"/>
      <c r="E143" s="32" t="n"/>
      <c r="F143" s="29" t="n"/>
      <c r="G143" s="29" t="n"/>
      <c r="H143" s="29" t="n"/>
      <c r="I143" s="29" t="n"/>
      <c r="J143" s="29" t="n"/>
      <c r="K143" s="29" t="n"/>
      <c r="L143" s="29" t="n"/>
      <c r="M143" s="29" t="n"/>
      <c r="N143" s="29" t="n"/>
      <c r="O143" s="5" t="n"/>
      <c r="P143" s="5" t="n"/>
      <c r="Q143" s="5" t="n"/>
      <c r="R143" s="5" t="n"/>
      <c r="S143" s="5" t="n"/>
    </row>
    <row r="144">
      <c r="A144" s="32" t="n"/>
      <c r="B144" s="32" t="n"/>
      <c r="C144" s="32" t="n"/>
      <c r="D144" s="32" t="n"/>
      <c r="E144" s="32" t="n"/>
      <c r="F144" s="29" t="n"/>
      <c r="G144" s="29" t="n"/>
      <c r="H144" s="29" t="n"/>
      <c r="I144" s="29" t="n"/>
      <c r="J144" s="29" t="n"/>
      <c r="K144" s="29" t="n"/>
      <c r="L144" s="29" t="n"/>
      <c r="M144" s="29" t="n"/>
      <c r="N144" s="29" t="n"/>
      <c r="O144" s="5" t="n"/>
      <c r="P144" s="5" t="n"/>
      <c r="Q144" s="5" t="n"/>
      <c r="R144" s="5" t="n"/>
      <c r="S144" s="5" t="n"/>
    </row>
    <row r="145">
      <c r="A145" s="32" t="n"/>
      <c r="B145" s="32" t="n"/>
      <c r="C145" s="32" t="n"/>
      <c r="D145" s="32" t="n"/>
      <c r="E145" s="32" t="n"/>
      <c r="F145" s="29" t="n"/>
      <c r="G145" s="29" t="n"/>
      <c r="H145" s="29" t="n"/>
      <c r="I145" s="29" t="n"/>
      <c r="J145" s="29" t="n"/>
      <c r="K145" s="29" t="n"/>
      <c r="L145" s="29" t="n"/>
      <c r="M145" s="29" t="n"/>
      <c r="N145" s="29" t="n"/>
      <c r="O145" s="5" t="n"/>
      <c r="P145" s="5" t="n"/>
      <c r="Q145" s="5" t="n"/>
      <c r="R145" s="5" t="n"/>
      <c r="S145" s="5" t="n"/>
    </row>
    <row r="146">
      <c r="A146" s="32" t="n"/>
      <c r="B146" s="32" t="n"/>
      <c r="C146" s="32" t="n"/>
      <c r="D146" s="32" t="n"/>
      <c r="E146" s="32" t="n"/>
      <c r="F146" s="29" t="n"/>
      <c r="G146" s="29" t="n"/>
      <c r="H146" s="29" t="n"/>
      <c r="I146" s="29" t="n"/>
      <c r="J146" s="29" t="n"/>
      <c r="K146" s="29" t="n"/>
      <c r="L146" s="29" t="n"/>
      <c r="M146" s="29" t="n"/>
      <c r="N146" s="29" t="n"/>
      <c r="O146" s="5" t="n"/>
      <c r="P146" s="5" t="n"/>
      <c r="Q146" s="5" t="n"/>
      <c r="R146" s="5" t="n"/>
      <c r="S146" s="5" t="n"/>
    </row>
    <row r="147">
      <c r="A147" s="32" t="n"/>
      <c r="B147" s="32" t="n"/>
      <c r="C147" s="32" t="n"/>
      <c r="D147" s="32" t="n"/>
      <c r="E147" s="32" t="n"/>
      <c r="F147" s="29" t="n"/>
      <c r="G147" s="29" t="n"/>
      <c r="H147" s="29" t="n"/>
      <c r="I147" s="29" t="n"/>
      <c r="J147" s="29" t="n"/>
      <c r="K147" s="29" t="n"/>
      <c r="L147" s="29" t="n"/>
      <c r="M147" s="29" t="n"/>
      <c r="N147" s="29" t="n"/>
      <c r="O147" s="5" t="n"/>
      <c r="P147" s="5" t="n"/>
      <c r="Q147" s="5" t="n"/>
      <c r="R147" s="5" t="n"/>
      <c r="S147" s="5" t="n"/>
    </row>
    <row r="148">
      <c r="A148" s="32" t="n"/>
      <c r="B148" s="32" t="n"/>
      <c r="C148" s="32" t="n"/>
      <c r="D148" s="32" t="n"/>
      <c r="E148" s="32" t="n"/>
      <c r="F148" s="29" t="n"/>
      <c r="G148" s="29" t="n"/>
      <c r="H148" s="29" t="n"/>
      <c r="I148" s="29" t="n"/>
      <c r="J148" s="29" t="n"/>
      <c r="K148" s="29" t="n"/>
      <c r="L148" s="29" t="n"/>
      <c r="M148" s="29" t="n"/>
      <c r="N148" s="29" t="n"/>
      <c r="O148" s="5" t="n"/>
      <c r="P148" s="5" t="n"/>
      <c r="Q148" s="5" t="n"/>
      <c r="R148" s="5" t="n"/>
      <c r="S148" s="5" t="n"/>
    </row>
    <row r="149">
      <c r="A149" s="32" t="n"/>
      <c r="B149" s="32" t="n"/>
      <c r="C149" s="32" t="n"/>
      <c r="D149" s="32" t="n"/>
      <c r="E149" s="32" t="n"/>
      <c r="F149" s="29" t="n"/>
      <c r="G149" s="29" t="n"/>
      <c r="H149" s="29" t="n"/>
      <c r="I149" s="29" t="n"/>
      <c r="J149" s="29" t="n"/>
      <c r="K149" s="29" t="n"/>
      <c r="L149" s="29" t="n"/>
      <c r="M149" s="29" t="n"/>
      <c r="N149" s="29" t="n"/>
      <c r="O149" s="5" t="n"/>
      <c r="P149" s="5" t="n"/>
      <c r="Q149" s="5" t="n"/>
      <c r="R149" s="5" t="n"/>
      <c r="S149" s="5" t="n"/>
    </row>
    <row r="150">
      <c r="A150" s="32" t="n"/>
      <c r="B150" s="32" t="n"/>
      <c r="C150" s="32" t="n"/>
      <c r="D150" s="32" t="n"/>
      <c r="E150" s="32" t="n"/>
      <c r="F150" s="29" t="n"/>
      <c r="G150" s="29" t="n"/>
      <c r="H150" s="29" t="n"/>
      <c r="I150" s="29" t="n"/>
      <c r="J150" s="29" t="n"/>
      <c r="K150" s="29" t="n"/>
      <c r="L150" s="29" t="n"/>
      <c r="M150" s="29" t="n"/>
      <c r="N150" s="29" t="n"/>
      <c r="O150" s="5" t="n"/>
      <c r="P150" s="5" t="n"/>
      <c r="Q150" s="5" t="n"/>
      <c r="R150" s="5" t="n"/>
      <c r="S150" s="5" t="n"/>
    </row>
    <row r="151">
      <c r="A151" s="32" t="n"/>
      <c r="B151" s="32" t="n"/>
      <c r="C151" s="32" t="n"/>
      <c r="D151" s="32" t="n"/>
      <c r="E151" s="32" t="n"/>
      <c r="F151" s="29" t="n"/>
      <c r="G151" s="29" t="n"/>
      <c r="H151" s="29" t="n"/>
      <c r="I151" s="29" t="n"/>
      <c r="J151" s="29" t="n"/>
      <c r="K151" s="29" t="n"/>
      <c r="L151" s="29" t="n"/>
      <c r="M151" s="29" t="n"/>
      <c r="N151" s="29" t="n"/>
      <c r="O151" s="5" t="n"/>
      <c r="P151" s="5" t="n"/>
      <c r="Q151" s="5" t="n"/>
      <c r="R151" s="5" t="n"/>
      <c r="S151" s="5" t="n"/>
    </row>
    <row r="152">
      <c r="A152" s="32" t="n"/>
      <c r="B152" s="32" t="n"/>
      <c r="C152" s="32" t="n"/>
      <c r="D152" s="32" t="n"/>
      <c r="E152" s="32" t="n"/>
      <c r="F152" s="29" t="n"/>
      <c r="G152" s="29" t="n"/>
      <c r="H152" s="29" t="n"/>
      <c r="I152" s="29" t="n"/>
      <c r="J152" s="29" t="n"/>
      <c r="K152" s="29" t="n"/>
      <c r="L152" s="29" t="n"/>
      <c r="M152" s="29" t="n"/>
      <c r="N152" s="29" t="n"/>
      <c r="O152" s="5" t="n"/>
      <c r="P152" s="5" t="n"/>
      <c r="Q152" s="5" t="n"/>
      <c r="R152" s="5" t="n"/>
      <c r="S152" s="5" t="n"/>
    </row>
    <row r="153">
      <c r="A153" s="32" t="n"/>
      <c r="B153" s="32" t="n"/>
      <c r="C153" s="32" t="n"/>
      <c r="D153" s="32" t="n"/>
      <c r="E153" s="32" t="n"/>
      <c r="F153" s="29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O153" s="5" t="n"/>
      <c r="P153" s="5" t="n"/>
      <c r="Q153" s="5" t="n"/>
      <c r="R153" s="5" t="n"/>
      <c r="S153" s="5" t="n"/>
    </row>
    <row r="154">
      <c r="A154" s="32" t="n"/>
      <c r="B154" s="32" t="n"/>
      <c r="C154" s="32" t="n"/>
      <c r="D154" s="32" t="n"/>
      <c r="E154" s="32" t="n"/>
      <c r="F154" s="29" t="n"/>
      <c r="G154" s="29" t="n"/>
      <c r="H154" s="29" t="n"/>
      <c r="I154" s="29" t="n"/>
      <c r="J154" s="29" t="n"/>
      <c r="K154" s="29" t="n"/>
      <c r="L154" s="29" t="n"/>
      <c r="M154" s="29" t="n"/>
      <c r="N154" s="29" t="n"/>
      <c r="O154" s="5" t="n"/>
      <c r="P154" s="5" t="n"/>
      <c r="Q154" s="5" t="n"/>
      <c r="R154" s="5" t="n"/>
      <c r="S154" s="5" t="n"/>
    </row>
    <row r="155">
      <c r="A155" s="32" t="n"/>
      <c r="B155" s="32" t="n"/>
      <c r="C155" s="32" t="n"/>
      <c r="D155" s="32" t="n"/>
      <c r="E155" s="32" t="n"/>
      <c r="F155" s="29" t="n"/>
      <c r="G155" s="29" t="n"/>
      <c r="H155" s="29" t="n"/>
      <c r="I155" s="29" t="n"/>
      <c r="J155" s="29" t="n"/>
      <c r="K155" s="29" t="n"/>
      <c r="L155" s="29" t="n"/>
      <c r="M155" s="29" t="n"/>
      <c r="N155" s="29" t="n"/>
      <c r="O155" s="5" t="n"/>
      <c r="P155" s="5" t="n"/>
      <c r="Q155" s="5" t="n"/>
      <c r="R155" s="5" t="n"/>
      <c r="S155" s="5" t="n"/>
    </row>
    <row r="156">
      <c r="A156" s="32" t="n"/>
      <c r="B156" s="32" t="n"/>
      <c r="C156" s="32" t="n"/>
      <c r="D156" s="32" t="n"/>
      <c r="E156" s="32" t="n"/>
      <c r="F156" s="29" t="n"/>
      <c r="G156" s="29" t="n"/>
      <c r="H156" s="29" t="n"/>
      <c r="I156" s="29" t="n"/>
      <c r="J156" s="29" t="n"/>
      <c r="K156" s="29" t="n"/>
      <c r="L156" s="29" t="n"/>
      <c r="M156" s="29" t="n"/>
      <c r="N156" s="29" t="n"/>
      <c r="O156" s="5" t="n"/>
      <c r="P156" s="5" t="n"/>
      <c r="Q156" s="5" t="n"/>
      <c r="R156" s="5" t="n"/>
      <c r="S156" s="5" t="n"/>
    </row>
    <row r="157">
      <c r="A157" s="32" t="n"/>
      <c r="B157" s="32" t="n"/>
      <c r="C157" s="32" t="n"/>
      <c r="D157" s="32" t="n"/>
      <c r="E157" s="32" t="n"/>
      <c r="F157" s="29" t="n"/>
      <c r="G157" s="29" t="n"/>
      <c r="H157" s="29" t="n"/>
      <c r="I157" s="29" t="n"/>
      <c r="J157" s="29" t="n"/>
      <c r="K157" s="29" t="n"/>
      <c r="L157" s="29" t="n"/>
      <c r="M157" s="29" t="n"/>
      <c r="N157" s="29" t="n"/>
      <c r="O157" s="5" t="n"/>
      <c r="P157" s="5" t="n"/>
      <c r="Q157" s="5" t="n"/>
      <c r="R157" s="5" t="n"/>
      <c r="S157" s="5" t="n"/>
    </row>
    <row r="158">
      <c r="A158" s="32" t="n"/>
      <c r="B158" s="32" t="n"/>
      <c r="C158" s="32" t="n"/>
      <c r="D158" s="32" t="n"/>
      <c r="E158" s="32" t="n"/>
      <c r="F158" s="29" t="n"/>
      <c r="G158" s="29" t="n"/>
      <c r="H158" s="29" t="n"/>
      <c r="I158" s="29" t="n"/>
      <c r="J158" s="29" t="n"/>
      <c r="K158" s="29" t="n"/>
      <c r="L158" s="29" t="n"/>
      <c r="M158" s="29" t="n"/>
      <c r="N158" s="29" t="n"/>
      <c r="O158" s="5" t="n"/>
      <c r="P158" s="5" t="n"/>
      <c r="Q158" s="5" t="n"/>
      <c r="R158" s="5" t="n"/>
      <c r="S158" s="5" t="n"/>
    </row>
    <row r="159">
      <c r="A159" s="32" t="n"/>
      <c r="B159" s="32" t="n"/>
      <c r="C159" s="32" t="n"/>
      <c r="D159" s="32" t="n"/>
      <c r="E159" s="32" t="n"/>
      <c r="F159" s="29" t="n"/>
      <c r="G159" s="29" t="n"/>
      <c r="H159" s="29" t="n"/>
      <c r="I159" s="29" t="n"/>
      <c r="J159" s="29" t="n"/>
      <c r="K159" s="29" t="n"/>
      <c r="L159" s="29" t="n"/>
      <c r="M159" s="29" t="n"/>
      <c r="N159" s="29" t="n"/>
      <c r="O159" s="5" t="n"/>
      <c r="P159" s="5" t="n"/>
      <c r="Q159" s="5" t="n"/>
      <c r="R159" s="5" t="n"/>
      <c r="S159" s="5" t="n"/>
    </row>
    <row r="160">
      <c r="A160" s="32" t="n"/>
      <c r="B160" s="32" t="n"/>
      <c r="C160" s="32" t="n"/>
      <c r="D160" s="32" t="n"/>
      <c r="E160" s="32" t="n"/>
      <c r="F160" s="29" t="n"/>
      <c r="G160" s="29" t="n"/>
      <c r="H160" s="29" t="n"/>
      <c r="I160" s="29" t="n"/>
      <c r="J160" s="29" t="n"/>
      <c r="K160" s="29" t="n"/>
      <c r="L160" s="29" t="n"/>
      <c r="M160" s="29" t="n"/>
      <c r="N160" s="29" t="n"/>
      <c r="O160" s="5" t="n"/>
      <c r="P160" s="5" t="n"/>
      <c r="Q160" s="5" t="n"/>
      <c r="R160" s="5" t="n"/>
      <c r="S160" s="5" t="n"/>
    </row>
    <row r="161">
      <c r="A161" s="32" t="n"/>
      <c r="B161" s="32" t="n"/>
      <c r="C161" s="32" t="n"/>
      <c r="D161" s="32" t="n"/>
      <c r="E161" s="32" t="n"/>
      <c r="F161" s="29" t="n"/>
      <c r="G161" s="29" t="n"/>
      <c r="H161" s="29" t="n"/>
      <c r="I161" s="29" t="n"/>
      <c r="J161" s="29" t="n"/>
      <c r="K161" s="29" t="n"/>
      <c r="L161" s="29" t="n"/>
      <c r="M161" s="29" t="n"/>
      <c r="N161" s="29" t="n"/>
      <c r="O161" s="5" t="n"/>
      <c r="P161" s="5" t="n"/>
      <c r="Q161" s="5" t="n"/>
      <c r="R161" s="5" t="n"/>
      <c r="S161" s="5" t="n"/>
    </row>
    <row r="162">
      <c r="A162" s="32" t="n"/>
      <c r="B162" s="32" t="n"/>
      <c r="C162" s="32" t="n"/>
      <c r="D162" s="32" t="n"/>
      <c r="E162" s="32" t="n"/>
      <c r="F162" s="29" t="n"/>
      <c r="G162" s="29" t="n"/>
      <c r="H162" s="29" t="n"/>
      <c r="I162" s="29" t="n"/>
      <c r="J162" s="29" t="n"/>
      <c r="K162" s="29" t="n"/>
      <c r="L162" s="29" t="n"/>
      <c r="M162" s="29" t="n"/>
      <c r="N162" s="29" t="n"/>
      <c r="O162" s="5" t="n"/>
      <c r="P162" s="5" t="n"/>
      <c r="Q162" s="5" t="n"/>
      <c r="R162" s="5" t="n"/>
      <c r="S162" s="5" t="n"/>
    </row>
    <row r="163">
      <c r="A163" s="32" t="n"/>
      <c r="B163" s="32" t="n"/>
      <c r="C163" s="32" t="n"/>
      <c r="D163" s="32" t="n"/>
      <c r="E163" s="32" t="n"/>
      <c r="F163" s="29" t="n"/>
      <c r="G163" s="29" t="n"/>
      <c r="H163" s="29" t="n"/>
      <c r="I163" s="29" t="n"/>
      <c r="J163" s="29" t="n"/>
      <c r="K163" s="29" t="n"/>
      <c r="L163" s="29" t="n"/>
      <c r="M163" s="29" t="n"/>
      <c r="N163" s="29" t="n"/>
      <c r="O163" s="5" t="n"/>
      <c r="P163" s="5" t="n"/>
      <c r="Q163" s="5" t="n"/>
      <c r="R163" s="5" t="n"/>
      <c r="S163" s="5" t="n"/>
    </row>
    <row r="164">
      <c r="A164" s="32" t="n"/>
      <c r="B164" s="32" t="n"/>
      <c r="C164" s="32" t="n"/>
      <c r="D164" s="32" t="n"/>
      <c r="E164" s="32" t="n"/>
      <c r="F164" s="29" t="n"/>
      <c r="G164" s="29" t="n"/>
      <c r="H164" s="29" t="n"/>
      <c r="I164" s="29" t="n"/>
      <c r="J164" s="29" t="n"/>
      <c r="K164" s="29" t="n"/>
      <c r="L164" s="29" t="n"/>
      <c r="M164" s="29" t="n"/>
      <c r="N164" s="29" t="n"/>
      <c r="O164" s="5" t="n"/>
      <c r="P164" s="5" t="n"/>
      <c r="Q164" s="5" t="n"/>
      <c r="R164" s="5" t="n"/>
      <c r="S164" s="5" t="n"/>
    </row>
    <row r="165">
      <c r="A165" s="32" t="n"/>
      <c r="B165" s="32" t="n"/>
      <c r="C165" s="32" t="n"/>
      <c r="D165" s="32" t="n"/>
      <c r="E165" s="32" t="n"/>
      <c r="F165" s="29" t="n"/>
      <c r="G165" s="29" t="n"/>
      <c r="H165" s="29" t="n"/>
      <c r="I165" s="29" t="n"/>
      <c r="J165" s="29" t="n"/>
      <c r="K165" s="29" t="n"/>
      <c r="L165" s="29" t="n"/>
      <c r="M165" s="29" t="n"/>
      <c r="N165" s="29" t="n"/>
      <c r="O165" s="5" t="n"/>
      <c r="P165" s="5" t="n"/>
      <c r="Q165" s="5" t="n"/>
      <c r="R165" s="5" t="n"/>
      <c r="S165" s="5" t="n"/>
    </row>
    <row r="166">
      <c r="A166" s="32" t="n"/>
      <c r="B166" s="32" t="n"/>
      <c r="C166" s="32" t="n"/>
      <c r="D166" s="32" t="n"/>
      <c r="E166" s="32" t="n"/>
      <c r="F166" s="29" t="n"/>
      <c r="G166" s="29" t="n"/>
      <c r="H166" s="29" t="n"/>
      <c r="I166" s="29" t="n"/>
      <c r="J166" s="29" t="n"/>
      <c r="K166" s="29" t="n"/>
      <c r="L166" s="29" t="n"/>
      <c r="M166" s="29" t="n"/>
      <c r="N166" s="29" t="n"/>
      <c r="O166" s="5" t="n"/>
      <c r="P166" s="5" t="n"/>
      <c r="Q166" s="5" t="n"/>
      <c r="R166" s="5" t="n"/>
      <c r="S166" s="5" t="n"/>
    </row>
    <row r="167">
      <c r="A167" s="32" t="n"/>
      <c r="B167" s="32" t="n"/>
      <c r="C167" s="32" t="n"/>
      <c r="D167" s="32" t="n"/>
      <c r="E167" s="32" t="n"/>
      <c r="F167" s="29" t="n"/>
      <c r="G167" s="29" t="n"/>
      <c r="H167" s="29" t="n"/>
      <c r="I167" s="29" t="n"/>
      <c r="J167" s="29" t="n"/>
      <c r="K167" s="29" t="n"/>
      <c r="L167" s="29" t="n"/>
      <c r="M167" s="29" t="n"/>
      <c r="N167" s="29" t="n"/>
      <c r="O167" s="5" t="n"/>
      <c r="P167" s="5" t="n"/>
      <c r="Q167" s="5" t="n"/>
      <c r="R167" s="5" t="n"/>
      <c r="S167" s="5" t="n"/>
    </row>
    <row r="168">
      <c r="A168" s="32" t="n"/>
      <c r="B168" s="32" t="n"/>
      <c r="C168" s="32" t="n"/>
      <c r="D168" s="32" t="n"/>
      <c r="E168" s="32" t="n"/>
      <c r="F168" s="29" t="n"/>
      <c r="G168" s="29" t="n"/>
      <c r="H168" s="29" t="n"/>
      <c r="I168" s="29" t="n"/>
      <c r="J168" s="29" t="n"/>
      <c r="K168" s="29" t="n"/>
      <c r="L168" s="29" t="n"/>
      <c r="M168" s="29" t="n"/>
      <c r="N168" s="29" t="n"/>
      <c r="O168" s="5" t="n"/>
      <c r="P168" s="5" t="n"/>
      <c r="Q168" s="5" t="n"/>
      <c r="R168" s="5" t="n"/>
      <c r="S168" s="5" t="n"/>
    </row>
    <row r="169">
      <c r="A169" s="32" t="n"/>
      <c r="B169" s="32" t="n"/>
      <c r="C169" s="32" t="n"/>
      <c r="D169" s="32" t="n"/>
      <c r="E169" s="32" t="n"/>
      <c r="F169" s="29" t="n"/>
      <c r="G169" s="29" t="n"/>
      <c r="H169" s="29" t="n"/>
      <c r="I169" s="29" t="n"/>
      <c r="J169" s="29" t="n"/>
      <c r="K169" s="29" t="n"/>
      <c r="L169" s="29" t="n"/>
      <c r="M169" s="29" t="n"/>
      <c r="N169" s="29" t="n"/>
      <c r="O169" s="5" t="n"/>
      <c r="P169" s="5" t="n"/>
      <c r="Q169" s="5" t="n"/>
      <c r="R169" s="5" t="n"/>
      <c r="S169" s="5" t="n"/>
    </row>
    <row r="170">
      <c r="A170" s="32" t="n"/>
      <c r="B170" s="32" t="n"/>
      <c r="C170" s="32" t="n"/>
      <c r="D170" s="32" t="n"/>
      <c r="E170" s="32" t="n"/>
      <c r="F170" s="29" t="n"/>
      <c r="G170" s="29" t="n"/>
      <c r="H170" s="29" t="n"/>
      <c r="I170" s="29" t="n"/>
      <c r="J170" s="29" t="n"/>
      <c r="K170" s="29" t="n"/>
      <c r="L170" s="29" t="n"/>
      <c r="M170" s="29" t="n"/>
      <c r="N170" s="29" t="n"/>
      <c r="O170" s="5" t="n"/>
      <c r="P170" s="5" t="n"/>
      <c r="Q170" s="5" t="n"/>
      <c r="R170" s="5" t="n"/>
      <c r="S170" s="5" t="n"/>
    </row>
    <row r="171">
      <c r="A171" s="32" t="n"/>
      <c r="B171" s="32" t="n"/>
      <c r="C171" s="32" t="n"/>
      <c r="D171" s="32" t="n"/>
      <c r="E171" s="32" t="n"/>
      <c r="F171" s="29" t="n"/>
      <c r="G171" s="29" t="n"/>
      <c r="H171" s="29" t="n"/>
      <c r="I171" s="29" t="n"/>
      <c r="J171" s="29" t="n"/>
      <c r="K171" s="29" t="n"/>
      <c r="L171" s="29" t="n"/>
      <c r="M171" s="29" t="n"/>
      <c r="N171" s="29" t="n"/>
      <c r="O171" s="5" t="n"/>
      <c r="P171" s="5" t="n"/>
      <c r="Q171" s="5" t="n"/>
      <c r="R171" s="5" t="n"/>
      <c r="S171" s="5" t="n"/>
    </row>
    <row r="172">
      <c r="A172" s="32" t="n"/>
      <c r="B172" s="32" t="n"/>
      <c r="C172" s="32" t="n"/>
      <c r="D172" s="32" t="n"/>
      <c r="E172" s="32" t="n"/>
      <c r="F172" s="29" t="n"/>
      <c r="G172" s="29" t="n"/>
      <c r="H172" s="29" t="n"/>
      <c r="I172" s="29" t="n"/>
      <c r="J172" s="29" t="n"/>
      <c r="K172" s="29" t="n"/>
      <c r="L172" s="29" t="n"/>
      <c r="M172" s="29" t="n"/>
      <c r="N172" s="29" t="n"/>
      <c r="O172" s="5" t="n"/>
      <c r="P172" s="5" t="n"/>
      <c r="Q172" s="5" t="n"/>
      <c r="R172" s="5" t="n"/>
      <c r="S172" s="5" t="n"/>
    </row>
    <row r="173">
      <c r="A173" s="32" t="n"/>
      <c r="B173" s="32" t="n"/>
      <c r="C173" s="32" t="n"/>
      <c r="D173" s="32" t="n"/>
      <c r="E173" s="32" t="n"/>
      <c r="F173" s="29" t="n"/>
      <c r="G173" s="29" t="n"/>
      <c r="H173" s="29" t="n"/>
      <c r="I173" s="29" t="n"/>
      <c r="J173" s="29" t="n"/>
      <c r="K173" s="29" t="n"/>
      <c r="L173" s="29" t="n"/>
      <c r="M173" s="29" t="n"/>
      <c r="N173" s="29" t="n"/>
      <c r="O173" s="5" t="n"/>
      <c r="P173" s="5" t="n"/>
      <c r="Q173" s="5" t="n"/>
      <c r="R173" s="5" t="n"/>
      <c r="S173" s="5" t="n"/>
    </row>
    <row r="174">
      <c r="A174" s="32" t="n"/>
      <c r="B174" s="32" t="n"/>
      <c r="C174" s="32" t="n"/>
      <c r="D174" s="32" t="n"/>
      <c r="E174" s="32" t="n"/>
      <c r="F174" s="29" t="n"/>
      <c r="G174" s="29" t="n"/>
      <c r="H174" s="29" t="n"/>
      <c r="I174" s="29" t="n"/>
      <c r="J174" s="29" t="n"/>
      <c r="K174" s="29" t="n"/>
      <c r="L174" s="29" t="n"/>
      <c r="M174" s="29" t="n"/>
      <c r="N174" s="29" t="n"/>
      <c r="O174" s="5" t="n"/>
      <c r="P174" s="5" t="n"/>
      <c r="Q174" s="5" t="n"/>
      <c r="R174" s="5" t="n"/>
      <c r="S174" s="5" t="n"/>
    </row>
    <row r="175">
      <c r="A175" s="32" t="n"/>
      <c r="B175" s="32" t="n"/>
      <c r="C175" s="32" t="n"/>
      <c r="D175" s="32" t="n"/>
      <c r="E175" s="32" t="n"/>
      <c r="F175" s="29" t="n"/>
      <c r="G175" s="29" t="n"/>
      <c r="H175" s="29" t="n"/>
      <c r="I175" s="29" t="n"/>
      <c r="J175" s="29" t="n"/>
      <c r="K175" s="29" t="n"/>
      <c r="L175" s="29" t="n"/>
      <c r="M175" s="29" t="n"/>
      <c r="N175" s="29" t="n"/>
      <c r="O175" s="5" t="n"/>
      <c r="P175" s="5" t="n"/>
      <c r="Q175" s="5" t="n"/>
      <c r="R175" s="5" t="n"/>
      <c r="S175" s="5" t="n"/>
    </row>
    <row r="176">
      <c r="A176" s="32" t="n"/>
      <c r="B176" s="32" t="n"/>
      <c r="C176" s="32" t="n"/>
      <c r="D176" s="32" t="n"/>
      <c r="E176" s="32" t="n"/>
      <c r="F176" s="29" t="n"/>
      <c r="G176" s="29" t="n"/>
      <c r="H176" s="29" t="n"/>
      <c r="I176" s="29" t="n"/>
      <c r="J176" s="29" t="n"/>
      <c r="K176" s="29" t="n"/>
      <c r="L176" s="29" t="n"/>
      <c r="M176" s="29" t="n"/>
      <c r="N176" s="29" t="n"/>
      <c r="O176" s="5" t="n"/>
      <c r="P176" s="5" t="n"/>
      <c r="Q176" s="5" t="n"/>
      <c r="R176" s="5" t="n"/>
      <c r="S176" s="5" t="n"/>
    </row>
    <row r="177">
      <c r="A177" s="32" t="n"/>
      <c r="B177" s="32" t="n"/>
      <c r="C177" s="32" t="n"/>
      <c r="D177" s="32" t="n"/>
      <c r="E177" s="32" t="n"/>
      <c r="F177" s="29" t="n"/>
      <c r="G177" s="29" t="n"/>
      <c r="H177" s="29" t="n"/>
      <c r="I177" s="29" t="n"/>
      <c r="J177" s="29" t="n"/>
      <c r="K177" s="29" t="n"/>
      <c r="L177" s="29" t="n"/>
      <c r="M177" s="29" t="n"/>
      <c r="N177" s="29" t="n"/>
      <c r="O177" s="5" t="n"/>
      <c r="P177" s="5" t="n"/>
      <c r="Q177" s="5" t="n"/>
      <c r="R177" s="5" t="n"/>
      <c r="S177" s="5" t="n"/>
    </row>
    <row r="178">
      <c r="A178" s="32" t="n"/>
      <c r="B178" s="32" t="n"/>
      <c r="C178" s="32" t="n"/>
      <c r="D178" s="32" t="n"/>
      <c r="E178" s="32" t="n"/>
      <c r="F178" s="29" t="n"/>
      <c r="G178" s="29" t="n"/>
      <c r="H178" s="29" t="n"/>
      <c r="I178" s="29" t="n"/>
      <c r="J178" s="29" t="n"/>
      <c r="K178" s="29" t="n"/>
      <c r="L178" s="29" t="n"/>
      <c r="M178" s="29" t="n"/>
      <c r="N178" s="29" t="n"/>
      <c r="O178" s="5" t="n"/>
      <c r="P178" s="5" t="n"/>
      <c r="Q178" s="5" t="n"/>
      <c r="R178" s="5" t="n"/>
      <c r="S178" s="5" t="n"/>
    </row>
    <row r="179">
      <c r="A179" s="32" t="n"/>
      <c r="B179" s="32" t="n"/>
      <c r="C179" s="32" t="n"/>
      <c r="D179" s="32" t="n"/>
      <c r="E179" s="32" t="n"/>
      <c r="F179" s="29" t="n"/>
      <c r="G179" s="29" t="n"/>
      <c r="H179" s="29" t="n"/>
      <c r="I179" s="29" t="n"/>
      <c r="J179" s="29" t="n"/>
      <c r="K179" s="29" t="n"/>
      <c r="L179" s="29" t="n"/>
      <c r="M179" s="29" t="n"/>
      <c r="N179" s="29" t="n"/>
      <c r="O179" s="5" t="n"/>
      <c r="P179" s="5" t="n"/>
      <c r="Q179" s="5" t="n"/>
      <c r="R179" s="5" t="n"/>
      <c r="S179" s="5" t="n"/>
    </row>
    <row r="180">
      <c r="A180" s="32" t="n"/>
      <c r="B180" s="32" t="n"/>
      <c r="C180" s="32" t="n"/>
      <c r="D180" s="32" t="n"/>
      <c r="E180" s="32" t="n"/>
      <c r="F180" s="29" t="n"/>
      <c r="G180" s="29" t="n"/>
      <c r="H180" s="29" t="n"/>
      <c r="I180" s="29" t="n"/>
      <c r="J180" s="29" t="n"/>
      <c r="K180" s="29" t="n"/>
      <c r="L180" s="29" t="n"/>
      <c r="M180" s="29" t="n"/>
      <c r="N180" s="29" t="n"/>
      <c r="O180" s="5" t="n"/>
      <c r="P180" s="5" t="n"/>
      <c r="Q180" s="5" t="n"/>
      <c r="R180" s="5" t="n"/>
      <c r="S180" s="5" t="n"/>
    </row>
    <row r="181">
      <c r="A181" s="32" t="n"/>
      <c r="B181" s="32" t="n"/>
      <c r="C181" s="32" t="n"/>
      <c r="D181" s="32" t="n"/>
      <c r="E181" s="32" t="n"/>
      <c r="F181" s="29" t="n"/>
      <c r="G181" s="29" t="n"/>
      <c r="H181" s="29" t="n"/>
      <c r="I181" s="29" t="n"/>
      <c r="J181" s="29" t="n"/>
      <c r="K181" s="29" t="n"/>
      <c r="L181" s="29" t="n"/>
      <c r="M181" s="29" t="n"/>
      <c r="N181" s="29" t="n"/>
      <c r="O181" s="5" t="n"/>
      <c r="P181" s="5" t="n"/>
      <c r="Q181" s="5" t="n"/>
      <c r="R181" s="5" t="n"/>
      <c r="S181" s="5" t="n"/>
    </row>
    <row r="182">
      <c r="A182" s="32" t="n"/>
      <c r="B182" s="32" t="n"/>
      <c r="C182" s="32" t="n"/>
      <c r="D182" s="32" t="n"/>
      <c r="E182" s="32" t="n"/>
      <c r="F182" s="29" t="n"/>
      <c r="G182" s="29" t="n"/>
      <c r="H182" s="29" t="n"/>
      <c r="I182" s="29" t="n"/>
      <c r="J182" s="29" t="n"/>
      <c r="K182" s="29" t="n"/>
      <c r="L182" s="29" t="n"/>
      <c r="M182" s="29" t="n"/>
      <c r="N182" s="29" t="n"/>
      <c r="O182" s="5" t="n"/>
      <c r="P182" s="5" t="n"/>
      <c r="Q182" s="5" t="n"/>
      <c r="R182" s="5" t="n"/>
      <c r="S182" s="5" t="n"/>
    </row>
    <row r="183">
      <c r="A183" s="32" t="n"/>
      <c r="B183" s="32" t="n"/>
      <c r="C183" s="32" t="n"/>
      <c r="D183" s="32" t="n"/>
      <c r="E183" s="32" t="n"/>
      <c r="F183" s="29" t="n"/>
      <c r="G183" s="29" t="n"/>
      <c r="H183" s="29" t="n"/>
      <c r="I183" s="29" t="n"/>
      <c r="J183" s="29" t="n"/>
      <c r="K183" s="29" t="n"/>
      <c r="L183" s="29" t="n"/>
      <c r="M183" s="29" t="n"/>
      <c r="N183" s="29" t="n"/>
      <c r="O183" s="5" t="n"/>
      <c r="P183" s="5" t="n"/>
      <c r="Q183" s="5" t="n"/>
      <c r="R183" s="5" t="n"/>
      <c r="S183" s="5" t="n"/>
    </row>
    <row r="184">
      <c r="A184" s="32" t="n"/>
      <c r="B184" s="32" t="n"/>
      <c r="C184" s="32" t="n"/>
      <c r="D184" s="32" t="n"/>
      <c r="E184" s="32" t="n"/>
      <c r="F184" s="29" t="n"/>
      <c r="G184" s="29" t="n"/>
      <c r="H184" s="29" t="n"/>
      <c r="I184" s="29" t="n"/>
      <c r="J184" s="29" t="n"/>
      <c r="K184" s="29" t="n"/>
      <c r="L184" s="29" t="n"/>
      <c r="M184" s="29" t="n"/>
      <c r="N184" s="29" t="n"/>
      <c r="O184" s="5" t="n"/>
      <c r="P184" s="5" t="n"/>
      <c r="Q184" s="5" t="n"/>
      <c r="R184" s="5" t="n"/>
      <c r="S184" s="5" t="n"/>
    </row>
    <row r="185">
      <c r="A185" s="32" t="n"/>
      <c r="B185" s="32" t="n"/>
      <c r="C185" s="32" t="n"/>
      <c r="D185" s="32" t="n"/>
      <c r="E185" s="32" t="n"/>
      <c r="F185" s="29" t="n"/>
      <c r="G185" s="29" t="n"/>
      <c r="H185" s="29" t="n"/>
      <c r="I185" s="29" t="n"/>
      <c r="J185" s="29" t="n"/>
      <c r="K185" s="29" t="n"/>
      <c r="L185" s="29" t="n"/>
      <c r="M185" s="29" t="n"/>
      <c r="N185" s="29" t="n"/>
      <c r="O185" s="5" t="n"/>
      <c r="P185" s="5" t="n"/>
      <c r="Q185" s="5" t="n"/>
      <c r="R185" s="5" t="n"/>
      <c r="S185" s="5" t="n"/>
    </row>
    <row r="186">
      <c r="A186" s="32" t="n"/>
      <c r="B186" s="32" t="n"/>
      <c r="C186" s="32" t="n"/>
      <c r="D186" s="32" t="n"/>
      <c r="E186" s="32" t="n"/>
      <c r="F186" s="29" t="n"/>
      <c r="G186" s="29" t="n"/>
      <c r="H186" s="29" t="n"/>
      <c r="I186" s="29" t="n"/>
      <c r="J186" s="29" t="n"/>
      <c r="K186" s="29" t="n"/>
      <c r="L186" s="29" t="n"/>
      <c r="M186" s="29" t="n"/>
      <c r="N186" s="29" t="n"/>
      <c r="O186" s="5" t="n"/>
      <c r="P186" s="5" t="n"/>
      <c r="Q186" s="5" t="n"/>
      <c r="R186" s="5" t="n"/>
      <c r="S186" s="5" t="n"/>
    </row>
    <row r="187">
      <c r="A187" s="32" t="n"/>
      <c r="B187" s="32" t="n"/>
      <c r="C187" s="32" t="n"/>
      <c r="D187" s="32" t="n"/>
      <c r="E187" s="32" t="n"/>
      <c r="F187" s="29" t="n"/>
      <c r="G187" s="29" t="n"/>
      <c r="H187" s="29" t="n"/>
      <c r="I187" s="29" t="n"/>
      <c r="J187" s="29" t="n"/>
      <c r="K187" s="29" t="n"/>
      <c r="L187" s="29" t="n"/>
      <c r="M187" s="29" t="n"/>
      <c r="N187" s="29" t="n"/>
      <c r="O187" s="5" t="n"/>
      <c r="P187" s="5" t="n"/>
      <c r="Q187" s="5" t="n"/>
      <c r="R187" s="5" t="n"/>
      <c r="S187" s="5" t="n"/>
    </row>
    <row r="188">
      <c r="A188" s="32" t="n"/>
      <c r="B188" s="32" t="n"/>
      <c r="C188" s="32" t="n"/>
      <c r="D188" s="32" t="n"/>
      <c r="E188" s="32" t="n"/>
      <c r="F188" s="29" t="n"/>
      <c r="G188" s="29" t="n"/>
      <c r="H188" s="29" t="n"/>
      <c r="I188" s="29" t="n"/>
      <c r="J188" s="29" t="n"/>
      <c r="K188" s="29" t="n"/>
      <c r="L188" s="29" t="n"/>
      <c r="M188" s="29" t="n"/>
      <c r="N188" s="29" t="n"/>
      <c r="O188" s="5" t="n"/>
      <c r="P188" s="5" t="n"/>
      <c r="Q188" s="5" t="n"/>
      <c r="R188" s="5" t="n"/>
      <c r="S188" s="5" t="n"/>
    </row>
    <row r="189">
      <c r="A189" s="32" t="n"/>
      <c r="B189" s="32" t="n"/>
      <c r="C189" s="32" t="n"/>
      <c r="D189" s="32" t="n"/>
      <c r="E189" s="32" t="n"/>
      <c r="F189" s="29" t="n"/>
      <c r="G189" s="29" t="n"/>
      <c r="H189" s="29" t="n"/>
      <c r="I189" s="29" t="n"/>
      <c r="J189" s="29" t="n"/>
      <c r="K189" s="29" t="n"/>
      <c r="L189" s="29" t="n"/>
      <c r="M189" s="29" t="n"/>
      <c r="N189" s="29" t="n"/>
      <c r="O189" s="5" t="n"/>
      <c r="P189" s="5" t="n"/>
      <c r="Q189" s="5" t="n"/>
      <c r="R189" s="5" t="n"/>
      <c r="S189" s="5" t="n"/>
    </row>
    <row r="190">
      <c r="A190" s="32" t="n"/>
      <c r="B190" s="32" t="n"/>
      <c r="C190" s="32" t="n"/>
      <c r="D190" s="32" t="n"/>
      <c r="E190" s="32" t="n"/>
      <c r="F190" s="29" t="n"/>
      <c r="G190" s="29" t="n"/>
      <c r="H190" s="29" t="n"/>
      <c r="I190" s="29" t="n"/>
      <c r="J190" s="29" t="n"/>
      <c r="K190" s="29" t="n"/>
      <c r="L190" s="29" t="n"/>
      <c r="M190" s="29" t="n"/>
      <c r="N190" s="29" t="n"/>
      <c r="O190" s="5" t="n"/>
      <c r="P190" s="5" t="n"/>
      <c r="Q190" s="5" t="n"/>
      <c r="R190" s="5" t="n"/>
      <c r="S190" s="5" t="n"/>
    </row>
    <row r="191">
      <c r="A191" s="32" t="n"/>
      <c r="B191" s="32" t="n"/>
      <c r="C191" s="32" t="n"/>
      <c r="D191" s="32" t="n"/>
      <c r="E191" s="32" t="n"/>
      <c r="F191" s="29" t="n"/>
      <c r="G191" s="29" t="n"/>
      <c r="H191" s="29" t="n"/>
      <c r="I191" s="29" t="n"/>
      <c r="J191" s="29" t="n"/>
      <c r="K191" s="29" t="n"/>
      <c r="L191" s="29" t="n"/>
      <c r="M191" s="29" t="n"/>
      <c r="N191" s="29" t="n"/>
      <c r="O191" s="5" t="n"/>
      <c r="P191" s="5" t="n"/>
      <c r="Q191" s="5" t="n"/>
      <c r="R191" s="5" t="n"/>
      <c r="S191" s="5" t="n"/>
    </row>
    <row r="192">
      <c r="A192" s="32" t="n"/>
      <c r="B192" s="32" t="n"/>
      <c r="C192" s="32" t="n"/>
      <c r="D192" s="32" t="n"/>
      <c r="E192" s="32" t="n"/>
      <c r="F192" s="29" t="n"/>
      <c r="G192" s="29" t="n"/>
      <c r="H192" s="29" t="n"/>
      <c r="I192" s="29" t="n"/>
      <c r="J192" s="29" t="n"/>
      <c r="K192" s="29" t="n"/>
      <c r="L192" s="29" t="n"/>
      <c r="M192" s="29" t="n"/>
      <c r="N192" s="29" t="n"/>
      <c r="O192" s="5" t="n"/>
      <c r="P192" s="5" t="n"/>
      <c r="Q192" s="5" t="n"/>
      <c r="R192" s="5" t="n"/>
      <c r="S192" s="5" t="n"/>
    </row>
    <row r="193">
      <c r="A193" s="32" t="n"/>
      <c r="B193" s="32" t="n"/>
      <c r="C193" s="32" t="n"/>
      <c r="D193" s="32" t="n"/>
      <c r="E193" s="32" t="n"/>
      <c r="F193" s="29" t="n"/>
      <c r="G193" s="29" t="n"/>
      <c r="H193" s="29" t="n"/>
      <c r="I193" s="29" t="n"/>
      <c r="J193" s="29" t="n"/>
      <c r="K193" s="29" t="n"/>
      <c r="L193" s="29" t="n"/>
      <c r="M193" s="29" t="n"/>
      <c r="N193" s="29" t="n"/>
      <c r="O193" s="5" t="n"/>
      <c r="P193" s="5" t="n"/>
      <c r="Q193" s="5" t="n"/>
      <c r="R193" s="5" t="n"/>
      <c r="S193" s="5" t="n"/>
    </row>
    <row r="194">
      <c r="A194" s="32" t="n"/>
      <c r="B194" s="32" t="n"/>
      <c r="C194" s="32" t="n"/>
      <c r="D194" s="32" t="n"/>
      <c r="E194" s="32" t="n"/>
      <c r="F194" s="29" t="n"/>
      <c r="G194" s="29" t="n"/>
      <c r="H194" s="29" t="n"/>
      <c r="I194" s="29" t="n"/>
      <c r="J194" s="29" t="n"/>
      <c r="K194" s="29" t="n"/>
      <c r="L194" s="29" t="n"/>
      <c r="M194" s="29" t="n"/>
      <c r="N194" s="29" t="n"/>
      <c r="O194" s="5" t="n"/>
      <c r="P194" s="5" t="n"/>
      <c r="Q194" s="5" t="n"/>
      <c r="R194" s="5" t="n"/>
      <c r="S194" s="5" t="n"/>
    </row>
    <row r="195">
      <c r="A195" s="32" t="n"/>
      <c r="B195" s="32" t="n"/>
      <c r="C195" s="32" t="n"/>
      <c r="D195" s="32" t="n"/>
      <c r="E195" s="32" t="n"/>
      <c r="F195" s="29" t="n"/>
      <c r="G195" s="29" t="n"/>
      <c r="H195" s="29" t="n"/>
      <c r="I195" s="29" t="n"/>
      <c r="J195" s="29" t="n"/>
      <c r="K195" s="29" t="n"/>
      <c r="L195" s="29" t="n"/>
      <c r="M195" s="29" t="n"/>
      <c r="N195" s="29" t="n"/>
      <c r="O195" s="5" t="n"/>
      <c r="P195" s="5" t="n"/>
      <c r="Q195" s="5" t="n"/>
      <c r="R195" s="5" t="n"/>
      <c r="S195" s="5" t="n"/>
    </row>
    <row r="196">
      <c r="A196" s="32" t="n"/>
      <c r="B196" s="32" t="n"/>
      <c r="C196" s="32" t="n"/>
      <c r="D196" s="32" t="n"/>
      <c r="E196" s="32" t="n"/>
      <c r="F196" s="29" t="n"/>
      <c r="G196" s="29" t="n"/>
      <c r="H196" s="29" t="n"/>
      <c r="I196" s="29" t="n"/>
      <c r="J196" s="29" t="n"/>
      <c r="K196" s="29" t="n"/>
      <c r="L196" s="29" t="n"/>
      <c r="M196" s="29" t="n"/>
      <c r="N196" s="29" t="n"/>
      <c r="O196" s="5" t="n"/>
      <c r="P196" s="5" t="n"/>
      <c r="Q196" s="5" t="n"/>
      <c r="R196" s="5" t="n"/>
      <c r="S196" s="5" t="n"/>
    </row>
    <row r="197">
      <c r="A197" s="32" t="n"/>
      <c r="B197" s="32" t="n"/>
      <c r="C197" s="32" t="n"/>
      <c r="D197" s="32" t="n"/>
      <c r="E197" s="32" t="n"/>
      <c r="F197" s="29" t="n"/>
      <c r="G197" s="29" t="n"/>
      <c r="H197" s="29" t="n"/>
      <c r="I197" s="29" t="n"/>
      <c r="J197" s="29" t="n"/>
      <c r="K197" s="29" t="n"/>
      <c r="L197" s="29" t="n"/>
      <c r="M197" s="29" t="n"/>
      <c r="N197" s="29" t="n"/>
      <c r="O197" s="5" t="n"/>
      <c r="P197" s="5" t="n"/>
      <c r="Q197" s="5" t="n"/>
      <c r="R197" s="5" t="n"/>
      <c r="S197" s="5" t="n"/>
    </row>
    <row r="198">
      <c r="A198" s="32" t="n"/>
      <c r="B198" s="32" t="n"/>
      <c r="C198" s="32" t="n"/>
      <c r="D198" s="32" t="n"/>
      <c r="E198" s="32" t="n"/>
      <c r="F198" s="29" t="n"/>
      <c r="G198" s="29" t="n"/>
      <c r="H198" s="29" t="n"/>
      <c r="I198" s="29" t="n"/>
      <c r="J198" s="29" t="n"/>
      <c r="K198" s="29" t="n"/>
      <c r="L198" s="29" t="n"/>
      <c r="M198" s="29" t="n"/>
      <c r="N198" s="29" t="n"/>
      <c r="O198" s="5" t="n"/>
      <c r="P198" s="5" t="n"/>
      <c r="Q198" s="5" t="n"/>
      <c r="R198" s="5" t="n"/>
      <c r="S198" s="5" t="n"/>
    </row>
    <row r="199">
      <c r="A199" s="32" t="n"/>
      <c r="B199" s="32" t="n"/>
      <c r="C199" s="32" t="n"/>
      <c r="D199" s="32" t="n"/>
      <c r="E199" s="32" t="n"/>
      <c r="F199" s="29" t="n"/>
      <c r="G199" s="29" t="n"/>
      <c r="H199" s="29" t="n"/>
      <c r="I199" s="29" t="n"/>
      <c r="J199" s="29" t="n"/>
      <c r="K199" s="29" t="n"/>
      <c r="L199" s="29" t="n"/>
      <c r="M199" s="29" t="n"/>
      <c r="N199" s="29" t="n"/>
      <c r="O199" s="5" t="n"/>
      <c r="P199" s="5" t="n"/>
      <c r="Q199" s="5" t="n"/>
      <c r="R199" s="5" t="n"/>
      <c r="S199" s="5" t="n"/>
    </row>
    <row r="200">
      <c r="A200" s="32" t="n"/>
      <c r="B200" s="32" t="n"/>
      <c r="C200" s="32" t="n"/>
      <c r="D200" s="32" t="n"/>
      <c r="E200" s="32" t="n"/>
      <c r="F200" s="29" t="n"/>
      <c r="G200" s="29" t="n"/>
      <c r="H200" s="29" t="n"/>
      <c r="I200" s="29" t="n"/>
      <c r="J200" s="29" t="n"/>
      <c r="K200" s="29" t="n"/>
      <c r="L200" s="29" t="n"/>
      <c r="M200" s="29" t="n"/>
      <c r="N200" s="29" t="n"/>
      <c r="O200" s="5" t="n"/>
      <c r="P200" s="5" t="n"/>
      <c r="Q200" s="5" t="n"/>
      <c r="R200" s="5" t="n"/>
      <c r="S200" s="5" t="n"/>
    </row>
    <row r="201">
      <c r="A201" s="32" t="n"/>
      <c r="B201" s="32" t="n"/>
      <c r="C201" s="32" t="n"/>
      <c r="D201" s="32" t="n"/>
      <c r="E201" s="32" t="n"/>
      <c r="F201" s="29" t="n"/>
      <c r="G201" s="29" t="n"/>
      <c r="H201" s="29" t="n"/>
      <c r="I201" s="29" t="n"/>
      <c r="J201" s="29" t="n"/>
      <c r="K201" s="29" t="n"/>
      <c r="L201" s="29" t="n"/>
      <c r="M201" s="29" t="n"/>
      <c r="N201" s="29" t="n"/>
      <c r="O201" s="5" t="n"/>
      <c r="P201" s="5" t="n"/>
      <c r="Q201" s="5" t="n"/>
      <c r="R201" s="5" t="n"/>
      <c r="S201" s="5" t="n"/>
    </row>
    <row r="202">
      <c r="A202" s="32" t="n"/>
      <c r="B202" s="32" t="n"/>
      <c r="C202" s="32" t="n"/>
      <c r="D202" s="32" t="n"/>
      <c r="E202" s="32" t="n"/>
      <c r="F202" s="29" t="n"/>
      <c r="G202" s="29" t="n"/>
      <c r="H202" s="29" t="n"/>
      <c r="I202" s="29" t="n"/>
      <c r="J202" s="29" t="n"/>
      <c r="K202" s="29" t="n"/>
      <c r="L202" s="29" t="n"/>
      <c r="M202" s="29" t="n"/>
      <c r="N202" s="29" t="n"/>
      <c r="O202" s="5" t="n"/>
      <c r="P202" s="5" t="n"/>
      <c r="Q202" s="5" t="n"/>
      <c r="R202" s="5" t="n"/>
      <c r="S202" s="5" t="n"/>
    </row>
    <row r="203">
      <c r="A203" s="32" t="n"/>
      <c r="B203" s="32" t="n"/>
      <c r="C203" s="32" t="n"/>
      <c r="D203" s="32" t="n"/>
      <c r="E203" s="32" t="n"/>
      <c r="F203" s="29" t="n"/>
      <c r="G203" s="29" t="n"/>
      <c r="H203" s="29" t="n"/>
      <c r="I203" s="29" t="n"/>
      <c r="J203" s="29" t="n"/>
      <c r="K203" s="29" t="n"/>
      <c r="L203" s="29" t="n"/>
      <c r="M203" s="29" t="n"/>
      <c r="N203" s="29" t="n"/>
      <c r="O203" s="5" t="n"/>
      <c r="P203" s="5" t="n"/>
      <c r="Q203" s="5" t="n"/>
      <c r="R203" s="5" t="n"/>
      <c r="S203" s="5" t="n"/>
    </row>
    <row r="204">
      <c r="A204" s="32" t="n"/>
      <c r="B204" s="32" t="n"/>
      <c r="C204" s="32" t="n"/>
      <c r="D204" s="32" t="n"/>
      <c r="E204" s="32" t="n"/>
      <c r="F204" s="29" t="n"/>
      <c r="G204" s="29" t="n"/>
      <c r="H204" s="29" t="n"/>
      <c r="I204" s="29" t="n"/>
      <c r="J204" s="29" t="n"/>
      <c r="K204" s="29" t="n"/>
      <c r="L204" s="29" t="n"/>
      <c r="M204" s="29" t="n"/>
      <c r="N204" s="29" t="n"/>
      <c r="O204" s="5" t="n"/>
      <c r="P204" s="5" t="n"/>
      <c r="Q204" s="5" t="n"/>
      <c r="R204" s="5" t="n"/>
      <c r="S204" s="5" t="n"/>
    </row>
    <row r="205">
      <c r="A205" s="32" t="n"/>
      <c r="B205" s="32" t="n"/>
      <c r="C205" s="32" t="n"/>
      <c r="D205" s="32" t="n"/>
      <c r="E205" s="32" t="n"/>
      <c r="F205" s="29" t="n"/>
      <c r="G205" s="29" t="n"/>
      <c r="H205" s="29" t="n"/>
      <c r="I205" s="29" t="n"/>
      <c r="J205" s="29" t="n"/>
      <c r="K205" s="29" t="n"/>
      <c r="L205" s="29" t="n"/>
      <c r="M205" s="29" t="n"/>
      <c r="N205" s="29" t="n"/>
      <c r="O205" s="5" t="n"/>
      <c r="P205" s="5" t="n"/>
      <c r="Q205" s="5" t="n"/>
      <c r="R205" s="5" t="n"/>
      <c r="S205" s="5" t="n"/>
    </row>
    <row r="206">
      <c r="A206" s="32" t="n"/>
      <c r="B206" s="32" t="n"/>
      <c r="C206" s="32" t="n"/>
      <c r="D206" s="32" t="n"/>
      <c r="E206" s="32" t="n"/>
      <c r="F206" s="29" t="n"/>
      <c r="G206" s="29" t="n"/>
      <c r="H206" s="29" t="n"/>
      <c r="I206" s="29" t="n"/>
      <c r="J206" s="29" t="n"/>
      <c r="K206" s="29" t="n"/>
      <c r="L206" s="29" t="n"/>
      <c r="M206" s="29" t="n"/>
      <c r="N206" s="29" t="n"/>
      <c r="O206" s="5" t="n"/>
      <c r="P206" s="5" t="n"/>
      <c r="Q206" s="5" t="n"/>
      <c r="R206" s="5" t="n"/>
      <c r="S206" s="5" t="n"/>
    </row>
    <row r="207">
      <c r="A207" s="32" t="n"/>
      <c r="B207" s="32" t="n"/>
      <c r="C207" s="32" t="n"/>
      <c r="D207" s="32" t="n"/>
      <c r="E207" s="32" t="n"/>
      <c r="F207" s="29" t="n"/>
      <c r="G207" s="29" t="n"/>
      <c r="H207" s="29" t="n"/>
      <c r="I207" s="29" t="n"/>
      <c r="J207" s="29" t="n"/>
      <c r="K207" s="29" t="n"/>
      <c r="L207" s="29" t="n"/>
      <c r="M207" s="29" t="n"/>
      <c r="N207" s="29" t="n"/>
      <c r="O207" s="5" t="n"/>
      <c r="P207" s="5" t="n"/>
      <c r="Q207" s="5" t="n"/>
      <c r="R207" s="5" t="n"/>
      <c r="S207" s="5" t="n"/>
    </row>
    <row r="208">
      <c r="A208" s="32" t="n"/>
      <c r="B208" s="32" t="n"/>
      <c r="C208" s="32" t="n"/>
      <c r="D208" s="32" t="n"/>
      <c r="E208" s="32" t="n"/>
      <c r="F208" s="29" t="n"/>
      <c r="G208" s="29" t="n"/>
      <c r="H208" s="29" t="n"/>
      <c r="I208" s="29" t="n"/>
      <c r="J208" s="29" t="n"/>
      <c r="K208" s="29" t="n"/>
      <c r="L208" s="29" t="n"/>
      <c r="M208" s="29" t="n"/>
      <c r="N208" s="29" t="n"/>
      <c r="O208" s="5" t="n"/>
      <c r="P208" s="5" t="n"/>
      <c r="Q208" s="5" t="n"/>
      <c r="R208" s="5" t="n"/>
      <c r="S208" s="5" t="n"/>
    </row>
    <row r="209">
      <c r="A209" s="32" t="n"/>
      <c r="B209" s="32" t="n"/>
      <c r="C209" s="32" t="n"/>
      <c r="D209" s="32" t="n"/>
      <c r="E209" s="32" t="n"/>
      <c r="F209" s="29" t="n"/>
      <c r="G209" s="29" t="n"/>
      <c r="H209" s="29" t="n"/>
      <c r="I209" s="29" t="n"/>
      <c r="J209" s="29" t="n"/>
      <c r="K209" s="29" t="n"/>
      <c r="L209" s="29" t="n"/>
      <c r="M209" s="29" t="n"/>
      <c r="N209" s="29" t="n"/>
      <c r="O209" s="5" t="n"/>
      <c r="P209" s="5" t="n"/>
      <c r="Q209" s="5" t="n"/>
      <c r="R209" s="5" t="n"/>
      <c r="S209" s="5" t="n"/>
    </row>
    <row r="210">
      <c r="A210" s="32" t="n"/>
      <c r="B210" s="32" t="n"/>
      <c r="C210" s="32" t="n"/>
      <c r="D210" s="32" t="n"/>
      <c r="E210" s="32" t="n"/>
      <c r="F210" s="29" t="n"/>
      <c r="G210" s="29" t="n"/>
      <c r="H210" s="29" t="n"/>
      <c r="I210" s="29" t="n"/>
      <c r="J210" s="29" t="n"/>
      <c r="K210" s="29" t="n"/>
      <c r="L210" s="29" t="n"/>
      <c r="M210" s="29" t="n"/>
      <c r="N210" s="29" t="n"/>
      <c r="O210" s="5" t="n"/>
      <c r="P210" s="5" t="n"/>
      <c r="Q210" s="5" t="n"/>
      <c r="R210" s="5" t="n"/>
      <c r="S210" s="5" t="n"/>
    </row>
    <row r="211">
      <c r="A211" s="32" t="n"/>
      <c r="B211" s="32" t="n"/>
      <c r="C211" s="32" t="n"/>
      <c r="D211" s="32" t="n"/>
      <c r="E211" s="32" t="n"/>
      <c r="F211" s="29" t="n"/>
      <c r="G211" s="29" t="n"/>
      <c r="H211" s="29" t="n"/>
      <c r="I211" s="29" t="n"/>
      <c r="J211" s="29" t="n"/>
      <c r="K211" s="29" t="n"/>
      <c r="L211" s="29" t="n"/>
      <c r="M211" s="29" t="n"/>
      <c r="N211" s="29" t="n"/>
      <c r="O211" s="5" t="n"/>
      <c r="P211" s="5" t="n"/>
      <c r="Q211" s="5" t="n"/>
      <c r="R211" s="5" t="n"/>
      <c r="S211" s="5" t="n"/>
    </row>
    <row r="212">
      <c r="A212" s="32" t="n"/>
      <c r="B212" s="32" t="n"/>
      <c r="C212" s="32" t="n"/>
      <c r="D212" s="32" t="n"/>
      <c r="E212" s="32" t="n"/>
      <c r="F212" s="29" t="n"/>
      <c r="G212" s="29" t="n"/>
      <c r="H212" s="29" t="n"/>
      <c r="I212" s="29" t="n"/>
      <c r="J212" s="29" t="n"/>
      <c r="K212" s="29" t="n"/>
      <c r="L212" s="29" t="n"/>
      <c r="M212" s="29" t="n"/>
      <c r="N212" s="29" t="n"/>
      <c r="O212" s="5" t="n"/>
      <c r="P212" s="5" t="n"/>
      <c r="Q212" s="5" t="n"/>
      <c r="R212" s="5" t="n"/>
      <c r="S212" s="5" t="n"/>
    </row>
    <row r="213">
      <c r="A213" s="32" t="n"/>
      <c r="B213" s="32" t="n"/>
      <c r="C213" s="32" t="n"/>
      <c r="D213" s="32" t="n"/>
      <c r="E213" s="32" t="n"/>
      <c r="F213" s="29" t="n"/>
      <c r="G213" s="29" t="n"/>
      <c r="H213" s="29" t="n"/>
      <c r="I213" s="29" t="n"/>
      <c r="J213" s="29" t="n"/>
      <c r="K213" s="29" t="n"/>
      <c r="L213" s="29" t="n"/>
      <c r="M213" s="29" t="n"/>
      <c r="N213" s="29" t="n"/>
      <c r="O213" s="5" t="n"/>
      <c r="P213" s="5" t="n"/>
      <c r="Q213" s="5" t="n"/>
      <c r="R213" s="5" t="n"/>
      <c r="S213" s="5" t="n"/>
    </row>
    <row r="214">
      <c r="A214" s="32" t="n"/>
      <c r="B214" s="32" t="n"/>
      <c r="C214" s="32" t="n"/>
      <c r="D214" s="32" t="n"/>
      <c r="E214" s="32" t="n"/>
      <c r="F214" s="29" t="n"/>
      <c r="G214" s="29" t="n"/>
      <c r="H214" s="29" t="n"/>
      <c r="I214" s="29" t="n"/>
      <c r="J214" s="29" t="n"/>
      <c r="K214" s="29" t="n"/>
      <c r="L214" s="29" t="n"/>
      <c r="M214" s="29" t="n"/>
      <c r="N214" s="29" t="n"/>
      <c r="O214" s="5" t="n"/>
      <c r="P214" s="5" t="n"/>
      <c r="Q214" s="5" t="n"/>
      <c r="R214" s="5" t="n"/>
      <c r="S214" s="5" t="n"/>
    </row>
    <row r="215">
      <c r="A215" s="32" t="n"/>
      <c r="B215" s="32" t="n"/>
      <c r="C215" s="32" t="n"/>
      <c r="D215" s="32" t="n"/>
      <c r="E215" s="32" t="n"/>
      <c r="F215" s="29" t="n"/>
      <c r="G215" s="29" t="n"/>
      <c r="H215" s="29" t="n"/>
      <c r="I215" s="29" t="n"/>
      <c r="J215" s="29" t="n"/>
      <c r="K215" s="29" t="n"/>
      <c r="L215" s="29" t="n"/>
      <c r="M215" s="29" t="n"/>
      <c r="N215" s="29" t="n"/>
      <c r="O215" s="5" t="n"/>
      <c r="P215" s="5" t="n"/>
      <c r="Q215" s="5" t="n"/>
      <c r="R215" s="5" t="n"/>
      <c r="S215" s="5" t="n"/>
    </row>
    <row r="216">
      <c r="A216" s="32" t="n"/>
      <c r="B216" s="32" t="n"/>
      <c r="C216" s="32" t="n"/>
      <c r="D216" s="32" t="n"/>
      <c r="E216" s="32" t="n"/>
      <c r="F216" s="29" t="n"/>
      <c r="G216" s="29" t="n"/>
      <c r="H216" s="29" t="n"/>
      <c r="I216" s="29" t="n"/>
      <c r="J216" s="29" t="n"/>
      <c r="K216" s="29" t="n"/>
      <c r="L216" s="29" t="n"/>
      <c r="M216" s="29" t="n"/>
      <c r="N216" s="29" t="n"/>
      <c r="O216" s="5" t="n"/>
      <c r="P216" s="5" t="n"/>
      <c r="Q216" s="5" t="n"/>
      <c r="R216" s="5" t="n"/>
      <c r="S216" s="5" t="n"/>
    </row>
    <row r="217">
      <c r="A217" s="32" t="n"/>
      <c r="B217" s="32" t="n"/>
      <c r="C217" s="32" t="n"/>
      <c r="D217" s="32" t="n"/>
      <c r="E217" s="32" t="n"/>
      <c r="F217" s="29" t="n"/>
      <c r="G217" s="29" t="n"/>
      <c r="H217" s="29" t="n"/>
      <c r="I217" s="29" t="n"/>
      <c r="J217" s="29" t="n"/>
      <c r="K217" s="29" t="n"/>
      <c r="L217" s="29" t="n"/>
      <c r="M217" s="29" t="n"/>
      <c r="N217" s="29" t="n"/>
      <c r="O217" s="5" t="n"/>
      <c r="P217" s="5" t="n"/>
      <c r="Q217" s="5" t="n"/>
      <c r="R217" s="5" t="n"/>
      <c r="S217" s="5" t="n"/>
    </row>
    <row r="218">
      <c r="A218" s="32" t="n"/>
      <c r="B218" s="32" t="n"/>
      <c r="C218" s="32" t="n"/>
      <c r="D218" s="32" t="n"/>
      <c r="E218" s="32" t="n"/>
      <c r="F218" s="29" t="n"/>
      <c r="G218" s="29" t="n"/>
      <c r="H218" s="29" t="n"/>
      <c r="I218" s="29" t="n"/>
      <c r="J218" s="29" t="n"/>
      <c r="K218" s="29" t="n"/>
      <c r="L218" s="29" t="n"/>
      <c r="M218" s="29" t="n"/>
      <c r="N218" s="29" t="n"/>
      <c r="O218" s="5" t="n"/>
      <c r="P218" s="5" t="n"/>
      <c r="Q218" s="5" t="n"/>
      <c r="R218" s="5" t="n"/>
      <c r="S218" s="5" t="n"/>
    </row>
    <row r="219">
      <c r="A219" s="32" t="n"/>
      <c r="B219" s="32" t="n"/>
      <c r="C219" s="32" t="n"/>
      <c r="D219" s="32" t="n"/>
      <c r="E219" s="32" t="n"/>
      <c r="F219" s="29" t="n"/>
      <c r="G219" s="29" t="n"/>
      <c r="H219" s="29" t="n"/>
      <c r="I219" s="29" t="n"/>
      <c r="J219" s="29" t="n"/>
      <c r="K219" s="29" t="n"/>
      <c r="L219" s="29" t="n"/>
      <c r="M219" s="29" t="n"/>
      <c r="N219" s="29" t="n"/>
      <c r="O219" s="5" t="n"/>
      <c r="P219" s="5" t="n"/>
      <c r="Q219" s="5" t="n"/>
      <c r="R219" s="5" t="n"/>
      <c r="S219" s="5" t="n"/>
    </row>
    <row r="220">
      <c r="A220" s="32" t="n"/>
      <c r="B220" s="32" t="n"/>
      <c r="C220" s="32" t="n"/>
      <c r="D220" s="32" t="n"/>
      <c r="E220" s="32" t="n"/>
      <c r="F220" s="29" t="n"/>
      <c r="G220" s="29" t="n"/>
      <c r="H220" s="29" t="n"/>
      <c r="I220" s="29" t="n"/>
      <c r="J220" s="29" t="n"/>
      <c r="K220" s="29" t="n"/>
      <c r="L220" s="29" t="n"/>
      <c r="M220" s="29" t="n"/>
      <c r="N220" s="29" t="n"/>
      <c r="O220" s="5" t="n"/>
      <c r="P220" s="5" t="n"/>
      <c r="Q220" s="5" t="n"/>
      <c r="R220" s="5" t="n"/>
      <c r="S220" s="5" t="n"/>
    </row>
    <row r="221">
      <c r="A221" s="32" t="n"/>
      <c r="B221" s="32" t="n"/>
      <c r="C221" s="32" t="n"/>
      <c r="D221" s="32" t="n"/>
      <c r="E221" s="32" t="n"/>
      <c r="F221" s="29" t="n"/>
      <c r="G221" s="29" t="n"/>
      <c r="H221" s="29" t="n"/>
      <c r="I221" s="29" t="n"/>
      <c r="J221" s="29" t="n"/>
      <c r="K221" s="29" t="n"/>
      <c r="L221" s="29" t="n"/>
      <c r="M221" s="29" t="n"/>
      <c r="N221" s="29" t="n"/>
      <c r="O221" s="5" t="n"/>
      <c r="P221" s="5" t="n"/>
      <c r="Q221" s="5" t="n"/>
      <c r="R221" s="5" t="n"/>
      <c r="S221" s="5" t="n"/>
    </row>
    <row r="222">
      <c r="A222" s="32" t="n"/>
      <c r="B222" s="32" t="n"/>
      <c r="C222" s="32" t="n"/>
      <c r="D222" s="32" t="n"/>
      <c r="E222" s="32" t="n"/>
      <c r="F222" s="29" t="n"/>
      <c r="G222" s="29" t="n"/>
      <c r="H222" s="29" t="n"/>
      <c r="I222" s="29" t="n"/>
      <c r="J222" s="29" t="n"/>
      <c r="K222" s="29" t="n"/>
      <c r="L222" s="29" t="n"/>
      <c r="M222" s="29" t="n"/>
      <c r="N222" s="29" t="n"/>
      <c r="O222" s="5" t="n"/>
      <c r="P222" s="5" t="n"/>
      <c r="Q222" s="5" t="n"/>
      <c r="R222" s="5" t="n"/>
      <c r="S222" s="5" t="n"/>
    </row>
    <row r="223">
      <c r="A223" s="32" t="n"/>
      <c r="B223" s="32" t="n"/>
      <c r="C223" s="32" t="n"/>
      <c r="D223" s="32" t="n"/>
      <c r="E223" s="32" t="n"/>
      <c r="F223" s="29" t="n"/>
      <c r="G223" s="29" t="n"/>
      <c r="H223" s="29" t="n"/>
      <c r="I223" s="29" t="n"/>
      <c r="J223" s="29" t="n"/>
      <c r="K223" s="29" t="n"/>
      <c r="L223" s="29" t="n"/>
      <c r="M223" s="29" t="n"/>
      <c r="N223" s="29" t="n"/>
      <c r="O223" s="5" t="n"/>
      <c r="P223" s="5" t="n"/>
      <c r="Q223" s="5" t="n"/>
      <c r="R223" s="5" t="n"/>
      <c r="S223" s="5" t="n"/>
    </row>
    <row r="224">
      <c r="A224" s="32" t="n"/>
      <c r="B224" s="32" t="n"/>
      <c r="C224" s="32" t="n"/>
      <c r="D224" s="32" t="n"/>
      <c r="E224" s="32" t="n"/>
      <c r="F224" s="29" t="n"/>
      <c r="G224" s="29" t="n"/>
      <c r="H224" s="29" t="n"/>
      <c r="I224" s="29" t="n"/>
      <c r="J224" s="29" t="n"/>
      <c r="K224" s="29" t="n"/>
      <c r="L224" s="29" t="n"/>
      <c r="M224" s="29" t="n"/>
      <c r="N224" s="29" t="n"/>
      <c r="O224" s="5" t="n"/>
      <c r="P224" s="5" t="n"/>
      <c r="Q224" s="5" t="n"/>
      <c r="R224" s="5" t="n"/>
      <c r="S224" s="5" t="n"/>
    </row>
    <row r="225">
      <c r="A225" s="32" t="n"/>
      <c r="B225" s="32" t="n"/>
      <c r="C225" s="32" t="n"/>
      <c r="D225" s="32" t="n"/>
      <c r="E225" s="32" t="n"/>
      <c r="F225" s="29" t="n"/>
      <c r="G225" s="29" t="n"/>
      <c r="H225" s="29" t="n"/>
      <c r="I225" s="29" t="n"/>
      <c r="J225" s="29" t="n"/>
      <c r="K225" s="29" t="n"/>
      <c r="L225" s="29" t="n"/>
      <c r="M225" s="29" t="n"/>
      <c r="N225" s="29" t="n"/>
      <c r="O225" s="5" t="n"/>
      <c r="P225" s="5" t="n"/>
      <c r="Q225" s="5" t="n"/>
      <c r="R225" s="5" t="n"/>
      <c r="S225" s="5" t="n"/>
    </row>
    <row r="226">
      <c r="A226" s="32" t="n"/>
      <c r="B226" s="32" t="n"/>
      <c r="C226" s="32" t="n"/>
      <c r="D226" s="32" t="n"/>
      <c r="E226" s="32" t="n"/>
      <c r="F226" s="29" t="n"/>
      <c r="G226" s="29" t="n"/>
      <c r="H226" s="29" t="n"/>
      <c r="I226" s="29" t="n"/>
      <c r="J226" s="29" t="n"/>
      <c r="K226" s="29" t="n"/>
      <c r="L226" s="29" t="n"/>
      <c r="M226" s="29" t="n"/>
      <c r="N226" s="29" t="n"/>
      <c r="O226" s="5" t="n"/>
      <c r="P226" s="5" t="n"/>
      <c r="Q226" s="5" t="n"/>
      <c r="R226" s="5" t="n"/>
      <c r="S226" s="5" t="n"/>
    </row>
    <row r="227">
      <c r="A227" s="32" t="n"/>
      <c r="B227" s="32" t="n"/>
      <c r="C227" s="32" t="n"/>
      <c r="D227" s="32" t="n"/>
      <c r="E227" s="32" t="n"/>
      <c r="F227" s="29" t="n"/>
      <c r="G227" s="29" t="n"/>
      <c r="H227" s="29" t="n"/>
      <c r="I227" s="29" t="n"/>
      <c r="J227" s="29" t="n"/>
      <c r="K227" s="29" t="n"/>
      <c r="L227" s="29" t="n"/>
      <c r="M227" s="29" t="n"/>
      <c r="N227" s="29" t="n"/>
      <c r="O227" s="5" t="n"/>
      <c r="P227" s="5" t="n"/>
      <c r="Q227" s="5" t="n"/>
      <c r="R227" s="5" t="n"/>
      <c r="S227" s="5" t="n"/>
    </row>
    <row r="228">
      <c r="A228" s="32" t="n"/>
      <c r="B228" s="32" t="n"/>
      <c r="C228" s="32" t="n"/>
      <c r="D228" s="32" t="n"/>
      <c r="E228" s="32" t="n"/>
      <c r="F228" s="29" t="n"/>
      <c r="G228" s="29" t="n"/>
      <c r="H228" s="29" t="n"/>
      <c r="I228" s="29" t="n"/>
      <c r="J228" s="29" t="n"/>
      <c r="K228" s="29" t="n"/>
      <c r="L228" s="29" t="n"/>
      <c r="M228" s="29" t="n"/>
      <c r="N228" s="29" t="n"/>
      <c r="O228" s="5" t="n"/>
      <c r="P228" s="5" t="n"/>
      <c r="Q228" s="5" t="n"/>
      <c r="R228" s="5" t="n"/>
      <c r="S228" s="5" t="n"/>
    </row>
    <row r="229">
      <c r="A229" s="32" t="n"/>
      <c r="B229" s="32" t="n"/>
      <c r="C229" s="32" t="n"/>
      <c r="D229" s="32" t="n"/>
      <c r="E229" s="32" t="n"/>
      <c r="F229" s="29" t="n"/>
      <c r="G229" s="29" t="n"/>
      <c r="H229" s="29" t="n"/>
      <c r="I229" s="29" t="n"/>
      <c r="J229" s="29" t="n"/>
      <c r="K229" s="29" t="n"/>
      <c r="L229" s="29" t="n"/>
      <c r="M229" s="29" t="n"/>
      <c r="N229" s="29" t="n"/>
      <c r="O229" s="5" t="n"/>
      <c r="P229" s="5" t="n"/>
      <c r="Q229" s="5" t="n"/>
      <c r="R229" s="5" t="n"/>
      <c r="S229" s="5" t="n"/>
    </row>
    <row r="230">
      <c r="A230" s="32" t="n"/>
      <c r="B230" s="32" t="n"/>
      <c r="C230" s="32" t="n"/>
      <c r="D230" s="32" t="n"/>
      <c r="E230" s="32" t="n"/>
      <c r="F230" s="29" t="n"/>
      <c r="G230" s="29" t="n"/>
      <c r="H230" s="29" t="n"/>
      <c r="I230" s="29" t="n"/>
      <c r="J230" s="29" t="n"/>
      <c r="K230" s="29" t="n"/>
      <c r="L230" s="29" t="n"/>
      <c r="M230" s="29" t="n"/>
      <c r="N230" s="29" t="n"/>
      <c r="O230" s="5" t="n"/>
      <c r="P230" s="5" t="n"/>
      <c r="Q230" s="5" t="n"/>
      <c r="R230" s="5" t="n"/>
      <c r="S230" s="5" t="n"/>
    </row>
    <row r="231">
      <c r="A231" s="32" t="n"/>
      <c r="B231" s="32" t="n"/>
      <c r="C231" s="32" t="n"/>
      <c r="D231" s="32" t="n"/>
      <c r="E231" s="32" t="n"/>
      <c r="F231" s="29" t="n"/>
      <c r="G231" s="29" t="n"/>
      <c r="H231" s="29" t="n"/>
      <c r="I231" s="29" t="n"/>
      <c r="J231" s="29" t="n"/>
      <c r="K231" s="29" t="n"/>
      <c r="L231" s="29" t="n"/>
      <c r="M231" s="29" t="n"/>
      <c r="N231" s="29" t="n"/>
      <c r="O231" s="5" t="n"/>
      <c r="P231" s="5" t="n"/>
      <c r="Q231" s="5" t="n"/>
      <c r="R231" s="5" t="n"/>
      <c r="S231" s="5" t="n"/>
    </row>
    <row r="232">
      <c r="A232" s="32" t="n"/>
      <c r="B232" s="32" t="n"/>
      <c r="C232" s="32" t="n"/>
      <c r="D232" s="32" t="n"/>
      <c r="E232" s="32" t="n"/>
      <c r="F232" s="29" t="n"/>
      <c r="G232" s="29" t="n"/>
      <c r="H232" s="29" t="n"/>
      <c r="I232" s="29" t="n"/>
      <c r="J232" s="29" t="n"/>
      <c r="K232" s="29" t="n"/>
      <c r="L232" s="29" t="n"/>
      <c r="M232" s="29" t="n"/>
      <c r="N232" s="29" t="n"/>
      <c r="O232" s="5" t="n"/>
      <c r="P232" s="5" t="n"/>
      <c r="Q232" s="5" t="n"/>
      <c r="R232" s="5" t="n"/>
      <c r="S232" s="5" t="n"/>
    </row>
    <row r="233">
      <c r="A233" s="32" t="n"/>
      <c r="B233" s="32" t="n"/>
      <c r="C233" s="32" t="n"/>
      <c r="D233" s="32" t="n"/>
      <c r="E233" s="32" t="n"/>
      <c r="F233" s="29" t="n"/>
      <c r="G233" s="29" t="n"/>
      <c r="H233" s="29" t="n"/>
      <c r="I233" s="29" t="n"/>
      <c r="J233" s="29" t="n"/>
      <c r="K233" s="29" t="n"/>
      <c r="L233" s="29" t="n"/>
      <c r="M233" s="29" t="n"/>
      <c r="N233" s="29" t="n"/>
      <c r="O233" s="5" t="n"/>
      <c r="P233" s="5" t="n"/>
      <c r="Q233" s="5" t="n"/>
      <c r="R233" s="5" t="n"/>
      <c r="S233" s="5" t="n"/>
    </row>
    <row r="234">
      <c r="A234" s="32" t="n"/>
      <c r="B234" s="32" t="n"/>
      <c r="C234" s="32" t="n"/>
      <c r="D234" s="32" t="n"/>
      <c r="E234" s="32" t="n"/>
      <c r="F234" s="29" t="n"/>
      <c r="G234" s="29" t="n"/>
      <c r="H234" s="29" t="n"/>
      <c r="I234" s="29" t="n"/>
      <c r="J234" s="29" t="n"/>
      <c r="K234" s="29" t="n"/>
      <c r="L234" s="29" t="n"/>
      <c r="M234" s="29" t="n"/>
      <c r="N234" s="29" t="n"/>
      <c r="O234" s="5" t="n"/>
      <c r="P234" s="5" t="n"/>
      <c r="Q234" s="5" t="n"/>
      <c r="R234" s="5" t="n"/>
      <c r="S234" s="5" t="n"/>
    </row>
    <row r="235">
      <c r="A235" s="32" t="n"/>
      <c r="B235" s="32" t="n"/>
      <c r="C235" s="32" t="n"/>
      <c r="D235" s="32" t="n"/>
      <c r="E235" s="32" t="n"/>
      <c r="F235" s="29" t="n"/>
      <c r="G235" s="29" t="n"/>
      <c r="H235" s="29" t="n"/>
      <c r="I235" s="29" t="n"/>
      <c r="J235" s="29" t="n"/>
      <c r="K235" s="29" t="n"/>
      <c r="L235" s="29" t="n"/>
      <c r="M235" s="29" t="n"/>
      <c r="N235" s="29" t="n"/>
      <c r="O235" s="5" t="n"/>
      <c r="P235" s="5" t="n"/>
      <c r="Q235" s="5" t="n"/>
      <c r="R235" s="5" t="n"/>
      <c r="S235" s="5" t="n"/>
    </row>
    <row r="236">
      <c r="A236" s="32" t="n"/>
      <c r="B236" s="32" t="n"/>
      <c r="C236" s="32" t="n"/>
      <c r="D236" s="32" t="n"/>
      <c r="E236" s="32" t="n"/>
      <c r="F236" s="29" t="n"/>
      <c r="G236" s="29" t="n"/>
      <c r="H236" s="29" t="n"/>
      <c r="I236" s="29" t="n"/>
      <c r="J236" s="29" t="n"/>
      <c r="K236" s="29" t="n"/>
      <c r="L236" s="29" t="n"/>
      <c r="M236" s="29" t="n"/>
      <c r="N236" s="29" t="n"/>
      <c r="O236" s="5" t="n"/>
      <c r="P236" s="5" t="n"/>
      <c r="Q236" s="5" t="n"/>
      <c r="R236" s="5" t="n"/>
      <c r="S236" s="5" t="n"/>
    </row>
    <row r="237">
      <c r="A237" s="32" t="n"/>
      <c r="B237" s="32" t="n"/>
      <c r="C237" s="32" t="n"/>
      <c r="D237" s="32" t="n"/>
      <c r="E237" s="32" t="n"/>
      <c r="F237" s="29" t="n"/>
      <c r="G237" s="29" t="n"/>
      <c r="H237" s="29" t="n"/>
      <c r="I237" s="29" t="n"/>
      <c r="J237" s="29" t="n"/>
      <c r="K237" s="29" t="n"/>
      <c r="L237" s="29" t="n"/>
      <c r="M237" s="29" t="n"/>
      <c r="N237" s="29" t="n"/>
      <c r="O237" s="5" t="n"/>
      <c r="P237" s="5" t="n"/>
      <c r="Q237" s="5" t="n"/>
      <c r="R237" s="5" t="n"/>
      <c r="S237" s="5" t="n"/>
    </row>
    <row r="238">
      <c r="A238" s="32" t="n"/>
      <c r="B238" s="32" t="n"/>
      <c r="C238" s="32" t="n"/>
      <c r="D238" s="32" t="n"/>
      <c r="E238" s="32" t="n"/>
      <c r="F238" s="29" t="n"/>
      <c r="G238" s="29" t="n"/>
      <c r="H238" s="29" t="n"/>
      <c r="I238" s="29" t="n"/>
      <c r="J238" s="29" t="n"/>
      <c r="K238" s="29" t="n"/>
      <c r="L238" s="29" t="n"/>
      <c r="M238" s="29" t="n"/>
      <c r="N238" s="29" t="n"/>
      <c r="O238" s="5" t="n"/>
      <c r="P238" s="5" t="n"/>
      <c r="Q238" s="5" t="n"/>
      <c r="R238" s="5" t="n"/>
      <c r="S238" s="5" t="n"/>
    </row>
    <row r="239">
      <c r="A239" s="32" t="n"/>
      <c r="B239" s="32" t="n"/>
      <c r="C239" s="32" t="n"/>
      <c r="D239" s="32" t="n"/>
      <c r="E239" s="32" t="n"/>
      <c r="F239" s="29" t="n"/>
      <c r="G239" s="29" t="n"/>
      <c r="H239" s="29" t="n"/>
      <c r="I239" s="29" t="n"/>
      <c r="J239" s="29" t="n"/>
      <c r="K239" s="29" t="n"/>
      <c r="L239" s="29" t="n"/>
      <c r="M239" s="29" t="n"/>
      <c r="N239" s="29" t="n"/>
      <c r="O239" s="5" t="n"/>
      <c r="P239" s="5" t="n"/>
      <c r="Q239" s="5" t="n"/>
      <c r="R239" s="5" t="n"/>
      <c r="S239" s="5" t="n"/>
    </row>
    <row r="240">
      <c r="A240" s="32" t="n"/>
      <c r="B240" s="32" t="n"/>
      <c r="C240" s="32" t="n"/>
      <c r="D240" s="32" t="n"/>
      <c r="E240" s="32" t="n"/>
      <c r="F240" s="29" t="n"/>
      <c r="G240" s="29" t="n"/>
      <c r="H240" s="29" t="n"/>
      <c r="I240" s="29" t="n"/>
      <c r="J240" s="29" t="n"/>
      <c r="K240" s="29" t="n"/>
      <c r="L240" s="29" t="n"/>
      <c r="M240" s="29" t="n"/>
      <c r="N240" s="29" t="n"/>
      <c r="O240" s="5" t="n"/>
      <c r="P240" s="5" t="n"/>
      <c r="Q240" s="5" t="n"/>
      <c r="R240" s="5" t="n"/>
      <c r="S240" s="5" t="n"/>
    </row>
    <row r="241">
      <c r="A241" s="32" t="n"/>
      <c r="B241" s="32" t="n"/>
      <c r="C241" s="32" t="n"/>
      <c r="D241" s="32" t="n"/>
      <c r="E241" s="32" t="n"/>
      <c r="F241" s="29" t="n"/>
      <c r="G241" s="29" t="n"/>
      <c r="H241" s="29" t="n"/>
      <c r="I241" s="29" t="n"/>
      <c r="J241" s="29" t="n"/>
      <c r="K241" s="29" t="n"/>
      <c r="L241" s="29" t="n"/>
      <c r="M241" s="29" t="n"/>
      <c r="N241" s="29" t="n"/>
      <c r="O241" s="5" t="n"/>
      <c r="P241" s="5" t="n"/>
      <c r="Q241" s="5" t="n"/>
      <c r="R241" s="5" t="n"/>
      <c r="S241" s="5" t="n"/>
    </row>
    <row r="242">
      <c r="A242" s="32" t="n"/>
      <c r="B242" s="32" t="n"/>
      <c r="C242" s="32" t="n"/>
      <c r="D242" s="32" t="n"/>
      <c r="E242" s="32" t="n"/>
      <c r="F242" s="29" t="n"/>
      <c r="G242" s="29" t="n"/>
      <c r="H242" s="29" t="n"/>
      <c r="I242" s="29" t="n"/>
      <c r="J242" s="29" t="n"/>
      <c r="K242" s="29" t="n"/>
      <c r="L242" s="29" t="n"/>
      <c r="M242" s="29" t="n"/>
      <c r="N242" s="29" t="n"/>
      <c r="O242" s="5" t="n"/>
      <c r="P242" s="5" t="n"/>
      <c r="Q242" s="5" t="n"/>
      <c r="R242" s="5" t="n"/>
      <c r="S242" s="5" t="n"/>
    </row>
    <row r="243">
      <c r="A243" s="32" t="n"/>
      <c r="B243" s="32" t="n"/>
      <c r="C243" s="32" t="n"/>
      <c r="D243" s="32" t="n"/>
      <c r="E243" s="32" t="n"/>
      <c r="F243" s="29" t="n"/>
      <c r="G243" s="29" t="n"/>
      <c r="H243" s="29" t="n"/>
      <c r="I243" s="29" t="n"/>
      <c r="J243" s="29" t="n"/>
      <c r="K243" s="29" t="n"/>
      <c r="L243" s="29" t="n"/>
      <c r="M243" s="29" t="n"/>
      <c r="N243" s="29" t="n"/>
      <c r="O243" s="5" t="n"/>
      <c r="P243" s="5" t="n"/>
      <c r="Q243" s="5" t="n"/>
      <c r="R243" s="5" t="n"/>
      <c r="S243" s="5" t="n"/>
    </row>
    <row r="244">
      <c r="A244" s="32" t="n"/>
      <c r="B244" s="32" t="n"/>
      <c r="C244" s="32" t="n"/>
      <c r="D244" s="32" t="n"/>
      <c r="E244" s="32" t="n"/>
      <c r="F244" s="29" t="n"/>
      <c r="G244" s="29" t="n"/>
      <c r="H244" s="29" t="n"/>
      <c r="I244" s="29" t="n"/>
      <c r="J244" s="29" t="n"/>
      <c r="K244" s="29" t="n"/>
      <c r="L244" s="29" t="n"/>
      <c r="M244" s="29" t="n"/>
      <c r="N244" s="29" t="n"/>
      <c r="O244" s="5" t="n"/>
      <c r="P244" s="5" t="n"/>
      <c r="Q244" s="5" t="n"/>
      <c r="R244" s="5" t="n"/>
      <c r="S244" s="5" t="n"/>
    </row>
    <row r="245">
      <c r="A245" s="32" t="n"/>
      <c r="B245" s="32" t="n"/>
      <c r="C245" s="32" t="n"/>
      <c r="D245" s="32" t="n"/>
      <c r="E245" s="32" t="n"/>
      <c r="F245" s="29" t="n"/>
      <c r="G245" s="29" t="n"/>
      <c r="H245" s="29" t="n"/>
      <c r="I245" s="29" t="n"/>
      <c r="J245" s="29" t="n"/>
      <c r="K245" s="29" t="n"/>
      <c r="L245" s="29" t="n"/>
      <c r="M245" s="29" t="n"/>
      <c r="N245" s="29" t="n"/>
      <c r="O245" s="5" t="n"/>
      <c r="P245" s="5" t="n"/>
      <c r="Q245" s="5" t="n"/>
      <c r="R245" s="5" t="n"/>
      <c r="S245" s="5" t="n"/>
    </row>
    <row r="246">
      <c r="A246" s="32" t="n"/>
      <c r="B246" s="32" t="n"/>
      <c r="C246" s="32" t="n"/>
      <c r="D246" s="32" t="n"/>
      <c r="E246" s="32" t="n"/>
      <c r="F246" s="29" t="n"/>
      <c r="G246" s="29" t="n"/>
      <c r="H246" s="29" t="n"/>
      <c r="I246" s="29" t="n"/>
      <c r="J246" s="29" t="n"/>
      <c r="K246" s="29" t="n"/>
      <c r="L246" s="29" t="n"/>
      <c r="M246" s="29" t="n"/>
      <c r="N246" s="29" t="n"/>
      <c r="O246" s="5" t="n"/>
      <c r="P246" s="5" t="n"/>
      <c r="Q246" s="5" t="n"/>
      <c r="R246" s="5" t="n"/>
      <c r="S246" s="5" t="n"/>
    </row>
    <row r="247">
      <c r="A247" s="32" t="n"/>
      <c r="B247" s="32" t="n"/>
      <c r="C247" s="32" t="n"/>
      <c r="D247" s="32" t="n"/>
      <c r="E247" s="32" t="n"/>
      <c r="F247" s="29" t="n"/>
      <c r="G247" s="29" t="n"/>
      <c r="H247" s="29" t="n"/>
      <c r="I247" s="29" t="n"/>
      <c r="J247" s="29" t="n"/>
      <c r="K247" s="29" t="n"/>
      <c r="L247" s="29" t="n"/>
      <c r="M247" s="29" t="n"/>
      <c r="N247" s="29" t="n"/>
      <c r="O247" s="5" t="n"/>
      <c r="P247" s="5" t="n"/>
      <c r="Q247" s="5" t="n"/>
      <c r="R247" s="5" t="n"/>
      <c r="S247" s="5" t="n"/>
    </row>
    <row r="248">
      <c r="A248" s="32" t="n"/>
      <c r="B248" s="32" t="n"/>
      <c r="C248" s="32" t="n"/>
      <c r="D248" s="32" t="n"/>
      <c r="E248" s="32" t="n"/>
      <c r="F248" s="29" t="n"/>
      <c r="G248" s="29" t="n"/>
      <c r="H248" s="29" t="n"/>
      <c r="I248" s="29" t="n"/>
      <c r="J248" s="29" t="n"/>
      <c r="K248" s="29" t="n"/>
      <c r="L248" s="29" t="n"/>
      <c r="M248" s="29" t="n"/>
      <c r="N248" s="29" t="n"/>
      <c r="O248" s="5" t="n"/>
      <c r="P248" s="5" t="n"/>
      <c r="Q248" s="5" t="n"/>
      <c r="R248" s="5" t="n"/>
      <c r="S248" s="5" t="n"/>
    </row>
    <row r="249">
      <c r="A249" s="32" t="n"/>
      <c r="B249" s="32" t="n"/>
      <c r="C249" s="32" t="n"/>
      <c r="D249" s="32" t="n"/>
      <c r="E249" s="32" t="n"/>
      <c r="F249" s="29" t="n"/>
      <c r="G249" s="29" t="n"/>
      <c r="H249" s="29" t="n"/>
      <c r="I249" s="29" t="n"/>
      <c r="J249" s="29" t="n"/>
      <c r="K249" s="29" t="n"/>
      <c r="L249" s="29" t="n"/>
      <c r="M249" s="29" t="n"/>
      <c r="N249" s="29" t="n"/>
      <c r="O249" s="5" t="n"/>
      <c r="P249" s="5" t="n"/>
      <c r="Q249" s="5" t="n"/>
      <c r="R249" s="5" t="n"/>
      <c r="S249" s="5" t="n"/>
    </row>
    <row r="250">
      <c r="A250" s="32" t="n"/>
      <c r="B250" s="32" t="n"/>
      <c r="C250" s="32" t="n"/>
      <c r="D250" s="32" t="n"/>
      <c r="E250" s="32" t="n"/>
      <c r="F250" s="29" t="n"/>
      <c r="G250" s="29" t="n"/>
      <c r="H250" s="29" t="n"/>
      <c r="I250" s="29" t="n"/>
      <c r="J250" s="29" t="n"/>
      <c r="K250" s="29" t="n"/>
      <c r="L250" s="29" t="n"/>
      <c r="M250" s="29" t="n"/>
      <c r="N250" s="29" t="n"/>
      <c r="O250" s="5" t="n"/>
      <c r="P250" s="5" t="n"/>
      <c r="Q250" s="5" t="n"/>
      <c r="R250" s="5" t="n"/>
      <c r="S250" s="5" t="n"/>
    </row>
    <row r="251">
      <c r="A251" s="32" t="n"/>
      <c r="B251" s="32" t="n"/>
      <c r="C251" s="32" t="n"/>
      <c r="D251" s="32" t="n"/>
      <c r="E251" s="32" t="n"/>
      <c r="F251" s="29" t="n"/>
      <c r="G251" s="29" t="n"/>
      <c r="H251" s="29" t="n"/>
      <c r="I251" s="29" t="n"/>
      <c r="J251" s="29" t="n"/>
      <c r="K251" s="29" t="n"/>
      <c r="L251" s="29" t="n"/>
      <c r="M251" s="29" t="n"/>
      <c r="N251" s="29" t="n"/>
      <c r="O251" s="5" t="n"/>
      <c r="P251" s="5" t="n"/>
      <c r="Q251" s="5" t="n"/>
      <c r="R251" s="5" t="n"/>
      <c r="S251" s="5" t="n"/>
    </row>
    <row r="252">
      <c r="A252" s="32" t="n"/>
      <c r="B252" s="32" t="n"/>
      <c r="C252" s="32" t="n"/>
      <c r="D252" s="32" t="n"/>
      <c r="E252" s="32" t="n"/>
      <c r="F252" s="29" t="n"/>
      <c r="G252" s="29" t="n"/>
      <c r="H252" s="29" t="n"/>
      <c r="I252" s="29" t="n"/>
      <c r="J252" s="29" t="n"/>
      <c r="K252" s="29" t="n"/>
      <c r="L252" s="29" t="n"/>
      <c r="M252" s="29" t="n"/>
      <c r="N252" s="29" t="n"/>
      <c r="O252" s="5" t="n"/>
      <c r="P252" s="5" t="n"/>
      <c r="Q252" s="5" t="n"/>
      <c r="R252" s="5" t="n"/>
      <c r="S252" s="5" t="n"/>
    </row>
    <row r="253">
      <c r="A253" s="32" t="n"/>
      <c r="B253" s="32" t="n"/>
      <c r="C253" s="32" t="n"/>
      <c r="D253" s="32" t="n"/>
      <c r="E253" s="32" t="n"/>
      <c r="F253" s="29" t="n"/>
      <c r="G253" s="29" t="n"/>
      <c r="H253" s="29" t="n"/>
      <c r="I253" s="29" t="n"/>
      <c r="J253" s="29" t="n"/>
      <c r="K253" s="29" t="n"/>
      <c r="L253" s="29" t="n"/>
      <c r="M253" s="29" t="n"/>
      <c r="N253" s="29" t="n"/>
      <c r="O253" s="5" t="n"/>
      <c r="P253" s="5" t="n"/>
      <c r="Q253" s="5" t="n"/>
      <c r="R253" s="5" t="n"/>
      <c r="S253" s="5" t="n"/>
    </row>
    <row r="254">
      <c r="A254" s="32" t="n"/>
      <c r="B254" s="32" t="n"/>
      <c r="C254" s="32" t="n"/>
      <c r="D254" s="32" t="n"/>
      <c r="E254" s="32" t="n"/>
      <c r="F254" s="29" t="n"/>
      <c r="G254" s="29" t="n"/>
      <c r="H254" s="29" t="n"/>
      <c r="I254" s="29" t="n"/>
      <c r="J254" s="29" t="n"/>
      <c r="K254" s="29" t="n"/>
      <c r="L254" s="29" t="n"/>
      <c r="M254" s="29" t="n"/>
      <c r="N254" s="29" t="n"/>
      <c r="O254" s="5" t="n"/>
      <c r="P254" s="5" t="n"/>
      <c r="Q254" s="5" t="n"/>
      <c r="R254" s="5" t="n"/>
      <c r="S254" s="5" t="n"/>
    </row>
    <row r="255">
      <c r="A255" s="32" t="n"/>
      <c r="B255" s="32" t="n"/>
      <c r="C255" s="32" t="n"/>
      <c r="D255" s="32" t="n"/>
      <c r="E255" s="32" t="n"/>
      <c r="F255" s="29" t="n"/>
      <c r="G255" s="29" t="n"/>
      <c r="H255" s="29" t="n"/>
      <c r="I255" s="29" t="n"/>
      <c r="J255" s="29" t="n"/>
      <c r="K255" s="29" t="n"/>
      <c r="L255" s="29" t="n"/>
      <c r="M255" s="29" t="n"/>
      <c r="N255" s="29" t="n"/>
      <c r="O255" s="5" t="n"/>
      <c r="P255" s="5" t="n"/>
      <c r="Q255" s="5" t="n"/>
      <c r="R255" s="5" t="n"/>
      <c r="S255" s="5" t="n"/>
    </row>
    <row r="256">
      <c r="A256" s="32" t="n"/>
      <c r="B256" s="32" t="n"/>
      <c r="C256" s="32" t="n"/>
      <c r="D256" s="32" t="n"/>
      <c r="E256" s="32" t="n"/>
      <c r="F256" s="29" t="n"/>
      <c r="G256" s="29" t="n"/>
      <c r="H256" s="29" t="n"/>
      <c r="I256" s="29" t="n"/>
      <c r="J256" s="29" t="n"/>
      <c r="K256" s="29" t="n"/>
      <c r="L256" s="29" t="n"/>
      <c r="M256" s="29" t="n"/>
      <c r="N256" s="29" t="n"/>
      <c r="O256" s="5" t="n"/>
      <c r="P256" s="5" t="n"/>
      <c r="Q256" s="5" t="n"/>
      <c r="R256" s="5" t="n"/>
      <c r="S256" s="5" t="n"/>
    </row>
    <row r="257">
      <c r="A257" s="32" t="n"/>
      <c r="B257" s="32" t="n"/>
      <c r="C257" s="32" t="n"/>
      <c r="D257" s="32" t="n"/>
      <c r="E257" s="32" t="n"/>
      <c r="F257" s="29" t="n"/>
      <c r="G257" s="29" t="n"/>
      <c r="H257" s="29" t="n"/>
      <c r="I257" s="29" t="n"/>
      <c r="J257" s="29" t="n"/>
      <c r="K257" s="29" t="n"/>
      <c r="L257" s="29" t="n"/>
      <c r="M257" s="29" t="n"/>
      <c r="N257" s="29" t="n"/>
      <c r="O257" s="5" t="n"/>
      <c r="P257" s="5" t="n"/>
      <c r="Q257" s="5" t="n"/>
      <c r="R257" s="5" t="n"/>
      <c r="S257" s="5" t="n"/>
    </row>
    <row r="258">
      <c r="A258" s="32" t="n"/>
      <c r="B258" s="32" t="n"/>
      <c r="C258" s="32" t="n"/>
      <c r="D258" s="32" t="n"/>
      <c r="E258" s="32" t="n"/>
      <c r="F258" s="29" t="n"/>
      <c r="G258" s="29" t="n"/>
      <c r="H258" s="29" t="n"/>
      <c r="I258" s="29" t="n"/>
      <c r="J258" s="29" t="n"/>
      <c r="K258" s="29" t="n"/>
      <c r="L258" s="29" t="n"/>
      <c r="M258" s="29" t="n"/>
      <c r="N258" s="29" t="n"/>
      <c r="O258" s="5" t="n"/>
      <c r="P258" s="5" t="n"/>
      <c r="Q258" s="5" t="n"/>
      <c r="R258" s="5" t="n"/>
      <c r="S258" s="5" t="n"/>
    </row>
    <row r="259">
      <c r="A259" s="32" t="n"/>
      <c r="B259" s="32" t="n"/>
      <c r="C259" s="32" t="n"/>
      <c r="D259" s="32" t="n"/>
      <c r="E259" s="32" t="n"/>
      <c r="F259" s="29" t="n"/>
      <c r="G259" s="29" t="n"/>
      <c r="H259" s="29" t="n"/>
      <c r="I259" s="29" t="n"/>
      <c r="J259" s="29" t="n"/>
      <c r="K259" s="29" t="n"/>
      <c r="L259" s="29" t="n"/>
      <c r="M259" s="29" t="n"/>
      <c r="N259" s="29" t="n"/>
      <c r="O259" s="5" t="n"/>
      <c r="P259" s="5" t="n"/>
      <c r="Q259" s="5" t="n"/>
      <c r="R259" s="5" t="n"/>
      <c r="S259" s="5" t="n"/>
    </row>
    <row r="260">
      <c r="A260" s="32" t="n"/>
      <c r="B260" s="32" t="n"/>
      <c r="C260" s="32" t="n"/>
      <c r="D260" s="32" t="n"/>
      <c r="E260" s="32" t="n"/>
      <c r="F260" s="29" t="n"/>
      <c r="G260" s="29" t="n"/>
      <c r="H260" s="29" t="n"/>
      <c r="I260" s="29" t="n"/>
      <c r="J260" s="29" t="n"/>
      <c r="K260" s="29" t="n"/>
      <c r="L260" s="29" t="n"/>
      <c r="M260" s="29" t="n"/>
      <c r="N260" s="29" t="n"/>
      <c r="O260" s="5" t="n"/>
      <c r="P260" s="5" t="n"/>
      <c r="Q260" s="5" t="n"/>
      <c r="R260" s="5" t="n"/>
      <c r="S260" s="5" t="n"/>
    </row>
    <row r="261">
      <c r="A261" s="32" t="n"/>
      <c r="B261" s="32" t="n"/>
      <c r="C261" s="32" t="n"/>
      <c r="D261" s="32" t="n"/>
      <c r="E261" s="32" t="n"/>
      <c r="F261" s="29" t="n"/>
      <c r="G261" s="29" t="n"/>
      <c r="H261" s="29" t="n"/>
      <c r="I261" s="29" t="n"/>
      <c r="J261" s="29" t="n"/>
      <c r="K261" s="29" t="n"/>
      <c r="L261" s="29" t="n"/>
      <c r="M261" s="29" t="n"/>
      <c r="N261" s="29" t="n"/>
      <c r="O261" s="5" t="n"/>
      <c r="P261" s="5" t="n"/>
      <c r="Q261" s="5" t="n"/>
      <c r="R261" s="5" t="n"/>
      <c r="S261" s="5" t="n"/>
    </row>
    <row r="262">
      <c r="A262" s="32" t="n"/>
      <c r="B262" s="32" t="n"/>
      <c r="C262" s="32" t="n"/>
      <c r="D262" s="32" t="n"/>
      <c r="E262" s="32" t="n"/>
      <c r="F262" s="29" t="n"/>
      <c r="G262" s="29" t="n"/>
      <c r="H262" s="29" t="n"/>
      <c r="I262" s="29" t="n"/>
      <c r="J262" s="29" t="n"/>
      <c r="K262" s="29" t="n"/>
      <c r="L262" s="29" t="n"/>
      <c r="M262" s="29" t="n"/>
      <c r="N262" s="29" t="n"/>
      <c r="O262" s="5" t="n"/>
      <c r="P262" s="5" t="n"/>
      <c r="Q262" s="5" t="n"/>
      <c r="R262" s="5" t="n"/>
      <c r="S262" s="5" t="n"/>
    </row>
    <row r="263">
      <c r="A263" s="32" t="n"/>
      <c r="B263" s="32" t="n"/>
      <c r="C263" s="32" t="n"/>
      <c r="D263" s="32" t="n"/>
      <c r="E263" s="32" t="n"/>
      <c r="F263" s="29" t="n"/>
      <c r="G263" s="29" t="n"/>
      <c r="H263" s="29" t="n"/>
      <c r="I263" s="29" t="n"/>
      <c r="J263" s="29" t="n"/>
      <c r="K263" s="29" t="n"/>
      <c r="L263" s="29" t="n"/>
      <c r="M263" s="29" t="n"/>
      <c r="N263" s="29" t="n"/>
      <c r="O263" s="5" t="n"/>
      <c r="P263" s="5" t="n"/>
      <c r="Q263" s="5" t="n"/>
      <c r="R263" s="5" t="n"/>
      <c r="S263" s="5" t="n"/>
    </row>
    <row r="264">
      <c r="A264" s="32" t="n"/>
      <c r="B264" s="32" t="n"/>
      <c r="C264" s="32" t="n"/>
      <c r="D264" s="32" t="n"/>
      <c r="E264" s="32" t="n"/>
      <c r="F264" s="29" t="n"/>
      <c r="G264" s="29" t="n"/>
      <c r="H264" s="29" t="n"/>
      <c r="I264" s="29" t="n"/>
      <c r="J264" s="29" t="n"/>
      <c r="K264" s="29" t="n"/>
      <c r="L264" s="29" t="n"/>
      <c r="M264" s="29" t="n"/>
      <c r="N264" s="29" t="n"/>
      <c r="O264" s="5" t="n"/>
      <c r="P264" s="5" t="n"/>
      <c r="Q264" s="5" t="n"/>
      <c r="R264" s="5" t="n"/>
      <c r="S264" s="5" t="n"/>
    </row>
    <row r="265">
      <c r="A265" s="32" t="n"/>
      <c r="B265" s="32" t="n"/>
      <c r="C265" s="32" t="n"/>
      <c r="D265" s="32" t="n"/>
      <c r="E265" s="32" t="n"/>
      <c r="F265" s="29" t="n"/>
      <c r="G265" s="29" t="n"/>
      <c r="H265" s="29" t="n"/>
      <c r="I265" s="29" t="n"/>
      <c r="J265" s="29" t="n"/>
      <c r="K265" s="29" t="n"/>
      <c r="L265" s="29" t="n"/>
      <c r="M265" s="29" t="n"/>
      <c r="N265" s="29" t="n"/>
      <c r="O265" s="5" t="n"/>
      <c r="P265" s="5" t="n"/>
      <c r="Q265" s="5" t="n"/>
      <c r="R265" s="5" t="n"/>
      <c r="S265" s="5" t="n"/>
    </row>
    <row r="266">
      <c r="A266" s="32" t="n"/>
      <c r="B266" s="32" t="n"/>
      <c r="C266" s="32" t="n"/>
      <c r="D266" s="32" t="n"/>
      <c r="E266" s="32" t="n"/>
      <c r="F266" s="29" t="n"/>
      <c r="G266" s="29" t="n"/>
      <c r="H266" s="29" t="n"/>
      <c r="I266" s="29" t="n"/>
      <c r="J266" s="29" t="n"/>
      <c r="K266" s="29" t="n"/>
      <c r="L266" s="29" t="n"/>
      <c r="M266" s="29" t="n"/>
      <c r="N266" s="29" t="n"/>
      <c r="O266" s="5" t="n"/>
      <c r="P266" s="5" t="n"/>
      <c r="Q266" s="5" t="n"/>
      <c r="R266" s="5" t="n"/>
      <c r="S266" s="5" t="n"/>
    </row>
    <row r="267">
      <c r="A267" s="32" t="n"/>
      <c r="B267" s="32" t="n"/>
      <c r="C267" s="32" t="n"/>
      <c r="D267" s="32" t="n"/>
      <c r="E267" s="32" t="n"/>
      <c r="F267" s="29" t="n"/>
      <c r="G267" s="29" t="n"/>
      <c r="H267" s="29" t="n"/>
      <c r="I267" s="29" t="n"/>
      <c r="J267" s="29" t="n"/>
      <c r="K267" s="29" t="n"/>
      <c r="L267" s="29" t="n"/>
      <c r="M267" s="29" t="n"/>
      <c r="N267" s="29" t="n"/>
      <c r="O267" s="5" t="n"/>
      <c r="P267" s="5" t="n"/>
      <c r="Q267" s="5" t="n"/>
      <c r="R267" s="5" t="n"/>
      <c r="S267" s="5" t="n"/>
    </row>
    <row r="268">
      <c r="A268" s="32" t="n"/>
      <c r="B268" s="32" t="n"/>
      <c r="C268" s="32" t="n"/>
      <c r="D268" s="32" t="n"/>
      <c r="E268" s="32" t="n"/>
      <c r="F268" s="29" t="n"/>
      <c r="G268" s="29" t="n"/>
      <c r="H268" s="29" t="n"/>
      <c r="I268" s="29" t="n"/>
      <c r="J268" s="29" t="n"/>
      <c r="K268" s="29" t="n"/>
      <c r="L268" s="29" t="n"/>
      <c r="M268" s="29" t="n"/>
      <c r="N268" s="29" t="n"/>
      <c r="O268" s="5" t="n"/>
      <c r="P268" s="5" t="n"/>
      <c r="Q268" s="5" t="n"/>
      <c r="R268" s="5" t="n"/>
      <c r="S268" s="5" t="n"/>
    </row>
    <row r="269">
      <c r="A269" s="32" t="n"/>
      <c r="B269" s="32" t="n"/>
      <c r="C269" s="32" t="n"/>
      <c r="D269" s="32" t="n"/>
      <c r="E269" s="32" t="n"/>
      <c r="F269" s="29" t="n"/>
      <c r="G269" s="29" t="n"/>
      <c r="H269" s="29" t="n"/>
      <c r="I269" s="29" t="n"/>
      <c r="J269" s="29" t="n"/>
      <c r="K269" s="29" t="n"/>
      <c r="L269" s="29" t="n"/>
      <c r="M269" s="29" t="n"/>
      <c r="N269" s="29" t="n"/>
      <c r="O269" s="5" t="n"/>
      <c r="P269" s="5" t="n"/>
      <c r="Q269" s="5" t="n"/>
      <c r="R269" s="5" t="n"/>
      <c r="S269" s="5" t="n"/>
    </row>
    <row r="270">
      <c r="A270" s="32" t="n"/>
      <c r="B270" s="32" t="n"/>
      <c r="C270" s="32" t="n"/>
      <c r="D270" s="32" t="n"/>
      <c r="E270" s="32" t="n"/>
      <c r="F270" s="29" t="n"/>
      <c r="G270" s="29" t="n"/>
      <c r="H270" s="29" t="n"/>
      <c r="I270" s="29" t="n"/>
      <c r="J270" s="29" t="n"/>
      <c r="K270" s="29" t="n"/>
      <c r="L270" s="29" t="n"/>
      <c r="M270" s="29" t="n"/>
      <c r="N270" s="29" t="n"/>
      <c r="O270" s="5" t="n"/>
      <c r="P270" s="5" t="n"/>
      <c r="Q270" s="5" t="n"/>
      <c r="R270" s="5" t="n"/>
      <c r="S270" s="5" t="n"/>
    </row>
    <row r="271">
      <c r="A271" s="32" t="n"/>
      <c r="B271" s="32" t="n"/>
      <c r="C271" s="32" t="n"/>
      <c r="D271" s="32" t="n"/>
      <c r="E271" s="32" t="n"/>
      <c r="F271" s="29" t="n"/>
      <c r="G271" s="29" t="n"/>
      <c r="H271" s="29" t="n"/>
      <c r="I271" s="29" t="n"/>
      <c r="J271" s="29" t="n"/>
      <c r="K271" s="29" t="n"/>
      <c r="L271" s="29" t="n"/>
      <c r="M271" s="29" t="n"/>
      <c r="N271" s="29" t="n"/>
      <c r="O271" s="5" t="n"/>
      <c r="P271" s="5" t="n"/>
      <c r="Q271" s="5" t="n"/>
      <c r="R271" s="5" t="n"/>
      <c r="S271" s="5" t="n"/>
    </row>
    <row r="272">
      <c r="A272" s="32" t="n"/>
      <c r="B272" s="32" t="n"/>
      <c r="C272" s="32" t="n"/>
      <c r="D272" s="32" t="n"/>
      <c r="E272" s="32" t="n"/>
      <c r="F272" s="29" t="n"/>
      <c r="G272" s="29" t="n"/>
      <c r="H272" s="29" t="n"/>
      <c r="I272" s="29" t="n"/>
      <c r="J272" s="29" t="n"/>
      <c r="K272" s="29" t="n"/>
      <c r="L272" s="29" t="n"/>
      <c r="M272" s="29" t="n"/>
      <c r="N272" s="29" t="n"/>
      <c r="O272" s="5" t="n"/>
      <c r="P272" s="5" t="n"/>
      <c r="Q272" s="5" t="n"/>
      <c r="R272" s="5" t="n"/>
      <c r="S272" s="5" t="n"/>
    </row>
    <row r="273">
      <c r="A273" s="32" t="n"/>
      <c r="B273" s="32" t="n"/>
      <c r="C273" s="32" t="n"/>
      <c r="D273" s="32" t="n"/>
      <c r="E273" s="32" t="n"/>
      <c r="F273" s="29" t="n"/>
      <c r="G273" s="29" t="n"/>
      <c r="H273" s="29" t="n"/>
      <c r="I273" s="29" t="n"/>
      <c r="J273" s="29" t="n"/>
      <c r="K273" s="29" t="n"/>
      <c r="L273" s="29" t="n"/>
      <c r="M273" s="29" t="n"/>
      <c r="N273" s="29" t="n"/>
      <c r="O273" s="5" t="n"/>
      <c r="P273" s="5" t="n"/>
      <c r="Q273" s="5" t="n"/>
      <c r="R273" s="5" t="n"/>
      <c r="S273" s="5" t="n"/>
    </row>
    <row r="274">
      <c r="A274" s="32" t="n"/>
      <c r="B274" s="32" t="n"/>
      <c r="C274" s="32" t="n"/>
      <c r="D274" s="32" t="n"/>
      <c r="E274" s="32" t="n"/>
      <c r="F274" s="29" t="n"/>
      <c r="G274" s="29" t="n"/>
      <c r="H274" s="29" t="n"/>
      <c r="I274" s="29" t="n"/>
      <c r="J274" s="29" t="n"/>
      <c r="K274" s="29" t="n"/>
      <c r="L274" s="29" t="n"/>
      <c r="M274" s="29" t="n"/>
      <c r="N274" s="29" t="n"/>
      <c r="O274" s="5" t="n"/>
      <c r="P274" s="5" t="n"/>
      <c r="Q274" s="5" t="n"/>
      <c r="R274" s="5" t="n"/>
      <c r="S274" s="5" t="n"/>
    </row>
    <row r="275">
      <c r="A275" s="32" t="n"/>
      <c r="B275" s="32" t="n"/>
      <c r="C275" s="32" t="n"/>
      <c r="D275" s="32" t="n"/>
      <c r="E275" s="32" t="n"/>
      <c r="F275" s="29" t="n"/>
      <c r="G275" s="29" t="n"/>
      <c r="H275" s="29" t="n"/>
      <c r="I275" s="29" t="n"/>
      <c r="J275" s="29" t="n"/>
      <c r="K275" s="29" t="n"/>
      <c r="L275" s="29" t="n"/>
      <c r="M275" s="29" t="n"/>
      <c r="N275" s="29" t="n"/>
      <c r="O275" s="5" t="n"/>
      <c r="P275" s="5" t="n"/>
      <c r="Q275" s="5" t="n"/>
      <c r="R275" s="5" t="n"/>
      <c r="S275" s="5" t="n"/>
    </row>
    <row r="276">
      <c r="A276" s="32" t="n"/>
      <c r="B276" s="32" t="n"/>
      <c r="C276" s="32" t="n"/>
      <c r="D276" s="32" t="n"/>
      <c r="E276" s="32" t="n"/>
      <c r="F276" s="29" t="n"/>
      <c r="G276" s="29" t="n"/>
      <c r="H276" s="29" t="n"/>
      <c r="I276" s="29" t="n"/>
      <c r="J276" s="29" t="n"/>
      <c r="K276" s="29" t="n"/>
      <c r="L276" s="29" t="n"/>
      <c r="M276" s="29" t="n"/>
      <c r="N276" s="29" t="n"/>
      <c r="O276" s="5" t="n"/>
      <c r="P276" s="5" t="n"/>
      <c r="Q276" s="5" t="n"/>
      <c r="R276" s="5" t="n"/>
      <c r="S276" s="5" t="n"/>
    </row>
    <row r="277">
      <c r="A277" s="32" t="n"/>
      <c r="B277" s="32" t="n"/>
      <c r="C277" s="32" t="n"/>
      <c r="D277" s="32" t="n"/>
      <c r="E277" s="32" t="n"/>
      <c r="F277" s="29" t="n"/>
      <c r="G277" s="29" t="n"/>
      <c r="H277" s="29" t="n"/>
      <c r="I277" s="29" t="n"/>
      <c r="J277" s="29" t="n"/>
      <c r="K277" s="29" t="n"/>
      <c r="L277" s="29" t="n"/>
      <c r="M277" s="29" t="n"/>
      <c r="N277" s="29" t="n"/>
      <c r="O277" s="5" t="n"/>
      <c r="P277" s="5" t="n"/>
      <c r="Q277" s="5" t="n"/>
      <c r="R277" s="5" t="n"/>
      <c r="S277" s="5" t="n"/>
    </row>
    <row r="278">
      <c r="A278" s="32" t="n"/>
      <c r="B278" s="32" t="n"/>
      <c r="C278" s="32" t="n"/>
      <c r="D278" s="32" t="n"/>
      <c r="E278" s="32" t="n"/>
      <c r="F278" s="29" t="n"/>
      <c r="G278" s="29" t="n"/>
      <c r="H278" s="29" t="n"/>
      <c r="I278" s="29" t="n"/>
      <c r="J278" s="29" t="n"/>
      <c r="K278" s="29" t="n"/>
      <c r="L278" s="29" t="n"/>
      <c r="M278" s="29" t="n"/>
      <c r="N278" s="29" t="n"/>
      <c r="O278" s="5" t="n"/>
      <c r="P278" s="5" t="n"/>
      <c r="Q278" s="5" t="n"/>
      <c r="R278" s="5" t="n"/>
      <c r="S278" s="5" t="n"/>
    </row>
    <row r="279">
      <c r="A279" s="32" t="n"/>
      <c r="B279" s="32" t="n"/>
      <c r="C279" s="32" t="n"/>
      <c r="D279" s="32" t="n"/>
      <c r="E279" s="32" t="n"/>
      <c r="F279" s="29" t="n"/>
      <c r="G279" s="29" t="n"/>
      <c r="H279" s="29" t="n"/>
      <c r="I279" s="29" t="n"/>
      <c r="J279" s="29" t="n"/>
      <c r="K279" s="29" t="n"/>
      <c r="L279" s="29" t="n"/>
      <c r="M279" s="29" t="n"/>
      <c r="N279" s="29" t="n"/>
      <c r="O279" s="5" t="n"/>
      <c r="P279" s="5" t="n"/>
      <c r="Q279" s="5" t="n"/>
      <c r="R279" s="5" t="n"/>
      <c r="S279" s="5" t="n"/>
    </row>
    <row r="280">
      <c r="A280" s="32" t="n"/>
      <c r="B280" s="32" t="n"/>
      <c r="C280" s="32" t="n"/>
      <c r="D280" s="32" t="n"/>
      <c r="E280" s="32" t="n"/>
      <c r="F280" s="29" t="n"/>
      <c r="G280" s="29" t="n"/>
      <c r="H280" s="29" t="n"/>
      <c r="I280" s="29" t="n"/>
      <c r="J280" s="29" t="n"/>
      <c r="K280" s="29" t="n"/>
      <c r="L280" s="29" t="n"/>
      <c r="M280" s="29" t="n"/>
      <c r="N280" s="29" t="n"/>
      <c r="O280" s="5" t="n"/>
      <c r="P280" s="5" t="n"/>
      <c r="Q280" s="5" t="n"/>
      <c r="R280" s="5" t="n"/>
      <c r="S280" s="5" t="n"/>
    </row>
    <row r="281">
      <c r="A281" s="32" t="n"/>
      <c r="B281" s="32" t="n"/>
      <c r="C281" s="32" t="n"/>
      <c r="D281" s="32" t="n"/>
      <c r="E281" s="32" t="n"/>
      <c r="F281" s="29" t="n"/>
      <c r="G281" s="29" t="n"/>
      <c r="H281" s="29" t="n"/>
      <c r="I281" s="29" t="n"/>
      <c r="J281" s="29" t="n"/>
      <c r="K281" s="29" t="n"/>
      <c r="L281" s="29" t="n"/>
      <c r="M281" s="29" t="n"/>
      <c r="N281" s="29" t="n"/>
      <c r="O281" s="5" t="n"/>
      <c r="P281" s="5" t="n"/>
      <c r="Q281" s="5" t="n"/>
      <c r="R281" s="5" t="n"/>
      <c r="S281" s="5" t="n"/>
    </row>
    <row r="282">
      <c r="A282" s="32" t="n"/>
      <c r="B282" s="32" t="n"/>
      <c r="C282" s="32" t="n"/>
      <c r="D282" s="32" t="n"/>
      <c r="E282" s="32" t="n"/>
      <c r="F282" s="29" t="n"/>
      <c r="G282" s="29" t="n"/>
      <c r="H282" s="29" t="n"/>
      <c r="I282" s="29" t="n"/>
      <c r="J282" s="29" t="n"/>
      <c r="K282" s="29" t="n"/>
      <c r="L282" s="29" t="n"/>
      <c r="M282" s="29" t="n"/>
      <c r="N282" s="29" t="n"/>
      <c r="O282" s="5" t="n"/>
      <c r="P282" s="5" t="n"/>
      <c r="Q282" s="5" t="n"/>
      <c r="R282" s="5" t="n"/>
      <c r="S282" s="5" t="n"/>
    </row>
    <row r="283">
      <c r="A283" s="32" t="n"/>
      <c r="B283" s="32" t="n"/>
      <c r="C283" s="32" t="n"/>
      <c r="D283" s="32" t="n"/>
      <c r="E283" s="32" t="n"/>
      <c r="F283" s="29" t="n"/>
      <c r="G283" s="29" t="n"/>
      <c r="H283" s="29" t="n"/>
      <c r="I283" s="29" t="n"/>
      <c r="J283" s="29" t="n"/>
      <c r="K283" s="29" t="n"/>
      <c r="L283" s="29" t="n"/>
      <c r="M283" s="29" t="n"/>
      <c r="N283" s="29" t="n"/>
      <c r="O283" s="5" t="n"/>
      <c r="P283" s="5" t="n"/>
      <c r="Q283" s="5" t="n"/>
      <c r="R283" s="5" t="n"/>
      <c r="S283" s="5" t="n"/>
    </row>
    <row r="284">
      <c r="A284" s="32" t="n"/>
      <c r="B284" s="32" t="n"/>
      <c r="C284" s="32" t="n"/>
      <c r="D284" s="32" t="n"/>
      <c r="E284" s="32" t="n"/>
      <c r="F284" s="29" t="n"/>
      <c r="G284" s="29" t="n"/>
      <c r="H284" s="29" t="n"/>
      <c r="I284" s="29" t="n"/>
      <c r="J284" s="29" t="n"/>
      <c r="K284" s="29" t="n"/>
      <c r="L284" s="29" t="n"/>
      <c r="M284" s="29" t="n"/>
      <c r="N284" s="29" t="n"/>
      <c r="O284" s="5" t="n"/>
      <c r="P284" s="5" t="n"/>
      <c r="Q284" s="5" t="n"/>
      <c r="R284" s="5" t="n"/>
      <c r="S284" s="5" t="n"/>
    </row>
    <row r="285">
      <c r="A285" s="32" t="n"/>
      <c r="B285" s="32" t="n"/>
      <c r="C285" s="32" t="n"/>
      <c r="D285" s="32" t="n"/>
      <c r="E285" s="32" t="n"/>
      <c r="F285" s="29" t="n"/>
      <c r="G285" s="29" t="n"/>
      <c r="H285" s="29" t="n"/>
      <c r="I285" s="29" t="n"/>
      <c r="J285" s="29" t="n"/>
      <c r="K285" s="29" t="n"/>
      <c r="L285" s="29" t="n"/>
      <c r="M285" s="29" t="n"/>
      <c r="N285" s="29" t="n"/>
      <c r="O285" s="5" t="n"/>
      <c r="P285" s="5" t="n"/>
      <c r="Q285" s="5" t="n"/>
      <c r="R285" s="5" t="n"/>
      <c r="S285" s="5" t="n"/>
    </row>
    <row r="286">
      <c r="A286" s="32" t="n"/>
      <c r="B286" s="32" t="n"/>
      <c r="C286" s="32" t="n"/>
      <c r="D286" s="32" t="n"/>
      <c r="E286" s="32" t="n"/>
      <c r="F286" s="29" t="n"/>
      <c r="G286" s="29" t="n"/>
      <c r="H286" s="29" t="n"/>
      <c r="I286" s="29" t="n"/>
      <c r="J286" s="29" t="n"/>
      <c r="K286" s="29" t="n"/>
      <c r="L286" s="29" t="n"/>
      <c r="M286" s="29" t="n"/>
      <c r="N286" s="29" t="n"/>
      <c r="O286" s="5" t="n"/>
      <c r="P286" s="5" t="n"/>
      <c r="Q286" s="5" t="n"/>
      <c r="R286" s="5" t="n"/>
      <c r="S286" s="5" t="n"/>
    </row>
    <row r="287">
      <c r="A287" s="32" t="n"/>
      <c r="B287" s="32" t="n"/>
      <c r="C287" s="32" t="n"/>
      <c r="D287" s="32" t="n"/>
      <c r="E287" s="32" t="n"/>
      <c r="F287" s="29" t="n"/>
      <c r="G287" s="29" t="n"/>
      <c r="H287" s="29" t="n"/>
      <c r="I287" s="29" t="n"/>
      <c r="J287" s="29" t="n"/>
      <c r="K287" s="29" t="n"/>
      <c r="L287" s="29" t="n"/>
      <c r="M287" s="29" t="n"/>
      <c r="N287" s="29" t="n"/>
      <c r="O287" s="5" t="n"/>
      <c r="P287" s="5" t="n"/>
      <c r="Q287" s="5" t="n"/>
      <c r="R287" s="5" t="n"/>
      <c r="S287" s="5" t="n"/>
    </row>
    <row r="288">
      <c r="A288" s="32" t="n"/>
      <c r="B288" s="32" t="n"/>
      <c r="C288" s="32" t="n"/>
      <c r="D288" s="32" t="n"/>
      <c r="E288" s="32" t="n"/>
      <c r="F288" s="29" t="n"/>
      <c r="G288" s="29" t="n"/>
      <c r="H288" s="29" t="n"/>
      <c r="I288" s="29" t="n"/>
      <c r="J288" s="29" t="n"/>
      <c r="K288" s="29" t="n"/>
      <c r="L288" s="29" t="n"/>
      <c r="M288" s="29" t="n"/>
      <c r="N288" s="29" t="n"/>
      <c r="O288" s="5" t="n"/>
      <c r="P288" s="5" t="n"/>
      <c r="Q288" s="5" t="n"/>
      <c r="R288" s="5" t="n"/>
      <c r="S288" s="5" t="n"/>
    </row>
    <row r="289">
      <c r="A289" s="32" t="n"/>
      <c r="B289" s="32" t="n"/>
      <c r="C289" s="32" t="n"/>
      <c r="D289" s="32" t="n"/>
      <c r="E289" s="32" t="n"/>
      <c r="F289" s="29" t="n"/>
      <c r="G289" s="29" t="n"/>
      <c r="H289" s="29" t="n"/>
      <c r="I289" s="29" t="n"/>
      <c r="J289" s="29" t="n"/>
      <c r="K289" s="29" t="n"/>
      <c r="L289" s="29" t="n"/>
      <c r="M289" s="29" t="n"/>
      <c r="N289" s="29" t="n"/>
      <c r="O289" s="5" t="n"/>
      <c r="P289" s="5" t="n"/>
      <c r="Q289" s="5" t="n"/>
      <c r="R289" s="5" t="n"/>
      <c r="S289" s="5" t="n"/>
    </row>
    <row r="290">
      <c r="A290" s="32" t="n"/>
      <c r="B290" s="32" t="n"/>
      <c r="C290" s="32" t="n"/>
      <c r="D290" s="32" t="n"/>
      <c r="E290" s="32" t="n"/>
      <c r="F290" s="29" t="n"/>
      <c r="G290" s="29" t="n"/>
      <c r="H290" s="29" t="n"/>
      <c r="I290" s="29" t="n"/>
      <c r="J290" s="29" t="n"/>
      <c r="K290" s="29" t="n"/>
      <c r="L290" s="29" t="n"/>
      <c r="M290" s="29" t="n"/>
      <c r="N290" s="29" t="n"/>
      <c r="O290" s="5" t="n"/>
      <c r="P290" s="5" t="n"/>
      <c r="Q290" s="5" t="n"/>
      <c r="R290" s="5" t="n"/>
      <c r="S290" s="5" t="n"/>
    </row>
    <row r="291">
      <c r="A291" s="32" t="n"/>
      <c r="B291" s="32" t="n"/>
      <c r="C291" s="32" t="n"/>
      <c r="D291" s="32" t="n"/>
      <c r="E291" s="32" t="n"/>
      <c r="F291" s="29" t="n"/>
      <c r="G291" s="29" t="n"/>
      <c r="H291" s="29" t="n"/>
      <c r="I291" s="29" t="n"/>
      <c r="J291" s="29" t="n"/>
      <c r="K291" s="29" t="n"/>
      <c r="L291" s="29" t="n"/>
      <c r="M291" s="29" t="n"/>
      <c r="N291" s="29" t="n"/>
      <c r="O291" s="5" t="n"/>
      <c r="P291" s="5" t="n"/>
      <c r="Q291" s="5" t="n"/>
      <c r="R291" s="5" t="n"/>
      <c r="S291" s="5" t="n"/>
    </row>
    <row r="292">
      <c r="A292" s="32" t="n"/>
      <c r="B292" s="32" t="n"/>
      <c r="C292" s="32" t="n"/>
      <c r="D292" s="32" t="n"/>
      <c r="E292" s="32" t="n"/>
      <c r="F292" s="29" t="n"/>
      <c r="G292" s="29" t="n"/>
      <c r="H292" s="29" t="n"/>
      <c r="I292" s="29" t="n"/>
      <c r="J292" s="29" t="n"/>
      <c r="K292" s="29" t="n"/>
      <c r="L292" s="29" t="n"/>
      <c r="M292" s="29" t="n"/>
      <c r="N292" s="29" t="n"/>
      <c r="O292" s="5" t="n"/>
      <c r="P292" s="5" t="n"/>
      <c r="Q292" s="5" t="n"/>
      <c r="R292" s="5" t="n"/>
      <c r="S292" s="5" t="n"/>
    </row>
    <row r="293">
      <c r="A293" s="32" t="n"/>
      <c r="B293" s="32" t="n"/>
      <c r="C293" s="32" t="n"/>
      <c r="D293" s="32" t="n"/>
      <c r="E293" s="32" t="n"/>
      <c r="F293" s="29" t="n"/>
      <c r="G293" s="29" t="n"/>
      <c r="H293" s="29" t="n"/>
      <c r="I293" s="29" t="n"/>
      <c r="J293" s="29" t="n"/>
      <c r="K293" s="29" t="n"/>
      <c r="L293" s="29" t="n"/>
      <c r="M293" s="29" t="n"/>
      <c r="N293" s="29" t="n"/>
      <c r="O293" s="5" t="n"/>
      <c r="P293" s="5" t="n"/>
      <c r="Q293" s="5" t="n"/>
      <c r="R293" s="5" t="n"/>
      <c r="S293" s="5" t="n"/>
    </row>
    <row r="294">
      <c r="A294" s="32" t="n"/>
      <c r="B294" s="32" t="n"/>
      <c r="C294" s="32" t="n"/>
      <c r="D294" s="32" t="n"/>
      <c r="E294" s="32" t="n"/>
      <c r="F294" s="29" t="n"/>
      <c r="G294" s="29" t="n"/>
      <c r="H294" s="29" t="n"/>
      <c r="I294" s="29" t="n"/>
      <c r="J294" s="29" t="n"/>
      <c r="K294" s="29" t="n"/>
      <c r="L294" s="29" t="n"/>
      <c r="M294" s="29" t="n"/>
      <c r="N294" s="29" t="n"/>
      <c r="O294" s="5" t="n"/>
      <c r="P294" s="5" t="n"/>
      <c r="Q294" s="5" t="n"/>
      <c r="R294" s="5" t="n"/>
      <c r="S294" s="5" t="n"/>
    </row>
    <row r="295">
      <c r="A295" s="32" t="n"/>
      <c r="B295" s="32" t="n"/>
      <c r="C295" s="32" t="n"/>
      <c r="D295" s="32" t="n"/>
      <c r="E295" s="32" t="n"/>
      <c r="F295" s="29" t="n"/>
      <c r="G295" s="29" t="n"/>
      <c r="H295" s="29" t="n"/>
      <c r="I295" s="29" t="n"/>
      <c r="J295" s="29" t="n"/>
      <c r="K295" s="29" t="n"/>
      <c r="L295" s="29" t="n"/>
      <c r="M295" s="29" t="n"/>
      <c r="N295" s="29" t="n"/>
      <c r="O295" s="5" t="n"/>
      <c r="P295" s="5" t="n"/>
      <c r="Q295" s="5" t="n"/>
      <c r="R295" s="5" t="n"/>
      <c r="S295" s="5" t="n"/>
    </row>
    <row r="296">
      <c r="A296" s="32" t="n"/>
      <c r="B296" s="32" t="n"/>
      <c r="C296" s="32" t="n"/>
      <c r="D296" s="32" t="n"/>
      <c r="E296" s="32" t="n"/>
      <c r="F296" s="29" t="n"/>
      <c r="G296" s="29" t="n"/>
      <c r="H296" s="29" t="n"/>
      <c r="I296" s="29" t="n"/>
      <c r="J296" s="29" t="n"/>
      <c r="K296" s="29" t="n"/>
      <c r="L296" s="29" t="n"/>
      <c r="M296" s="29" t="n"/>
      <c r="N296" s="29" t="n"/>
      <c r="O296" s="5" t="n"/>
      <c r="P296" s="5" t="n"/>
      <c r="Q296" s="5" t="n"/>
      <c r="R296" s="5" t="n"/>
      <c r="S296" s="5" t="n"/>
    </row>
    <row r="297">
      <c r="A297" s="32" t="n"/>
      <c r="B297" s="32" t="n"/>
      <c r="C297" s="32" t="n"/>
      <c r="D297" s="32" t="n"/>
      <c r="E297" s="32" t="n"/>
      <c r="F297" s="29" t="n"/>
      <c r="G297" s="29" t="n"/>
      <c r="H297" s="29" t="n"/>
      <c r="I297" s="29" t="n"/>
      <c r="J297" s="29" t="n"/>
      <c r="K297" s="29" t="n"/>
      <c r="L297" s="29" t="n"/>
      <c r="M297" s="29" t="n"/>
      <c r="N297" s="29" t="n"/>
      <c r="O297" s="5" t="n"/>
      <c r="P297" s="5" t="n"/>
      <c r="Q297" s="5" t="n"/>
      <c r="R297" s="5" t="n"/>
      <c r="S297" s="5" t="n"/>
    </row>
    <row r="298">
      <c r="A298" s="32" t="n"/>
      <c r="B298" s="32" t="n"/>
      <c r="C298" s="32" t="n"/>
      <c r="D298" s="32" t="n"/>
      <c r="E298" s="32" t="n"/>
      <c r="F298" s="29" t="n"/>
      <c r="G298" s="29" t="n"/>
      <c r="H298" s="29" t="n"/>
      <c r="I298" s="29" t="n"/>
      <c r="J298" s="29" t="n"/>
      <c r="K298" s="29" t="n"/>
      <c r="L298" s="29" t="n"/>
      <c r="M298" s="29" t="n"/>
      <c r="N298" s="29" t="n"/>
      <c r="O298" s="5" t="n"/>
      <c r="P298" s="5" t="n"/>
      <c r="Q298" s="5" t="n"/>
      <c r="R298" s="5" t="n"/>
      <c r="S298" s="5" t="n"/>
    </row>
    <row r="299">
      <c r="A299" s="32" t="n"/>
      <c r="B299" s="32" t="n"/>
      <c r="C299" s="32" t="n"/>
      <c r="D299" s="32" t="n"/>
      <c r="E299" s="32" t="n"/>
      <c r="F299" s="29" t="n"/>
      <c r="G299" s="29" t="n"/>
      <c r="H299" s="29" t="n"/>
      <c r="I299" s="29" t="n"/>
      <c r="J299" s="29" t="n"/>
      <c r="K299" s="29" t="n"/>
      <c r="L299" s="29" t="n"/>
      <c r="M299" s="29" t="n"/>
      <c r="N299" s="29" t="n"/>
      <c r="O299" s="5" t="n"/>
      <c r="P299" s="5" t="n"/>
      <c r="Q299" s="5" t="n"/>
      <c r="R299" s="5" t="n"/>
      <c r="S299" s="5" t="n"/>
    </row>
    <row r="300">
      <c r="A300" s="32" t="n"/>
      <c r="B300" s="32" t="n"/>
      <c r="C300" s="32" t="n"/>
      <c r="D300" s="32" t="n"/>
      <c r="E300" s="32" t="n"/>
      <c r="F300" s="29" t="n"/>
      <c r="G300" s="29" t="n"/>
      <c r="H300" s="29" t="n"/>
      <c r="I300" s="29" t="n"/>
      <c r="J300" s="29" t="n"/>
      <c r="K300" s="29" t="n"/>
      <c r="L300" s="29" t="n"/>
      <c r="M300" s="29" t="n"/>
      <c r="N300" s="29" t="n"/>
      <c r="O300" s="5" t="n"/>
      <c r="P300" s="5" t="n"/>
      <c r="Q300" s="5" t="n"/>
      <c r="R300" s="5" t="n"/>
      <c r="S300" s="5" t="n"/>
    </row>
    <row r="301">
      <c r="A301" s="32" t="n"/>
      <c r="B301" s="32" t="n"/>
      <c r="C301" s="32" t="n"/>
      <c r="D301" s="32" t="n"/>
      <c r="E301" s="32" t="n"/>
      <c r="F301" s="29" t="n"/>
      <c r="G301" s="29" t="n"/>
      <c r="H301" s="29" t="n"/>
      <c r="I301" s="29" t="n"/>
      <c r="J301" s="29" t="n"/>
      <c r="K301" s="29" t="n"/>
      <c r="L301" s="29" t="n"/>
      <c r="M301" s="29" t="n"/>
      <c r="N301" s="29" t="n"/>
      <c r="O301" s="5" t="n"/>
      <c r="P301" s="5" t="n"/>
      <c r="Q301" s="5" t="n"/>
      <c r="R301" s="5" t="n"/>
      <c r="S301" s="5" t="n"/>
    </row>
    <row r="302">
      <c r="A302" s="32" t="n"/>
      <c r="B302" s="32" t="n"/>
      <c r="C302" s="32" t="n"/>
      <c r="D302" s="32" t="n"/>
      <c r="E302" s="32" t="n"/>
      <c r="F302" s="29" t="n"/>
      <c r="G302" s="29" t="n"/>
      <c r="H302" s="29" t="n"/>
      <c r="I302" s="29" t="n"/>
      <c r="J302" s="29" t="n"/>
      <c r="K302" s="29" t="n"/>
      <c r="L302" s="29" t="n"/>
      <c r="M302" s="29" t="n"/>
      <c r="N302" s="29" t="n"/>
      <c r="O302" s="5" t="n"/>
      <c r="P302" s="5" t="n"/>
      <c r="Q302" s="5" t="n"/>
      <c r="R302" s="5" t="n"/>
      <c r="S302" s="5" t="n"/>
    </row>
    <row r="303">
      <c r="A303" s="32" t="n"/>
      <c r="B303" s="32" t="n"/>
      <c r="C303" s="32" t="n"/>
      <c r="D303" s="32" t="n"/>
      <c r="E303" s="32" t="n"/>
      <c r="F303" s="29" t="n"/>
      <c r="G303" s="29" t="n"/>
      <c r="H303" s="29" t="n"/>
      <c r="I303" s="29" t="n"/>
      <c r="J303" s="29" t="n"/>
      <c r="K303" s="29" t="n"/>
      <c r="L303" s="29" t="n"/>
      <c r="M303" s="29" t="n"/>
      <c r="N303" s="29" t="n"/>
      <c r="O303" s="5" t="n"/>
      <c r="P303" s="5" t="n"/>
      <c r="Q303" s="5" t="n"/>
      <c r="R303" s="5" t="n"/>
      <c r="S303" s="5" t="n"/>
    </row>
    <row r="304">
      <c r="A304" s="32" t="n"/>
      <c r="B304" s="32" t="n"/>
      <c r="C304" s="32" t="n"/>
      <c r="D304" s="32" t="n"/>
      <c r="E304" s="32" t="n"/>
      <c r="F304" s="29" t="n"/>
      <c r="G304" s="29" t="n"/>
      <c r="H304" s="29" t="n"/>
      <c r="I304" s="29" t="n"/>
      <c r="J304" s="29" t="n"/>
      <c r="K304" s="29" t="n"/>
      <c r="L304" s="29" t="n"/>
      <c r="M304" s="29" t="n"/>
      <c r="N304" s="29" t="n"/>
      <c r="O304" s="5" t="n"/>
      <c r="P304" s="5" t="n"/>
      <c r="Q304" s="5" t="n"/>
      <c r="R304" s="5" t="n"/>
      <c r="S304" s="5" t="n"/>
    </row>
    <row r="305">
      <c r="A305" s="32" t="n"/>
      <c r="B305" s="32" t="n"/>
      <c r="C305" s="32" t="n"/>
      <c r="D305" s="32" t="n"/>
      <c r="E305" s="32" t="n"/>
      <c r="F305" s="29" t="n"/>
      <c r="G305" s="29" t="n"/>
      <c r="H305" s="29" t="n"/>
      <c r="I305" s="29" t="n"/>
      <c r="J305" s="29" t="n"/>
      <c r="K305" s="29" t="n"/>
      <c r="L305" s="29" t="n"/>
      <c r="M305" s="29" t="n"/>
      <c r="N305" s="29" t="n"/>
      <c r="O305" s="5" t="n"/>
      <c r="P305" s="5" t="n"/>
      <c r="Q305" s="5" t="n"/>
      <c r="R305" s="5" t="n"/>
      <c r="S305" s="5" t="n"/>
    </row>
    <row r="306">
      <c r="A306" s="32" t="n"/>
      <c r="B306" s="32" t="n"/>
      <c r="C306" s="32" t="n"/>
      <c r="D306" s="32" t="n"/>
      <c r="E306" s="32" t="n"/>
      <c r="F306" s="29" t="n"/>
      <c r="G306" s="29" t="n"/>
      <c r="H306" s="29" t="n"/>
      <c r="I306" s="29" t="n"/>
      <c r="J306" s="29" t="n"/>
      <c r="K306" s="29" t="n"/>
      <c r="L306" s="29" t="n"/>
      <c r="M306" s="29" t="n"/>
      <c r="N306" s="29" t="n"/>
      <c r="O306" s="5" t="n"/>
      <c r="P306" s="5" t="n"/>
      <c r="Q306" s="5" t="n"/>
      <c r="R306" s="5" t="n"/>
      <c r="S306" s="5" t="n"/>
    </row>
    <row r="307">
      <c r="A307" s="32" t="n"/>
      <c r="B307" s="32" t="n"/>
      <c r="C307" s="32" t="n"/>
      <c r="D307" s="32" t="n"/>
      <c r="E307" s="32" t="n"/>
      <c r="F307" s="29" t="n"/>
      <c r="G307" s="29" t="n"/>
      <c r="H307" s="29" t="n"/>
      <c r="I307" s="29" t="n"/>
      <c r="J307" s="29" t="n"/>
      <c r="K307" s="29" t="n"/>
      <c r="L307" s="29" t="n"/>
      <c r="M307" s="29" t="n"/>
      <c r="N307" s="29" t="n"/>
      <c r="O307" s="5" t="n"/>
      <c r="P307" s="5" t="n"/>
      <c r="Q307" s="5" t="n"/>
      <c r="R307" s="5" t="n"/>
      <c r="S307" s="5" t="n"/>
    </row>
    <row r="308">
      <c r="A308" s="32" t="n"/>
      <c r="B308" s="32" t="n"/>
      <c r="C308" s="32" t="n"/>
      <c r="D308" s="32" t="n"/>
      <c r="E308" s="32" t="n"/>
      <c r="F308" s="29" t="n"/>
      <c r="G308" s="29" t="n"/>
      <c r="H308" s="29" t="n"/>
      <c r="I308" s="29" t="n"/>
      <c r="J308" s="29" t="n"/>
      <c r="K308" s="29" t="n"/>
      <c r="L308" s="29" t="n"/>
      <c r="M308" s="29" t="n"/>
      <c r="N308" s="29" t="n"/>
      <c r="O308" s="5" t="n"/>
      <c r="P308" s="5" t="n"/>
      <c r="Q308" s="5" t="n"/>
      <c r="R308" s="5" t="n"/>
      <c r="S308" s="5" t="n"/>
    </row>
    <row r="309">
      <c r="A309" s="32" t="n"/>
      <c r="B309" s="32" t="n"/>
      <c r="C309" s="32" t="n"/>
      <c r="D309" s="32" t="n"/>
      <c r="E309" s="32" t="n"/>
      <c r="F309" s="29" t="n"/>
      <c r="G309" s="29" t="n"/>
      <c r="H309" s="29" t="n"/>
      <c r="I309" s="29" t="n"/>
      <c r="J309" s="29" t="n"/>
      <c r="K309" s="29" t="n"/>
      <c r="L309" s="29" t="n"/>
      <c r="M309" s="29" t="n"/>
      <c r="N309" s="29" t="n"/>
      <c r="O309" s="5" t="n"/>
      <c r="P309" s="5" t="n"/>
      <c r="Q309" s="5" t="n"/>
      <c r="R309" s="5" t="n"/>
      <c r="S309" s="5" t="n"/>
    </row>
    <row r="310">
      <c r="A310" s="32" t="n"/>
      <c r="B310" s="32" t="n"/>
      <c r="C310" s="32" t="n"/>
      <c r="D310" s="32" t="n"/>
      <c r="E310" s="32" t="n"/>
      <c r="F310" s="29" t="n"/>
      <c r="G310" s="29" t="n"/>
      <c r="H310" s="29" t="n"/>
      <c r="I310" s="29" t="n"/>
      <c r="J310" s="29" t="n"/>
      <c r="K310" s="29" t="n"/>
      <c r="L310" s="29" t="n"/>
      <c r="M310" s="29" t="n"/>
      <c r="N310" s="29" t="n"/>
      <c r="O310" s="5" t="n"/>
      <c r="P310" s="5" t="n"/>
      <c r="Q310" s="5" t="n"/>
      <c r="R310" s="5" t="n"/>
      <c r="S310" s="5" t="n"/>
    </row>
    <row r="311">
      <c r="A311" s="32" t="n"/>
      <c r="B311" s="32" t="n"/>
      <c r="C311" s="32" t="n"/>
      <c r="D311" s="32" t="n"/>
      <c r="E311" s="32" t="n"/>
      <c r="F311" s="29" t="n"/>
      <c r="G311" s="29" t="n"/>
      <c r="H311" s="29" t="n"/>
      <c r="I311" s="29" t="n"/>
      <c r="J311" s="29" t="n"/>
      <c r="K311" s="29" t="n"/>
      <c r="L311" s="29" t="n"/>
      <c r="M311" s="29" t="n"/>
      <c r="N311" s="29" t="n"/>
      <c r="O311" s="5" t="n"/>
      <c r="P311" s="5" t="n"/>
      <c r="Q311" s="5" t="n"/>
      <c r="R311" s="5" t="n"/>
      <c r="S311" s="5" t="n"/>
    </row>
    <row r="312">
      <c r="A312" s="32" t="n"/>
      <c r="B312" s="32" t="n"/>
      <c r="C312" s="32" t="n"/>
      <c r="D312" s="32" t="n"/>
      <c r="E312" s="32" t="n"/>
      <c r="F312" s="29" t="n"/>
      <c r="G312" s="29" t="n"/>
      <c r="H312" s="29" t="n"/>
      <c r="I312" s="29" t="n"/>
      <c r="J312" s="29" t="n"/>
      <c r="K312" s="29" t="n"/>
      <c r="L312" s="29" t="n"/>
      <c r="M312" s="29" t="n"/>
      <c r="N312" s="29" t="n"/>
      <c r="O312" s="5" t="n"/>
      <c r="P312" s="5" t="n"/>
      <c r="Q312" s="5" t="n"/>
      <c r="R312" s="5" t="n"/>
      <c r="S312" s="5" t="n"/>
    </row>
    <row r="313">
      <c r="A313" s="32" t="n"/>
      <c r="B313" s="32" t="n"/>
      <c r="C313" s="32" t="n"/>
      <c r="D313" s="32" t="n"/>
      <c r="E313" s="32" t="n"/>
      <c r="F313" s="29" t="n"/>
      <c r="G313" s="29" t="n"/>
      <c r="H313" s="29" t="n"/>
      <c r="I313" s="29" t="n"/>
      <c r="J313" s="29" t="n"/>
      <c r="K313" s="29" t="n"/>
      <c r="L313" s="29" t="n"/>
      <c r="M313" s="29" t="n"/>
      <c r="N313" s="29" t="n"/>
      <c r="O313" s="5" t="n"/>
      <c r="P313" s="5" t="n"/>
      <c r="Q313" s="5" t="n"/>
      <c r="R313" s="5" t="n"/>
      <c r="S313" s="5" t="n"/>
    </row>
    <row r="314">
      <c r="A314" s="32" t="n"/>
      <c r="B314" s="32" t="n"/>
      <c r="C314" s="32" t="n"/>
      <c r="D314" s="32" t="n"/>
      <c r="E314" s="32" t="n"/>
      <c r="F314" s="29" t="n"/>
      <c r="G314" s="29" t="n"/>
      <c r="H314" s="29" t="n"/>
      <c r="I314" s="29" t="n"/>
      <c r="J314" s="29" t="n"/>
      <c r="K314" s="29" t="n"/>
      <c r="L314" s="29" t="n"/>
      <c r="M314" s="29" t="n"/>
      <c r="N314" s="29" t="n"/>
      <c r="O314" s="5" t="n"/>
      <c r="P314" s="5" t="n"/>
      <c r="Q314" s="5" t="n"/>
      <c r="R314" s="5" t="n"/>
      <c r="S314" s="5" t="n"/>
    </row>
    <row r="315">
      <c r="A315" s="32" t="n"/>
      <c r="B315" s="32" t="n"/>
      <c r="C315" s="32" t="n"/>
      <c r="D315" s="32" t="n"/>
      <c r="E315" s="32" t="n"/>
      <c r="F315" s="29" t="n"/>
      <c r="G315" s="29" t="n"/>
      <c r="H315" s="29" t="n"/>
      <c r="I315" s="29" t="n"/>
      <c r="J315" s="29" t="n"/>
      <c r="K315" s="29" t="n"/>
      <c r="L315" s="29" t="n"/>
      <c r="M315" s="29" t="n"/>
      <c r="N315" s="29" t="n"/>
      <c r="O315" s="5" t="n"/>
      <c r="P315" s="5" t="n"/>
      <c r="Q315" s="5" t="n"/>
      <c r="R315" s="5" t="n"/>
      <c r="S315" s="5" t="n"/>
    </row>
    <row r="316">
      <c r="A316" s="32" t="n"/>
      <c r="B316" s="32" t="n"/>
      <c r="C316" s="32" t="n"/>
      <c r="D316" s="32" t="n"/>
      <c r="E316" s="32" t="n"/>
      <c r="F316" s="29" t="n"/>
      <c r="G316" s="29" t="n"/>
      <c r="H316" s="29" t="n"/>
      <c r="I316" s="29" t="n"/>
      <c r="J316" s="29" t="n"/>
      <c r="K316" s="29" t="n"/>
      <c r="L316" s="29" t="n"/>
      <c r="M316" s="29" t="n"/>
      <c r="N316" s="29" t="n"/>
      <c r="O316" s="5" t="n"/>
      <c r="P316" s="5" t="n"/>
      <c r="Q316" s="5" t="n"/>
      <c r="R316" s="5" t="n"/>
      <c r="S316" s="5" t="n"/>
    </row>
    <row r="317">
      <c r="A317" s="32" t="n"/>
      <c r="B317" s="32" t="n"/>
      <c r="C317" s="32" t="n"/>
      <c r="D317" s="32" t="n"/>
      <c r="E317" s="32" t="n"/>
      <c r="F317" s="29" t="n"/>
      <c r="G317" s="29" t="n"/>
      <c r="H317" s="29" t="n"/>
      <c r="I317" s="29" t="n"/>
      <c r="J317" s="29" t="n"/>
      <c r="K317" s="29" t="n"/>
      <c r="L317" s="29" t="n"/>
      <c r="M317" s="29" t="n"/>
      <c r="N317" s="29" t="n"/>
      <c r="O317" s="5" t="n"/>
      <c r="P317" s="5" t="n"/>
      <c r="Q317" s="5" t="n"/>
      <c r="R317" s="5" t="n"/>
      <c r="S317" s="5" t="n"/>
    </row>
    <row r="318">
      <c r="A318" s="32" t="n"/>
      <c r="B318" s="32" t="n"/>
      <c r="C318" s="32" t="n"/>
      <c r="D318" s="32" t="n"/>
      <c r="E318" s="32" t="n"/>
      <c r="F318" s="29" t="n"/>
      <c r="G318" s="29" t="n"/>
      <c r="H318" s="29" t="n"/>
      <c r="I318" s="29" t="n"/>
      <c r="J318" s="29" t="n"/>
      <c r="K318" s="29" t="n"/>
      <c r="L318" s="29" t="n"/>
      <c r="M318" s="29" t="n"/>
      <c r="N318" s="29" t="n"/>
      <c r="O318" s="5" t="n"/>
      <c r="P318" s="5" t="n"/>
      <c r="Q318" s="5" t="n"/>
      <c r="R318" s="5" t="n"/>
      <c r="S318" s="5" t="n"/>
    </row>
    <row r="319">
      <c r="A319" s="32" t="n"/>
      <c r="B319" s="32" t="n"/>
      <c r="C319" s="32" t="n"/>
      <c r="D319" s="32" t="n"/>
      <c r="E319" s="32" t="n"/>
      <c r="F319" s="29" t="n"/>
      <c r="G319" s="29" t="n"/>
      <c r="H319" s="29" t="n"/>
      <c r="I319" s="29" t="n"/>
      <c r="J319" s="29" t="n"/>
      <c r="K319" s="29" t="n"/>
      <c r="L319" s="29" t="n"/>
      <c r="M319" s="29" t="n"/>
      <c r="N319" s="29" t="n"/>
      <c r="O319" s="5" t="n"/>
      <c r="P319" s="5" t="n"/>
      <c r="Q319" s="5" t="n"/>
      <c r="R319" s="5" t="n"/>
      <c r="S319" s="5" t="n"/>
    </row>
    <row r="320">
      <c r="A320" s="32" t="n"/>
      <c r="B320" s="32" t="n"/>
      <c r="C320" s="32" t="n"/>
      <c r="D320" s="32" t="n"/>
      <c r="E320" s="32" t="n"/>
      <c r="F320" s="29" t="n"/>
      <c r="G320" s="29" t="n"/>
      <c r="H320" s="29" t="n"/>
      <c r="I320" s="29" t="n"/>
      <c r="J320" s="29" t="n"/>
      <c r="K320" s="29" t="n"/>
      <c r="L320" s="29" t="n"/>
      <c r="M320" s="29" t="n"/>
      <c r="N320" s="29" t="n"/>
      <c r="O320" s="5" t="n"/>
      <c r="P320" s="5" t="n"/>
      <c r="Q320" s="5" t="n"/>
      <c r="R320" s="5" t="n"/>
      <c r="S320" s="5" t="n"/>
    </row>
    <row r="321">
      <c r="A321" s="32" t="n"/>
      <c r="B321" s="32" t="n"/>
      <c r="C321" s="32" t="n"/>
      <c r="D321" s="32" t="n"/>
      <c r="E321" s="32" t="n"/>
      <c r="F321" s="29" t="n"/>
      <c r="G321" s="29" t="n"/>
      <c r="H321" s="29" t="n"/>
      <c r="I321" s="29" t="n"/>
      <c r="J321" s="29" t="n"/>
      <c r="K321" s="29" t="n"/>
      <c r="L321" s="29" t="n"/>
      <c r="M321" s="29" t="n"/>
      <c r="N321" s="29" t="n"/>
      <c r="O321" s="5" t="n"/>
      <c r="P321" s="5" t="n"/>
      <c r="Q321" s="5" t="n"/>
      <c r="R321" s="5" t="n"/>
      <c r="S321" s="5" t="n"/>
    </row>
    <row r="322">
      <c r="A322" s="32" t="n"/>
      <c r="B322" s="32" t="n"/>
      <c r="C322" s="32" t="n"/>
      <c r="D322" s="32" t="n"/>
      <c r="E322" s="32" t="n"/>
      <c r="F322" s="29" t="n"/>
      <c r="G322" s="29" t="n"/>
      <c r="H322" s="29" t="n"/>
      <c r="I322" s="29" t="n"/>
      <c r="J322" s="29" t="n"/>
      <c r="K322" s="29" t="n"/>
      <c r="L322" s="29" t="n"/>
      <c r="M322" s="29" t="n"/>
      <c r="N322" s="29" t="n"/>
      <c r="O322" s="5" t="n"/>
      <c r="P322" s="5" t="n"/>
      <c r="Q322" s="5" t="n"/>
      <c r="R322" s="5" t="n"/>
      <c r="S322" s="5" t="n"/>
    </row>
    <row r="323">
      <c r="A323" s="32" t="n"/>
      <c r="B323" s="32" t="n"/>
      <c r="C323" s="32" t="n"/>
      <c r="D323" s="32" t="n"/>
      <c r="E323" s="32" t="n"/>
      <c r="F323" s="29" t="n"/>
      <c r="G323" s="29" t="n"/>
      <c r="H323" s="29" t="n"/>
      <c r="I323" s="29" t="n"/>
      <c r="J323" s="29" t="n"/>
      <c r="K323" s="29" t="n"/>
      <c r="L323" s="29" t="n"/>
      <c r="M323" s="29" t="n"/>
      <c r="N323" s="29" t="n"/>
      <c r="O323" s="5" t="n"/>
      <c r="P323" s="5" t="n"/>
      <c r="Q323" s="5" t="n"/>
      <c r="R323" s="5" t="n"/>
      <c r="S323" s="5" t="n"/>
    </row>
    <row r="324">
      <c r="A324" s="32" t="n"/>
      <c r="B324" s="32" t="n"/>
      <c r="C324" s="32" t="n"/>
      <c r="D324" s="32" t="n"/>
      <c r="E324" s="32" t="n"/>
      <c r="F324" s="29" t="n"/>
      <c r="G324" s="29" t="n"/>
      <c r="H324" s="29" t="n"/>
      <c r="I324" s="29" t="n"/>
      <c r="J324" s="29" t="n"/>
      <c r="K324" s="29" t="n"/>
      <c r="L324" s="29" t="n"/>
      <c r="M324" s="29" t="n"/>
      <c r="N324" s="29" t="n"/>
      <c r="O324" s="5" t="n"/>
      <c r="P324" s="5" t="n"/>
      <c r="Q324" s="5" t="n"/>
      <c r="R324" s="5" t="n"/>
      <c r="S324" s="5" t="n"/>
    </row>
    <row r="325">
      <c r="A325" s="32" t="n"/>
      <c r="B325" s="32" t="n"/>
      <c r="C325" s="32" t="n"/>
      <c r="D325" s="32" t="n"/>
      <c r="E325" s="32" t="n"/>
      <c r="F325" s="29" t="n"/>
      <c r="G325" s="29" t="n"/>
      <c r="H325" s="29" t="n"/>
      <c r="I325" s="29" t="n"/>
      <c r="J325" s="29" t="n"/>
      <c r="K325" s="29" t="n"/>
      <c r="L325" s="29" t="n"/>
      <c r="M325" s="29" t="n"/>
      <c r="N325" s="29" t="n"/>
      <c r="O325" s="5" t="n"/>
      <c r="P325" s="5" t="n"/>
      <c r="Q325" s="5" t="n"/>
      <c r="R325" s="5" t="n"/>
      <c r="S325" s="5" t="n"/>
    </row>
    <row r="326">
      <c r="A326" s="32" t="n"/>
      <c r="B326" s="32" t="n"/>
      <c r="C326" s="32" t="n"/>
      <c r="D326" s="32" t="n"/>
      <c r="E326" s="32" t="n"/>
      <c r="F326" s="29" t="n"/>
      <c r="G326" s="29" t="n"/>
      <c r="H326" s="29" t="n"/>
      <c r="I326" s="29" t="n"/>
      <c r="J326" s="29" t="n"/>
      <c r="K326" s="29" t="n"/>
      <c r="L326" s="29" t="n"/>
      <c r="M326" s="29" t="n"/>
      <c r="N326" s="29" t="n"/>
      <c r="O326" s="5" t="n"/>
      <c r="P326" s="5" t="n"/>
      <c r="Q326" s="5" t="n"/>
      <c r="R326" s="5" t="n"/>
      <c r="S326" s="5" t="n"/>
    </row>
    <row r="327">
      <c r="A327" s="32" t="n"/>
      <c r="B327" s="32" t="n"/>
      <c r="C327" s="32" t="n"/>
      <c r="D327" s="32" t="n"/>
      <c r="E327" s="32" t="n"/>
      <c r="F327" s="29" t="n"/>
      <c r="G327" s="29" t="n"/>
      <c r="H327" s="29" t="n"/>
      <c r="I327" s="29" t="n"/>
      <c r="J327" s="29" t="n"/>
      <c r="K327" s="29" t="n"/>
      <c r="L327" s="29" t="n"/>
      <c r="M327" s="29" t="n"/>
      <c r="N327" s="29" t="n"/>
      <c r="O327" s="5" t="n"/>
      <c r="P327" s="5" t="n"/>
      <c r="Q327" s="5" t="n"/>
      <c r="R327" s="5" t="n"/>
      <c r="S327" s="5" t="n"/>
    </row>
    <row r="328">
      <c r="A328" s="32" t="n"/>
      <c r="B328" s="32" t="n"/>
      <c r="C328" s="32" t="n"/>
      <c r="D328" s="32" t="n"/>
      <c r="E328" s="32" t="n"/>
      <c r="F328" s="29" t="n"/>
      <c r="G328" s="29" t="n"/>
      <c r="H328" s="29" t="n"/>
      <c r="I328" s="29" t="n"/>
      <c r="J328" s="29" t="n"/>
      <c r="K328" s="29" t="n"/>
      <c r="L328" s="29" t="n"/>
      <c r="M328" s="29" t="n"/>
      <c r="N328" s="29" t="n"/>
      <c r="O328" s="5" t="n"/>
      <c r="P328" s="5" t="n"/>
      <c r="Q328" s="5" t="n"/>
      <c r="R328" s="5" t="n"/>
      <c r="S328" s="5" t="n"/>
    </row>
    <row r="329">
      <c r="A329" s="32" t="n"/>
      <c r="B329" s="32" t="n"/>
      <c r="C329" s="32" t="n"/>
      <c r="D329" s="32" t="n"/>
      <c r="E329" s="32" t="n"/>
      <c r="F329" s="29" t="n"/>
      <c r="G329" s="29" t="n"/>
      <c r="H329" s="29" t="n"/>
      <c r="I329" s="29" t="n"/>
      <c r="J329" s="29" t="n"/>
      <c r="K329" s="29" t="n"/>
      <c r="L329" s="29" t="n"/>
      <c r="M329" s="29" t="n"/>
      <c r="N329" s="29" t="n"/>
      <c r="O329" s="5" t="n"/>
      <c r="P329" s="5" t="n"/>
      <c r="Q329" s="5" t="n"/>
      <c r="R329" s="5" t="n"/>
      <c r="S329" s="5" t="n"/>
    </row>
    <row r="330">
      <c r="A330" s="32" t="n"/>
      <c r="B330" s="32" t="n"/>
      <c r="C330" s="32" t="n"/>
      <c r="D330" s="32" t="n"/>
      <c r="E330" s="32" t="n"/>
      <c r="F330" s="29" t="n"/>
      <c r="G330" s="29" t="n"/>
      <c r="H330" s="29" t="n"/>
      <c r="I330" s="29" t="n"/>
      <c r="J330" s="29" t="n"/>
      <c r="K330" s="29" t="n"/>
      <c r="L330" s="29" t="n"/>
      <c r="M330" s="29" t="n"/>
      <c r="N330" s="29" t="n"/>
      <c r="O330" s="5" t="n"/>
      <c r="P330" s="5" t="n"/>
      <c r="Q330" s="5" t="n"/>
      <c r="R330" s="5" t="n"/>
      <c r="S330" s="5" t="n"/>
    </row>
    <row r="331">
      <c r="A331" s="32" t="n"/>
      <c r="B331" s="32" t="n"/>
      <c r="C331" s="32" t="n"/>
      <c r="D331" s="32" t="n"/>
      <c r="E331" s="32" t="n"/>
      <c r="F331" s="29" t="n"/>
      <c r="G331" s="29" t="n"/>
      <c r="H331" s="29" t="n"/>
      <c r="I331" s="29" t="n"/>
      <c r="J331" s="29" t="n"/>
      <c r="K331" s="29" t="n"/>
      <c r="L331" s="29" t="n"/>
      <c r="M331" s="29" t="n"/>
      <c r="N331" s="29" t="n"/>
      <c r="O331" s="5" t="n"/>
      <c r="P331" s="5" t="n"/>
      <c r="Q331" s="5" t="n"/>
      <c r="R331" s="5" t="n"/>
      <c r="S331" s="5" t="n"/>
    </row>
    <row r="332">
      <c r="A332" s="32" t="n"/>
      <c r="B332" s="32" t="n"/>
      <c r="C332" s="32" t="n"/>
      <c r="D332" s="32" t="n"/>
      <c r="E332" s="32" t="n"/>
      <c r="F332" s="29" t="n"/>
      <c r="G332" s="29" t="n"/>
      <c r="H332" s="29" t="n"/>
      <c r="I332" s="29" t="n"/>
      <c r="J332" s="29" t="n"/>
      <c r="K332" s="29" t="n"/>
      <c r="L332" s="29" t="n"/>
      <c r="M332" s="29" t="n"/>
      <c r="N332" s="29" t="n"/>
      <c r="O332" s="5" t="n"/>
      <c r="P332" s="5" t="n"/>
      <c r="Q332" s="5" t="n"/>
      <c r="R332" s="5" t="n"/>
      <c r="S332" s="5" t="n"/>
    </row>
    <row r="333">
      <c r="A333" s="32" t="n"/>
      <c r="B333" s="32" t="n"/>
      <c r="C333" s="32" t="n"/>
      <c r="D333" s="32" t="n"/>
      <c r="E333" s="32" t="n"/>
      <c r="F333" s="29" t="n"/>
      <c r="G333" s="29" t="n"/>
      <c r="H333" s="29" t="n"/>
      <c r="I333" s="29" t="n"/>
      <c r="J333" s="29" t="n"/>
      <c r="K333" s="29" t="n"/>
      <c r="L333" s="29" t="n"/>
      <c r="M333" s="29" t="n"/>
      <c r="N333" s="29" t="n"/>
      <c r="O333" s="5" t="n"/>
      <c r="P333" s="5" t="n"/>
      <c r="Q333" s="5" t="n"/>
      <c r="R333" s="5" t="n"/>
      <c r="S333" s="5" t="n"/>
    </row>
    <row r="334">
      <c r="A334" s="32" t="n"/>
      <c r="B334" s="32" t="n"/>
      <c r="C334" s="32" t="n"/>
      <c r="D334" s="32" t="n"/>
      <c r="E334" s="32" t="n"/>
      <c r="F334" s="29" t="n"/>
      <c r="G334" s="29" t="n"/>
      <c r="H334" s="29" t="n"/>
      <c r="I334" s="29" t="n"/>
      <c r="J334" s="29" t="n"/>
      <c r="K334" s="29" t="n"/>
      <c r="L334" s="29" t="n"/>
      <c r="M334" s="29" t="n"/>
      <c r="N334" s="29" t="n"/>
      <c r="O334" s="5" t="n"/>
      <c r="P334" s="5" t="n"/>
      <c r="Q334" s="5" t="n"/>
      <c r="R334" s="5" t="n"/>
      <c r="S334" s="5" t="n"/>
    </row>
    <row r="335">
      <c r="A335" s="32" t="n"/>
      <c r="B335" s="32" t="n"/>
      <c r="C335" s="32" t="n"/>
      <c r="D335" s="32" t="n"/>
      <c r="E335" s="32" t="n"/>
      <c r="F335" s="29" t="n"/>
      <c r="G335" s="29" t="n"/>
      <c r="H335" s="29" t="n"/>
      <c r="I335" s="29" t="n"/>
      <c r="J335" s="29" t="n"/>
      <c r="K335" s="29" t="n"/>
      <c r="L335" s="29" t="n"/>
      <c r="M335" s="29" t="n"/>
      <c r="N335" s="29" t="n"/>
      <c r="O335" s="5" t="n"/>
      <c r="P335" s="5" t="n"/>
      <c r="Q335" s="5" t="n"/>
      <c r="R335" s="5" t="n"/>
      <c r="S335" s="5" t="n"/>
    </row>
    <row r="336">
      <c r="A336" s="32" t="n"/>
      <c r="B336" s="32" t="n"/>
      <c r="C336" s="32" t="n"/>
      <c r="D336" s="32" t="n"/>
      <c r="E336" s="32" t="n"/>
      <c r="F336" s="29" t="n"/>
      <c r="G336" s="29" t="n"/>
      <c r="H336" s="29" t="n"/>
      <c r="I336" s="29" t="n"/>
      <c r="J336" s="29" t="n"/>
      <c r="K336" s="29" t="n"/>
      <c r="L336" s="29" t="n"/>
      <c r="M336" s="29" t="n"/>
      <c r="N336" s="29" t="n"/>
      <c r="O336" s="5" t="n"/>
      <c r="P336" s="5" t="n"/>
      <c r="Q336" s="5" t="n"/>
      <c r="R336" s="5" t="n"/>
      <c r="S336" s="5" t="n"/>
    </row>
    <row r="337">
      <c r="A337" s="32" t="n"/>
      <c r="B337" s="32" t="n"/>
      <c r="C337" s="32" t="n"/>
      <c r="D337" s="32" t="n"/>
      <c r="E337" s="32" t="n"/>
      <c r="F337" s="29" t="n"/>
      <c r="G337" s="29" t="n"/>
      <c r="H337" s="29" t="n"/>
      <c r="I337" s="29" t="n"/>
      <c r="J337" s="29" t="n"/>
      <c r="K337" s="29" t="n"/>
      <c r="L337" s="29" t="n"/>
      <c r="M337" s="29" t="n"/>
      <c r="N337" s="29" t="n"/>
      <c r="O337" s="5" t="n"/>
      <c r="P337" s="5" t="n"/>
      <c r="Q337" s="5" t="n"/>
      <c r="R337" s="5" t="n"/>
      <c r="S337" s="5" t="n"/>
    </row>
    <row r="338">
      <c r="A338" s="32" t="n"/>
      <c r="B338" s="32" t="n"/>
      <c r="C338" s="32" t="n"/>
      <c r="D338" s="32" t="n"/>
      <c r="E338" s="32" t="n"/>
      <c r="F338" s="29" t="n"/>
      <c r="G338" s="29" t="n"/>
      <c r="H338" s="29" t="n"/>
      <c r="I338" s="29" t="n"/>
      <c r="J338" s="29" t="n"/>
      <c r="K338" s="29" t="n"/>
      <c r="L338" s="29" t="n"/>
      <c r="M338" s="29" t="n"/>
      <c r="N338" s="29" t="n"/>
      <c r="O338" s="5" t="n"/>
      <c r="P338" s="5" t="n"/>
      <c r="Q338" s="5" t="n"/>
      <c r="R338" s="5" t="n"/>
      <c r="S338" s="5" t="n"/>
    </row>
    <row r="339">
      <c r="A339" s="32" t="n"/>
      <c r="B339" s="32" t="n"/>
      <c r="C339" s="32" t="n"/>
      <c r="D339" s="32" t="n"/>
      <c r="E339" s="32" t="n"/>
      <c r="F339" s="29" t="n"/>
      <c r="G339" s="29" t="n"/>
      <c r="H339" s="29" t="n"/>
      <c r="I339" s="29" t="n"/>
      <c r="J339" s="29" t="n"/>
      <c r="K339" s="29" t="n"/>
      <c r="L339" s="29" t="n"/>
      <c r="M339" s="29" t="n"/>
      <c r="N339" s="29" t="n"/>
      <c r="O339" s="5" t="n"/>
      <c r="P339" s="5" t="n"/>
      <c r="Q339" s="5" t="n"/>
      <c r="R339" s="5" t="n"/>
      <c r="S339" s="5" t="n"/>
    </row>
    <row r="340">
      <c r="A340" s="32" t="n"/>
      <c r="B340" s="32" t="n"/>
      <c r="C340" s="32" t="n"/>
      <c r="D340" s="32" t="n"/>
      <c r="E340" s="32" t="n"/>
      <c r="F340" s="29" t="n"/>
      <c r="G340" s="29" t="n"/>
      <c r="H340" s="29" t="n"/>
      <c r="I340" s="29" t="n"/>
      <c r="J340" s="29" t="n"/>
      <c r="K340" s="29" t="n"/>
      <c r="L340" s="29" t="n"/>
      <c r="M340" s="29" t="n"/>
      <c r="N340" s="29" t="n"/>
      <c r="O340" s="5" t="n"/>
      <c r="P340" s="5" t="n"/>
      <c r="Q340" s="5" t="n"/>
      <c r="R340" s="5" t="n"/>
      <c r="S340" s="5" t="n"/>
    </row>
    <row r="341">
      <c r="A341" s="32" t="n"/>
      <c r="B341" s="32" t="n"/>
      <c r="C341" s="32" t="n"/>
      <c r="D341" s="32" t="n"/>
      <c r="E341" s="32" t="n"/>
      <c r="F341" s="29" t="n"/>
      <c r="G341" s="29" t="n"/>
      <c r="H341" s="29" t="n"/>
      <c r="I341" s="29" t="n"/>
      <c r="J341" s="29" t="n"/>
      <c r="K341" s="29" t="n"/>
      <c r="L341" s="29" t="n"/>
      <c r="M341" s="29" t="n"/>
      <c r="N341" s="29" t="n"/>
      <c r="O341" s="5" t="n"/>
      <c r="P341" s="5" t="n"/>
      <c r="Q341" s="5" t="n"/>
      <c r="R341" s="5" t="n"/>
      <c r="S341" s="5" t="n"/>
    </row>
    <row r="342">
      <c r="A342" s="32" t="n"/>
      <c r="B342" s="32" t="n"/>
      <c r="C342" s="32" t="n"/>
      <c r="D342" s="32" t="n"/>
      <c r="E342" s="32" t="n"/>
      <c r="F342" s="29" t="n"/>
      <c r="G342" s="29" t="n"/>
      <c r="H342" s="29" t="n"/>
      <c r="I342" s="29" t="n"/>
      <c r="J342" s="29" t="n"/>
      <c r="K342" s="29" t="n"/>
      <c r="L342" s="29" t="n"/>
      <c r="M342" s="29" t="n"/>
      <c r="N342" s="29" t="n"/>
      <c r="O342" s="5" t="n"/>
      <c r="P342" s="5" t="n"/>
      <c r="Q342" s="5" t="n"/>
      <c r="R342" s="5" t="n"/>
      <c r="S342" s="5" t="n"/>
    </row>
    <row r="343">
      <c r="A343" s="32" t="n"/>
      <c r="B343" s="32" t="n"/>
      <c r="C343" s="32" t="n"/>
      <c r="D343" s="32" t="n"/>
      <c r="E343" s="32" t="n"/>
      <c r="F343" s="29" t="n"/>
      <c r="G343" s="29" t="n"/>
      <c r="H343" s="29" t="n"/>
      <c r="I343" s="29" t="n"/>
      <c r="J343" s="29" t="n"/>
      <c r="K343" s="29" t="n"/>
      <c r="L343" s="29" t="n"/>
      <c r="M343" s="29" t="n"/>
      <c r="N343" s="29" t="n"/>
      <c r="O343" s="5" t="n"/>
      <c r="P343" s="5" t="n"/>
      <c r="Q343" s="5" t="n"/>
      <c r="R343" s="5" t="n"/>
      <c r="S343" s="5" t="n"/>
    </row>
    <row r="344">
      <c r="A344" s="32" t="n"/>
      <c r="B344" s="32" t="n"/>
      <c r="C344" s="32" t="n"/>
      <c r="D344" s="32" t="n"/>
      <c r="E344" s="32" t="n"/>
      <c r="F344" s="29" t="n"/>
      <c r="G344" s="29" t="n"/>
      <c r="H344" s="29" t="n"/>
      <c r="I344" s="29" t="n"/>
      <c r="J344" s="29" t="n"/>
      <c r="K344" s="29" t="n"/>
      <c r="L344" s="29" t="n"/>
      <c r="M344" s="29" t="n"/>
      <c r="N344" s="29" t="n"/>
      <c r="O344" s="5" t="n"/>
      <c r="P344" s="5" t="n"/>
      <c r="Q344" s="5" t="n"/>
      <c r="R344" s="5" t="n"/>
      <c r="S344" s="5" t="n"/>
    </row>
    <row r="345">
      <c r="A345" s="32" t="n"/>
      <c r="B345" s="32" t="n"/>
      <c r="C345" s="32" t="n"/>
      <c r="D345" s="32" t="n"/>
      <c r="E345" s="32" t="n"/>
      <c r="F345" s="29" t="n"/>
      <c r="G345" s="29" t="n"/>
      <c r="H345" s="29" t="n"/>
      <c r="I345" s="29" t="n"/>
      <c r="J345" s="29" t="n"/>
      <c r="K345" s="29" t="n"/>
      <c r="L345" s="29" t="n"/>
      <c r="M345" s="29" t="n"/>
      <c r="N345" s="29" t="n"/>
      <c r="O345" s="5" t="n"/>
      <c r="P345" s="5" t="n"/>
      <c r="Q345" s="5" t="n"/>
      <c r="R345" s="5" t="n"/>
      <c r="S345" s="5" t="n"/>
    </row>
    <row r="346">
      <c r="A346" s="32" t="n"/>
      <c r="B346" s="32" t="n"/>
      <c r="C346" s="32" t="n"/>
      <c r="D346" s="32" t="n"/>
      <c r="E346" s="32" t="n"/>
      <c r="F346" s="29" t="n"/>
      <c r="G346" s="29" t="n"/>
      <c r="H346" s="29" t="n"/>
      <c r="I346" s="29" t="n"/>
      <c r="J346" s="29" t="n"/>
      <c r="K346" s="29" t="n"/>
      <c r="L346" s="29" t="n"/>
      <c r="M346" s="29" t="n"/>
      <c r="N346" s="29" t="n"/>
      <c r="O346" s="5" t="n"/>
      <c r="P346" s="5" t="n"/>
      <c r="Q346" s="5" t="n"/>
      <c r="R346" s="5" t="n"/>
      <c r="S346" s="5" t="n"/>
    </row>
    <row r="347">
      <c r="A347" s="32" t="n"/>
      <c r="B347" s="32" t="n"/>
      <c r="C347" s="32" t="n"/>
      <c r="D347" s="32" t="n"/>
      <c r="E347" s="32" t="n"/>
      <c r="F347" s="29" t="n"/>
      <c r="G347" s="29" t="n"/>
      <c r="H347" s="29" t="n"/>
      <c r="I347" s="29" t="n"/>
      <c r="J347" s="29" t="n"/>
      <c r="K347" s="29" t="n"/>
      <c r="L347" s="29" t="n"/>
      <c r="M347" s="29" t="n"/>
      <c r="N347" s="29" t="n"/>
      <c r="O347" s="5" t="n"/>
      <c r="P347" s="5" t="n"/>
      <c r="Q347" s="5" t="n"/>
      <c r="R347" s="5" t="n"/>
      <c r="S347" s="5" t="n"/>
    </row>
    <row r="348">
      <c r="A348" s="32" t="n"/>
      <c r="B348" s="32" t="n"/>
      <c r="C348" s="32" t="n"/>
      <c r="D348" s="32" t="n"/>
      <c r="E348" s="32" t="n"/>
      <c r="F348" s="29" t="n"/>
      <c r="G348" s="29" t="n"/>
      <c r="H348" s="29" t="n"/>
      <c r="I348" s="29" t="n"/>
      <c r="J348" s="29" t="n"/>
      <c r="K348" s="29" t="n"/>
      <c r="L348" s="29" t="n"/>
      <c r="M348" s="29" t="n"/>
      <c r="N348" s="29" t="n"/>
      <c r="O348" s="5" t="n"/>
      <c r="P348" s="5" t="n"/>
      <c r="Q348" s="5" t="n"/>
      <c r="R348" s="5" t="n"/>
      <c r="S348" s="5" t="n"/>
    </row>
    <row r="349">
      <c r="A349" s="32" t="n"/>
      <c r="B349" s="32" t="n"/>
      <c r="C349" s="32" t="n"/>
      <c r="D349" s="32" t="n"/>
      <c r="E349" s="32" t="n"/>
      <c r="F349" s="29" t="n"/>
      <c r="G349" s="29" t="n"/>
      <c r="H349" s="29" t="n"/>
      <c r="I349" s="29" t="n"/>
      <c r="J349" s="29" t="n"/>
      <c r="K349" s="29" t="n"/>
      <c r="L349" s="29" t="n"/>
      <c r="M349" s="29" t="n"/>
      <c r="N349" s="29" t="n"/>
      <c r="O349" s="5" t="n"/>
      <c r="P349" s="5" t="n"/>
      <c r="Q349" s="5" t="n"/>
      <c r="R349" s="5" t="n"/>
      <c r="S349" s="5" t="n"/>
    </row>
    <row r="350">
      <c r="A350" s="32" t="n"/>
      <c r="B350" s="32" t="n"/>
      <c r="C350" s="32" t="n"/>
      <c r="D350" s="32" t="n"/>
      <c r="E350" s="32" t="n"/>
      <c r="F350" s="29" t="n"/>
      <c r="G350" s="29" t="n"/>
      <c r="H350" s="29" t="n"/>
      <c r="I350" s="29" t="n"/>
      <c r="J350" s="29" t="n"/>
      <c r="K350" s="29" t="n"/>
      <c r="L350" s="29" t="n"/>
      <c r="M350" s="29" t="n"/>
      <c r="N350" s="29" t="n"/>
      <c r="O350" s="5" t="n"/>
      <c r="P350" s="5" t="n"/>
      <c r="Q350" s="5" t="n"/>
      <c r="R350" s="5" t="n"/>
      <c r="S350" s="5" t="n"/>
    </row>
    <row r="351">
      <c r="A351" s="32" t="n"/>
      <c r="B351" s="32" t="n"/>
      <c r="C351" s="32" t="n"/>
      <c r="D351" s="32" t="n"/>
      <c r="E351" s="32" t="n"/>
      <c r="F351" s="29" t="n"/>
      <c r="G351" s="29" t="n"/>
      <c r="H351" s="29" t="n"/>
      <c r="I351" s="29" t="n"/>
      <c r="J351" s="29" t="n"/>
      <c r="K351" s="29" t="n"/>
      <c r="L351" s="29" t="n"/>
      <c r="M351" s="29" t="n"/>
      <c r="N351" s="29" t="n"/>
      <c r="O351" s="5" t="n"/>
      <c r="P351" s="5" t="n"/>
      <c r="Q351" s="5" t="n"/>
      <c r="R351" s="5" t="n"/>
      <c r="S351" s="5" t="n"/>
    </row>
    <row r="352">
      <c r="A352" s="32" t="n"/>
      <c r="B352" s="32" t="n"/>
      <c r="C352" s="32" t="n"/>
      <c r="D352" s="32" t="n"/>
      <c r="E352" s="32" t="n"/>
      <c r="F352" s="29" t="n"/>
      <c r="G352" s="29" t="n"/>
      <c r="H352" s="29" t="n"/>
      <c r="I352" s="29" t="n"/>
      <c r="J352" s="29" t="n"/>
      <c r="K352" s="29" t="n"/>
      <c r="L352" s="29" t="n"/>
      <c r="M352" s="29" t="n"/>
      <c r="N352" s="29" t="n"/>
      <c r="O352" s="5" t="n"/>
      <c r="P352" s="5" t="n"/>
      <c r="Q352" s="5" t="n"/>
      <c r="R352" s="5" t="n"/>
      <c r="S352" s="5" t="n"/>
    </row>
    <row r="353">
      <c r="A353" s="32" t="n"/>
      <c r="B353" s="32" t="n"/>
      <c r="C353" s="32" t="n"/>
      <c r="D353" s="32" t="n"/>
      <c r="E353" s="32" t="n"/>
      <c r="F353" s="29" t="n"/>
      <c r="G353" s="29" t="n"/>
      <c r="H353" s="29" t="n"/>
      <c r="I353" s="29" t="n"/>
      <c r="J353" s="29" t="n"/>
      <c r="K353" s="29" t="n"/>
      <c r="L353" s="29" t="n"/>
      <c r="M353" s="29" t="n"/>
      <c r="N353" s="29" t="n"/>
      <c r="O353" s="5" t="n"/>
      <c r="P353" s="5" t="n"/>
      <c r="Q353" s="5" t="n"/>
      <c r="R353" s="5" t="n"/>
      <c r="S353" s="5" t="n"/>
    </row>
    <row r="354">
      <c r="A354" s="32" t="n"/>
      <c r="B354" s="32" t="n"/>
      <c r="C354" s="32" t="n"/>
      <c r="D354" s="32" t="n"/>
      <c r="E354" s="32" t="n"/>
      <c r="F354" s="29" t="n"/>
      <c r="G354" s="29" t="n"/>
      <c r="H354" s="29" t="n"/>
      <c r="I354" s="29" t="n"/>
      <c r="J354" s="29" t="n"/>
      <c r="K354" s="29" t="n"/>
      <c r="L354" s="29" t="n"/>
      <c r="M354" s="29" t="n"/>
      <c r="N354" s="29" t="n"/>
      <c r="O354" s="5" t="n"/>
      <c r="P354" s="5" t="n"/>
      <c r="Q354" s="5" t="n"/>
      <c r="R354" s="5" t="n"/>
      <c r="S354" s="5" t="n"/>
    </row>
    <row r="355">
      <c r="A355" s="32" t="n"/>
      <c r="B355" s="32" t="n"/>
      <c r="C355" s="32" t="n"/>
      <c r="D355" s="32" t="n"/>
      <c r="E355" s="32" t="n"/>
      <c r="F355" s="29" t="n"/>
      <c r="G355" s="29" t="n"/>
      <c r="H355" s="29" t="n"/>
      <c r="I355" s="29" t="n"/>
      <c r="J355" s="29" t="n"/>
      <c r="K355" s="29" t="n"/>
      <c r="L355" s="29" t="n"/>
      <c r="M355" s="29" t="n"/>
      <c r="N355" s="29" t="n"/>
      <c r="O355" s="5" t="n"/>
      <c r="P355" s="5" t="n"/>
      <c r="Q355" s="5" t="n"/>
      <c r="R355" s="5" t="n"/>
      <c r="S355" s="5" t="n"/>
    </row>
    <row r="356">
      <c r="A356" s="32" t="n"/>
      <c r="B356" s="32" t="n"/>
      <c r="C356" s="32" t="n"/>
      <c r="D356" s="32" t="n"/>
      <c r="E356" s="32" t="n"/>
      <c r="F356" s="29" t="n"/>
      <c r="G356" s="29" t="n"/>
      <c r="H356" s="29" t="n"/>
      <c r="I356" s="29" t="n"/>
      <c r="J356" s="29" t="n"/>
      <c r="K356" s="29" t="n"/>
      <c r="L356" s="29" t="n"/>
      <c r="M356" s="29" t="n"/>
      <c r="N356" s="29" t="n"/>
      <c r="O356" s="5" t="n"/>
      <c r="P356" s="5" t="n"/>
      <c r="Q356" s="5" t="n"/>
      <c r="R356" s="5" t="n"/>
      <c r="S356" s="5" t="n"/>
    </row>
    <row r="357">
      <c r="A357" s="32" t="n"/>
      <c r="B357" s="32" t="n"/>
      <c r="C357" s="32" t="n"/>
      <c r="D357" s="32" t="n"/>
      <c r="E357" s="32" t="n"/>
      <c r="F357" s="29" t="n"/>
      <c r="G357" s="29" t="n"/>
      <c r="H357" s="29" t="n"/>
      <c r="I357" s="29" t="n"/>
      <c r="J357" s="29" t="n"/>
      <c r="K357" s="29" t="n"/>
      <c r="L357" s="29" t="n"/>
      <c r="M357" s="29" t="n"/>
      <c r="N357" s="29" t="n"/>
      <c r="O357" s="5" t="n"/>
      <c r="P357" s="5" t="n"/>
      <c r="Q357" s="5" t="n"/>
      <c r="R357" s="5" t="n"/>
      <c r="S357" s="5" t="n"/>
    </row>
    <row r="358">
      <c r="A358" s="32" t="n"/>
      <c r="B358" s="32" t="n"/>
      <c r="C358" s="32" t="n"/>
      <c r="D358" s="32" t="n"/>
      <c r="E358" s="32" t="n"/>
      <c r="F358" s="29" t="n"/>
      <c r="G358" s="29" t="n"/>
      <c r="H358" s="29" t="n"/>
      <c r="I358" s="29" t="n"/>
      <c r="J358" s="29" t="n"/>
      <c r="K358" s="29" t="n"/>
      <c r="L358" s="29" t="n"/>
      <c r="M358" s="29" t="n"/>
      <c r="N358" s="29" t="n"/>
      <c r="O358" s="5" t="n"/>
      <c r="P358" s="5" t="n"/>
      <c r="Q358" s="5" t="n"/>
      <c r="R358" s="5" t="n"/>
      <c r="S358" s="5" t="n"/>
    </row>
    <row r="359">
      <c r="A359" s="32" t="n"/>
      <c r="B359" s="32" t="n"/>
      <c r="C359" s="32" t="n"/>
      <c r="D359" s="32" t="n"/>
      <c r="E359" s="32" t="n"/>
      <c r="F359" s="29" t="n"/>
      <c r="G359" s="29" t="n"/>
      <c r="H359" s="29" t="n"/>
      <c r="I359" s="29" t="n"/>
      <c r="J359" s="29" t="n"/>
      <c r="K359" s="29" t="n"/>
      <c r="L359" s="29" t="n"/>
      <c r="M359" s="29" t="n"/>
      <c r="N359" s="29" t="n"/>
      <c r="O359" s="5" t="n"/>
      <c r="P359" s="5" t="n"/>
      <c r="Q359" s="5" t="n"/>
      <c r="R359" s="5" t="n"/>
      <c r="S359" s="5" t="n"/>
    </row>
    <row r="360">
      <c r="A360" s="32" t="n"/>
      <c r="B360" s="32" t="n"/>
      <c r="C360" s="32" t="n"/>
      <c r="D360" s="32" t="n"/>
      <c r="E360" s="32" t="n"/>
      <c r="F360" s="29" t="n"/>
      <c r="G360" s="29" t="n"/>
      <c r="H360" s="29" t="n"/>
      <c r="I360" s="29" t="n"/>
      <c r="J360" s="29" t="n"/>
      <c r="K360" s="29" t="n"/>
      <c r="L360" s="29" t="n"/>
      <c r="M360" s="29" t="n"/>
      <c r="N360" s="29" t="n"/>
      <c r="O360" s="5" t="n"/>
      <c r="P360" s="5" t="n"/>
      <c r="Q360" s="5" t="n"/>
      <c r="R360" s="5" t="n"/>
      <c r="S360" s="5" t="n"/>
    </row>
    <row r="361">
      <c r="A361" s="32" t="n"/>
      <c r="B361" s="32" t="n"/>
      <c r="C361" s="32" t="n"/>
      <c r="D361" s="32" t="n"/>
      <c r="E361" s="32" t="n"/>
      <c r="F361" s="29" t="n"/>
      <c r="G361" s="29" t="n"/>
      <c r="H361" s="29" t="n"/>
      <c r="I361" s="29" t="n"/>
      <c r="J361" s="29" t="n"/>
      <c r="K361" s="29" t="n"/>
      <c r="L361" s="29" t="n"/>
      <c r="M361" s="29" t="n"/>
      <c r="N361" s="29" t="n"/>
      <c r="O361" s="5" t="n"/>
      <c r="P361" s="5" t="n"/>
      <c r="Q361" s="5" t="n"/>
      <c r="R361" s="5" t="n"/>
      <c r="S361" s="5" t="n"/>
    </row>
    <row r="362">
      <c r="A362" s="32" t="n"/>
      <c r="B362" s="32" t="n"/>
      <c r="C362" s="32" t="n"/>
      <c r="D362" s="32" t="n"/>
      <c r="E362" s="32" t="n"/>
      <c r="F362" s="29" t="n"/>
      <c r="G362" s="29" t="n"/>
      <c r="H362" s="29" t="n"/>
      <c r="I362" s="29" t="n"/>
      <c r="J362" s="29" t="n"/>
      <c r="K362" s="29" t="n"/>
      <c r="L362" s="29" t="n"/>
      <c r="M362" s="29" t="n"/>
      <c r="N362" s="29" t="n"/>
      <c r="O362" s="5" t="n"/>
      <c r="P362" s="5" t="n"/>
      <c r="Q362" s="5" t="n"/>
      <c r="R362" s="5" t="n"/>
      <c r="S362" s="5" t="n"/>
    </row>
    <row r="363">
      <c r="A363" s="32" t="n"/>
      <c r="B363" s="32" t="n"/>
      <c r="C363" s="32" t="n"/>
      <c r="D363" s="32" t="n"/>
      <c r="E363" s="32" t="n"/>
      <c r="F363" s="29" t="n"/>
      <c r="G363" s="29" t="n"/>
      <c r="H363" s="29" t="n"/>
      <c r="I363" s="29" t="n"/>
      <c r="J363" s="29" t="n"/>
      <c r="K363" s="29" t="n"/>
      <c r="L363" s="29" t="n"/>
      <c r="M363" s="29" t="n"/>
      <c r="N363" s="29" t="n"/>
      <c r="O363" s="5" t="n"/>
      <c r="P363" s="5" t="n"/>
      <c r="Q363" s="5" t="n"/>
      <c r="R363" s="5" t="n"/>
      <c r="S363" s="5" t="n"/>
    </row>
    <row r="364">
      <c r="A364" s="32" t="n"/>
      <c r="B364" s="32" t="n"/>
      <c r="C364" s="32" t="n"/>
      <c r="D364" s="32" t="n"/>
      <c r="E364" s="32" t="n"/>
      <c r="F364" s="29" t="n"/>
      <c r="G364" s="29" t="n"/>
      <c r="H364" s="29" t="n"/>
      <c r="I364" s="29" t="n"/>
      <c r="J364" s="29" t="n"/>
      <c r="K364" s="29" t="n"/>
      <c r="L364" s="29" t="n"/>
      <c r="M364" s="29" t="n"/>
      <c r="N364" s="29" t="n"/>
      <c r="O364" s="5" t="n"/>
      <c r="P364" s="5" t="n"/>
      <c r="Q364" s="5" t="n"/>
      <c r="R364" s="5" t="n"/>
      <c r="S364" s="5" t="n"/>
    </row>
    <row r="365">
      <c r="A365" s="32" t="n"/>
      <c r="B365" s="32" t="n"/>
      <c r="C365" s="32" t="n"/>
      <c r="D365" s="32" t="n"/>
      <c r="E365" s="32" t="n"/>
      <c r="F365" s="29" t="n"/>
      <c r="G365" s="29" t="n"/>
      <c r="H365" s="29" t="n"/>
      <c r="I365" s="29" t="n"/>
      <c r="J365" s="29" t="n"/>
      <c r="K365" s="29" t="n"/>
      <c r="L365" s="29" t="n"/>
      <c r="M365" s="29" t="n"/>
      <c r="N365" s="29" t="n"/>
      <c r="O365" s="5" t="n"/>
      <c r="P365" s="5" t="n"/>
      <c r="Q365" s="5" t="n"/>
      <c r="R365" s="5" t="n"/>
      <c r="S365" s="5" t="n"/>
    </row>
    <row r="366">
      <c r="A366" s="32" t="n"/>
      <c r="B366" s="32" t="n"/>
      <c r="C366" s="32" t="n"/>
      <c r="D366" s="32" t="n"/>
      <c r="E366" s="32" t="n"/>
      <c r="F366" s="29" t="n"/>
      <c r="G366" s="29" t="n"/>
      <c r="H366" s="29" t="n"/>
      <c r="I366" s="29" t="n"/>
      <c r="J366" s="29" t="n"/>
      <c r="K366" s="29" t="n"/>
      <c r="L366" s="29" t="n"/>
      <c r="M366" s="29" t="n"/>
      <c r="N366" s="29" t="n"/>
      <c r="O366" s="5" t="n"/>
      <c r="P366" s="5" t="n"/>
      <c r="Q366" s="5" t="n"/>
      <c r="R366" s="5" t="n"/>
      <c r="S366" s="5" t="n"/>
    </row>
    <row r="367">
      <c r="A367" s="32" t="n"/>
      <c r="B367" s="32" t="n"/>
      <c r="C367" s="32" t="n"/>
      <c r="D367" s="32" t="n"/>
      <c r="E367" s="32" t="n"/>
      <c r="F367" s="29" t="n"/>
      <c r="G367" s="29" t="n"/>
      <c r="H367" s="29" t="n"/>
      <c r="I367" s="29" t="n"/>
      <c r="J367" s="29" t="n"/>
      <c r="K367" s="29" t="n"/>
      <c r="L367" s="29" t="n"/>
      <c r="M367" s="29" t="n"/>
      <c r="N367" s="29" t="n"/>
      <c r="O367" s="5" t="n"/>
      <c r="P367" s="5" t="n"/>
      <c r="Q367" s="5" t="n"/>
      <c r="R367" s="5" t="n"/>
      <c r="S367" s="5" t="n"/>
    </row>
    <row r="368">
      <c r="A368" s="32" t="n"/>
      <c r="B368" s="32" t="n"/>
      <c r="C368" s="32" t="n"/>
      <c r="D368" s="32" t="n"/>
      <c r="E368" s="32" t="n"/>
      <c r="F368" s="29" t="n"/>
      <c r="G368" s="29" t="n"/>
      <c r="H368" s="29" t="n"/>
      <c r="I368" s="29" t="n"/>
      <c r="J368" s="29" t="n"/>
      <c r="K368" s="29" t="n"/>
      <c r="L368" s="29" t="n"/>
      <c r="M368" s="29" t="n"/>
      <c r="N368" s="29" t="n"/>
      <c r="O368" s="5" t="n"/>
      <c r="P368" s="5" t="n"/>
      <c r="Q368" s="5" t="n"/>
      <c r="R368" s="5" t="n"/>
      <c r="S368" s="5" t="n"/>
    </row>
    <row r="369">
      <c r="A369" s="32" t="n"/>
      <c r="B369" s="32" t="n"/>
      <c r="C369" s="32" t="n"/>
      <c r="D369" s="32" t="n"/>
      <c r="E369" s="32" t="n"/>
      <c r="F369" s="29" t="n"/>
      <c r="G369" s="29" t="n"/>
      <c r="H369" s="29" t="n"/>
      <c r="I369" s="29" t="n"/>
      <c r="J369" s="29" t="n"/>
      <c r="K369" s="29" t="n"/>
      <c r="L369" s="29" t="n"/>
      <c r="M369" s="29" t="n"/>
      <c r="N369" s="29" t="n"/>
      <c r="O369" s="5" t="n"/>
      <c r="P369" s="5" t="n"/>
      <c r="Q369" s="5" t="n"/>
      <c r="R369" s="5" t="n"/>
      <c r="S369" s="5" t="n"/>
    </row>
    <row r="370">
      <c r="A370" s="32" t="n"/>
      <c r="B370" s="32" t="n"/>
      <c r="C370" s="32" t="n"/>
      <c r="D370" s="32" t="n"/>
      <c r="E370" s="32" t="n"/>
      <c r="F370" s="29" t="n"/>
      <c r="G370" s="29" t="n"/>
      <c r="H370" s="29" t="n"/>
      <c r="I370" s="29" t="n"/>
      <c r="J370" s="29" t="n"/>
      <c r="K370" s="29" t="n"/>
      <c r="L370" s="29" t="n"/>
      <c r="M370" s="29" t="n"/>
      <c r="N370" s="29" t="n"/>
      <c r="O370" s="5" t="n"/>
      <c r="P370" s="5" t="n"/>
      <c r="Q370" s="5" t="n"/>
      <c r="R370" s="5" t="n"/>
      <c r="S370" s="5" t="n"/>
    </row>
    <row r="371">
      <c r="A371" s="32" t="n"/>
      <c r="B371" s="32" t="n"/>
      <c r="C371" s="32" t="n"/>
      <c r="D371" s="32" t="n"/>
      <c r="E371" s="32" t="n"/>
      <c r="F371" s="29" t="n"/>
      <c r="G371" s="29" t="n"/>
      <c r="H371" s="29" t="n"/>
      <c r="I371" s="29" t="n"/>
      <c r="J371" s="29" t="n"/>
      <c r="K371" s="29" t="n"/>
      <c r="L371" s="29" t="n"/>
      <c r="M371" s="29" t="n"/>
      <c r="N371" s="29" t="n"/>
      <c r="O371" s="5" t="n"/>
      <c r="P371" s="5" t="n"/>
      <c r="Q371" s="5" t="n"/>
      <c r="R371" s="5" t="n"/>
      <c r="S371" s="5" t="n"/>
    </row>
    <row r="372">
      <c r="A372" s="32" t="n"/>
      <c r="B372" s="32" t="n"/>
      <c r="C372" s="32" t="n"/>
      <c r="D372" s="32" t="n"/>
      <c r="E372" s="32" t="n"/>
      <c r="F372" s="29" t="n"/>
      <c r="G372" s="29" t="n"/>
      <c r="H372" s="29" t="n"/>
      <c r="I372" s="29" t="n"/>
      <c r="J372" s="29" t="n"/>
      <c r="K372" s="29" t="n"/>
      <c r="L372" s="29" t="n"/>
      <c r="M372" s="29" t="n"/>
      <c r="N372" s="29" t="n"/>
      <c r="O372" s="5" t="n"/>
      <c r="P372" s="5" t="n"/>
      <c r="Q372" s="5" t="n"/>
      <c r="R372" s="5" t="n"/>
      <c r="S372" s="5" t="n"/>
    </row>
    <row r="373">
      <c r="A373" s="32" t="n"/>
      <c r="B373" s="32" t="n"/>
      <c r="C373" s="32" t="n"/>
      <c r="D373" s="32" t="n"/>
      <c r="E373" s="32" t="n"/>
      <c r="F373" s="29" t="n"/>
      <c r="G373" s="29" t="n"/>
      <c r="H373" s="29" t="n"/>
      <c r="I373" s="29" t="n"/>
      <c r="J373" s="29" t="n"/>
      <c r="K373" s="29" t="n"/>
      <c r="L373" s="29" t="n"/>
      <c r="M373" s="29" t="n"/>
      <c r="N373" s="29" t="n"/>
      <c r="O373" s="5" t="n"/>
      <c r="P373" s="5" t="n"/>
      <c r="Q373" s="5" t="n"/>
      <c r="R373" s="5" t="n"/>
      <c r="S373" s="5" t="n"/>
    </row>
    <row r="374">
      <c r="A374" s="32" t="n"/>
      <c r="B374" s="32" t="n"/>
      <c r="C374" s="32" t="n"/>
      <c r="D374" s="32" t="n"/>
      <c r="E374" s="32" t="n"/>
      <c r="F374" s="29" t="n"/>
      <c r="G374" s="29" t="n"/>
      <c r="H374" s="29" t="n"/>
      <c r="I374" s="29" t="n"/>
      <c r="J374" s="29" t="n"/>
      <c r="K374" s="29" t="n"/>
      <c r="L374" s="29" t="n"/>
      <c r="M374" s="29" t="n"/>
      <c r="N374" s="29" t="n"/>
      <c r="O374" s="5" t="n"/>
      <c r="P374" s="5" t="n"/>
      <c r="Q374" s="5" t="n"/>
      <c r="R374" s="5" t="n"/>
      <c r="S374" s="5" t="n"/>
    </row>
    <row r="375">
      <c r="A375" s="32" t="n"/>
      <c r="B375" s="32" t="n"/>
      <c r="C375" s="32" t="n"/>
      <c r="D375" s="32" t="n"/>
      <c r="E375" s="32" t="n"/>
      <c r="F375" s="29" t="n"/>
      <c r="G375" s="29" t="n"/>
      <c r="H375" s="29" t="n"/>
      <c r="I375" s="29" t="n"/>
      <c r="J375" s="29" t="n"/>
      <c r="K375" s="29" t="n"/>
      <c r="L375" s="29" t="n"/>
      <c r="M375" s="29" t="n"/>
      <c r="N375" s="29" t="n"/>
      <c r="O375" s="5" t="n"/>
      <c r="P375" s="5" t="n"/>
      <c r="Q375" s="5" t="n"/>
      <c r="R375" s="5" t="n"/>
      <c r="S375" s="5" t="n"/>
    </row>
    <row r="376">
      <c r="A376" s="32" t="n"/>
      <c r="B376" s="32" t="n"/>
      <c r="C376" s="32" t="n"/>
      <c r="D376" s="32" t="n"/>
      <c r="E376" s="32" t="n"/>
      <c r="F376" s="29" t="n"/>
      <c r="G376" s="29" t="n"/>
      <c r="H376" s="29" t="n"/>
      <c r="I376" s="29" t="n"/>
      <c r="J376" s="29" t="n"/>
      <c r="K376" s="29" t="n"/>
      <c r="L376" s="29" t="n"/>
      <c r="M376" s="29" t="n"/>
      <c r="N376" s="29" t="n"/>
      <c r="O376" s="5" t="n"/>
      <c r="P376" s="5" t="n"/>
      <c r="Q376" s="5" t="n"/>
      <c r="R376" s="5" t="n"/>
      <c r="S376" s="5" t="n"/>
    </row>
    <row r="377">
      <c r="A377" s="32" t="n"/>
      <c r="B377" s="32" t="n"/>
      <c r="C377" s="32" t="n"/>
      <c r="D377" s="32" t="n"/>
      <c r="E377" s="32" t="n"/>
      <c r="F377" s="29" t="n"/>
      <c r="G377" s="29" t="n"/>
      <c r="H377" s="29" t="n"/>
      <c r="I377" s="29" t="n"/>
      <c r="J377" s="29" t="n"/>
      <c r="K377" s="29" t="n"/>
      <c r="L377" s="29" t="n"/>
      <c r="M377" s="29" t="n"/>
      <c r="N377" s="29" t="n"/>
      <c r="O377" s="5" t="n"/>
      <c r="P377" s="5" t="n"/>
      <c r="Q377" s="5" t="n"/>
      <c r="R377" s="5" t="n"/>
      <c r="S377" s="5" t="n"/>
    </row>
    <row r="378">
      <c r="A378" s="32" t="n"/>
      <c r="B378" s="32" t="n"/>
      <c r="C378" s="32" t="n"/>
      <c r="D378" s="32" t="n"/>
      <c r="E378" s="32" t="n"/>
      <c r="F378" s="29" t="n"/>
      <c r="G378" s="29" t="n"/>
      <c r="H378" s="29" t="n"/>
      <c r="I378" s="29" t="n"/>
      <c r="J378" s="29" t="n"/>
      <c r="K378" s="29" t="n"/>
      <c r="L378" s="29" t="n"/>
      <c r="M378" s="29" t="n"/>
      <c r="N378" s="29" t="n"/>
      <c r="O378" s="5" t="n"/>
      <c r="P378" s="5" t="n"/>
      <c r="Q378" s="5" t="n"/>
      <c r="R378" s="5" t="n"/>
      <c r="S378" s="5" t="n"/>
    </row>
    <row r="379">
      <c r="A379" s="32" t="n"/>
      <c r="B379" s="32" t="n"/>
      <c r="C379" s="32" t="n"/>
      <c r="D379" s="32" t="n"/>
      <c r="E379" s="32" t="n"/>
      <c r="F379" s="29" t="n"/>
      <c r="G379" s="29" t="n"/>
      <c r="H379" s="29" t="n"/>
      <c r="I379" s="29" t="n"/>
      <c r="J379" s="29" t="n"/>
      <c r="K379" s="29" t="n"/>
      <c r="L379" s="29" t="n"/>
      <c r="M379" s="29" t="n"/>
      <c r="N379" s="29" t="n"/>
      <c r="O379" s="5" t="n"/>
      <c r="P379" s="5" t="n"/>
      <c r="Q379" s="5" t="n"/>
      <c r="R379" s="5" t="n"/>
      <c r="S379" s="5" t="n"/>
    </row>
    <row r="380">
      <c r="A380" s="32" t="n"/>
      <c r="B380" s="32" t="n"/>
      <c r="C380" s="32" t="n"/>
      <c r="D380" s="32" t="n"/>
      <c r="E380" s="32" t="n"/>
      <c r="F380" s="29" t="n"/>
      <c r="G380" s="29" t="n"/>
      <c r="H380" s="29" t="n"/>
      <c r="I380" s="29" t="n"/>
      <c r="J380" s="29" t="n"/>
      <c r="K380" s="29" t="n"/>
      <c r="L380" s="29" t="n"/>
      <c r="M380" s="29" t="n"/>
      <c r="N380" s="29" t="n"/>
      <c r="O380" s="5" t="n"/>
      <c r="P380" s="5" t="n"/>
      <c r="Q380" s="5" t="n"/>
      <c r="R380" s="5" t="n"/>
      <c r="S380" s="5" t="n"/>
    </row>
    <row r="381">
      <c r="A381" s="32" t="n"/>
      <c r="B381" s="32" t="n"/>
      <c r="C381" s="32" t="n"/>
      <c r="D381" s="32" t="n"/>
      <c r="E381" s="32" t="n"/>
      <c r="F381" s="29" t="n"/>
      <c r="G381" s="29" t="n"/>
      <c r="H381" s="29" t="n"/>
      <c r="I381" s="29" t="n"/>
      <c r="J381" s="29" t="n"/>
      <c r="K381" s="29" t="n"/>
      <c r="L381" s="29" t="n"/>
      <c r="M381" s="29" t="n"/>
      <c r="N381" s="29" t="n"/>
      <c r="O381" s="5" t="n"/>
      <c r="P381" s="5" t="n"/>
      <c r="Q381" s="5" t="n"/>
      <c r="R381" s="5" t="n"/>
      <c r="S381" s="5" t="n"/>
    </row>
    <row r="382">
      <c r="A382" s="32" t="n"/>
      <c r="B382" s="32" t="n"/>
      <c r="C382" s="32" t="n"/>
      <c r="D382" s="32" t="n"/>
      <c r="E382" s="32" t="n"/>
      <c r="F382" s="29" t="n"/>
      <c r="G382" s="29" t="n"/>
      <c r="H382" s="29" t="n"/>
      <c r="I382" s="29" t="n"/>
      <c r="J382" s="29" t="n"/>
      <c r="K382" s="29" t="n"/>
      <c r="L382" s="29" t="n"/>
      <c r="M382" s="29" t="n"/>
      <c r="N382" s="29" t="n"/>
      <c r="O382" s="5" t="n"/>
      <c r="P382" s="5" t="n"/>
      <c r="Q382" s="5" t="n"/>
      <c r="R382" s="5" t="n"/>
      <c r="S382" s="5" t="n"/>
    </row>
    <row r="383">
      <c r="A383" s="32" t="n"/>
      <c r="B383" s="32" t="n"/>
      <c r="C383" s="32" t="n"/>
      <c r="D383" s="32" t="n"/>
      <c r="E383" s="32" t="n"/>
      <c r="F383" s="29" t="n"/>
      <c r="G383" s="29" t="n"/>
      <c r="H383" s="29" t="n"/>
      <c r="I383" s="29" t="n"/>
      <c r="J383" s="29" t="n"/>
      <c r="K383" s="29" t="n"/>
      <c r="L383" s="29" t="n"/>
      <c r="M383" s="29" t="n"/>
      <c r="N383" s="29" t="n"/>
      <c r="O383" s="5" t="n"/>
      <c r="P383" s="5" t="n"/>
      <c r="Q383" s="5" t="n"/>
      <c r="R383" s="5" t="n"/>
      <c r="S383" s="5" t="n"/>
    </row>
    <row r="384">
      <c r="A384" s="32" t="n"/>
      <c r="B384" s="32" t="n"/>
      <c r="C384" s="32" t="n"/>
      <c r="D384" s="32" t="n"/>
      <c r="E384" s="32" t="n"/>
      <c r="F384" s="29" t="n"/>
      <c r="G384" s="29" t="n"/>
      <c r="H384" s="29" t="n"/>
      <c r="I384" s="29" t="n"/>
      <c r="J384" s="29" t="n"/>
      <c r="K384" s="29" t="n"/>
      <c r="L384" s="29" t="n"/>
      <c r="M384" s="29" t="n"/>
      <c r="N384" s="29" t="n"/>
      <c r="O384" s="5" t="n"/>
      <c r="P384" s="5" t="n"/>
      <c r="Q384" s="5" t="n"/>
      <c r="R384" s="5" t="n"/>
      <c r="S384" s="5" t="n"/>
    </row>
    <row r="385">
      <c r="A385" s="32" t="n"/>
      <c r="B385" s="32" t="n"/>
      <c r="C385" s="32" t="n"/>
      <c r="D385" s="32" t="n"/>
      <c r="E385" s="32" t="n"/>
      <c r="F385" s="29" t="n"/>
      <c r="G385" s="29" t="n"/>
      <c r="H385" s="29" t="n"/>
      <c r="I385" s="29" t="n"/>
      <c r="J385" s="29" t="n"/>
      <c r="K385" s="29" t="n"/>
      <c r="L385" s="29" t="n"/>
      <c r="M385" s="29" t="n"/>
      <c r="N385" s="29" t="n"/>
      <c r="O385" s="5" t="n"/>
      <c r="P385" s="5" t="n"/>
      <c r="Q385" s="5" t="n"/>
      <c r="R385" s="5" t="n"/>
      <c r="S385" s="5" t="n"/>
    </row>
    <row r="386">
      <c r="A386" s="32" t="n"/>
      <c r="B386" s="32" t="n"/>
      <c r="C386" s="32" t="n"/>
      <c r="D386" s="32" t="n"/>
      <c r="E386" s="32" t="n"/>
      <c r="F386" s="29" t="n"/>
      <c r="G386" s="29" t="n"/>
      <c r="H386" s="29" t="n"/>
      <c r="I386" s="29" t="n"/>
      <c r="J386" s="29" t="n"/>
      <c r="K386" s="29" t="n"/>
      <c r="L386" s="29" t="n"/>
      <c r="M386" s="29" t="n"/>
      <c r="N386" s="29" t="n"/>
      <c r="O386" s="5" t="n"/>
      <c r="P386" s="5" t="n"/>
      <c r="Q386" s="5" t="n"/>
      <c r="R386" s="5" t="n"/>
      <c r="S386" s="5" t="n"/>
    </row>
    <row r="387">
      <c r="A387" s="32" t="n"/>
      <c r="B387" s="32" t="n"/>
      <c r="C387" s="32" t="n"/>
      <c r="D387" s="32" t="n"/>
      <c r="E387" s="32" t="n"/>
      <c r="F387" s="29" t="n"/>
      <c r="G387" s="29" t="n"/>
      <c r="H387" s="29" t="n"/>
      <c r="I387" s="29" t="n"/>
      <c r="J387" s="29" t="n"/>
      <c r="K387" s="29" t="n"/>
      <c r="L387" s="29" t="n"/>
      <c r="M387" s="29" t="n"/>
      <c r="N387" s="29" t="n"/>
      <c r="O387" s="5" t="n"/>
      <c r="P387" s="5" t="n"/>
      <c r="Q387" s="5" t="n"/>
      <c r="R387" s="5" t="n"/>
      <c r="S387" s="5" t="n"/>
    </row>
    <row r="388">
      <c r="A388" s="32" t="n"/>
      <c r="B388" s="32" t="n"/>
      <c r="C388" s="32" t="n"/>
      <c r="D388" s="32" t="n"/>
      <c r="E388" s="32" t="n"/>
      <c r="F388" s="29" t="n"/>
      <c r="G388" s="29" t="n"/>
      <c r="H388" s="29" t="n"/>
      <c r="I388" s="29" t="n"/>
      <c r="J388" s="29" t="n"/>
      <c r="K388" s="29" t="n"/>
      <c r="L388" s="29" t="n"/>
      <c r="M388" s="29" t="n"/>
      <c r="N388" s="29" t="n"/>
      <c r="O388" s="5" t="n"/>
      <c r="P388" s="5" t="n"/>
      <c r="Q388" s="5" t="n"/>
      <c r="R388" s="5" t="n"/>
      <c r="S388" s="5" t="n"/>
    </row>
    <row r="389">
      <c r="A389" s="32" t="n"/>
      <c r="B389" s="32" t="n"/>
      <c r="C389" s="32" t="n"/>
      <c r="D389" s="32" t="n"/>
      <c r="E389" s="32" t="n"/>
      <c r="F389" s="29" t="n"/>
      <c r="G389" s="29" t="n"/>
      <c r="H389" s="29" t="n"/>
      <c r="I389" s="29" t="n"/>
      <c r="J389" s="29" t="n"/>
      <c r="K389" s="29" t="n"/>
      <c r="L389" s="29" t="n"/>
      <c r="M389" s="29" t="n"/>
      <c r="N389" s="29" t="n"/>
      <c r="O389" s="5" t="n"/>
      <c r="P389" s="5" t="n"/>
      <c r="Q389" s="5" t="n"/>
      <c r="R389" s="5" t="n"/>
      <c r="S389" s="5" t="n"/>
    </row>
    <row r="390">
      <c r="A390" s="32" t="n"/>
      <c r="B390" s="32" t="n"/>
      <c r="C390" s="32" t="n"/>
      <c r="D390" s="32" t="n"/>
      <c r="E390" s="32" t="n"/>
      <c r="F390" s="29" t="n"/>
      <c r="G390" s="29" t="n"/>
      <c r="H390" s="29" t="n"/>
      <c r="I390" s="29" t="n"/>
      <c r="J390" s="29" t="n"/>
      <c r="K390" s="29" t="n"/>
      <c r="L390" s="29" t="n"/>
      <c r="M390" s="29" t="n"/>
      <c r="N390" s="29" t="n"/>
      <c r="O390" s="5" t="n"/>
      <c r="P390" s="5" t="n"/>
      <c r="Q390" s="5" t="n"/>
      <c r="R390" s="5" t="n"/>
      <c r="S390" s="5" t="n"/>
    </row>
    <row r="391">
      <c r="A391" s="32" t="n"/>
      <c r="B391" s="32" t="n"/>
      <c r="C391" s="32" t="n"/>
      <c r="D391" s="32" t="n"/>
      <c r="E391" s="32" t="n"/>
      <c r="F391" s="29" t="n"/>
      <c r="G391" s="29" t="n"/>
      <c r="H391" s="29" t="n"/>
      <c r="I391" s="29" t="n"/>
      <c r="J391" s="29" t="n"/>
      <c r="K391" s="29" t="n"/>
      <c r="L391" s="29" t="n"/>
      <c r="M391" s="29" t="n"/>
      <c r="N391" s="29" t="n"/>
      <c r="O391" s="5" t="n"/>
      <c r="P391" s="5" t="n"/>
      <c r="Q391" s="5" t="n"/>
      <c r="R391" s="5" t="n"/>
      <c r="S391" s="5" t="n"/>
    </row>
    <row r="392">
      <c r="A392" s="32" t="n"/>
      <c r="B392" s="32" t="n"/>
      <c r="C392" s="32" t="n"/>
      <c r="D392" s="32" t="n"/>
      <c r="E392" s="32" t="n"/>
      <c r="F392" s="29" t="n"/>
      <c r="G392" s="29" t="n"/>
      <c r="H392" s="29" t="n"/>
      <c r="I392" s="29" t="n"/>
      <c r="J392" s="29" t="n"/>
      <c r="K392" s="29" t="n"/>
      <c r="L392" s="29" t="n"/>
      <c r="M392" s="29" t="n"/>
      <c r="N392" s="29" t="n"/>
      <c r="O392" s="5" t="n"/>
      <c r="P392" s="5" t="n"/>
      <c r="Q392" s="5" t="n"/>
      <c r="R392" s="5" t="n"/>
      <c r="S392" s="5" t="n"/>
    </row>
    <row r="393">
      <c r="A393" s="32" t="n"/>
      <c r="B393" s="32" t="n"/>
      <c r="C393" s="32" t="n"/>
      <c r="D393" s="32" t="n"/>
      <c r="E393" s="32" t="n"/>
      <c r="F393" s="29" t="n"/>
      <c r="G393" s="29" t="n"/>
      <c r="H393" s="29" t="n"/>
      <c r="I393" s="29" t="n"/>
      <c r="J393" s="29" t="n"/>
      <c r="K393" s="29" t="n"/>
      <c r="L393" s="29" t="n"/>
      <c r="M393" s="29" t="n"/>
      <c r="N393" s="29" t="n"/>
      <c r="O393" s="5" t="n"/>
      <c r="P393" s="5" t="n"/>
      <c r="Q393" s="5" t="n"/>
      <c r="R393" s="5" t="n"/>
      <c r="S393" s="5" t="n"/>
    </row>
    <row r="394">
      <c r="A394" s="32" t="n"/>
      <c r="B394" s="32" t="n"/>
      <c r="C394" s="32" t="n"/>
      <c r="D394" s="32" t="n"/>
      <c r="E394" s="32" t="n"/>
      <c r="F394" s="29" t="n"/>
      <c r="G394" s="29" t="n"/>
      <c r="H394" s="29" t="n"/>
      <c r="I394" s="29" t="n"/>
      <c r="J394" s="29" t="n"/>
      <c r="K394" s="29" t="n"/>
      <c r="L394" s="29" t="n"/>
      <c r="M394" s="29" t="n"/>
      <c r="N394" s="29" t="n"/>
      <c r="O394" s="5" t="n"/>
      <c r="P394" s="5" t="n"/>
      <c r="Q394" s="5" t="n"/>
      <c r="R394" s="5" t="n"/>
      <c r="S394" s="5" t="n"/>
    </row>
    <row r="395">
      <c r="A395" s="32" t="n"/>
      <c r="B395" s="32" t="n"/>
      <c r="C395" s="32" t="n"/>
      <c r="D395" s="32" t="n"/>
      <c r="E395" s="32" t="n"/>
      <c r="F395" s="29" t="n"/>
      <c r="G395" s="29" t="n"/>
      <c r="H395" s="29" t="n"/>
      <c r="I395" s="29" t="n"/>
      <c r="J395" s="29" t="n"/>
      <c r="K395" s="29" t="n"/>
      <c r="L395" s="29" t="n"/>
      <c r="M395" s="29" t="n"/>
      <c r="N395" s="29" t="n"/>
      <c r="O395" s="5" t="n"/>
      <c r="P395" s="5" t="n"/>
      <c r="Q395" s="5" t="n"/>
      <c r="R395" s="5" t="n"/>
      <c r="S395" s="5" t="n"/>
    </row>
    <row r="396">
      <c r="A396" s="32" t="n"/>
      <c r="B396" s="32" t="n"/>
      <c r="C396" s="32" t="n"/>
      <c r="D396" s="32" t="n"/>
      <c r="E396" s="32" t="n"/>
      <c r="F396" s="29" t="n"/>
      <c r="G396" s="29" t="n"/>
      <c r="H396" s="29" t="n"/>
      <c r="I396" s="29" t="n"/>
      <c r="J396" s="29" t="n"/>
      <c r="K396" s="29" t="n"/>
      <c r="L396" s="29" t="n"/>
      <c r="M396" s="29" t="n"/>
      <c r="N396" s="29" t="n"/>
      <c r="O396" s="5" t="n"/>
      <c r="P396" s="5" t="n"/>
      <c r="Q396" s="5" t="n"/>
      <c r="R396" s="5" t="n"/>
      <c r="S396" s="5" t="n"/>
    </row>
    <row r="397">
      <c r="A397" s="32" t="n"/>
      <c r="B397" s="32" t="n"/>
      <c r="C397" s="32" t="n"/>
      <c r="D397" s="32" t="n"/>
      <c r="E397" s="32" t="n"/>
      <c r="F397" s="29" t="n"/>
      <c r="G397" s="29" t="n"/>
      <c r="H397" s="29" t="n"/>
      <c r="I397" s="29" t="n"/>
      <c r="J397" s="29" t="n"/>
      <c r="K397" s="29" t="n"/>
      <c r="L397" s="29" t="n"/>
      <c r="M397" s="29" t="n"/>
      <c r="N397" s="29" t="n"/>
      <c r="O397" s="5" t="n"/>
      <c r="P397" s="5" t="n"/>
      <c r="Q397" s="5" t="n"/>
      <c r="R397" s="5" t="n"/>
      <c r="S397" s="5" t="n"/>
    </row>
    <row r="398">
      <c r="A398" s="32" t="n"/>
      <c r="B398" s="32" t="n"/>
      <c r="C398" s="32" t="n"/>
      <c r="D398" s="32" t="n"/>
      <c r="E398" s="32" t="n"/>
      <c r="F398" s="29" t="n"/>
      <c r="G398" s="29" t="n"/>
      <c r="H398" s="29" t="n"/>
      <c r="I398" s="29" t="n"/>
      <c r="J398" s="29" t="n"/>
      <c r="K398" s="29" t="n"/>
      <c r="L398" s="29" t="n"/>
      <c r="M398" s="29" t="n"/>
      <c r="N398" s="29" t="n"/>
      <c r="O398" s="5" t="n"/>
      <c r="P398" s="5" t="n"/>
      <c r="Q398" s="5" t="n"/>
      <c r="R398" s="5" t="n"/>
      <c r="S398" s="5" t="n"/>
    </row>
    <row r="399">
      <c r="A399" s="32" t="n"/>
      <c r="B399" s="32" t="n"/>
      <c r="C399" s="32" t="n"/>
      <c r="D399" s="32" t="n"/>
      <c r="E399" s="32" t="n"/>
      <c r="F399" s="29" t="n"/>
      <c r="G399" s="29" t="n"/>
      <c r="H399" s="29" t="n"/>
      <c r="I399" s="29" t="n"/>
      <c r="J399" s="29" t="n"/>
      <c r="K399" s="29" t="n"/>
      <c r="L399" s="29" t="n"/>
      <c r="M399" s="29" t="n"/>
      <c r="N399" s="29" t="n"/>
      <c r="O399" s="5" t="n"/>
      <c r="P399" s="5" t="n"/>
      <c r="Q399" s="5" t="n"/>
      <c r="R399" s="5" t="n"/>
      <c r="S399" s="5" t="n"/>
    </row>
    <row r="400">
      <c r="A400" s="32" t="n"/>
      <c r="B400" s="32" t="n"/>
      <c r="C400" s="32" t="n"/>
      <c r="D400" s="32" t="n"/>
      <c r="E400" s="32" t="n"/>
      <c r="F400" s="29" t="n"/>
      <c r="G400" s="29" t="n"/>
      <c r="H400" s="29" t="n"/>
      <c r="I400" s="29" t="n"/>
      <c r="J400" s="29" t="n"/>
      <c r="K400" s="29" t="n"/>
      <c r="L400" s="29" t="n"/>
      <c r="M400" s="29" t="n"/>
      <c r="N400" s="29" t="n"/>
      <c r="O400" s="5" t="n"/>
      <c r="P400" s="5" t="n"/>
      <c r="Q400" s="5" t="n"/>
      <c r="R400" s="5" t="n"/>
      <c r="S400" s="5" t="n"/>
    </row>
    <row r="401">
      <c r="A401" s="32" t="n"/>
      <c r="B401" s="32" t="n"/>
      <c r="C401" s="32" t="n"/>
      <c r="D401" s="32" t="n"/>
      <c r="E401" s="32" t="n"/>
      <c r="F401" s="29" t="n"/>
      <c r="G401" s="29" t="n"/>
      <c r="H401" s="29" t="n"/>
      <c r="I401" s="29" t="n"/>
      <c r="J401" s="29" t="n"/>
      <c r="K401" s="29" t="n"/>
      <c r="L401" s="29" t="n"/>
      <c r="M401" s="29" t="n"/>
      <c r="N401" s="29" t="n"/>
      <c r="O401" s="5" t="n"/>
      <c r="P401" s="5" t="n"/>
      <c r="Q401" s="5" t="n"/>
      <c r="R401" s="5" t="n"/>
      <c r="S401" s="5" t="n"/>
    </row>
    <row r="402">
      <c r="A402" s="32" t="n"/>
      <c r="B402" s="32" t="n"/>
      <c r="C402" s="32" t="n"/>
      <c r="D402" s="32" t="n"/>
      <c r="E402" s="32" t="n"/>
      <c r="F402" s="29" t="n"/>
      <c r="G402" s="29" t="n"/>
      <c r="H402" s="29" t="n"/>
      <c r="I402" s="29" t="n"/>
      <c r="J402" s="29" t="n"/>
      <c r="K402" s="29" t="n"/>
      <c r="L402" s="29" t="n"/>
      <c r="M402" s="29" t="n"/>
      <c r="N402" s="29" t="n"/>
      <c r="O402" s="5" t="n"/>
      <c r="P402" s="5" t="n"/>
      <c r="Q402" s="5" t="n"/>
      <c r="R402" s="5" t="n"/>
      <c r="S402" s="5" t="n"/>
    </row>
    <row r="403">
      <c r="A403" s="32" t="n"/>
      <c r="B403" s="32" t="n"/>
      <c r="C403" s="32" t="n"/>
      <c r="D403" s="32" t="n"/>
      <c r="E403" s="32" t="n"/>
      <c r="F403" s="29" t="n"/>
      <c r="G403" s="29" t="n"/>
      <c r="H403" s="29" t="n"/>
      <c r="I403" s="29" t="n"/>
      <c r="J403" s="29" t="n"/>
      <c r="K403" s="29" t="n"/>
      <c r="L403" s="29" t="n"/>
      <c r="M403" s="29" t="n"/>
      <c r="N403" s="29" t="n"/>
      <c r="O403" s="5" t="n"/>
      <c r="P403" s="5" t="n"/>
      <c r="Q403" s="5" t="n"/>
      <c r="R403" s="5" t="n"/>
      <c r="S403" s="5" t="n"/>
    </row>
    <row r="404">
      <c r="A404" s="32" t="n"/>
      <c r="B404" s="32" t="n"/>
      <c r="C404" s="32" t="n"/>
      <c r="D404" s="32" t="n"/>
      <c r="E404" s="32" t="n"/>
      <c r="F404" s="29" t="n"/>
      <c r="G404" s="29" t="n"/>
      <c r="H404" s="29" t="n"/>
      <c r="I404" s="29" t="n"/>
      <c r="J404" s="29" t="n"/>
      <c r="K404" s="29" t="n"/>
      <c r="L404" s="29" t="n"/>
      <c r="M404" s="29" t="n"/>
      <c r="N404" s="29" t="n"/>
      <c r="O404" s="5" t="n"/>
      <c r="P404" s="5" t="n"/>
      <c r="Q404" s="5" t="n"/>
      <c r="R404" s="5" t="n"/>
      <c r="S404" s="5" t="n"/>
    </row>
    <row r="405">
      <c r="A405" s="32" t="n"/>
      <c r="B405" s="32" t="n"/>
      <c r="C405" s="32" t="n"/>
      <c r="D405" s="32" t="n"/>
      <c r="E405" s="32" t="n"/>
      <c r="F405" s="29" t="n"/>
      <c r="G405" s="29" t="n"/>
      <c r="H405" s="29" t="n"/>
      <c r="I405" s="29" t="n"/>
      <c r="J405" s="29" t="n"/>
      <c r="K405" s="29" t="n"/>
      <c r="L405" s="29" t="n"/>
      <c r="M405" s="29" t="n"/>
      <c r="N405" s="29" t="n"/>
      <c r="O405" s="5" t="n"/>
      <c r="P405" s="5" t="n"/>
      <c r="Q405" s="5" t="n"/>
      <c r="R405" s="5" t="n"/>
      <c r="S405" s="5" t="n"/>
    </row>
    <row r="406">
      <c r="A406" s="32" t="n"/>
      <c r="B406" s="32" t="n"/>
      <c r="C406" s="32" t="n"/>
      <c r="D406" s="32" t="n"/>
      <c r="E406" s="32" t="n"/>
      <c r="F406" s="29" t="n"/>
      <c r="G406" s="29" t="n"/>
      <c r="H406" s="29" t="n"/>
      <c r="I406" s="29" t="n"/>
      <c r="J406" s="29" t="n"/>
      <c r="K406" s="29" t="n"/>
      <c r="L406" s="29" t="n"/>
      <c r="M406" s="29" t="n"/>
      <c r="N406" s="29" t="n"/>
      <c r="O406" s="5" t="n"/>
      <c r="P406" s="5" t="n"/>
      <c r="Q406" s="5" t="n"/>
      <c r="R406" s="5" t="n"/>
      <c r="S406" s="5" t="n"/>
    </row>
    <row r="407">
      <c r="A407" s="32" t="n"/>
      <c r="B407" s="32" t="n"/>
      <c r="C407" s="32" t="n"/>
      <c r="D407" s="32" t="n"/>
      <c r="E407" s="32" t="n"/>
      <c r="F407" s="29" t="n"/>
      <c r="G407" s="29" t="n"/>
      <c r="H407" s="29" t="n"/>
      <c r="I407" s="29" t="n"/>
      <c r="J407" s="29" t="n"/>
      <c r="K407" s="29" t="n"/>
      <c r="L407" s="29" t="n"/>
      <c r="M407" s="29" t="n"/>
      <c r="N407" s="29" t="n"/>
      <c r="O407" s="5" t="n"/>
      <c r="P407" s="5" t="n"/>
      <c r="Q407" s="5" t="n"/>
      <c r="R407" s="5" t="n"/>
      <c r="S407" s="5" t="n"/>
    </row>
    <row r="408">
      <c r="A408" s="32" t="n"/>
      <c r="B408" s="32" t="n"/>
      <c r="C408" s="32" t="n"/>
      <c r="D408" s="32" t="n"/>
      <c r="E408" s="32" t="n"/>
      <c r="F408" s="29" t="n"/>
      <c r="G408" s="29" t="n"/>
      <c r="H408" s="29" t="n"/>
      <c r="I408" s="29" t="n"/>
      <c r="J408" s="29" t="n"/>
      <c r="K408" s="29" t="n"/>
      <c r="L408" s="29" t="n"/>
      <c r="M408" s="29" t="n"/>
      <c r="N408" s="29" t="n"/>
      <c r="O408" s="5" t="n"/>
      <c r="P408" s="5" t="n"/>
      <c r="Q408" s="5" t="n"/>
      <c r="R408" s="5" t="n"/>
      <c r="S408" s="5" t="n"/>
    </row>
    <row r="409">
      <c r="A409" s="32" t="n"/>
      <c r="B409" s="32" t="n"/>
      <c r="C409" s="32" t="n"/>
      <c r="D409" s="32" t="n"/>
      <c r="E409" s="32" t="n"/>
      <c r="F409" s="29" t="n"/>
      <c r="G409" s="29" t="n"/>
      <c r="H409" s="29" t="n"/>
      <c r="I409" s="29" t="n"/>
      <c r="J409" s="29" t="n"/>
      <c r="K409" s="29" t="n"/>
      <c r="L409" s="29" t="n"/>
      <c r="M409" s="29" t="n"/>
      <c r="N409" s="29" t="n"/>
      <c r="O409" s="5" t="n"/>
      <c r="P409" s="5" t="n"/>
      <c r="Q409" s="5" t="n"/>
      <c r="R409" s="5" t="n"/>
      <c r="S409" s="5" t="n"/>
    </row>
    <row r="410">
      <c r="A410" s="32" t="n"/>
      <c r="B410" s="32" t="n"/>
      <c r="C410" s="32" t="n"/>
      <c r="D410" s="32" t="n"/>
      <c r="E410" s="32" t="n"/>
      <c r="F410" s="29" t="n"/>
      <c r="G410" s="29" t="n"/>
      <c r="H410" s="29" t="n"/>
      <c r="I410" s="29" t="n"/>
      <c r="J410" s="29" t="n"/>
      <c r="K410" s="29" t="n"/>
      <c r="L410" s="29" t="n"/>
      <c r="M410" s="29" t="n"/>
      <c r="N410" s="29" t="n"/>
      <c r="O410" s="5" t="n"/>
      <c r="P410" s="5" t="n"/>
      <c r="Q410" s="5" t="n"/>
      <c r="R410" s="5" t="n"/>
      <c r="S410" s="5" t="n"/>
    </row>
    <row r="411">
      <c r="A411" s="32" t="n"/>
      <c r="B411" s="32" t="n"/>
      <c r="C411" s="32" t="n"/>
      <c r="D411" s="32" t="n"/>
      <c r="E411" s="32" t="n"/>
      <c r="F411" s="29" t="n"/>
      <c r="G411" s="29" t="n"/>
      <c r="H411" s="29" t="n"/>
      <c r="I411" s="29" t="n"/>
      <c r="J411" s="29" t="n"/>
      <c r="K411" s="29" t="n"/>
      <c r="L411" s="29" t="n"/>
      <c r="M411" s="29" t="n"/>
      <c r="N411" s="29" t="n"/>
      <c r="O411" s="5" t="n"/>
      <c r="P411" s="5" t="n"/>
      <c r="Q411" s="5" t="n"/>
      <c r="R411" s="5" t="n"/>
      <c r="S411" s="5" t="n"/>
    </row>
    <row r="412">
      <c r="A412" s="32" t="n"/>
      <c r="B412" s="32" t="n"/>
      <c r="C412" s="32" t="n"/>
      <c r="D412" s="32" t="n"/>
      <c r="E412" s="32" t="n"/>
      <c r="F412" s="29" t="n"/>
      <c r="G412" s="29" t="n"/>
      <c r="H412" s="29" t="n"/>
      <c r="I412" s="29" t="n"/>
      <c r="J412" s="29" t="n"/>
      <c r="K412" s="29" t="n"/>
      <c r="L412" s="29" t="n"/>
      <c r="M412" s="29" t="n"/>
      <c r="N412" s="29" t="n"/>
      <c r="O412" s="5" t="n"/>
      <c r="P412" s="5" t="n"/>
      <c r="Q412" s="5" t="n"/>
      <c r="R412" s="5" t="n"/>
      <c r="S412" s="5" t="n"/>
    </row>
    <row r="413">
      <c r="A413" s="32" t="n"/>
      <c r="B413" s="32" t="n"/>
      <c r="C413" s="32" t="n"/>
      <c r="D413" s="32" t="n"/>
      <c r="E413" s="32" t="n"/>
      <c r="F413" s="29" t="n"/>
      <c r="G413" s="29" t="n"/>
      <c r="H413" s="29" t="n"/>
      <c r="I413" s="29" t="n"/>
      <c r="J413" s="29" t="n"/>
      <c r="K413" s="29" t="n"/>
      <c r="L413" s="29" t="n"/>
      <c r="M413" s="29" t="n"/>
      <c r="N413" s="29" t="n"/>
      <c r="O413" s="5" t="n"/>
      <c r="P413" s="5" t="n"/>
      <c r="Q413" s="5" t="n"/>
      <c r="R413" s="5" t="n"/>
      <c r="S413" s="5" t="n"/>
    </row>
    <row r="414">
      <c r="A414" s="32" t="n"/>
      <c r="B414" s="32" t="n"/>
      <c r="C414" s="32" t="n"/>
      <c r="D414" s="32" t="n"/>
      <c r="E414" s="32" t="n"/>
      <c r="F414" s="29" t="n"/>
      <c r="G414" s="29" t="n"/>
      <c r="H414" s="29" t="n"/>
      <c r="I414" s="29" t="n"/>
      <c r="J414" s="29" t="n"/>
      <c r="K414" s="29" t="n"/>
      <c r="L414" s="29" t="n"/>
      <c r="M414" s="29" t="n"/>
      <c r="N414" s="29" t="n"/>
      <c r="O414" s="5" t="n"/>
      <c r="P414" s="5" t="n"/>
      <c r="Q414" s="5" t="n"/>
      <c r="R414" s="5" t="n"/>
      <c r="S414" s="5" t="n"/>
    </row>
    <row r="415">
      <c r="A415" s="32" t="n"/>
      <c r="B415" s="32" t="n"/>
      <c r="C415" s="32" t="n"/>
      <c r="D415" s="32" t="n"/>
      <c r="E415" s="32" t="n"/>
      <c r="F415" s="29" t="n"/>
      <c r="G415" s="29" t="n"/>
      <c r="H415" s="29" t="n"/>
      <c r="I415" s="29" t="n"/>
      <c r="J415" s="29" t="n"/>
      <c r="K415" s="29" t="n"/>
      <c r="L415" s="29" t="n"/>
      <c r="M415" s="29" t="n"/>
      <c r="N415" s="29" t="n"/>
      <c r="O415" s="5" t="n"/>
      <c r="P415" s="5" t="n"/>
      <c r="Q415" s="5" t="n"/>
      <c r="R415" s="5" t="n"/>
      <c r="S415" s="5" t="n"/>
    </row>
    <row r="416">
      <c r="A416" s="32" t="n"/>
      <c r="B416" s="32" t="n"/>
      <c r="C416" s="32" t="n"/>
      <c r="D416" s="32" t="n"/>
      <c r="E416" s="32" t="n"/>
      <c r="F416" s="29" t="n"/>
      <c r="G416" s="29" t="n"/>
      <c r="H416" s="29" t="n"/>
      <c r="I416" s="29" t="n"/>
      <c r="J416" s="29" t="n"/>
      <c r="K416" s="29" t="n"/>
      <c r="L416" s="29" t="n"/>
      <c r="M416" s="29" t="n"/>
      <c r="N416" s="29" t="n"/>
      <c r="O416" s="5" t="n"/>
      <c r="P416" s="5" t="n"/>
      <c r="Q416" s="5" t="n"/>
      <c r="R416" s="5" t="n"/>
      <c r="S416" s="5" t="n"/>
    </row>
    <row r="417">
      <c r="A417" s="32" t="n"/>
      <c r="B417" s="32" t="n"/>
      <c r="C417" s="32" t="n"/>
      <c r="D417" s="32" t="n"/>
      <c r="E417" s="32" t="n"/>
      <c r="F417" s="29" t="n"/>
      <c r="G417" s="29" t="n"/>
      <c r="H417" s="29" t="n"/>
      <c r="I417" s="29" t="n"/>
      <c r="J417" s="29" t="n"/>
      <c r="K417" s="29" t="n"/>
      <c r="L417" s="29" t="n"/>
      <c r="M417" s="29" t="n"/>
      <c r="N417" s="29" t="n"/>
      <c r="O417" s="5" t="n"/>
      <c r="P417" s="5" t="n"/>
      <c r="Q417" s="5" t="n"/>
      <c r="R417" s="5" t="n"/>
      <c r="S417" s="5" t="n"/>
    </row>
    <row r="418">
      <c r="A418" s="32" t="n"/>
      <c r="B418" s="32" t="n"/>
      <c r="C418" s="32" t="n"/>
      <c r="D418" s="32" t="n"/>
      <c r="E418" s="32" t="n"/>
      <c r="F418" s="29" t="n"/>
      <c r="G418" s="29" t="n"/>
      <c r="H418" s="29" t="n"/>
      <c r="I418" s="29" t="n"/>
      <c r="J418" s="29" t="n"/>
      <c r="K418" s="29" t="n"/>
      <c r="L418" s="29" t="n"/>
      <c r="M418" s="29" t="n"/>
      <c r="N418" s="29" t="n"/>
      <c r="O418" s="5" t="n"/>
      <c r="P418" s="5" t="n"/>
      <c r="Q418" s="5" t="n"/>
      <c r="R418" s="5" t="n"/>
      <c r="S418" s="5" t="n"/>
    </row>
    <row r="419">
      <c r="A419" s="32" t="n"/>
      <c r="B419" s="32" t="n"/>
      <c r="C419" s="32" t="n"/>
      <c r="D419" s="32" t="n"/>
      <c r="E419" s="32" t="n"/>
      <c r="F419" s="29" t="n"/>
      <c r="G419" s="29" t="n"/>
      <c r="H419" s="29" t="n"/>
      <c r="I419" s="29" t="n"/>
      <c r="J419" s="29" t="n"/>
      <c r="K419" s="29" t="n"/>
      <c r="L419" s="29" t="n"/>
      <c r="M419" s="29" t="n"/>
      <c r="N419" s="29" t="n"/>
      <c r="O419" s="5" t="n"/>
      <c r="P419" s="5" t="n"/>
      <c r="Q419" s="5" t="n"/>
      <c r="R419" s="5" t="n"/>
      <c r="S419" s="5" t="n"/>
    </row>
    <row r="420">
      <c r="A420" s="32" t="n"/>
      <c r="B420" s="32" t="n"/>
      <c r="C420" s="32" t="n"/>
      <c r="D420" s="32" t="n"/>
      <c r="E420" s="32" t="n"/>
      <c r="F420" s="29" t="n"/>
      <c r="G420" s="29" t="n"/>
      <c r="H420" s="29" t="n"/>
      <c r="I420" s="29" t="n"/>
      <c r="J420" s="29" t="n"/>
      <c r="K420" s="29" t="n"/>
      <c r="L420" s="29" t="n"/>
      <c r="M420" s="29" t="n"/>
      <c r="N420" s="29" t="n"/>
      <c r="O420" s="5" t="n"/>
      <c r="P420" s="5" t="n"/>
      <c r="Q420" s="5" t="n"/>
      <c r="R420" s="5" t="n"/>
      <c r="S420" s="5" t="n"/>
    </row>
    <row r="421">
      <c r="A421" s="32" t="n"/>
      <c r="B421" s="32" t="n"/>
      <c r="C421" s="32" t="n"/>
      <c r="D421" s="32" t="n"/>
      <c r="E421" s="32" t="n"/>
      <c r="F421" s="29" t="n"/>
      <c r="G421" s="29" t="n"/>
      <c r="H421" s="29" t="n"/>
      <c r="I421" s="29" t="n"/>
      <c r="J421" s="29" t="n"/>
      <c r="K421" s="29" t="n"/>
      <c r="L421" s="29" t="n"/>
      <c r="M421" s="29" t="n"/>
      <c r="N421" s="29" t="n"/>
      <c r="O421" s="5" t="n"/>
      <c r="P421" s="5" t="n"/>
      <c r="Q421" s="5" t="n"/>
      <c r="R421" s="5" t="n"/>
      <c r="S421" s="5" t="n"/>
    </row>
    <row r="422">
      <c r="A422" s="32" t="n"/>
      <c r="B422" s="32" t="n"/>
      <c r="C422" s="32" t="n"/>
      <c r="D422" s="32" t="n"/>
      <c r="E422" s="32" t="n"/>
      <c r="F422" s="29" t="n"/>
      <c r="G422" s="29" t="n"/>
      <c r="H422" s="29" t="n"/>
      <c r="I422" s="29" t="n"/>
      <c r="J422" s="29" t="n"/>
      <c r="K422" s="29" t="n"/>
      <c r="L422" s="29" t="n"/>
      <c r="M422" s="29" t="n"/>
      <c r="N422" s="29" t="n"/>
      <c r="O422" s="5" t="n"/>
      <c r="P422" s="5" t="n"/>
      <c r="Q422" s="5" t="n"/>
      <c r="R422" s="5" t="n"/>
      <c r="S422" s="5" t="n"/>
    </row>
    <row r="423">
      <c r="A423" s="32" t="n"/>
      <c r="B423" s="32" t="n"/>
      <c r="C423" s="32" t="n"/>
      <c r="D423" s="32" t="n"/>
      <c r="E423" s="32" t="n"/>
      <c r="F423" s="29" t="n"/>
      <c r="G423" s="29" t="n"/>
      <c r="H423" s="29" t="n"/>
      <c r="I423" s="29" t="n"/>
      <c r="J423" s="29" t="n"/>
      <c r="K423" s="29" t="n"/>
      <c r="L423" s="29" t="n"/>
      <c r="M423" s="29" t="n"/>
      <c r="N423" s="29" t="n"/>
      <c r="O423" s="5" t="n"/>
      <c r="P423" s="5" t="n"/>
      <c r="Q423" s="5" t="n"/>
      <c r="R423" s="5" t="n"/>
      <c r="S423" s="5" t="n"/>
    </row>
    <row r="424">
      <c r="A424" s="32" t="n"/>
      <c r="B424" s="32" t="n"/>
      <c r="C424" s="32" t="n"/>
      <c r="D424" s="32" t="n"/>
      <c r="E424" s="32" t="n"/>
      <c r="F424" s="29" t="n"/>
      <c r="G424" s="29" t="n"/>
      <c r="H424" s="29" t="n"/>
      <c r="I424" s="29" t="n"/>
      <c r="J424" s="29" t="n"/>
      <c r="K424" s="29" t="n"/>
      <c r="L424" s="29" t="n"/>
      <c r="M424" s="29" t="n"/>
      <c r="N424" s="29" t="n"/>
      <c r="O424" s="5" t="n"/>
      <c r="P424" s="5" t="n"/>
      <c r="Q424" s="5" t="n"/>
      <c r="R424" s="5" t="n"/>
      <c r="S424" s="5" t="n"/>
    </row>
    <row r="425">
      <c r="A425" s="32" t="n"/>
      <c r="B425" s="32" t="n"/>
      <c r="C425" s="32" t="n"/>
      <c r="D425" s="32" t="n"/>
      <c r="E425" s="32" t="n"/>
      <c r="F425" s="29" t="n"/>
      <c r="G425" s="29" t="n"/>
      <c r="H425" s="29" t="n"/>
      <c r="I425" s="29" t="n"/>
      <c r="J425" s="29" t="n"/>
      <c r="K425" s="29" t="n"/>
      <c r="L425" s="29" t="n"/>
      <c r="M425" s="29" t="n"/>
      <c r="N425" s="29" t="n"/>
      <c r="O425" s="5" t="n"/>
      <c r="P425" s="5" t="n"/>
      <c r="Q425" s="5" t="n"/>
      <c r="R425" s="5" t="n"/>
      <c r="S425" s="5" t="n"/>
    </row>
    <row r="426">
      <c r="A426" s="32" t="n"/>
      <c r="B426" s="32" t="n"/>
      <c r="C426" s="32" t="n"/>
      <c r="D426" s="32" t="n"/>
      <c r="E426" s="32" t="n"/>
      <c r="F426" s="29" t="n"/>
      <c r="G426" s="29" t="n"/>
      <c r="H426" s="29" t="n"/>
      <c r="I426" s="29" t="n"/>
      <c r="J426" s="29" t="n"/>
      <c r="K426" s="29" t="n"/>
      <c r="L426" s="29" t="n"/>
      <c r="M426" s="29" t="n"/>
      <c r="N426" s="29" t="n"/>
      <c r="O426" s="5" t="n"/>
      <c r="P426" s="5" t="n"/>
      <c r="Q426" s="5" t="n"/>
      <c r="R426" s="5" t="n"/>
      <c r="S426" s="5" t="n"/>
    </row>
    <row r="427">
      <c r="A427" s="32" t="n"/>
      <c r="B427" s="32" t="n"/>
      <c r="C427" s="32" t="n"/>
      <c r="D427" s="32" t="n"/>
      <c r="E427" s="32" t="n"/>
      <c r="F427" s="29" t="n"/>
      <c r="G427" s="29" t="n"/>
      <c r="H427" s="29" t="n"/>
      <c r="I427" s="29" t="n"/>
      <c r="J427" s="29" t="n"/>
      <c r="K427" s="29" t="n"/>
      <c r="L427" s="29" t="n"/>
      <c r="M427" s="29" t="n"/>
      <c r="N427" s="29" t="n"/>
      <c r="O427" s="5" t="n"/>
      <c r="P427" s="5" t="n"/>
      <c r="Q427" s="5" t="n"/>
      <c r="R427" s="5" t="n"/>
      <c r="S427" s="5" t="n"/>
    </row>
    <row r="428">
      <c r="A428" s="32" t="n"/>
      <c r="B428" s="32" t="n"/>
      <c r="C428" s="32" t="n"/>
      <c r="D428" s="32" t="n"/>
      <c r="E428" s="32" t="n"/>
      <c r="F428" s="29" t="n"/>
      <c r="G428" s="29" t="n"/>
      <c r="H428" s="29" t="n"/>
      <c r="I428" s="29" t="n"/>
      <c r="J428" s="29" t="n"/>
      <c r="K428" s="29" t="n"/>
      <c r="L428" s="29" t="n"/>
      <c r="M428" s="29" t="n"/>
      <c r="N428" s="29" t="n"/>
      <c r="O428" s="5" t="n"/>
      <c r="P428" s="5" t="n"/>
      <c r="Q428" s="5" t="n"/>
      <c r="R428" s="5" t="n"/>
      <c r="S428" s="5" t="n"/>
    </row>
    <row r="429">
      <c r="A429" s="32" t="n"/>
      <c r="B429" s="32" t="n"/>
      <c r="C429" s="32" t="n"/>
      <c r="D429" s="32" t="n"/>
      <c r="E429" s="32" t="n"/>
      <c r="F429" s="29" t="n"/>
      <c r="G429" s="29" t="n"/>
      <c r="H429" s="29" t="n"/>
      <c r="I429" s="29" t="n"/>
      <c r="J429" s="29" t="n"/>
      <c r="K429" s="29" t="n"/>
      <c r="L429" s="29" t="n"/>
      <c r="M429" s="29" t="n"/>
      <c r="N429" s="29" t="n"/>
      <c r="O429" s="5" t="n"/>
      <c r="P429" s="5" t="n"/>
      <c r="Q429" s="5" t="n"/>
      <c r="R429" s="5" t="n"/>
      <c r="S429" s="5" t="n"/>
    </row>
    <row r="430">
      <c r="A430" s="32" t="n"/>
      <c r="B430" s="32" t="n"/>
      <c r="C430" s="32" t="n"/>
      <c r="D430" s="32" t="n"/>
      <c r="E430" s="32" t="n"/>
      <c r="F430" s="29" t="n"/>
      <c r="G430" s="29" t="n"/>
      <c r="H430" s="29" t="n"/>
      <c r="I430" s="29" t="n"/>
      <c r="J430" s="29" t="n"/>
      <c r="K430" s="29" t="n"/>
      <c r="L430" s="29" t="n"/>
      <c r="M430" s="29" t="n"/>
      <c r="N430" s="29" t="n"/>
      <c r="O430" s="5" t="n"/>
      <c r="P430" s="5" t="n"/>
      <c r="Q430" s="5" t="n"/>
      <c r="R430" s="5" t="n"/>
      <c r="S430" s="5" t="n"/>
    </row>
    <row r="431">
      <c r="A431" s="32" t="n"/>
      <c r="B431" s="32" t="n"/>
      <c r="C431" s="32" t="n"/>
      <c r="D431" s="32" t="n"/>
      <c r="E431" s="32" t="n"/>
      <c r="F431" s="29" t="n"/>
      <c r="G431" s="29" t="n"/>
      <c r="H431" s="29" t="n"/>
      <c r="I431" s="29" t="n"/>
      <c r="J431" s="29" t="n"/>
      <c r="K431" s="29" t="n"/>
      <c r="L431" s="29" t="n"/>
      <c r="M431" s="29" t="n"/>
      <c r="N431" s="29" t="n"/>
      <c r="O431" s="5" t="n"/>
      <c r="P431" s="5" t="n"/>
      <c r="Q431" s="5" t="n"/>
      <c r="R431" s="5" t="n"/>
      <c r="S431" s="5" t="n"/>
    </row>
    <row r="432">
      <c r="A432" s="32" t="n"/>
      <c r="B432" s="32" t="n"/>
      <c r="C432" s="32" t="n"/>
      <c r="D432" s="32" t="n"/>
      <c r="E432" s="32" t="n"/>
      <c r="F432" s="29" t="n"/>
      <c r="G432" s="29" t="n"/>
      <c r="H432" s="29" t="n"/>
      <c r="I432" s="29" t="n"/>
      <c r="J432" s="29" t="n"/>
      <c r="K432" s="29" t="n"/>
      <c r="L432" s="29" t="n"/>
      <c r="M432" s="29" t="n"/>
      <c r="N432" s="29" t="n"/>
      <c r="O432" s="5" t="n"/>
      <c r="P432" s="5" t="n"/>
      <c r="Q432" s="5" t="n"/>
      <c r="R432" s="5" t="n"/>
      <c r="S432" s="5" t="n"/>
    </row>
    <row r="433">
      <c r="A433" s="32" t="n"/>
      <c r="B433" s="32" t="n"/>
      <c r="C433" s="32" t="n"/>
      <c r="D433" s="32" t="n"/>
      <c r="E433" s="32" t="n"/>
      <c r="F433" s="29" t="n"/>
      <c r="G433" s="29" t="n"/>
      <c r="H433" s="29" t="n"/>
      <c r="I433" s="29" t="n"/>
      <c r="J433" s="29" t="n"/>
      <c r="K433" s="29" t="n"/>
      <c r="L433" s="29" t="n"/>
      <c r="M433" s="29" t="n"/>
      <c r="N433" s="29" t="n"/>
      <c r="O433" s="5" t="n"/>
      <c r="P433" s="5" t="n"/>
      <c r="Q433" s="5" t="n"/>
      <c r="R433" s="5" t="n"/>
      <c r="S433" s="5" t="n"/>
    </row>
    <row r="434">
      <c r="A434" s="32" t="n"/>
      <c r="B434" s="32" t="n"/>
      <c r="C434" s="32" t="n"/>
      <c r="D434" s="32" t="n"/>
      <c r="E434" s="32" t="n"/>
      <c r="F434" s="29" t="n"/>
      <c r="G434" s="29" t="n"/>
      <c r="H434" s="29" t="n"/>
      <c r="I434" s="29" t="n"/>
      <c r="J434" s="29" t="n"/>
      <c r="K434" s="29" t="n"/>
      <c r="L434" s="29" t="n"/>
      <c r="M434" s="29" t="n"/>
      <c r="N434" s="29" t="n"/>
      <c r="O434" s="5" t="n"/>
      <c r="P434" s="5" t="n"/>
      <c r="Q434" s="5" t="n"/>
      <c r="R434" s="5" t="n"/>
      <c r="S434" s="5" t="n"/>
    </row>
    <row r="435">
      <c r="A435" s="32" t="n"/>
      <c r="B435" s="32" t="n"/>
      <c r="C435" s="32" t="n"/>
      <c r="D435" s="32" t="n"/>
      <c r="E435" s="32" t="n"/>
      <c r="F435" s="29" t="n"/>
      <c r="G435" s="29" t="n"/>
      <c r="H435" s="29" t="n"/>
      <c r="I435" s="29" t="n"/>
      <c r="J435" s="29" t="n"/>
      <c r="K435" s="29" t="n"/>
      <c r="L435" s="29" t="n"/>
      <c r="M435" s="29" t="n"/>
      <c r="N435" s="29" t="n"/>
      <c r="O435" s="5" t="n"/>
      <c r="P435" s="5" t="n"/>
      <c r="Q435" s="5" t="n"/>
      <c r="R435" s="5" t="n"/>
      <c r="S435" s="5" t="n"/>
    </row>
    <row r="436">
      <c r="A436" s="32" t="n"/>
      <c r="B436" s="32" t="n"/>
      <c r="C436" s="32" t="n"/>
      <c r="D436" s="32" t="n"/>
      <c r="E436" s="32" t="n"/>
      <c r="F436" s="29" t="n"/>
      <c r="G436" s="29" t="n"/>
      <c r="H436" s="29" t="n"/>
      <c r="I436" s="29" t="n"/>
      <c r="J436" s="29" t="n"/>
      <c r="K436" s="29" t="n"/>
      <c r="L436" s="29" t="n"/>
      <c r="M436" s="29" t="n"/>
      <c r="N436" s="29" t="n"/>
      <c r="O436" s="5" t="n"/>
      <c r="P436" s="5" t="n"/>
      <c r="Q436" s="5" t="n"/>
      <c r="R436" s="5" t="n"/>
      <c r="S436" s="5" t="n"/>
    </row>
    <row r="437">
      <c r="A437" s="32" t="n"/>
      <c r="B437" s="32" t="n"/>
      <c r="C437" s="32" t="n"/>
      <c r="D437" s="32" t="n"/>
      <c r="E437" s="32" t="n"/>
      <c r="F437" s="29" t="n"/>
      <c r="G437" s="29" t="n"/>
      <c r="H437" s="29" t="n"/>
      <c r="I437" s="29" t="n"/>
      <c r="J437" s="29" t="n"/>
      <c r="K437" s="29" t="n"/>
      <c r="L437" s="29" t="n"/>
      <c r="M437" s="29" t="n"/>
      <c r="N437" s="29" t="n"/>
      <c r="O437" s="5" t="n"/>
      <c r="P437" s="5" t="n"/>
      <c r="Q437" s="5" t="n"/>
      <c r="R437" s="5" t="n"/>
      <c r="S437" s="5" t="n"/>
    </row>
    <row r="438">
      <c r="A438" s="32" t="n"/>
      <c r="B438" s="32" t="n"/>
      <c r="C438" s="32" t="n"/>
      <c r="D438" s="32" t="n"/>
      <c r="E438" s="32" t="n"/>
      <c r="F438" s="29" t="n"/>
      <c r="G438" s="29" t="n"/>
      <c r="H438" s="29" t="n"/>
      <c r="I438" s="29" t="n"/>
      <c r="J438" s="29" t="n"/>
      <c r="K438" s="29" t="n"/>
      <c r="L438" s="29" t="n"/>
      <c r="M438" s="29" t="n"/>
      <c r="N438" s="29" t="n"/>
      <c r="O438" s="5" t="n"/>
      <c r="P438" s="5" t="n"/>
      <c r="Q438" s="5" t="n"/>
      <c r="R438" s="5" t="n"/>
      <c r="S438" s="5" t="n"/>
    </row>
    <row r="439">
      <c r="A439" s="32" t="n"/>
      <c r="B439" s="32" t="n"/>
      <c r="C439" s="32" t="n"/>
      <c r="D439" s="32" t="n"/>
      <c r="E439" s="32" t="n"/>
      <c r="F439" s="29" t="n"/>
      <c r="G439" s="29" t="n"/>
      <c r="H439" s="29" t="n"/>
      <c r="I439" s="29" t="n"/>
      <c r="J439" s="29" t="n"/>
      <c r="K439" s="29" t="n"/>
      <c r="L439" s="29" t="n"/>
      <c r="M439" s="29" t="n"/>
      <c r="N439" s="29" t="n"/>
      <c r="O439" s="5" t="n"/>
      <c r="P439" s="5" t="n"/>
      <c r="Q439" s="5" t="n"/>
      <c r="R439" s="5" t="n"/>
      <c r="S439" s="5" t="n"/>
    </row>
    <row r="440">
      <c r="A440" s="32" t="n"/>
      <c r="B440" s="32" t="n"/>
      <c r="C440" s="32" t="n"/>
      <c r="D440" s="32" t="n"/>
      <c r="E440" s="32" t="n"/>
      <c r="F440" s="29" t="n"/>
      <c r="G440" s="29" t="n"/>
      <c r="H440" s="29" t="n"/>
      <c r="I440" s="29" t="n"/>
      <c r="J440" s="29" t="n"/>
      <c r="K440" s="29" t="n"/>
      <c r="L440" s="29" t="n"/>
      <c r="M440" s="29" t="n"/>
      <c r="N440" s="29" t="n"/>
      <c r="O440" s="5" t="n"/>
      <c r="P440" s="5" t="n"/>
      <c r="Q440" s="5" t="n"/>
      <c r="R440" s="5" t="n"/>
      <c r="S440" s="5" t="n"/>
    </row>
    <row r="441">
      <c r="A441" s="32" t="n"/>
      <c r="B441" s="32" t="n"/>
      <c r="C441" s="32" t="n"/>
      <c r="D441" s="32" t="n"/>
      <c r="E441" s="32" t="n"/>
      <c r="F441" s="29" t="n"/>
      <c r="G441" s="29" t="n"/>
      <c r="H441" s="29" t="n"/>
      <c r="I441" s="29" t="n"/>
      <c r="J441" s="29" t="n"/>
      <c r="K441" s="29" t="n"/>
      <c r="L441" s="29" t="n"/>
      <c r="M441" s="29" t="n"/>
      <c r="N441" s="29" t="n"/>
      <c r="O441" s="5" t="n"/>
      <c r="P441" s="5" t="n"/>
      <c r="Q441" s="5" t="n"/>
      <c r="R441" s="5" t="n"/>
      <c r="S441" s="5" t="n"/>
    </row>
    <row r="442">
      <c r="A442" s="32" t="n"/>
      <c r="B442" s="32" t="n"/>
      <c r="C442" s="32" t="n"/>
      <c r="D442" s="32" t="n"/>
      <c r="E442" s="32" t="n"/>
      <c r="F442" s="29" t="n"/>
      <c r="G442" s="29" t="n"/>
      <c r="H442" s="29" t="n"/>
      <c r="I442" s="29" t="n"/>
      <c r="J442" s="29" t="n"/>
      <c r="K442" s="29" t="n"/>
      <c r="L442" s="29" t="n"/>
      <c r="M442" s="29" t="n"/>
      <c r="N442" s="29" t="n"/>
      <c r="O442" s="5" t="n"/>
      <c r="P442" s="5" t="n"/>
      <c r="Q442" s="5" t="n"/>
      <c r="R442" s="5" t="n"/>
      <c r="S442" s="5" t="n"/>
    </row>
    <row r="443">
      <c r="A443" s="32" t="n"/>
      <c r="B443" s="32" t="n"/>
      <c r="C443" s="32" t="n"/>
      <c r="D443" s="32" t="n"/>
      <c r="E443" s="32" t="n"/>
      <c r="F443" s="29" t="n"/>
      <c r="G443" s="29" t="n"/>
      <c r="H443" s="29" t="n"/>
      <c r="I443" s="29" t="n"/>
      <c r="J443" s="29" t="n"/>
      <c r="K443" s="29" t="n"/>
      <c r="L443" s="29" t="n"/>
      <c r="M443" s="29" t="n"/>
      <c r="N443" s="29" t="n"/>
      <c r="O443" s="5" t="n"/>
      <c r="P443" s="5" t="n"/>
      <c r="Q443" s="5" t="n"/>
      <c r="R443" s="5" t="n"/>
      <c r="S443" s="5" t="n"/>
    </row>
    <row r="444">
      <c r="A444" s="32" t="n"/>
      <c r="B444" s="32" t="n"/>
      <c r="C444" s="32" t="n"/>
      <c r="D444" s="32" t="n"/>
      <c r="E444" s="32" t="n"/>
      <c r="F444" s="29" t="n"/>
      <c r="G444" s="29" t="n"/>
      <c r="H444" s="29" t="n"/>
      <c r="I444" s="29" t="n"/>
      <c r="J444" s="29" t="n"/>
      <c r="K444" s="29" t="n"/>
      <c r="L444" s="29" t="n"/>
      <c r="M444" s="29" t="n"/>
      <c r="N444" s="29" t="n"/>
      <c r="O444" s="5" t="n"/>
      <c r="P444" s="5" t="n"/>
      <c r="Q444" s="5" t="n"/>
      <c r="R444" s="5" t="n"/>
      <c r="S444" s="5" t="n"/>
    </row>
    <row r="445">
      <c r="A445" s="32" t="n"/>
      <c r="B445" s="32" t="n"/>
      <c r="C445" s="32" t="n"/>
      <c r="D445" s="32" t="n"/>
      <c r="E445" s="32" t="n"/>
      <c r="F445" s="29" t="n"/>
      <c r="G445" s="29" t="n"/>
      <c r="H445" s="29" t="n"/>
      <c r="I445" s="29" t="n"/>
      <c r="J445" s="29" t="n"/>
      <c r="K445" s="29" t="n"/>
      <c r="L445" s="29" t="n"/>
      <c r="M445" s="29" t="n"/>
      <c r="N445" s="29" t="n"/>
      <c r="O445" s="5" t="n"/>
      <c r="P445" s="5" t="n"/>
      <c r="Q445" s="5" t="n"/>
      <c r="R445" s="5" t="n"/>
      <c r="S445" s="5" t="n"/>
    </row>
    <row r="446">
      <c r="A446" s="32" t="n"/>
      <c r="B446" s="32" t="n"/>
      <c r="C446" s="32" t="n"/>
      <c r="D446" s="32" t="n"/>
      <c r="E446" s="32" t="n"/>
      <c r="F446" s="29" t="n"/>
      <c r="G446" s="29" t="n"/>
      <c r="H446" s="29" t="n"/>
      <c r="I446" s="29" t="n"/>
      <c r="J446" s="29" t="n"/>
      <c r="K446" s="29" t="n"/>
      <c r="L446" s="29" t="n"/>
      <c r="M446" s="29" t="n"/>
      <c r="N446" s="29" t="n"/>
      <c r="O446" s="5" t="n"/>
      <c r="P446" s="5" t="n"/>
      <c r="Q446" s="5" t="n"/>
      <c r="R446" s="5" t="n"/>
      <c r="S446" s="5" t="n"/>
    </row>
    <row r="447">
      <c r="A447" s="32" t="n"/>
      <c r="B447" s="32" t="n"/>
      <c r="C447" s="32" t="n"/>
      <c r="D447" s="32" t="n"/>
      <c r="E447" s="32" t="n"/>
      <c r="F447" s="29" t="n"/>
      <c r="G447" s="29" t="n"/>
      <c r="H447" s="29" t="n"/>
      <c r="I447" s="29" t="n"/>
      <c r="J447" s="29" t="n"/>
      <c r="K447" s="29" t="n"/>
      <c r="L447" s="29" t="n"/>
      <c r="M447" s="29" t="n"/>
      <c r="N447" s="29" t="n"/>
      <c r="O447" s="5" t="n"/>
      <c r="P447" s="5" t="n"/>
      <c r="Q447" s="5" t="n"/>
      <c r="R447" s="5" t="n"/>
      <c r="S447" s="5" t="n"/>
    </row>
    <row r="448">
      <c r="A448" s="32" t="n"/>
      <c r="B448" s="32" t="n"/>
      <c r="C448" s="32" t="n"/>
      <c r="D448" s="32" t="n"/>
      <c r="E448" s="32" t="n"/>
      <c r="F448" s="29" t="n"/>
      <c r="G448" s="29" t="n"/>
      <c r="H448" s="29" t="n"/>
      <c r="I448" s="29" t="n"/>
      <c r="J448" s="29" t="n"/>
      <c r="K448" s="29" t="n"/>
      <c r="L448" s="29" t="n"/>
      <c r="M448" s="29" t="n"/>
      <c r="N448" s="29" t="n"/>
      <c r="O448" s="5" t="n"/>
      <c r="P448" s="5" t="n"/>
      <c r="Q448" s="5" t="n"/>
      <c r="R448" s="5" t="n"/>
      <c r="S448" s="5" t="n"/>
    </row>
    <row r="449">
      <c r="A449" s="32" t="n"/>
      <c r="B449" s="32" t="n"/>
      <c r="C449" s="32" t="n"/>
      <c r="D449" s="32" t="n"/>
      <c r="E449" s="32" t="n"/>
      <c r="F449" s="29" t="n"/>
      <c r="G449" s="29" t="n"/>
      <c r="H449" s="29" t="n"/>
      <c r="I449" s="29" t="n"/>
      <c r="J449" s="29" t="n"/>
      <c r="K449" s="29" t="n"/>
      <c r="L449" s="29" t="n"/>
      <c r="M449" s="29" t="n"/>
      <c r="N449" s="29" t="n"/>
      <c r="O449" s="5" t="n"/>
      <c r="P449" s="5" t="n"/>
      <c r="Q449" s="5" t="n"/>
      <c r="R449" s="5" t="n"/>
      <c r="S449" s="5" t="n"/>
    </row>
    <row r="450">
      <c r="A450" s="32" t="n"/>
      <c r="B450" s="32" t="n"/>
      <c r="C450" s="32" t="n"/>
      <c r="D450" s="32" t="n"/>
      <c r="E450" s="32" t="n"/>
      <c r="F450" s="29" t="n"/>
      <c r="G450" s="29" t="n"/>
      <c r="H450" s="29" t="n"/>
      <c r="I450" s="29" t="n"/>
      <c r="J450" s="29" t="n"/>
      <c r="K450" s="29" t="n"/>
      <c r="L450" s="29" t="n"/>
      <c r="M450" s="29" t="n"/>
      <c r="N450" s="29" t="n"/>
      <c r="O450" s="5" t="n"/>
      <c r="P450" s="5" t="n"/>
      <c r="Q450" s="5" t="n"/>
      <c r="R450" s="5" t="n"/>
      <c r="S450" s="5" t="n"/>
    </row>
    <row r="451">
      <c r="A451" s="32" t="n"/>
      <c r="B451" s="32" t="n"/>
      <c r="C451" s="32" t="n"/>
      <c r="D451" s="32" t="n"/>
      <c r="E451" s="32" t="n"/>
      <c r="F451" s="29" t="n"/>
      <c r="G451" s="29" t="n"/>
      <c r="H451" s="29" t="n"/>
      <c r="I451" s="29" t="n"/>
      <c r="J451" s="29" t="n"/>
      <c r="K451" s="29" t="n"/>
      <c r="L451" s="29" t="n"/>
      <c r="M451" s="29" t="n"/>
      <c r="N451" s="29" t="n"/>
      <c r="O451" s="5" t="n"/>
      <c r="P451" s="5" t="n"/>
      <c r="Q451" s="5" t="n"/>
      <c r="R451" s="5" t="n"/>
      <c r="S451" s="5" t="n"/>
    </row>
    <row r="452">
      <c r="A452" s="32" t="n"/>
      <c r="B452" s="32" t="n"/>
      <c r="C452" s="32" t="n"/>
      <c r="D452" s="32" t="n"/>
      <c r="E452" s="32" t="n"/>
      <c r="F452" s="29" t="n"/>
      <c r="G452" s="29" t="n"/>
      <c r="H452" s="29" t="n"/>
      <c r="I452" s="29" t="n"/>
      <c r="J452" s="29" t="n"/>
      <c r="K452" s="29" t="n"/>
      <c r="L452" s="29" t="n"/>
      <c r="M452" s="29" t="n"/>
      <c r="N452" s="29" t="n"/>
      <c r="O452" s="5" t="n"/>
      <c r="P452" s="5" t="n"/>
      <c r="Q452" s="5" t="n"/>
      <c r="R452" s="5" t="n"/>
      <c r="S452" s="5" t="n"/>
    </row>
    <row r="453">
      <c r="A453" s="32" t="n"/>
      <c r="B453" s="32" t="n"/>
      <c r="C453" s="32" t="n"/>
      <c r="D453" s="32" t="n"/>
      <c r="E453" s="32" t="n"/>
      <c r="F453" s="29" t="n"/>
      <c r="G453" s="29" t="n"/>
      <c r="H453" s="29" t="n"/>
      <c r="I453" s="29" t="n"/>
      <c r="J453" s="29" t="n"/>
      <c r="K453" s="29" t="n"/>
      <c r="L453" s="29" t="n"/>
      <c r="M453" s="29" t="n"/>
      <c r="N453" s="29" t="n"/>
      <c r="O453" s="5" t="n"/>
      <c r="P453" s="5" t="n"/>
      <c r="Q453" s="5" t="n"/>
      <c r="R453" s="5" t="n"/>
      <c r="S453" s="5" t="n"/>
    </row>
    <row r="454">
      <c r="A454" s="32" t="n"/>
      <c r="B454" s="32" t="n"/>
      <c r="C454" s="32" t="n"/>
      <c r="D454" s="32" t="n"/>
      <c r="E454" s="32" t="n"/>
      <c r="F454" s="29" t="n"/>
      <c r="G454" s="29" t="n"/>
      <c r="H454" s="29" t="n"/>
      <c r="I454" s="29" t="n"/>
      <c r="J454" s="29" t="n"/>
      <c r="K454" s="29" t="n"/>
      <c r="L454" s="29" t="n"/>
      <c r="M454" s="29" t="n"/>
      <c r="N454" s="29" t="n"/>
      <c r="O454" s="5" t="n"/>
      <c r="P454" s="5" t="n"/>
      <c r="Q454" s="5" t="n"/>
      <c r="R454" s="5" t="n"/>
      <c r="S454" s="5" t="n"/>
    </row>
    <row r="455">
      <c r="A455" s="32" t="n"/>
      <c r="B455" s="32" t="n"/>
      <c r="C455" s="32" t="n"/>
      <c r="D455" s="32" t="n"/>
      <c r="E455" s="32" t="n"/>
      <c r="F455" s="29" t="n"/>
      <c r="G455" s="29" t="n"/>
      <c r="H455" s="29" t="n"/>
      <c r="I455" s="29" t="n"/>
      <c r="J455" s="29" t="n"/>
      <c r="K455" s="29" t="n"/>
      <c r="L455" s="29" t="n"/>
      <c r="M455" s="29" t="n"/>
      <c r="N455" s="29" t="n"/>
      <c r="O455" s="5" t="n"/>
      <c r="P455" s="5" t="n"/>
      <c r="Q455" s="5" t="n"/>
      <c r="R455" s="5" t="n"/>
      <c r="S455" s="5" t="n"/>
    </row>
    <row r="456">
      <c r="A456" s="32" t="n"/>
      <c r="B456" s="32" t="n"/>
      <c r="C456" s="32" t="n"/>
      <c r="D456" s="32" t="n"/>
      <c r="E456" s="32" t="n"/>
      <c r="F456" s="29" t="n"/>
      <c r="G456" s="29" t="n"/>
      <c r="H456" s="29" t="n"/>
      <c r="I456" s="29" t="n"/>
      <c r="J456" s="29" t="n"/>
      <c r="K456" s="29" t="n"/>
      <c r="L456" s="29" t="n"/>
      <c r="M456" s="29" t="n"/>
      <c r="N456" s="29" t="n"/>
      <c r="O456" s="5" t="n"/>
      <c r="P456" s="5" t="n"/>
      <c r="Q456" s="5" t="n"/>
      <c r="R456" s="5" t="n"/>
      <c r="S456" s="5" t="n"/>
    </row>
    <row r="457">
      <c r="A457" s="32" t="n"/>
      <c r="B457" s="32" t="n"/>
      <c r="C457" s="32" t="n"/>
      <c r="D457" s="32" t="n"/>
      <c r="E457" s="32" t="n"/>
      <c r="F457" s="29" t="n"/>
      <c r="G457" s="29" t="n"/>
      <c r="H457" s="29" t="n"/>
      <c r="I457" s="29" t="n"/>
      <c r="J457" s="29" t="n"/>
      <c r="K457" s="29" t="n"/>
      <c r="L457" s="29" t="n"/>
      <c r="M457" s="29" t="n"/>
      <c r="N457" s="29" t="n"/>
      <c r="O457" s="5" t="n"/>
      <c r="P457" s="5" t="n"/>
      <c r="Q457" s="5" t="n"/>
      <c r="R457" s="5" t="n"/>
      <c r="S457" s="5" t="n"/>
    </row>
    <row r="458">
      <c r="A458" s="32" t="n"/>
      <c r="B458" s="32" t="n"/>
      <c r="C458" s="32" t="n"/>
      <c r="D458" s="32" t="n"/>
      <c r="E458" s="32" t="n"/>
      <c r="F458" s="29" t="n"/>
      <c r="G458" s="29" t="n"/>
      <c r="H458" s="29" t="n"/>
      <c r="I458" s="29" t="n"/>
      <c r="J458" s="29" t="n"/>
      <c r="K458" s="29" t="n"/>
      <c r="L458" s="29" t="n"/>
      <c r="M458" s="29" t="n"/>
      <c r="N458" s="29" t="n"/>
      <c r="O458" s="5" t="n"/>
      <c r="P458" s="5" t="n"/>
      <c r="Q458" s="5" t="n"/>
      <c r="R458" s="5" t="n"/>
      <c r="S458" s="5" t="n"/>
    </row>
    <row r="459">
      <c r="A459" s="32" t="n"/>
      <c r="B459" s="32" t="n"/>
      <c r="C459" s="32" t="n"/>
      <c r="D459" s="32" t="n"/>
      <c r="E459" s="32" t="n"/>
      <c r="F459" s="29" t="n"/>
      <c r="G459" s="29" t="n"/>
      <c r="H459" s="29" t="n"/>
      <c r="I459" s="29" t="n"/>
      <c r="J459" s="29" t="n"/>
      <c r="K459" s="29" t="n"/>
      <c r="L459" s="29" t="n"/>
      <c r="M459" s="29" t="n"/>
      <c r="N459" s="29" t="n"/>
      <c r="O459" s="5" t="n"/>
      <c r="P459" s="5" t="n"/>
      <c r="Q459" s="5" t="n"/>
      <c r="R459" s="5" t="n"/>
      <c r="S459" s="5" t="n"/>
    </row>
    <row r="460">
      <c r="A460" s="32" t="n"/>
      <c r="B460" s="32" t="n"/>
      <c r="C460" s="32" t="n"/>
      <c r="D460" s="32" t="n"/>
      <c r="E460" s="32" t="n"/>
      <c r="F460" s="29" t="n"/>
      <c r="G460" s="29" t="n"/>
      <c r="H460" s="29" t="n"/>
      <c r="I460" s="29" t="n"/>
      <c r="J460" s="29" t="n"/>
      <c r="K460" s="29" t="n"/>
      <c r="L460" s="29" t="n"/>
      <c r="M460" s="29" t="n"/>
      <c r="N460" s="29" t="n"/>
      <c r="O460" s="5" t="n"/>
      <c r="P460" s="5" t="n"/>
      <c r="Q460" s="5" t="n"/>
      <c r="R460" s="5" t="n"/>
      <c r="S460" s="5" t="n"/>
    </row>
    <row r="461">
      <c r="A461" s="32" t="n"/>
      <c r="B461" s="32" t="n"/>
      <c r="C461" s="32" t="n"/>
      <c r="D461" s="32" t="n"/>
      <c r="E461" s="32" t="n"/>
      <c r="F461" s="29" t="n"/>
      <c r="G461" s="29" t="n"/>
      <c r="H461" s="29" t="n"/>
      <c r="I461" s="29" t="n"/>
      <c r="J461" s="29" t="n"/>
      <c r="K461" s="29" t="n"/>
      <c r="L461" s="29" t="n"/>
      <c r="M461" s="29" t="n"/>
      <c r="N461" s="29" t="n"/>
      <c r="O461" s="5" t="n"/>
      <c r="P461" s="5" t="n"/>
      <c r="Q461" s="5" t="n"/>
      <c r="R461" s="5" t="n"/>
      <c r="S461" s="5" t="n"/>
    </row>
    <row r="462">
      <c r="A462" s="32" t="n"/>
      <c r="B462" s="32" t="n"/>
      <c r="C462" s="32" t="n"/>
      <c r="D462" s="32" t="n"/>
      <c r="E462" s="32" t="n"/>
      <c r="F462" s="29" t="n"/>
      <c r="G462" s="29" t="n"/>
      <c r="H462" s="29" t="n"/>
      <c r="I462" s="29" t="n"/>
      <c r="J462" s="29" t="n"/>
      <c r="K462" s="29" t="n"/>
      <c r="L462" s="29" t="n"/>
      <c r="M462" s="29" t="n"/>
      <c r="N462" s="29" t="n"/>
      <c r="O462" s="5" t="n"/>
      <c r="P462" s="5" t="n"/>
      <c r="Q462" s="5" t="n"/>
      <c r="R462" s="5" t="n"/>
      <c r="S462" s="5" t="n"/>
    </row>
    <row r="463">
      <c r="A463" s="32" t="n"/>
      <c r="B463" s="32" t="n"/>
      <c r="C463" s="32" t="n"/>
      <c r="D463" s="32" t="n"/>
      <c r="E463" s="32" t="n"/>
      <c r="F463" s="29" t="n"/>
      <c r="G463" s="29" t="n"/>
      <c r="H463" s="29" t="n"/>
      <c r="I463" s="29" t="n"/>
      <c r="J463" s="29" t="n"/>
      <c r="K463" s="29" t="n"/>
      <c r="L463" s="29" t="n"/>
      <c r="M463" s="29" t="n"/>
      <c r="N463" s="29" t="n"/>
      <c r="O463" s="5" t="n"/>
      <c r="P463" s="5" t="n"/>
      <c r="Q463" s="5" t="n"/>
      <c r="R463" s="5" t="n"/>
      <c r="S463" s="5" t="n"/>
    </row>
    <row r="464">
      <c r="A464" s="32" t="n"/>
      <c r="B464" s="32" t="n"/>
      <c r="C464" s="32" t="n"/>
      <c r="D464" s="32" t="n"/>
      <c r="E464" s="32" t="n"/>
      <c r="F464" s="29" t="n"/>
      <c r="G464" s="29" t="n"/>
      <c r="H464" s="29" t="n"/>
      <c r="I464" s="29" t="n"/>
      <c r="J464" s="29" t="n"/>
      <c r="K464" s="29" t="n"/>
      <c r="L464" s="29" t="n"/>
      <c r="M464" s="29" t="n"/>
      <c r="N464" s="29" t="n"/>
      <c r="O464" s="5" t="n"/>
      <c r="P464" s="5" t="n"/>
      <c r="Q464" s="5" t="n"/>
      <c r="R464" s="5" t="n"/>
      <c r="S464" s="5" t="n"/>
    </row>
    <row r="465">
      <c r="A465" s="32" t="n"/>
      <c r="B465" s="32" t="n"/>
      <c r="C465" s="32" t="n"/>
      <c r="D465" s="32" t="n"/>
      <c r="E465" s="32" t="n"/>
      <c r="F465" s="29" t="n"/>
      <c r="G465" s="29" t="n"/>
      <c r="H465" s="29" t="n"/>
      <c r="I465" s="29" t="n"/>
      <c r="J465" s="29" t="n"/>
      <c r="K465" s="29" t="n"/>
      <c r="L465" s="29" t="n"/>
      <c r="M465" s="29" t="n"/>
      <c r="N465" s="29" t="n"/>
      <c r="O465" s="5" t="n"/>
      <c r="P465" s="5" t="n"/>
      <c r="Q465" s="5" t="n"/>
      <c r="R465" s="5" t="n"/>
      <c r="S465" s="5" t="n"/>
    </row>
    <row r="466">
      <c r="A466" s="32" t="n"/>
      <c r="B466" s="32" t="n"/>
      <c r="C466" s="32" t="n"/>
      <c r="D466" s="32" t="n"/>
      <c r="E466" s="32" t="n"/>
      <c r="F466" s="29" t="n"/>
      <c r="G466" s="29" t="n"/>
      <c r="H466" s="29" t="n"/>
      <c r="I466" s="29" t="n"/>
      <c r="J466" s="29" t="n"/>
      <c r="K466" s="29" t="n"/>
      <c r="L466" s="29" t="n"/>
      <c r="M466" s="29" t="n"/>
      <c r="N466" s="29" t="n"/>
      <c r="O466" s="5" t="n"/>
      <c r="P466" s="5" t="n"/>
      <c r="Q466" s="5" t="n"/>
      <c r="R466" s="5" t="n"/>
      <c r="S466" s="5" t="n"/>
    </row>
    <row r="467">
      <c r="A467" s="32" t="n"/>
      <c r="B467" s="32" t="n"/>
      <c r="C467" s="32" t="n"/>
      <c r="D467" s="32" t="n"/>
      <c r="E467" s="32" t="n"/>
      <c r="F467" s="29" t="n"/>
      <c r="G467" s="29" t="n"/>
      <c r="H467" s="29" t="n"/>
      <c r="I467" s="29" t="n"/>
      <c r="J467" s="29" t="n"/>
      <c r="K467" s="29" t="n"/>
      <c r="L467" s="29" t="n"/>
      <c r="M467" s="29" t="n"/>
      <c r="N467" s="29" t="n"/>
      <c r="O467" s="5" t="n"/>
      <c r="P467" s="5" t="n"/>
      <c r="Q467" s="5" t="n"/>
      <c r="R467" s="5" t="n"/>
      <c r="S467" s="5" t="n"/>
    </row>
    <row r="468">
      <c r="A468" s="32" t="n"/>
      <c r="B468" s="32" t="n"/>
      <c r="C468" s="32" t="n"/>
      <c r="D468" s="32" t="n"/>
      <c r="E468" s="32" t="n"/>
      <c r="F468" s="29" t="n"/>
      <c r="G468" s="29" t="n"/>
      <c r="H468" s="29" t="n"/>
      <c r="I468" s="29" t="n"/>
      <c r="J468" s="29" t="n"/>
      <c r="K468" s="29" t="n"/>
      <c r="L468" s="29" t="n"/>
      <c r="M468" s="29" t="n"/>
      <c r="N468" s="29" t="n"/>
      <c r="O468" s="5" t="n"/>
      <c r="P468" s="5" t="n"/>
      <c r="Q468" s="5" t="n"/>
      <c r="R468" s="5" t="n"/>
      <c r="S468" s="5" t="n"/>
    </row>
    <row r="469">
      <c r="A469" s="32" t="n"/>
      <c r="B469" s="32" t="n"/>
      <c r="C469" s="32" t="n"/>
      <c r="D469" s="32" t="n"/>
      <c r="E469" s="32" t="n"/>
      <c r="F469" s="29" t="n"/>
      <c r="G469" s="29" t="n"/>
      <c r="H469" s="29" t="n"/>
      <c r="I469" s="29" t="n"/>
      <c r="J469" s="29" t="n"/>
      <c r="K469" s="29" t="n"/>
      <c r="L469" s="29" t="n"/>
      <c r="M469" s="29" t="n"/>
      <c r="N469" s="29" t="n"/>
      <c r="O469" s="5" t="n"/>
      <c r="P469" s="5" t="n"/>
      <c r="Q469" s="5" t="n"/>
      <c r="R469" s="5" t="n"/>
      <c r="S469" s="5" t="n"/>
    </row>
    <row r="470">
      <c r="A470" s="32" t="n"/>
      <c r="B470" s="32" t="n"/>
      <c r="C470" s="32" t="n"/>
      <c r="D470" s="32" t="n"/>
      <c r="E470" s="32" t="n"/>
      <c r="F470" s="29" t="n"/>
      <c r="G470" s="29" t="n"/>
      <c r="H470" s="29" t="n"/>
      <c r="I470" s="29" t="n"/>
      <c r="J470" s="29" t="n"/>
      <c r="K470" s="29" t="n"/>
      <c r="L470" s="29" t="n"/>
      <c r="M470" s="29" t="n"/>
      <c r="N470" s="29" t="n"/>
      <c r="O470" s="5" t="n"/>
      <c r="P470" s="5" t="n"/>
      <c r="Q470" s="5" t="n"/>
      <c r="R470" s="5" t="n"/>
      <c r="S470" s="5" t="n"/>
    </row>
    <row r="471">
      <c r="A471" s="32" t="n"/>
      <c r="B471" s="32" t="n"/>
      <c r="C471" s="32" t="n"/>
      <c r="D471" s="32" t="n"/>
      <c r="E471" s="32" t="n"/>
      <c r="F471" s="29" t="n"/>
      <c r="G471" s="29" t="n"/>
      <c r="H471" s="29" t="n"/>
      <c r="I471" s="29" t="n"/>
      <c r="J471" s="29" t="n"/>
      <c r="K471" s="29" t="n"/>
      <c r="L471" s="29" t="n"/>
      <c r="M471" s="29" t="n"/>
      <c r="N471" s="29" t="n"/>
      <c r="O471" s="5" t="n"/>
      <c r="P471" s="5" t="n"/>
      <c r="Q471" s="5" t="n"/>
      <c r="R471" s="5" t="n"/>
      <c r="S471" s="5" t="n"/>
    </row>
    <row r="472">
      <c r="A472" s="32" t="n"/>
      <c r="B472" s="32" t="n"/>
      <c r="C472" s="32" t="n"/>
      <c r="D472" s="32" t="n"/>
      <c r="E472" s="32" t="n"/>
      <c r="F472" s="29" t="n"/>
      <c r="G472" s="29" t="n"/>
      <c r="H472" s="29" t="n"/>
      <c r="I472" s="29" t="n"/>
      <c r="J472" s="29" t="n"/>
      <c r="K472" s="29" t="n"/>
      <c r="L472" s="29" t="n"/>
      <c r="M472" s="29" t="n"/>
      <c r="N472" s="29" t="n"/>
      <c r="O472" s="5" t="n"/>
      <c r="P472" s="5" t="n"/>
      <c r="Q472" s="5" t="n"/>
      <c r="R472" s="5" t="n"/>
      <c r="S472" s="5" t="n"/>
    </row>
    <row r="473">
      <c r="A473" s="32" t="n"/>
      <c r="B473" s="32" t="n"/>
      <c r="C473" s="32" t="n"/>
      <c r="D473" s="32" t="n"/>
      <c r="E473" s="32" t="n"/>
      <c r="F473" s="29" t="n"/>
      <c r="G473" s="29" t="n"/>
      <c r="H473" s="29" t="n"/>
      <c r="I473" s="29" t="n"/>
      <c r="J473" s="29" t="n"/>
      <c r="K473" s="29" t="n"/>
      <c r="L473" s="29" t="n"/>
      <c r="M473" s="29" t="n"/>
      <c r="N473" s="29" t="n"/>
      <c r="O473" s="5" t="n"/>
      <c r="P473" s="5" t="n"/>
      <c r="Q473" s="5" t="n"/>
      <c r="R473" s="5" t="n"/>
      <c r="S473" s="5" t="n"/>
    </row>
    <row r="474">
      <c r="A474" s="32" t="n"/>
      <c r="B474" s="32" t="n"/>
      <c r="C474" s="32" t="n"/>
      <c r="D474" s="32" t="n"/>
      <c r="E474" s="32" t="n"/>
      <c r="F474" s="29" t="n"/>
      <c r="G474" s="29" t="n"/>
      <c r="H474" s="29" t="n"/>
      <c r="I474" s="29" t="n"/>
      <c r="J474" s="29" t="n"/>
      <c r="K474" s="29" t="n"/>
      <c r="L474" s="29" t="n"/>
      <c r="M474" s="29" t="n"/>
      <c r="N474" s="29" t="n"/>
      <c r="O474" s="5" t="n"/>
      <c r="P474" s="5" t="n"/>
      <c r="Q474" s="5" t="n"/>
      <c r="R474" s="5" t="n"/>
      <c r="S474" s="5" t="n"/>
    </row>
    <row r="475">
      <c r="A475" s="32" t="n"/>
      <c r="B475" s="32" t="n"/>
      <c r="C475" s="32" t="n"/>
      <c r="D475" s="32" t="n"/>
      <c r="E475" s="32" t="n"/>
      <c r="F475" s="29" t="n"/>
      <c r="G475" s="29" t="n"/>
      <c r="H475" s="29" t="n"/>
      <c r="I475" s="29" t="n"/>
      <c r="J475" s="29" t="n"/>
      <c r="K475" s="29" t="n"/>
      <c r="L475" s="29" t="n"/>
      <c r="M475" s="29" t="n"/>
      <c r="N475" s="29" t="n"/>
      <c r="O475" s="5" t="n"/>
      <c r="P475" s="5" t="n"/>
      <c r="Q475" s="5" t="n"/>
      <c r="R475" s="5" t="n"/>
      <c r="S475" s="5" t="n"/>
    </row>
    <row r="476">
      <c r="A476" s="32" t="n"/>
      <c r="B476" s="32" t="n"/>
      <c r="C476" s="32" t="n"/>
      <c r="D476" s="32" t="n"/>
      <c r="E476" s="32" t="n"/>
      <c r="F476" s="29" t="n"/>
      <c r="G476" s="29" t="n"/>
      <c r="H476" s="29" t="n"/>
      <c r="I476" s="29" t="n"/>
      <c r="J476" s="29" t="n"/>
      <c r="K476" s="29" t="n"/>
      <c r="L476" s="29" t="n"/>
      <c r="M476" s="29" t="n"/>
      <c r="N476" s="29" t="n"/>
      <c r="O476" s="5" t="n"/>
      <c r="P476" s="5" t="n"/>
      <c r="Q476" s="5" t="n"/>
      <c r="R476" s="5" t="n"/>
      <c r="S476" s="5" t="n"/>
    </row>
    <row r="477">
      <c r="A477" s="32" t="n"/>
      <c r="B477" s="32" t="n"/>
      <c r="C477" s="32" t="n"/>
      <c r="D477" s="32" t="n"/>
      <c r="E477" s="32" t="n"/>
      <c r="F477" s="29" t="n"/>
      <c r="G477" s="29" t="n"/>
      <c r="H477" s="29" t="n"/>
      <c r="I477" s="29" t="n"/>
      <c r="J477" s="29" t="n"/>
      <c r="K477" s="29" t="n"/>
      <c r="L477" s="29" t="n"/>
      <c r="M477" s="29" t="n"/>
      <c r="N477" s="29" t="n"/>
      <c r="O477" s="5" t="n"/>
      <c r="P477" s="5" t="n"/>
      <c r="Q477" s="5" t="n"/>
      <c r="R477" s="5" t="n"/>
      <c r="S477" s="5" t="n"/>
    </row>
    <row r="478">
      <c r="A478" s="32" t="n"/>
      <c r="B478" s="32" t="n"/>
      <c r="C478" s="32" t="n"/>
      <c r="D478" s="32" t="n"/>
      <c r="E478" s="32" t="n"/>
      <c r="F478" s="29" t="n"/>
      <c r="G478" s="29" t="n"/>
      <c r="H478" s="29" t="n"/>
      <c r="I478" s="29" t="n"/>
      <c r="J478" s="29" t="n"/>
      <c r="K478" s="29" t="n"/>
      <c r="L478" s="29" t="n"/>
      <c r="M478" s="29" t="n"/>
      <c r="N478" s="29" t="n"/>
      <c r="O478" s="5" t="n"/>
      <c r="P478" s="5" t="n"/>
      <c r="Q478" s="5" t="n"/>
      <c r="R478" s="5" t="n"/>
      <c r="S478" s="5" t="n"/>
    </row>
    <row r="479">
      <c r="A479" s="32" t="n"/>
      <c r="B479" s="32" t="n"/>
      <c r="C479" s="32" t="n"/>
      <c r="D479" s="32" t="n"/>
      <c r="E479" s="32" t="n"/>
      <c r="F479" s="29" t="n"/>
      <c r="G479" s="29" t="n"/>
      <c r="H479" s="29" t="n"/>
      <c r="I479" s="29" t="n"/>
      <c r="J479" s="29" t="n"/>
      <c r="K479" s="29" t="n"/>
      <c r="L479" s="29" t="n"/>
      <c r="M479" s="29" t="n"/>
      <c r="N479" s="29" t="n"/>
      <c r="O479" s="5" t="n"/>
      <c r="P479" s="5" t="n"/>
      <c r="Q479" s="5" t="n"/>
      <c r="R479" s="5" t="n"/>
      <c r="S479" s="5" t="n"/>
    </row>
    <row r="480">
      <c r="A480" s="32" t="n"/>
      <c r="B480" s="32" t="n"/>
      <c r="C480" s="32" t="n"/>
      <c r="D480" s="32" t="n"/>
      <c r="E480" s="32" t="n"/>
      <c r="F480" s="29" t="n"/>
      <c r="G480" s="29" t="n"/>
      <c r="H480" s="29" t="n"/>
      <c r="I480" s="29" t="n"/>
      <c r="J480" s="29" t="n"/>
      <c r="K480" s="29" t="n"/>
      <c r="L480" s="29" t="n"/>
      <c r="M480" s="29" t="n"/>
      <c r="N480" s="29" t="n"/>
      <c r="O480" s="5" t="n"/>
      <c r="P480" s="5" t="n"/>
      <c r="Q480" s="5" t="n"/>
      <c r="R480" s="5" t="n"/>
      <c r="S480" s="5" t="n"/>
    </row>
    <row r="481">
      <c r="A481" s="32" t="n"/>
      <c r="B481" s="32" t="n"/>
      <c r="C481" s="32" t="n"/>
      <c r="D481" s="32" t="n"/>
      <c r="E481" s="32" t="n"/>
      <c r="F481" s="29" t="n"/>
      <c r="G481" s="29" t="n"/>
      <c r="H481" s="29" t="n"/>
      <c r="I481" s="29" t="n"/>
      <c r="J481" s="29" t="n"/>
      <c r="K481" s="29" t="n"/>
      <c r="L481" s="29" t="n"/>
      <c r="M481" s="29" t="n"/>
      <c r="N481" s="29" t="n"/>
      <c r="O481" s="5" t="n"/>
      <c r="P481" s="5" t="n"/>
      <c r="Q481" s="5" t="n"/>
      <c r="R481" s="5" t="n"/>
      <c r="S481" s="5" t="n"/>
    </row>
    <row r="482">
      <c r="A482" s="32" t="n"/>
      <c r="B482" s="32" t="n"/>
      <c r="C482" s="32" t="n"/>
      <c r="D482" s="32" t="n"/>
      <c r="E482" s="32" t="n"/>
      <c r="F482" s="29" t="n"/>
      <c r="G482" s="29" t="n"/>
      <c r="H482" s="29" t="n"/>
      <c r="I482" s="29" t="n"/>
      <c r="J482" s="29" t="n"/>
      <c r="K482" s="29" t="n"/>
      <c r="L482" s="29" t="n"/>
      <c r="M482" s="29" t="n"/>
      <c r="N482" s="29" t="n"/>
      <c r="O482" s="5" t="n"/>
      <c r="P482" s="5" t="n"/>
      <c r="Q482" s="5" t="n"/>
      <c r="R482" s="5" t="n"/>
      <c r="S482" s="5" t="n"/>
    </row>
    <row r="483">
      <c r="A483" s="32" t="n"/>
      <c r="B483" s="32" t="n"/>
      <c r="C483" s="32" t="n"/>
      <c r="D483" s="32" t="n"/>
      <c r="E483" s="32" t="n"/>
      <c r="F483" s="29" t="n"/>
      <c r="G483" s="29" t="n"/>
      <c r="H483" s="29" t="n"/>
      <c r="I483" s="29" t="n"/>
      <c r="J483" s="29" t="n"/>
      <c r="K483" s="29" t="n"/>
      <c r="L483" s="29" t="n"/>
      <c r="M483" s="29" t="n"/>
      <c r="N483" s="29" t="n"/>
      <c r="O483" s="5" t="n"/>
      <c r="P483" s="5" t="n"/>
      <c r="Q483" s="5" t="n"/>
      <c r="R483" s="5" t="n"/>
      <c r="S483" s="5" t="n"/>
    </row>
    <row r="484">
      <c r="A484" s="32" t="n"/>
      <c r="B484" s="32" t="n"/>
      <c r="C484" s="32" t="n"/>
      <c r="D484" s="32" t="n"/>
      <c r="E484" s="32" t="n"/>
      <c r="F484" s="29" t="n"/>
      <c r="G484" s="29" t="n"/>
      <c r="H484" s="29" t="n"/>
      <c r="I484" s="29" t="n"/>
      <c r="J484" s="29" t="n"/>
      <c r="K484" s="29" t="n"/>
      <c r="L484" s="29" t="n"/>
      <c r="M484" s="29" t="n"/>
      <c r="N484" s="29" t="n"/>
      <c r="O484" s="5" t="n"/>
      <c r="P484" s="5" t="n"/>
      <c r="Q484" s="5" t="n"/>
      <c r="R484" s="5" t="n"/>
      <c r="S484" s="5" t="n"/>
    </row>
    <row r="485">
      <c r="A485" s="32" t="n"/>
      <c r="B485" s="32" t="n"/>
      <c r="C485" s="32" t="n"/>
      <c r="D485" s="32" t="n"/>
      <c r="E485" s="32" t="n"/>
      <c r="F485" s="29" t="n"/>
      <c r="G485" s="29" t="n"/>
      <c r="H485" s="29" t="n"/>
      <c r="I485" s="29" t="n"/>
      <c r="J485" s="29" t="n"/>
      <c r="K485" s="29" t="n"/>
      <c r="L485" s="29" t="n"/>
      <c r="M485" s="29" t="n"/>
      <c r="N485" s="29" t="n"/>
      <c r="O485" s="5" t="n"/>
      <c r="P485" s="5" t="n"/>
      <c r="Q485" s="5" t="n"/>
      <c r="R485" s="5" t="n"/>
      <c r="S485" s="5" t="n"/>
    </row>
    <row r="486">
      <c r="A486" s="32" t="n"/>
      <c r="B486" s="32" t="n"/>
      <c r="C486" s="32" t="n"/>
      <c r="D486" s="32" t="n"/>
      <c r="E486" s="32" t="n"/>
      <c r="F486" s="29" t="n"/>
      <c r="G486" s="29" t="n"/>
      <c r="H486" s="29" t="n"/>
      <c r="I486" s="29" t="n"/>
      <c r="J486" s="29" t="n"/>
      <c r="K486" s="29" t="n"/>
      <c r="L486" s="29" t="n"/>
      <c r="M486" s="29" t="n"/>
      <c r="N486" s="29" t="n"/>
      <c r="O486" s="5" t="n"/>
      <c r="P486" s="5" t="n"/>
      <c r="Q486" s="5" t="n"/>
      <c r="R486" s="5" t="n"/>
      <c r="S486" s="5" t="n"/>
    </row>
    <row r="487">
      <c r="A487" s="32" t="n"/>
      <c r="B487" s="32" t="n"/>
      <c r="C487" s="32" t="n"/>
      <c r="D487" s="32" t="n"/>
      <c r="E487" s="32" t="n"/>
      <c r="F487" s="29" t="n"/>
      <c r="G487" s="29" t="n"/>
      <c r="H487" s="29" t="n"/>
      <c r="I487" s="29" t="n"/>
      <c r="J487" s="29" t="n"/>
      <c r="K487" s="29" t="n"/>
      <c r="L487" s="29" t="n"/>
      <c r="M487" s="29" t="n"/>
      <c r="N487" s="29" t="n"/>
      <c r="O487" s="5" t="n"/>
      <c r="P487" s="5" t="n"/>
      <c r="Q487" s="5" t="n"/>
      <c r="R487" s="5" t="n"/>
      <c r="S487" s="5" t="n"/>
    </row>
    <row r="488">
      <c r="A488" s="32" t="n"/>
      <c r="B488" s="32" t="n"/>
      <c r="C488" s="32" t="n"/>
      <c r="D488" s="32" t="n"/>
      <c r="E488" s="32" t="n"/>
      <c r="F488" s="29" t="n"/>
      <c r="G488" s="29" t="n"/>
      <c r="H488" s="29" t="n"/>
      <c r="I488" s="29" t="n"/>
      <c r="J488" s="29" t="n"/>
      <c r="K488" s="29" t="n"/>
      <c r="L488" s="29" t="n"/>
      <c r="M488" s="29" t="n"/>
      <c r="N488" s="29" t="n"/>
      <c r="O488" s="5" t="n"/>
      <c r="P488" s="5" t="n"/>
      <c r="Q488" s="5" t="n"/>
      <c r="R488" s="5" t="n"/>
      <c r="S488" s="5" t="n"/>
    </row>
    <row r="489">
      <c r="A489" s="32" t="n"/>
      <c r="B489" s="32" t="n"/>
      <c r="C489" s="32" t="n"/>
      <c r="D489" s="32" t="n"/>
      <c r="E489" s="32" t="n"/>
      <c r="F489" s="29" t="n"/>
      <c r="G489" s="29" t="n"/>
      <c r="H489" s="29" t="n"/>
      <c r="I489" s="29" t="n"/>
      <c r="J489" s="29" t="n"/>
      <c r="K489" s="29" t="n"/>
      <c r="L489" s="29" t="n"/>
      <c r="M489" s="29" t="n"/>
      <c r="N489" s="29" t="n"/>
      <c r="O489" s="5" t="n"/>
      <c r="P489" s="5" t="n"/>
      <c r="Q489" s="5" t="n"/>
      <c r="R489" s="5" t="n"/>
      <c r="S489" s="5" t="n"/>
    </row>
    <row r="490">
      <c r="A490" s="32" t="n"/>
      <c r="B490" s="32" t="n"/>
      <c r="C490" s="32" t="n"/>
      <c r="D490" s="32" t="n"/>
      <c r="E490" s="32" t="n"/>
      <c r="F490" s="29" t="n"/>
      <c r="G490" s="29" t="n"/>
      <c r="H490" s="29" t="n"/>
      <c r="I490" s="29" t="n"/>
      <c r="J490" s="29" t="n"/>
      <c r="K490" s="29" t="n"/>
      <c r="L490" s="29" t="n"/>
      <c r="M490" s="29" t="n"/>
      <c r="N490" s="29" t="n"/>
      <c r="O490" s="5" t="n"/>
      <c r="P490" s="5" t="n"/>
      <c r="Q490" s="5" t="n"/>
      <c r="R490" s="5" t="n"/>
      <c r="S490" s="5" t="n"/>
    </row>
    <row r="491">
      <c r="A491" s="32" t="n"/>
      <c r="B491" s="32" t="n"/>
      <c r="C491" s="32" t="n"/>
      <c r="D491" s="32" t="n"/>
      <c r="E491" s="32" t="n"/>
      <c r="F491" s="29" t="n"/>
      <c r="G491" s="29" t="n"/>
      <c r="H491" s="29" t="n"/>
      <c r="I491" s="29" t="n"/>
      <c r="J491" s="29" t="n"/>
      <c r="K491" s="29" t="n"/>
      <c r="L491" s="29" t="n"/>
      <c r="M491" s="29" t="n"/>
      <c r="N491" s="29" t="n"/>
      <c r="O491" s="5" t="n"/>
      <c r="P491" s="5" t="n"/>
      <c r="Q491" s="5" t="n"/>
      <c r="R491" s="5" t="n"/>
      <c r="S491" s="5" t="n"/>
    </row>
    <row r="492">
      <c r="A492" s="32" t="n"/>
      <c r="B492" s="32" t="n"/>
      <c r="C492" s="32" t="n"/>
      <c r="D492" s="32" t="n"/>
      <c r="E492" s="32" t="n"/>
      <c r="F492" s="29" t="n"/>
      <c r="G492" s="29" t="n"/>
      <c r="H492" s="29" t="n"/>
      <c r="I492" s="29" t="n"/>
      <c r="J492" s="29" t="n"/>
      <c r="K492" s="29" t="n"/>
      <c r="L492" s="29" t="n"/>
      <c r="M492" s="29" t="n"/>
      <c r="N492" s="29" t="n"/>
      <c r="O492" s="5" t="n"/>
      <c r="P492" s="5" t="n"/>
      <c r="Q492" s="5" t="n"/>
      <c r="R492" s="5" t="n"/>
      <c r="S492" s="5" t="n"/>
    </row>
    <row r="493">
      <c r="A493" s="32" t="n"/>
      <c r="B493" s="32" t="n"/>
      <c r="C493" s="32" t="n"/>
      <c r="D493" s="32" t="n"/>
      <c r="E493" s="32" t="n"/>
      <c r="F493" s="29" t="n"/>
      <c r="G493" s="29" t="n"/>
      <c r="H493" s="29" t="n"/>
      <c r="I493" s="29" t="n"/>
      <c r="J493" s="29" t="n"/>
      <c r="K493" s="29" t="n"/>
      <c r="L493" s="29" t="n"/>
      <c r="M493" s="29" t="n"/>
      <c r="N493" s="29" t="n"/>
      <c r="O493" s="5" t="n"/>
      <c r="P493" s="5" t="n"/>
      <c r="Q493" s="5" t="n"/>
      <c r="R493" s="5" t="n"/>
      <c r="S493" s="5" t="n"/>
    </row>
    <row r="494">
      <c r="A494" s="32" t="n"/>
      <c r="B494" s="32" t="n"/>
      <c r="C494" s="32" t="n"/>
      <c r="D494" s="32" t="n"/>
      <c r="E494" s="32" t="n"/>
      <c r="F494" s="29" t="n"/>
      <c r="G494" s="29" t="n"/>
      <c r="H494" s="29" t="n"/>
      <c r="I494" s="29" t="n"/>
      <c r="J494" s="29" t="n"/>
      <c r="K494" s="29" t="n"/>
      <c r="L494" s="29" t="n"/>
      <c r="M494" s="29" t="n"/>
      <c r="N494" s="29" t="n"/>
      <c r="O494" s="5" t="n"/>
      <c r="P494" s="5" t="n"/>
      <c r="Q494" s="5" t="n"/>
      <c r="R494" s="5" t="n"/>
      <c r="S494" s="5" t="n"/>
    </row>
    <row r="495">
      <c r="A495" s="32" t="n"/>
      <c r="B495" s="32" t="n"/>
      <c r="C495" s="32" t="n"/>
      <c r="D495" s="32" t="n"/>
      <c r="E495" s="32" t="n"/>
      <c r="F495" s="29" t="n"/>
      <c r="G495" s="29" t="n"/>
      <c r="H495" s="29" t="n"/>
      <c r="I495" s="29" t="n"/>
      <c r="J495" s="29" t="n"/>
      <c r="K495" s="29" t="n"/>
      <c r="L495" s="29" t="n"/>
      <c r="M495" s="29" t="n"/>
      <c r="N495" s="29" t="n"/>
      <c r="O495" s="5" t="n"/>
      <c r="P495" s="5" t="n"/>
      <c r="Q495" s="5" t="n"/>
      <c r="R495" s="5" t="n"/>
      <c r="S495" s="5" t="n"/>
    </row>
    <row r="496">
      <c r="A496" s="32" t="n"/>
      <c r="B496" s="32" t="n"/>
      <c r="C496" s="32" t="n"/>
      <c r="D496" s="32" t="n"/>
      <c r="E496" s="32" t="n"/>
      <c r="F496" s="29" t="n"/>
      <c r="G496" s="29" t="n"/>
      <c r="H496" s="29" t="n"/>
      <c r="I496" s="29" t="n"/>
      <c r="J496" s="29" t="n"/>
      <c r="K496" s="29" t="n"/>
      <c r="L496" s="29" t="n"/>
      <c r="M496" s="29" t="n"/>
      <c r="N496" s="29" t="n"/>
      <c r="O496" s="5" t="n"/>
      <c r="P496" s="5" t="n"/>
      <c r="Q496" s="5" t="n"/>
      <c r="R496" s="5" t="n"/>
      <c r="S496" s="5" t="n"/>
    </row>
    <row r="497">
      <c r="A497" s="32" t="n"/>
      <c r="B497" s="32" t="n"/>
      <c r="C497" s="32" t="n"/>
      <c r="D497" s="32" t="n"/>
      <c r="E497" s="32" t="n"/>
      <c r="F497" s="29" t="n"/>
      <c r="G497" s="29" t="n"/>
      <c r="H497" s="29" t="n"/>
      <c r="I497" s="29" t="n"/>
      <c r="J497" s="29" t="n"/>
      <c r="K497" s="29" t="n"/>
      <c r="L497" s="29" t="n"/>
      <c r="M497" s="29" t="n"/>
      <c r="N497" s="29" t="n"/>
      <c r="O497" s="5" t="n"/>
      <c r="P497" s="5" t="n"/>
      <c r="Q497" s="5" t="n"/>
      <c r="R497" s="5" t="n"/>
      <c r="S497" s="5" t="n"/>
    </row>
    <row r="498">
      <c r="A498" s="32" t="n"/>
      <c r="B498" s="32" t="n"/>
      <c r="C498" s="32" t="n"/>
      <c r="D498" s="32" t="n"/>
      <c r="E498" s="32" t="n"/>
      <c r="F498" s="29" t="n"/>
      <c r="G498" s="29" t="n"/>
      <c r="H498" s="29" t="n"/>
      <c r="I498" s="29" t="n"/>
      <c r="J498" s="29" t="n"/>
      <c r="K498" s="29" t="n"/>
      <c r="L498" s="29" t="n"/>
      <c r="M498" s="29" t="n"/>
      <c r="N498" s="29" t="n"/>
      <c r="O498" s="5" t="n"/>
      <c r="P498" s="5" t="n"/>
      <c r="Q498" s="5" t="n"/>
      <c r="R498" s="5" t="n"/>
      <c r="S498" s="5" t="n"/>
    </row>
    <row r="499">
      <c r="A499" s="32" t="n"/>
      <c r="B499" s="32" t="n"/>
      <c r="C499" s="32" t="n"/>
      <c r="D499" s="32" t="n"/>
      <c r="E499" s="32" t="n"/>
      <c r="F499" s="29" t="n"/>
      <c r="G499" s="29" t="n"/>
      <c r="H499" s="29" t="n"/>
      <c r="I499" s="29" t="n"/>
      <c r="J499" s="29" t="n"/>
      <c r="K499" s="29" t="n"/>
      <c r="L499" s="29" t="n"/>
      <c r="M499" s="29" t="n"/>
      <c r="N499" s="29" t="n"/>
      <c r="O499" s="5" t="n"/>
      <c r="P499" s="5" t="n"/>
      <c r="Q499" s="5" t="n"/>
      <c r="R499" s="5" t="n"/>
      <c r="S499" s="5" t="n"/>
    </row>
    <row r="500">
      <c r="A500" s="32" t="n"/>
      <c r="B500" s="32" t="n"/>
      <c r="C500" s="32" t="n"/>
      <c r="D500" s="32" t="n"/>
      <c r="E500" s="32" t="n"/>
      <c r="F500" s="29" t="n"/>
      <c r="G500" s="29" t="n"/>
      <c r="H500" s="29" t="n"/>
      <c r="I500" s="29" t="n"/>
      <c r="J500" s="29" t="n"/>
      <c r="K500" s="29" t="n"/>
      <c r="L500" s="29" t="n"/>
      <c r="M500" s="29" t="n"/>
      <c r="N500" s="29" t="n"/>
      <c r="O500" s="5" t="n"/>
      <c r="P500" s="5" t="n"/>
      <c r="Q500" s="5" t="n"/>
      <c r="R500" s="5" t="n"/>
      <c r="S500" s="5" t="n"/>
    </row>
    <row r="501">
      <c r="A501" s="32" t="n"/>
      <c r="B501" s="32" t="n"/>
      <c r="C501" s="32" t="n"/>
      <c r="D501" s="32" t="n"/>
      <c r="E501" s="32" t="n"/>
      <c r="F501" s="29" t="n"/>
      <c r="G501" s="29" t="n"/>
      <c r="H501" s="29" t="n"/>
      <c r="I501" s="29" t="n"/>
      <c r="J501" s="29" t="n"/>
      <c r="K501" s="29" t="n"/>
      <c r="L501" s="29" t="n"/>
      <c r="M501" s="29" t="n"/>
      <c r="N501" s="29" t="n"/>
      <c r="O501" s="5" t="n"/>
      <c r="P501" s="5" t="n"/>
      <c r="Q501" s="5" t="n"/>
      <c r="R501" s="5" t="n"/>
      <c r="S501" s="5" t="n"/>
    </row>
    <row r="502">
      <c r="A502" s="32" t="n"/>
      <c r="B502" s="32" t="n"/>
      <c r="C502" s="32" t="n"/>
      <c r="D502" s="32" t="n"/>
      <c r="E502" s="32" t="n"/>
      <c r="F502" s="29" t="n"/>
      <c r="G502" s="29" t="n"/>
      <c r="H502" s="29" t="n"/>
      <c r="I502" s="29" t="n"/>
      <c r="J502" s="29" t="n"/>
      <c r="K502" s="29" t="n"/>
      <c r="L502" s="29" t="n"/>
      <c r="M502" s="29" t="n"/>
      <c r="N502" s="29" t="n"/>
      <c r="O502" s="5" t="n"/>
      <c r="P502" s="5" t="n"/>
      <c r="Q502" s="5" t="n"/>
      <c r="R502" s="5" t="n"/>
      <c r="S502" s="5" t="n"/>
    </row>
    <row r="503">
      <c r="A503" s="32" t="n"/>
      <c r="B503" s="32" t="n"/>
      <c r="C503" s="32" t="n"/>
      <c r="D503" s="32" t="n"/>
      <c r="E503" s="32" t="n"/>
      <c r="F503" s="29" t="n"/>
      <c r="G503" s="29" t="n"/>
      <c r="H503" s="29" t="n"/>
      <c r="I503" s="29" t="n"/>
      <c r="J503" s="29" t="n"/>
      <c r="K503" s="29" t="n"/>
      <c r="L503" s="29" t="n"/>
      <c r="M503" s="29" t="n"/>
      <c r="N503" s="29" t="n"/>
      <c r="O503" s="5" t="n"/>
      <c r="P503" s="5" t="n"/>
      <c r="Q503" s="5" t="n"/>
      <c r="R503" s="5" t="n"/>
      <c r="S503" s="5" t="n"/>
    </row>
    <row r="504">
      <c r="A504" s="32" t="n"/>
      <c r="B504" s="32" t="n"/>
      <c r="C504" s="32" t="n"/>
      <c r="D504" s="32" t="n"/>
      <c r="E504" s="32" t="n"/>
      <c r="F504" s="29" t="n"/>
      <c r="G504" s="29" t="n"/>
      <c r="H504" s="29" t="n"/>
      <c r="I504" s="29" t="n"/>
      <c r="J504" s="29" t="n"/>
      <c r="K504" s="29" t="n"/>
      <c r="L504" s="29" t="n"/>
      <c r="M504" s="29" t="n"/>
      <c r="N504" s="29" t="n"/>
      <c r="O504" s="5" t="n"/>
      <c r="P504" s="5" t="n"/>
      <c r="Q504" s="5" t="n"/>
      <c r="R504" s="5" t="n"/>
      <c r="S504" s="5" t="n"/>
    </row>
    <row r="505">
      <c r="A505" s="32" t="n"/>
      <c r="B505" s="32" t="n"/>
      <c r="C505" s="32" t="n"/>
      <c r="D505" s="32" t="n"/>
      <c r="E505" s="32" t="n"/>
      <c r="F505" s="29" t="n"/>
      <c r="G505" s="29" t="n"/>
      <c r="H505" s="29" t="n"/>
      <c r="I505" s="29" t="n"/>
      <c r="J505" s="29" t="n"/>
      <c r="K505" s="29" t="n"/>
      <c r="L505" s="29" t="n"/>
      <c r="M505" s="29" t="n"/>
      <c r="N505" s="29" t="n"/>
      <c r="O505" s="5" t="n"/>
      <c r="P505" s="5" t="n"/>
      <c r="Q505" s="5" t="n"/>
      <c r="R505" s="5" t="n"/>
      <c r="S505" s="5" t="n"/>
    </row>
    <row r="506">
      <c r="A506" s="32" t="n"/>
      <c r="B506" s="32" t="n"/>
      <c r="C506" s="32" t="n"/>
      <c r="D506" s="32" t="n"/>
      <c r="E506" s="32" t="n"/>
      <c r="F506" s="29" t="n"/>
      <c r="G506" s="29" t="n"/>
      <c r="H506" s="29" t="n"/>
      <c r="I506" s="29" t="n"/>
      <c r="J506" s="29" t="n"/>
      <c r="K506" s="29" t="n"/>
      <c r="L506" s="29" t="n"/>
      <c r="M506" s="29" t="n"/>
      <c r="N506" s="29" t="n"/>
      <c r="O506" s="5" t="n"/>
      <c r="P506" s="5" t="n"/>
      <c r="Q506" s="5" t="n"/>
      <c r="R506" s="5" t="n"/>
      <c r="S506" s="5" t="n"/>
    </row>
    <row r="507">
      <c r="A507" s="32" t="n"/>
      <c r="B507" s="32" t="n"/>
      <c r="C507" s="32" t="n"/>
      <c r="D507" s="32" t="n"/>
      <c r="E507" s="32" t="n"/>
      <c r="F507" s="29" t="n"/>
      <c r="G507" s="29" t="n"/>
      <c r="H507" s="29" t="n"/>
      <c r="I507" s="29" t="n"/>
      <c r="J507" s="29" t="n"/>
      <c r="K507" s="29" t="n"/>
      <c r="L507" s="29" t="n"/>
      <c r="M507" s="29" t="n"/>
      <c r="N507" s="29" t="n"/>
      <c r="O507" s="5" t="n"/>
      <c r="P507" s="5" t="n"/>
      <c r="Q507" s="5" t="n"/>
      <c r="R507" s="5" t="n"/>
      <c r="S507" s="5" t="n"/>
    </row>
    <row r="508">
      <c r="A508" s="32" t="n"/>
      <c r="B508" s="32" t="n"/>
      <c r="C508" s="32" t="n"/>
      <c r="D508" s="32" t="n"/>
      <c r="E508" s="32" t="n"/>
      <c r="F508" s="29" t="n"/>
      <c r="G508" s="29" t="n"/>
      <c r="H508" s="29" t="n"/>
      <c r="I508" s="29" t="n"/>
      <c r="J508" s="29" t="n"/>
      <c r="K508" s="29" t="n"/>
      <c r="L508" s="29" t="n"/>
      <c r="M508" s="29" t="n"/>
      <c r="N508" s="29" t="n"/>
      <c r="O508" s="5" t="n"/>
      <c r="P508" s="5" t="n"/>
      <c r="Q508" s="5" t="n"/>
      <c r="R508" s="5" t="n"/>
      <c r="S508" s="5" t="n"/>
    </row>
    <row r="509">
      <c r="A509" s="32" t="n"/>
      <c r="B509" s="32" t="n"/>
      <c r="C509" s="32" t="n"/>
      <c r="D509" s="32" t="n"/>
      <c r="E509" s="32" t="n"/>
      <c r="F509" s="29" t="n"/>
      <c r="G509" s="29" t="n"/>
      <c r="H509" s="29" t="n"/>
      <c r="I509" s="29" t="n"/>
      <c r="J509" s="29" t="n"/>
      <c r="K509" s="29" t="n"/>
      <c r="L509" s="29" t="n"/>
      <c r="M509" s="29" t="n"/>
      <c r="N509" s="29" t="n"/>
      <c r="O509" s="5" t="n"/>
      <c r="P509" s="5" t="n"/>
      <c r="Q509" s="5" t="n"/>
      <c r="R509" s="5" t="n"/>
      <c r="S509" s="5" t="n"/>
    </row>
    <row r="510">
      <c r="A510" s="32" t="n"/>
      <c r="B510" s="32" t="n"/>
      <c r="C510" s="32" t="n"/>
      <c r="D510" s="32" t="n"/>
      <c r="E510" s="32" t="n"/>
      <c r="F510" s="29" t="n"/>
      <c r="G510" s="29" t="n"/>
      <c r="H510" s="29" t="n"/>
      <c r="I510" s="29" t="n"/>
      <c r="J510" s="29" t="n"/>
      <c r="K510" s="29" t="n"/>
      <c r="L510" s="29" t="n"/>
      <c r="M510" s="29" t="n"/>
      <c r="N510" s="29" t="n"/>
      <c r="O510" s="5" t="n"/>
      <c r="P510" s="5" t="n"/>
      <c r="Q510" s="5" t="n"/>
      <c r="R510" s="5" t="n"/>
      <c r="S510" s="5" t="n"/>
    </row>
    <row r="511">
      <c r="A511" s="32" t="n"/>
      <c r="B511" s="32" t="n"/>
      <c r="C511" s="32" t="n"/>
      <c r="D511" s="32" t="n"/>
      <c r="E511" s="32" t="n"/>
      <c r="F511" s="29" t="n"/>
      <c r="G511" s="29" t="n"/>
      <c r="H511" s="29" t="n"/>
      <c r="I511" s="29" t="n"/>
      <c r="J511" s="29" t="n"/>
      <c r="K511" s="29" t="n"/>
      <c r="L511" s="29" t="n"/>
      <c r="M511" s="29" t="n"/>
      <c r="N511" s="29" t="n"/>
      <c r="O511" s="5" t="n"/>
      <c r="P511" s="5" t="n"/>
      <c r="Q511" s="5" t="n"/>
      <c r="R511" s="5" t="n"/>
      <c r="S511" s="5" t="n"/>
    </row>
    <row r="512">
      <c r="A512" s="32" t="n"/>
      <c r="B512" s="32" t="n"/>
      <c r="C512" s="32" t="n"/>
      <c r="D512" s="32" t="n"/>
      <c r="E512" s="32" t="n"/>
      <c r="F512" s="29" t="n"/>
      <c r="G512" s="29" t="n"/>
      <c r="H512" s="29" t="n"/>
      <c r="I512" s="29" t="n"/>
      <c r="J512" s="29" t="n"/>
      <c r="K512" s="29" t="n"/>
      <c r="L512" s="29" t="n"/>
      <c r="M512" s="29" t="n"/>
      <c r="N512" s="29" t="n"/>
      <c r="O512" s="5" t="n"/>
      <c r="P512" s="5" t="n"/>
      <c r="Q512" s="5" t="n"/>
      <c r="R512" s="5" t="n"/>
      <c r="S512" s="5" t="n"/>
    </row>
    <row r="513">
      <c r="A513" s="32" t="n"/>
      <c r="B513" s="32" t="n"/>
      <c r="C513" s="32" t="n"/>
      <c r="D513" s="32" t="n"/>
      <c r="E513" s="32" t="n"/>
      <c r="F513" s="29" t="n"/>
      <c r="G513" s="29" t="n"/>
      <c r="H513" s="29" t="n"/>
      <c r="I513" s="29" t="n"/>
      <c r="J513" s="29" t="n"/>
      <c r="K513" s="29" t="n"/>
      <c r="L513" s="29" t="n"/>
      <c r="M513" s="29" t="n"/>
      <c r="N513" s="29" t="n"/>
      <c r="O513" s="5" t="n"/>
      <c r="P513" s="5" t="n"/>
      <c r="Q513" s="5" t="n"/>
      <c r="R513" s="5" t="n"/>
      <c r="S513" s="5" t="n"/>
    </row>
    <row r="514">
      <c r="A514" s="32" t="n"/>
      <c r="B514" s="32" t="n"/>
      <c r="C514" s="32" t="n"/>
      <c r="D514" s="32" t="n"/>
      <c r="E514" s="32" t="n"/>
      <c r="F514" s="29" t="n"/>
      <c r="G514" s="29" t="n"/>
      <c r="H514" s="29" t="n"/>
      <c r="I514" s="29" t="n"/>
      <c r="J514" s="29" t="n"/>
      <c r="K514" s="29" t="n"/>
      <c r="L514" s="29" t="n"/>
      <c r="M514" s="29" t="n"/>
      <c r="N514" s="29" t="n"/>
      <c r="O514" s="5" t="n"/>
      <c r="P514" s="5" t="n"/>
      <c r="Q514" s="5" t="n"/>
      <c r="R514" s="5" t="n"/>
      <c r="S514" s="5" t="n"/>
    </row>
    <row r="515">
      <c r="A515" s="32" t="n"/>
      <c r="B515" s="32" t="n"/>
      <c r="C515" s="32" t="n"/>
      <c r="D515" s="32" t="n"/>
      <c r="E515" s="32" t="n"/>
      <c r="F515" s="29" t="n"/>
      <c r="G515" s="29" t="n"/>
      <c r="H515" s="29" t="n"/>
      <c r="I515" s="29" t="n"/>
      <c r="J515" s="29" t="n"/>
      <c r="K515" s="29" t="n"/>
      <c r="L515" s="29" t="n"/>
      <c r="M515" s="29" t="n"/>
      <c r="N515" s="29" t="n"/>
      <c r="O515" s="5" t="n"/>
      <c r="P515" s="5" t="n"/>
      <c r="Q515" s="5" t="n"/>
      <c r="R515" s="5" t="n"/>
      <c r="S515" s="5" t="n"/>
    </row>
    <row r="516">
      <c r="A516" s="32" t="n"/>
      <c r="B516" s="32" t="n"/>
      <c r="C516" s="32" t="n"/>
      <c r="D516" s="32" t="n"/>
      <c r="E516" s="32" t="n"/>
      <c r="F516" s="29" t="n"/>
      <c r="G516" s="29" t="n"/>
      <c r="H516" s="29" t="n"/>
      <c r="I516" s="29" t="n"/>
      <c r="J516" s="29" t="n"/>
      <c r="K516" s="29" t="n"/>
      <c r="L516" s="29" t="n"/>
      <c r="M516" s="29" t="n"/>
      <c r="N516" s="29" t="n"/>
      <c r="O516" s="5" t="n"/>
      <c r="P516" s="5" t="n"/>
      <c r="Q516" s="5" t="n"/>
      <c r="R516" s="5" t="n"/>
      <c r="S516" s="5" t="n"/>
    </row>
    <row r="517">
      <c r="A517" s="32" t="n"/>
      <c r="B517" s="32" t="n"/>
      <c r="C517" s="32" t="n"/>
      <c r="D517" s="32" t="n"/>
      <c r="E517" s="32" t="n"/>
      <c r="F517" s="29" t="n"/>
      <c r="G517" s="29" t="n"/>
      <c r="H517" s="29" t="n"/>
      <c r="I517" s="29" t="n"/>
      <c r="J517" s="29" t="n"/>
      <c r="K517" s="29" t="n"/>
      <c r="L517" s="29" t="n"/>
      <c r="M517" s="29" t="n"/>
      <c r="N517" s="29" t="n"/>
      <c r="O517" s="5" t="n"/>
      <c r="P517" s="5" t="n"/>
      <c r="Q517" s="5" t="n"/>
      <c r="R517" s="5" t="n"/>
      <c r="S517" s="5" t="n"/>
    </row>
    <row r="518">
      <c r="A518" s="32" t="n"/>
      <c r="B518" s="32" t="n"/>
      <c r="C518" s="32" t="n"/>
      <c r="D518" s="32" t="n"/>
      <c r="E518" s="32" t="n"/>
      <c r="F518" s="29" t="n"/>
      <c r="G518" s="29" t="n"/>
      <c r="H518" s="29" t="n"/>
      <c r="I518" s="29" t="n"/>
      <c r="J518" s="29" t="n"/>
      <c r="K518" s="29" t="n"/>
      <c r="L518" s="29" t="n"/>
      <c r="M518" s="29" t="n"/>
      <c r="N518" s="29" t="n"/>
      <c r="O518" s="5" t="n"/>
      <c r="P518" s="5" t="n"/>
      <c r="Q518" s="5" t="n"/>
      <c r="R518" s="5" t="n"/>
      <c r="S518" s="5" t="n"/>
    </row>
    <row r="519">
      <c r="A519" s="32" t="n"/>
      <c r="B519" s="32" t="n"/>
      <c r="C519" s="32" t="n"/>
      <c r="D519" s="32" t="n"/>
      <c r="E519" s="32" t="n"/>
      <c r="F519" s="29" t="n"/>
      <c r="G519" s="29" t="n"/>
      <c r="H519" s="29" t="n"/>
      <c r="I519" s="29" t="n"/>
      <c r="J519" s="29" t="n"/>
      <c r="K519" s="29" t="n"/>
      <c r="L519" s="29" t="n"/>
      <c r="M519" s="29" t="n"/>
      <c r="N519" s="29" t="n"/>
      <c r="O519" s="5" t="n"/>
      <c r="P519" s="5" t="n"/>
      <c r="Q519" s="5" t="n"/>
      <c r="R519" s="5" t="n"/>
      <c r="S519" s="5" t="n"/>
    </row>
    <row r="520">
      <c r="A520" s="32" t="n"/>
      <c r="B520" s="32" t="n"/>
      <c r="C520" s="32" t="n"/>
      <c r="D520" s="32" t="n"/>
      <c r="E520" s="32" t="n"/>
      <c r="F520" s="29" t="n"/>
      <c r="G520" s="29" t="n"/>
      <c r="H520" s="29" t="n"/>
      <c r="I520" s="29" t="n"/>
      <c r="J520" s="29" t="n"/>
      <c r="K520" s="29" t="n"/>
      <c r="L520" s="29" t="n"/>
      <c r="M520" s="29" t="n"/>
      <c r="N520" s="29" t="n"/>
      <c r="O520" s="5" t="n"/>
      <c r="P520" s="5" t="n"/>
      <c r="Q520" s="5" t="n"/>
      <c r="R520" s="5" t="n"/>
      <c r="S520" s="5" t="n"/>
    </row>
    <row r="521">
      <c r="A521" s="32" t="n"/>
      <c r="B521" s="32" t="n"/>
      <c r="C521" s="32" t="n"/>
      <c r="D521" s="32" t="n"/>
      <c r="E521" s="32" t="n"/>
      <c r="F521" s="29" t="n"/>
      <c r="G521" s="29" t="n"/>
      <c r="H521" s="29" t="n"/>
      <c r="I521" s="29" t="n"/>
      <c r="J521" s="29" t="n"/>
      <c r="K521" s="29" t="n"/>
      <c r="L521" s="29" t="n"/>
      <c r="M521" s="29" t="n"/>
      <c r="N521" s="29" t="n"/>
      <c r="O521" s="5" t="n"/>
      <c r="P521" s="5" t="n"/>
      <c r="Q521" s="5" t="n"/>
      <c r="R521" s="5" t="n"/>
      <c r="S521" s="5" t="n"/>
    </row>
    <row r="522">
      <c r="A522" s="32" t="n"/>
      <c r="B522" s="32" t="n"/>
      <c r="C522" s="32" t="n"/>
      <c r="D522" s="32" t="n"/>
      <c r="E522" s="32" t="n"/>
      <c r="F522" s="29" t="n"/>
      <c r="G522" s="29" t="n"/>
      <c r="H522" s="29" t="n"/>
      <c r="I522" s="29" t="n"/>
      <c r="J522" s="29" t="n"/>
      <c r="K522" s="29" t="n"/>
      <c r="L522" s="29" t="n"/>
      <c r="M522" s="29" t="n"/>
      <c r="N522" s="29" t="n"/>
      <c r="O522" s="5" t="n"/>
      <c r="P522" s="5" t="n"/>
      <c r="Q522" s="5" t="n"/>
      <c r="R522" s="5" t="n"/>
      <c r="S522" s="5" t="n"/>
    </row>
    <row r="523">
      <c r="A523" s="32" t="n"/>
      <c r="B523" s="32" t="n"/>
      <c r="C523" s="32" t="n"/>
      <c r="D523" s="32" t="n"/>
      <c r="E523" s="32" t="n"/>
      <c r="F523" s="29" t="n"/>
      <c r="G523" s="29" t="n"/>
      <c r="H523" s="29" t="n"/>
      <c r="I523" s="29" t="n"/>
      <c r="J523" s="29" t="n"/>
      <c r="K523" s="29" t="n"/>
      <c r="L523" s="29" t="n"/>
      <c r="M523" s="29" t="n"/>
      <c r="N523" s="29" t="n"/>
      <c r="O523" s="5" t="n"/>
      <c r="P523" s="5" t="n"/>
      <c r="Q523" s="5" t="n"/>
      <c r="R523" s="5" t="n"/>
      <c r="S523" s="5" t="n"/>
    </row>
    <row r="524">
      <c r="A524" s="32" t="n"/>
      <c r="B524" s="32" t="n"/>
      <c r="C524" s="32" t="n"/>
      <c r="D524" s="32" t="n"/>
      <c r="E524" s="32" t="n"/>
      <c r="F524" s="29" t="n"/>
      <c r="G524" s="29" t="n"/>
      <c r="H524" s="29" t="n"/>
      <c r="I524" s="29" t="n"/>
      <c r="J524" s="29" t="n"/>
      <c r="K524" s="29" t="n"/>
      <c r="L524" s="29" t="n"/>
      <c r="M524" s="29" t="n"/>
      <c r="N524" s="29" t="n"/>
      <c r="O524" s="5" t="n"/>
      <c r="P524" s="5" t="n"/>
      <c r="Q524" s="5" t="n"/>
      <c r="R524" s="5" t="n"/>
      <c r="S524" s="5" t="n"/>
    </row>
    <row r="525">
      <c r="A525" s="32" t="n"/>
      <c r="B525" s="32" t="n"/>
      <c r="C525" s="32" t="n"/>
      <c r="D525" s="32" t="n"/>
      <c r="E525" s="32" t="n"/>
      <c r="F525" s="29" t="n"/>
      <c r="G525" s="29" t="n"/>
      <c r="H525" s="29" t="n"/>
      <c r="I525" s="29" t="n"/>
      <c r="J525" s="29" t="n"/>
      <c r="K525" s="29" t="n"/>
      <c r="L525" s="29" t="n"/>
      <c r="M525" s="29" t="n"/>
      <c r="N525" s="29" t="n"/>
      <c r="O525" s="5" t="n"/>
      <c r="P525" s="5" t="n"/>
      <c r="Q525" s="5" t="n"/>
      <c r="R525" s="5" t="n"/>
      <c r="S525" s="5" t="n"/>
    </row>
    <row r="526">
      <c r="A526" s="32" t="n"/>
      <c r="B526" s="32" t="n"/>
      <c r="C526" s="32" t="n"/>
      <c r="D526" s="32" t="n"/>
      <c r="E526" s="32" t="n"/>
      <c r="F526" s="29" t="n"/>
      <c r="G526" s="29" t="n"/>
      <c r="H526" s="29" t="n"/>
      <c r="I526" s="29" t="n"/>
      <c r="J526" s="29" t="n"/>
      <c r="K526" s="29" t="n"/>
      <c r="L526" s="29" t="n"/>
      <c r="M526" s="29" t="n"/>
      <c r="N526" s="29" t="n"/>
      <c r="O526" s="5" t="n"/>
      <c r="P526" s="5" t="n"/>
      <c r="Q526" s="5" t="n"/>
      <c r="R526" s="5" t="n"/>
      <c r="S526" s="5" t="n"/>
    </row>
    <row r="527">
      <c r="A527" s="32" t="n"/>
      <c r="B527" s="32" t="n"/>
      <c r="C527" s="32" t="n"/>
      <c r="D527" s="32" t="n"/>
      <c r="E527" s="32" t="n"/>
      <c r="F527" s="29" t="n"/>
      <c r="G527" s="29" t="n"/>
      <c r="H527" s="29" t="n"/>
      <c r="I527" s="29" t="n"/>
      <c r="J527" s="29" t="n"/>
      <c r="K527" s="29" t="n"/>
      <c r="L527" s="29" t="n"/>
      <c r="M527" s="29" t="n"/>
      <c r="N527" s="29" t="n"/>
      <c r="O527" s="5" t="n"/>
      <c r="P527" s="5" t="n"/>
      <c r="Q527" s="5" t="n"/>
      <c r="R527" s="5" t="n"/>
      <c r="S527" s="5" t="n"/>
    </row>
    <row r="528">
      <c r="A528" s="32" t="n"/>
      <c r="B528" s="32" t="n"/>
      <c r="C528" s="32" t="n"/>
      <c r="D528" s="32" t="n"/>
      <c r="E528" s="32" t="n"/>
      <c r="F528" s="29" t="n"/>
      <c r="G528" s="29" t="n"/>
      <c r="H528" s="29" t="n"/>
      <c r="I528" s="29" t="n"/>
      <c r="J528" s="29" t="n"/>
      <c r="K528" s="29" t="n"/>
      <c r="L528" s="29" t="n"/>
      <c r="M528" s="29" t="n"/>
      <c r="N528" s="29" t="n"/>
      <c r="O528" s="5" t="n"/>
      <c r="P528" s="5" t="n"/>
      <c r="Q528" s="5" t="n"/>
      <c r="R528" s="5" t="n"/>
      <c r="S528" s="5" t="n"/>
    </row>
    <row r="529">
      <c r="A529" s="32" t="n"/>
      <c r="B529" s="32" t="n"/>
      <c r="C529" s="32" t="n"/>
      <c r="D529" s="32" t="n"/>
      <c r="E529" s="32" t="n"/>
      <c r="F529" s="29" t="n"/>
      <c r="G529" s="29" t="n"/>
      <c r="H529" s="29" t="n"/>
      <c r="I529" s="29" t="n"/>
      <c r="J529" s="29" t="n"/>
      <c r="K529" s="29" t="n"/>
      <c r="L529" s="29" t="n"/>
      <c r="M529" s="29" t="n"/>
      <c r="N529" s="29" t="n"/>
      <c r="O529" s="5" t="n"/>
      <c r="P529" s="5" t="n"/>
      <c r="Q529" s="5" t="n"/>
      <c r="R529" s="5" t="n"/>
      <c r="S529" s="5" t="n"/>
    </row>
    <row r="530">
      <c r="A530" s="32" t="n"/>
      <c r="B530" s="32" t="n"/>
      <c r="C530" s="32" t="n"/>
      <c r="D530" s="32" t="n"/>
      <c r="E530" s="32" t="n"/>
      <c r="F530" s="29" t="n"/>
      <c r="G530" s="29" t="n"/>
      <c r="H530" s="29" t="n"/>
      <c r="I530" s="29" t="n"/>
      <c r="J530" s="29" t="n"/>
      <c r="K530" s="29" t="n"/>
      <c r="L530" s="29" t="n"/>
      <c r="M530" s="29" t="n"/>
      <c r="N530" s="29" t="n"/>
      <c r="O530" s="5" t="n"/>
      <c r="P530" s="5" t="n"/>
      <c r="Q530" s="5" t="n"/>
      <c r="R530" s="5" t="n"/>
      <c r="S530" s="5" t="n"/>
    </row>
    <row r="531">
      <c r="A531" s="32" t="n"/>
      <c r="B531" s="32" t="n"/>
      <c r="C531" s="32" t="n"/>
      <c r="D531" s="32" t="n"/>
      <c r="E531" s="32" t="n"/>
      <c r="F531" s="29" t="n"/>
      <c r="G531" s="29" t="n"/>
      <c r="H531" s="29" t="n"/>
      <c r="I531" s="29" t="n"/>
      <c r="J531" s="29" t="n"/>
      <c r="K531" s="29" t="n"/>
      <c r="L531" s="29" t="n"/>
      <c r="M531" s="29" t="n"/>
      <c r="N531" s="29" t="n"/>
      <c r="O531" s="5" t="n"/>
      <c r="P531" s="5" t="n"/>
      <c r="Q531" s="5" t="n"/>
      <c r="R531" s="5" t="n"/>
      <c r="S531" s="5" t="n"/>
    </row>
    <row r="532">
      <c r="A532" s="32" t="n"/>
      <c r="B532" s="32" t="n"/>
      <c r="C532" s="32" t="n"/>
      <c r="D532" s="32" t="n"/>
      <c r="E532" s="32" t="n"/>
      <c r="F532" s="29" t="n"/>
      <c r="G532" s="29" t="n"/>
      <c r="H532" s="29" t="n"/>
      <c r="I532" s="29" t="n"/>
      <c r="J532" s="29" t="n"/>
      <c r="K532" s="29" t="n"/>
      <c r="L532" s="29" t="n"/>
      <c r="M532" s="29" t="n"/>
      <c r="N532" s="29" t="n"/>
      <c r="O532" s="5" t="n"/>
      <c r="P532" s="5" t="n"/>
      <c r="Q532" s="5" t="n"/>
      <c r="R532" s="5" t="n"/>
      <c r="S532" s="5" t="n"/>
    </row>
    <row r="533">
      <c r="A533" s="32" t="n"/>
      <c r="B533" s="32" t="n"/>
      <c r="C533" s="32" t="n"/>
      <c r="D533" s="32" t="n"/>
      <c r="E533" s="32" t="n"/>
      <c r="F533" s="29" t="n"/>
      <c r="G533" s="29" t="n"/>
      <c r="H533" s="29" t="n"/>
      <c r="I533" s="29" t="n"/>
      <c r="J533" s="29" t="n"/>
      <c r="K533" s="29" t="n"/>
      <c r="L533" s="29" t="n"/>
      <c r="M533" s="29" t="n"/>
      <c r="N533" s="29" t="n"/>
      <c r="O533" s="5" t="n"/>
      <c r="P533" s="5" t="n"/>
      <c r="Q533" s="5" t="n"/>
      <c r="R533" s="5" t="n"/>
      <c r="S533" s="5" t="n"/>
    </row>
    <row r="534">
      <c r="A534" s="32" t="n"/>
      <c r="B534" s="32" t="n"/>
      <c r="C534" s="32" t="n"/>
      <c r="D534" s="32" t="n"/>
      <c r="E534" s="32" t="n"/>
      <c r="F534" s="29" t="n"/>
      <c r="G534" s="29" t="n"/>
      <c r="H534" s="29" t="n"/>
      <c r="I534" s="29" t="n"/>
      <c r="J534" s="29" t="n"/>
      <c r="K534" s="29" t="n"/>
      <c r="L534" s="29" t="n"/>
      <c r="M534" s="29" t="n"/>
      <c r="N534" s="29" t="n"/>
      <c r="O534" s="5" t="n"/>
      <c r="P534" s="5" t="n"/>
      <c r="Q534" s="5" t="n"/>
      <c r="R534" s="5" t="n"/>
      <c r="S534" s="5" t="n"/>
    </row>
    <row r="535">
      <c r="A535" s="32" t="n"/>
      <c r="B535" s="32" t="n"/>
      <c r="C535" s="32" t="n"/>
      <c r="D535" s="32" t="n"/>
      <c r="E535" s="32" t="n"/>
      <c r="F535" s="29" t="n"/>
      <c r="G535" s="29" t="n"/>
      <c r="H535" s="29" t="n"/>
      <c r="I535" s="29" t="n"/>
      <c r="J535" s="29" t="n"/>
      <c r="K535" s="29" t="n"/>
      <c r="L535" s="29" t="n"/>
      <c r="M535" s="29" t="n"/>
      <c r="N535" s="29" t="n"/>
      <c r="O535" s="5" t="n"/>
      <c r="P535" s="5" t="n"/>
      <c r="Q535" s="5" t="n"/>
      <c r="R535" s="5" t="n"/>
      <c r="S535" s="5" t="n"/>
    </row>
    <row r="536">
      <c r="A536" s="32" t="n"/>
      <c r="B536" s="32" t="n"/>
      <c r="C536" s="32" t="n"/>
      <c r="D536" s="32" t="n"/>
      <c r="E536" s="32" t="n"/>
      <c r="F536" s="29" t="n"/>
      <c r="G536" s="29" t="n"/>
      <c r="H536" s="29" t="n"/>
      <c r="I536" s="29" t="n"/>
      <c r="J536" s="29" t="n"/>
      <c r="K536" s="29" t="n"/>
      <c r="L536" s="29" t="n"/>
      <c r="M536" s="29" t="n"/>
      <c r="N536" s="29" t="n"/>
      <c r="O536" s="5" t="n"/>
      <c r="P536" s="5" t="n"/>
      <c r="Q536" s="5" t="n"/>
      <c r="R536" s="5" t="n"/>
      <c r="S536" s="5" t="n"/>
    </row>
    <row r="537">
      <c r="A537" s="32" t="n"/>
      <c r="B537" s="32" t="n"/>
      <c r="C537" s="32" t="n"/>
      <c r="D537" s="32" t="n"/>
      <c r="E537" s="32" t="n"/>
      <c r="F537" s="29" t="n"/>
      <c r="G537" s="29" t="n"/>
      <c r="H537" s="29" t="n"/>
      <c r="I537" s="29" t="n"/>
      <c r="J537" s="29" t="n"/>
      <c r="K537" s="29" t="n"/>
      <c r="L537" s="29" t="n"/>
      <c r="M537" s="29" t="n"/>
      <c r="N537" s="29" t="n"/>
      <c r="O537" s="5" t="n"/>
      <c r="P537" s="5" t="n"/>
      <c r="Q537" s="5" t="n"/>
      <c r="R537" s="5" t="n"/>
      <c r="S537" s="5" t="n"/>
    </row>
    <row r="538">
      <c r="A538" s="32" t="n"/>
      <c r="B538" s="32" t="n"/>
      <c r="C538" s="32" t="n"/>
      <c r="D538" s="32" t="n"/>
      <c r="E538" s="32" t="n"/>
      <c r="F538" s="29" t="n"/>
      <c r="G538" s="29" t="n"/>
      <c r="H538" s="29" t="n"/>
      <c r="I538" s="29" t="n"/>
      <c r="J538" s="29" t="n"/>
      <c r="K538" s="29" t="n"/>
      <c r="L538" s="29" t="n"/>
      <c r="M538" s="29" t="n"/>
      <c r="N538" s="29" t="n"/>
      <c r="O538" s="5" t="n"/>
      <c r="P538" s="5" t="n"/>
      <c r="Q538" s="5" t="n"/>
      <c r="R538" s="5" t="n"/>
      <c r="S538" s="5" t="n"/>
    </row>
    <row r="539">
      <c r="A539" s="32" t="n"/>
      <c r="B539" s="32" t="n"/>
      <c r="C539" s="32" t="n"/>
      <c r="D539" s="32" t="n"/>
      <c r="E539" s="32" t="n"/>
      <c r="F539" s="29" t="n"/>
      <c r="G539" s="29" t="n"/>
      <c r="H539" s="29" t="n"/>
      <c r="I539" s="29" t="n"/>
      <c r="J539" s="29" t="n"/>
      <c r="K539" s="29" t="n"/>
      <c r="L539" s="29" t="n"/>
      <c r="M539" s="29" t="n"/>
      <c r="N539" s="29" t="n"/>
      <c r="O539" s="5" t="n"/>
      <c r="P539" s="5" t="n"/>
      <c r="Q539" s="5" t="n"/>
      <c r="R539" s="5" t="n"/>
      <c r="S539" s="5" t="n"/>
    </row>
    <row r="540">
      <c r="A540" s="32" t="n"/>
      <c r="B540" s="32" t="n"/>
      <c r="C540" s="32" t="n"/>
      <c r="D540" s="32" t="n"/>
      <c r="E540" s="32" t="n"/>
      <c r="F540" s="29" t="n"/>
      <c r="G540" s="29" t="n"/>
      <c r="H540" s="29" t="n"/>
      <c r="I540" s="29" t="n"/>
      <c r="J540" s="29" t="n"/>
      <c r="K540" s="29" t="n"/>
      <c r="L540" s="29" t="n"/>
      <c r="M540" s="29" t="n"/>
      <c r="N540" s="29" t="n"/>
      <c r="O540" s="5" t="n"/>
      <c r="P540" s="5" t="n"/>
      <c r="Q540" s="5" t="n"/>
      <c r="R540" s="5" t="n"/>
      <c r="S540" s="5" t="n"/>
    </row>
    <row r="541">
      <c r="A541" s="32" t="n"/>
      <c r="B541" s="32" t="n"/>
      <c r="C541" s="32" t="n"/>
      <c r="D541" s="32" t="n"/>
      <c r="E541" s="32" t="n"/>
      <c r="F541" s="29" t="n"/>
      <c r="G541" s="29" t="n"/>
      <c r="H541" s="29" t="n"/>
      <c r="I541" s="29" t="n"/>
      <c r="J541" s="29" t="n"/>
      <c r="K541" s="29" t="n"/>
      <c r="L541" s="29" t="n"/>
      <c r="M541" s="29" t="n"/>
      <c r="N541" s="29" t="n"/>
      <c r="O541" s="5" t="n"/>
      <c r="P541" s="5" t="n"/>
      <c r="Q541" s="5" t="n"/>
      <c r="R541" s="5" t="n"/>
      <c r="S541" s="5" t="n"/>
    </row>
    <row r="542">
      <c r="A542" s="32" t="n"/>
      <c r="B542" s="32" t="n"/>
      <c r="C542" s="32" t="n"/>
      <c r="D542" s="32" t="n"/>
      <c r="E542" s="32" t="n"/>
      <c r="F542" s="29" t="n"/>
      <c r="G542" s="29" t="n"/>
      <c r="H542" s="29" t="n"/>
      <c r="I542" s="29" t="n"/>
      <c r="J542" s="29" t="n"/>
      <c r="K542" s="29" t="n"/>
      <c r="L542" s="29" t="n"/>
      <c r="M542" s="29" t="n"/>
      <c r="N542" s="29" t="n"/>
      <c r="O542" s="5" t="n"/>
      <c r="P542" s="5" t="n"/>
      <c r="Q542" s="5" t="n"/>
      <c r="R542" s="5" t="n"/>
      <c r="S542" s="5" t="n"/>
    </row>
    <row r="543">
      <c r="A543" s="32" t="n"/>
      <c r="B543" s="32" t="n"/>
      <c r="C543" s="32" t="n"/>
      <c r="D543" s="32" t="n"/>
      <c r="E543" s="32" t="n"/>
      <c r="F543" s="29" t="n"/>
      <c r="G543" s="29" t="n"/>
      <c r="H543" s="29" t="n"/>
      <c r="I543" s="29" t="n"/>
      <c r="J543" s="29" t="n"/>
      <c r="K543" s="29" t="n"/>
      <c r="L543" s="29" t="n"/>
      <c r="M543" s="29" t="n"/>
      <c r="N543" s="29" t="n"/>
      <c r="O543" s="5" t="n"/>
      <c r="P543" s="5" t="n"/>
      <c r="Q543" s="5" t="n"/>
      <c r="R543" s="5" t="n"/>
      <c r="S543" s="5" t="n"/>
    </row>
    <row r="544">
      <c r="A544" s="32" t="n"/>
      <c r="B544" s="32" t="n"/>
      <c r="C544" s="32" t="n"/>
      <c r="D544" s="32" t="n"/>
      <c r="E544" s="32" t="n"/>
      <c r="F544" s="29" t="n"/>
      <c r="G544" s="29" t="n"/>
      <c r="H544" s="29" t="n"/>
      <c r="I544" s="29" t="n"/>
      <c r="J544" s="29" t="n"/>
      <c r="K544" s="29" t="n"/>
      <c r="L544" s="29" t="n"/>
      <c r="M544" s="29" t="n"/>
      <c r="N544" s="29" t="n"/>
      <c r="O544" s="5" t="n"/>
      <c r="P544" s="5" t="n"/>
      <c r="Q544" s="5" t="n"/>
      <c r="R544" s="5" t="n"/>
      <c r="S544" s="5" t="n"/>
    </row>
    <row r="545">
      <c r="A545" s="32" t="n"/>
      <c r="B545" s="32" t="n"/>
      <c r="C545" s="32" t="n"/>
      <c r="D545" s="32" t="n"/>
      <c r="E545" s="32" t="n"/>
      <c r="F545" s="29" t="n"/>
      <c r="G545" s="29" t="n"/>
      <c r="H545" s="29" t="n"/>
      <c r="I545" s="29" t="n"/>
      <c r="J545" s="29" t="n"/>
      <c r="K545" s="29" t="n"/>
      <c r="L545" s="29" t="n"/>
      <c r="M545" s="29" t="n"/>
      <c r="N545" s="29" t="n"/>
      <c r="O545" s="5" t="n"/>
      <c r="P545" s="5" t="n"/>
      <c r="Q545" s="5" t="n"/>
      <c r="R545" s="5" t="n"/>
      <c r="S545" s="5" t="n"/>
    </row>
    <row r="546">
      <c r="A546" s="32" t="n"/>
      <c r="B546" s="32" t="n"/>
      <c r="C546" s="32" t="n"/>
      <c r="D546" s="32" t="n"/>
      <c r="E546" s="32" t="n"/>
      <c r="F546" s="29" t="n"/>
      <c r="G546" s="29" t="n"/>
      <c r="H546" s="29" t="n"/>
      <c r="I546" s="29" t="n"/>
      <c r="J546" s="29" t="n"/>
      <c r="K546" s="29" t="n"/>
      <c r="L546" s="29" t="n"/>
      <c r="M546" s="29" t="n"/>
      <c r="N546" s="29" t="n"/>
      <c r="O546" s="5" t="n"/>
      <c r="P546" s="5" t="n"/>
      <c r="Q546" s="5" t="n"/>
      <c r="R546" s="5" t="n"/>
      <c r="S546" s="5" t="n"/>
    </row>
    <row r="547">
      <c r="A547" s="32" t="n"/>
      <c r="B547" s="32" t="n"/>
      <c r="C547" s="32" t="n"/>
      <c r="D547" s="32" t="n"/>
      <c r="E547" s="32" t="n"/>
      <c r="F547" s="29" t="n"/>
      <c r="G547" s="29" t="n"/>
      <c r="H547" s="29" t="n"/>
      <c r="I547" s="29" t="n"/>
      <c r="J547" s="29" t="n"/>
      <c r="K547" s="29" t="n"/>
      <c r="L547" s="29" t="n"/>
      <c r="M547" s="29" t="n"/>
      <c r="N547" s="29" t="n"/>
      <c r="O547" s="5" t="n"/>
      <c r="P547" s="5" t="n"/>
      <c r="Q547" s="5" t="n"/>
      <c r="R547" s="5" t="n"/>
      <c r="S547" s="5" t="n"/>
    </row>
    <row r="548">
      <c r="A548" s="32" t="n"/>
      <c r="B548" s="32" t="n"/>
      <c r="C548" s="32" t="n"/>
      <c r="D548" s="32" t="n"/>
      <c r="E548" s="32" t="n"/>
      <c r="F548" s="29" t="n"/>
      <c r="G548" s="29" t="n"/>
      <c r="H548" s="29" t="n"/>
      <c r="I548" s="29" t="n"/>
      <c r="J548" s="29" t="n"/>
      <c r="K548" s="29" t="n"/>
      <c r="L548" s="29" t="n"/>
      <c r="M548" s="29" t="n"/>
      <c r="N548" s="29" t="n"/>
      <c r="O548" s="5" t="n"/>
      <c r="P548" s="5" t="n"/>
      <c r="Q548" s="5" t="n"/>
      <c r="R548" s="5" t="n"/>
      <c r="S548" s="5" t="n"/>
    </row>
    <row r="549">
      <c r="A549" s="32" t="n"/>
      <c r="B549" s="32" t="n"/>
      <c r="C549" s="32" t="n"/>
      <c r="D549" s="32" t="n"/>
      <c r="E549" s="32" t="n"/>
      <c r="F549" s="29" t="n"/>
      <c r="G549" s="29" t="n"/>
      <c r="H549" s="29" t="n"/>
      <c r="I549" s="29" t="n"/>
      <c r="J549" s="29" t="n"/>
      <c r="K549" s="29" t="n"/>
      <c r="L549" s="29" t="n"/>
      <c r="M549" s="29" t="n"/>
      <c r="N549" s="29" t="n"/>
      <c r="O549" s="5" t="n"/>
      <c r="P549" s="5" t="n"/>
      <c r="Q549" s="5" t="n"/>
      <c r="R549" s="5" t="n"/>
      <c r="S549" s="5" t="n"/>
    </row>
    <row r="550">
      <c r="A550" s="32" t="n"/>
      <c r="B550" s="32" t="n"/>
      <c r="C550" s="32" t="n"/>
      <c r="D550" s="32" t="n"/>
      <c r="E550" s="32" t="n"/>
      <c r="F550" s="29" t="n"/>
      <c r="G550" s="29" t="n"/>
      <c r="H550" s="29" t="n"/>
      <c r="I550" s="29" t="n"/>
      <c r="J550" s="29" t="n"/>
      <c r="K550" s="29" t="n"/>
      <c r="L550" s="29" t="n"/>
      <c r="M550" s="29" t="n"/>
      <c r="N550" s="29" t="n"/>
      <c r="O550" s="5" t="n"/>
      <c r="P550" s="5" t="n"/>
      <c r="Q550" s="5" t="n"/>
      <c r="R550" s="5" t="n"/>
      <c r="S550" s="5" t="n"/>
    </row>
    <row r="551">
      <c r="A551" s="32" t="n"/>
      <c r="B551" s="32" t="n"/>
      <c r="C551" s="32" t="n"/>
      <c r="D551" s="32" t="n"/>
      <c r="E551" s="32" t="n"/>
      <c r="F551" s="29" t="n"/>
      <c r="G551" s="29" t="n"/>
      <c r="H551" s="29" t="n"/>
      <c r="I551" s="29" t="n"/>
      <c r="J551" s="29" t="n"/>
      <c r="K551" s="29" t="n"/>
      <c r="L551" s="29" t="n"/>
      <c r="M551" s="29" t="n"/>
      <c r="N551" s="29" t="n"/>
      <c r="O551" s="5" t="n"/>
      <c r="P551" s="5" t="n"/>
      <c r="Q551" s="5" t="n"/>
      <c r="R551" s="5" t="n"/>
      <c r="S551" s="5" t="n"/>
    </row>
    <row r="552">
      <c r="A552" s="32" t="n"/>
      <c r="B552" s="32" t="n"/>
      <c r="C552" s="32" t="n"/>
      <c r="D552" s="32" t="n"/>
      <c r="E552" s="32" t="n"/>
      <c r="F552" s="29" t="n"/>
      <c r="G552" s="29" t="n"/>
      <c r="H552" s="29" t="n"/>
      <c r="I552" s="29" t="n"/>
      <c r="J552" s="29" t="n"/>
      <c r="K552" s="29" t="n"/>
      <c r="L552" s="29" t="n"/>
      <c r="M552" s="29" t="n"/>
      <c r="N552" s="29" t="n"/>
      <c r="O552" s="5" t="n"/>
      <c r="P552" s="5" t="n"/>
      <c r="Q552" s="5" t="n"/>
      <c r="R552" s="5" t="n"/>
      <c r="S552" s="5" t="n"/>
    </row>
    <row r="553">
      <c r="A553" s="32" t="n"/>
      <c r="B553" s="32" t="n"/>
      <c r="C553" s="32" t="n"/>
      <c r="D553" s="32" t="n"/>
      <c r="E553" s="32" t="n"/>
      <c r="F553" s="29" t="n"/>
      <c r="G553" s="29" t="n"/>
      <c r="H553" s="29" t="n"/>
      <c r="I553" s="29" t="n"/>
      <c r="J553" s="29" t="n"/>
      <c r="K553" s="29" t="n"/>
      <c r="L553" s="29" t="n"/>
      <c r="M553" s="29" t="n"/>
      <c r="N553" s="29" t="n"/>
      <c r="O553" s="5" t="n"/>
      <c r="P553" s="5" t="n"/>
      <c r="Q553" s="5" t="n"/>
      <c r="R553" s="5" t="n"/>
      <c r="S553" s="5" t="n"/>
    </row>
    <row r="554">
      <c r="A554" s="32" t="n"/>
      <c r="B554" s="32" t="n"/>
      <c r="C554" s="32" t="n"/>
      <c r="D554" s="32" t="n"/>
      <c r="E554" s="32" t="n"/>
      <c r="F554" s="29" t="n"/>
      <c r="G554" s="29" t="n"/>
      <c r="H554" s="29" t="n"/>
      <c r="I554" s="29" t="n"/>
      <c r="J554" s="29" t="n"/>
      <c r="K554" s="29" t="n"/>
      <c r="L554" s="29" t="n"/>
      <c r="M554" s="29" t="n"/>
      <c r="N554" s="29" t="n"/>
      <c r="O554" s="5" t="n"/>
      <c r="P554" s="5" t="n"/>
      <c r="Q554" s="5" t="n"/>
      <c r="R554" s="5" t="n"/>
      <c r="S554" s="5" t="n"/>
    </row>
    <row r="555">
      <c r="A555" s="32" t="n"/>
      <c r="B555" s="32" t="n"/>
      <c r="C555" s="32" t="n"/>
      <c r="D555" s="32" t="n"/>
      <c r="E555" s="32" t="n"/>
      <c r="F555" s="29" t="n"/>
      <c r="G555" s="29" t="n"/>
      <c r="H555" s="29" t="n"/>
      <c r="I555" s="29" t="n"/>
      <c r="J555" s="29" t="n"/>
      <c r="K555" s="29" t="n"/>
      <c r="L555" s="29" t="n"/>
      <c r="M555" s="29" t="n"/>
      <c r="N555" s="29" t="n"/>
      <c r="O555" s="5" t="n"/>
      <c r="P555" s="5" t="n"/>
      <c r="Q555" s="5" t="n"/>
      <c r="R555" s="5" t="n"/>
      <c r="S555" s="5" t="n"/>
    </row>
    <row r="556">
      <c r="A556" s="32" t="n"/>
      <c r="B556" s="32" t="n"/>
      <c r="C556" s="32" t="n"/>
      <c r="D556" s="32" t="n"/>
      <c r="E556" s="32" t="n"/>
      <c r="F556" s="29" t="n"/>
      <c r="G556" s="29" t="n"/>
      <c r="H556" s="29" t="n"/>
      <c r="I556" s="29" t="n"/>
      <c r="J556" s="29" t="n"/>
      <c r="K556" s="29" t="n"/>
      <c r="L556" s="29" t="n"/>
      <c r="M556" s="29" t="n"/>
      <c r="N556" s="29" t="n"/>
      <c r="O556" s="5" t="n"/>
      <c r="P556" s="5" t="n"/>
      <c r="Q556" s="5" t="n"/>
      <c r="R556" s="5" t="n"/>
      <c r="S556" s="5" t="n"/>
    </row>
    <row r="557">
      <c r="A557" s="32" t="n"/>
      <c r="B557" s="32" t="n"/>
      <c r="C557" s="32" t="n"/>
      <c r="D557" s="32" t="n"/>
      <c r="E557" s="32" t="n"/>
      <c r="F557" s="29" t="n"/>
      <c r="G557" s="29" t="n"/>
      <c r="H557" s="29" t="n"/>
      <c r="I557" s="29" t="n"/>
      <c r="J557" s="29" t="n"/>
      <c r="K557" s="29" t="n"/>
      <c r="L557" s="29" t="n"/>
      <c r="M557" s="29" t="n"/>
      <c r="N557" s="29" t="n"/>
      <c r="O557" s="5" t="n"/>
      <c r="P557" s="5" t="n"/>
      <c r="Q557" s="5" t="n"/>
      <c r="R557" s="5" t="n"/>
      <c r="S557" s="5" t="n"/>
    </row>
    <row r="558">
      <c r="A558" s="32" t="n"/>
      <c r="B558" s="32" t="n"/>
      <c r="C558" s="32" t="n"/>
      <c r="D558" s="32" t="n"/>
      <c r="E558" s="32" t="n"/>
      <c r="F558" s="29" t="n"/>
      <c r="G558" s="29" t="n"/>
      <c r="H558" s="29" t="n"/>
      <c r="I558" s="29" t="n"/>
      <c r="J558" s="29" t="n"/>
      <c r="K558" s="29" t="n"/>
      <c r="L558" s="29" t="n"/>
      <c r="M558" s="29" t="n"/>
      <c r="N558" s="29" t="n"/>
      <c r="O558" s="5" t="n"/>
      <c r="P558" s="5" t="n"/>
      <c r="Q558" s="5" t="n"/>
      <c r="R558" s="5" t="n"/>
      <c r="S558" s="5" t="n"/>
    </row>
    <row r="559">
      <c r="A559" s="32" t="n"/>
      <c r="B559" s="32" t="n"/>
      <c r="C559" s="32" t="n"/>
      <c r="D559" s="32" t="n"/>
      <c r="E559" s="32" t="n"/>
      <c r="F559" s="29" t="n"/>
      <c r="G559" s="29" t="n"/>
      <c r="H559" s="29" t="n"/>
      <c r="I559" s="29" t="n"/>
      <c r="J559" s="29" t="n"/>
      <c r="K559" s="29" t="n"/>
      <c r="L559" s="29" t="n"/>
      <c r="M559" s="29" t="n"/>
      <c r="N559" s="29" t="n"/>
      <c r="O559" s="5" t="n"/>
      <c r="P559" s="5" t="n"/>
      <c r="Q559" s="5" t="n"/>
      <c r="R559" s="5" t="n"/>
      <c r="S559" s="5" t="n"/>
    </row>
    <row r="560">
      <c r="A560" s="32" t="n"/>
      <c r="B560" s="32" t="n"/>
      <c r="C560" s="32" t="n"/>
      <c r="D560" s="32" t="n"/>
      <c r="E560" s="32" t="n"/>
      <c r="F560" s="29" t="n"/>
      <c r="G560" s="29" t="n"/>
      <c r="H560" s="29" t="n"/>
      <c r="I560" s="29" t="n"/>
      <c r="J560" s="29" t="n"/>
      <c r="K560" s="29" t="n"/>
      <c r="L560" s="29" t="n"/>
      <c r="M560" s="29" t="n"/>
      <c r="N560" s="29" t="n"/>
      <c r="O560" s="5" t="n"/>
      <c r="P560" s="5" t="n"/>
      <c r="Q560" s="5" t="n"/>
      <c r="R560" s="5" t="n"/>
      <c r="S560" s="5" t="n"/>
    </row>
    <row r="561">
      <c r="A561" s="32" t="n"/>
      <c r="B561" s="32" t="n"/>
      <c r="C561" s="32" t="n"/>
      <c r="D561" s="32" t="n"/>
      <c r="E561" s="32" t="n"/>
      <c r="F561" s="29" t="n"/>
      <c r="G561" s="29" t="n"/>
      <c r="H561" s="29" t="n"/>
      <c r="I561" s="29" t="n"/>
      <c r="J561" s="29" t="n"/>
      <c r="K561" s="29" t="n"/>
      <c r="L561" s="29" t="n"/>
      <c r="M561" s="29" t="n"/>
      <c r="N561" s="29" t="n"/>
      <c r="O561" s="5" t="n"/>
      <c r="P561" s="5" t="n"/>
      <c r="Q561" s="5" t="n"/>
      <c r="R561" s="5" t="n"/>
      <c r="S561" s="5" t="n"/>
    </row>
    <row r="562">
      <c r="A562" s="32" t="n"/>
      <c r="B562" s="32" t="n"/>
      <c r="C562" s="32" t="n"/>
      <c r="D562" s="32" t="n"/>
      <c r="E562" s="32" t="n"/>
      <c r="F562" s="29" t="n"/>
      <c r="G562" s="29" t="n"/>
      <c r="H562" s="29" t="n"/>
      <c r="I562" s="29" t="n"/>
      <c r="J562" s="29" t="n"/>
      <c r="K562" s="29" t="n"/>
      <c r="L562" s="29" t="n"/>
      <c r="M562" s="29" t="n"/>
      <c r="N562" s="29" t="n"/>
      <c r="O562" s="5" t="n"/>
      <c r="P562" s="5" t="n"/>
      <c r="Q562" s="5" t="n"/>
      <c r="R562" s="5" t="n"/>
      <c r="S562" s="5" t="n"/>
    </row>
    <row r="563">
      <c r="A563" s="32" t="n"/>
      <c r="B563" s="32" t="n"/>
      <c r="C563" s="32" t="n"/>
      <c r="D563" s="32" t="n"/>
      <c r="E563" s="32" t="n"/>
      <c r="F563" s="29" t="n"/>
      <c r="G563" s="29" t="n"/>
      <c r="H563" s="29" t="n"/>
      <c r="I563" s="29" t="n"/>
      <c r="J563" s="29" t="n"/>
      <c r="K563" s="29" t="n"/>
      <c r="L563" s="29" t="n"/>
      <c r="M563" s="29" t="n"/>
      <c r="N563" s="29" t="n"/>
      <c r="O563" s="5" t="n"/>
      <c r="P563" s="5" t="n"/>
      <c r="Q563" s="5" t="n"/>
      <c r="R563" s="5" t="n"/>
      <c r="S563" s="5" t="n"/>
    </row>
    <row r="564">
      <c r="A564" s="32" t="n"/>
      <c r="B564" s="32" t="n"/>
      <c r="C564" s="32" t="n"/>
      <c r="D564" s="32" t="n"/>
      <c r="E564" s="32" t="n"/>
      <c r="F564" s="29" t="n"/>
      <c r="G564" s="29" t="n"/>
      <c r="H564" s="29" t="n"/>
      <c r="I564" s="29" t="n"/>
      <c r="J564" s="29" t="n"/>
      <c r="K564" s="29" t="n"/>
      <c r="L564" s="29" t="n"/>
      <c r="M564" s="29" t="n"/>
      <c r="N564" s="29" t="n"/>
      <c r="O564" s="5" t="n"/>
      <c r="P564" s="5" t="n"/>
      <c r="Q564" s="5" t="n"/>
      <c r="R564" s="5" t="n"/>
      <c r="S564" s="5" t="n"/>
    </row>
    <row r="565">
      <c r="A565" s="32" t="n"/>
      <c r="B565" s="32" t="n"/>
      <c r="C565" s="32" t="n"/>
      <c r="D565" s="32" t="n"/>
      <c r="E565" s="32" t="n"/>
      <c r="F565" s="29" t="n"/>
      <c r="G565" s="29" t="n"/>
      <c r="H565" s="29" t="n"/>
      <c r="I565" s="29" t="n"/>
      <c r="J565" s="29" t="n"/>
      <c r="K565" s="29" t="n"/>
      <c r="L565" s="29" t="n"/>
      <c r="M565" s="29" t="n"/>
      <c r="N565" s="29" t="n"/>
      <c r="O565" s="5" t="n"/>
      <c r="P565" s="5" t="n"/>
      <c r="Q565" s="5" t="n"/>
      <c r="R565" s="5" t="n"/>
      <c r="S565" s="5" t="n"/>
    </row>
    <row r="566">
      <c r="A566" s="32" t="n"/>
      <c r="B566" s="32" t="n"/>
      <c r="C566" s="32" t="n"/>
      <c r="D566" s="32" t="n"/>
      <c r="E566" s="32" t="n"/>
      <c r="F566" s="29" t="n"/>
      <c r="G566" s="29" t="n"/>
      <c r="H566" s="29" t="n"/>
      <c r="I566" s="29" t="n"/>
      <c r="J566" s="29" t="n"/>
      <c r="K566" s="29" t="n"/>
      <c r="L566" s="29" t="n"/>
      <c r="M566" s="29" t="n"/>
      <c r="N566" s="29" t="n"/>
      <c r="O566" s="5" t="n"/>
      <c r="P566" s="5" t="n"/>
      <c r="Q566" s="5" t="n"/>
      <c r="R566" s="5" t="n"/>
      <c r="S566" s="5" t="n"/>
    </row>
    <row r="567">
      <c r="A567" s="32" t="n"/>
      <c r="B567" s="32" t="n"/>
      <c r="C567" s="32" t="n"/>
      <c r="D567" s="32" t="n"/>
      <c r="E567" s="32" t="n"/>
      <c r="F567" s="29" t="n"/>
      <c r="G567" s="29" t="n"/>
      <c r="H567" s="29" t="n"/>
      <c r="I567" s="29" t="n"/>
      <c r="J567" s="29" t="n"/>
      <c r="K567" s="29" t="n"/>
      <c r="L567" s="29" t="n"/>
      <c r="M567" s="29" t="n"/>
      <c r="N567" s="29" t="n"/>
      <c r="O567" s="5" t="n"/>
      <c r="P567" s="5" t="n"/>
      <c r="Q567" s="5" t="n"/>
      <c r="R567" s="5" t="n"/>
      <c r="S567" s="5" t="n"/>
    </row>
    <row r="568">
      <c r="A568" s="32" t="n"/>
      <c r="B568" s="32" t="n"/>
      <c r="C568" s="32" t="n"/>
      <c r="D568" s="32" t="n"/>
      <c r="E568" s="32" t="n"/>
      <c r="F568" s="29" t="n"/>
      <c r="G568" s="29" t="n"/>
      <c r="H568" s="29" t="n"/>
      <c r="I568" s="29" t="n"/>
      <c r="J568" s="29" t="n"/>
      <c r="K568" s="29" t="n"/>
      <c r="L568" s="29" t="n"/>
      <c r="M568" s="29" t="n"/>
      <c r="N568" s="29" t="n"/>
      <c r="O568" s="5" t="n"/>
      <c r="P568" s="5" t="n"/>
      <c r="Q568" s="5" t="n"/>
      <c r="R568" s="5" t="n"/>
      <c r="S568" s="5" t="n"/>
    </row>
    <row r="569">
      <c r="A569" s="32" t="n"/>
      <c r="B569" s="32" t="n"/>
      <c r="C569" s="32" t="n"/>
      <c r="D569" s="32" t="n"/>
      <c r="E569" s="32" t="n"/>
      <c r="F569" s="29" t="n"/>
      <c r="G569" s="29" t="n"/>
      <c r="H569" s="29" t="n"/>
      <c r="I569" s="29" t="n"/>
      <c r="J569" s="29" t="n"/>
      <c r="K569" s="29" t="n"/>
      <c r="L569" s="29" t="n"/>
      <c r="M569" s="29" t="n"/>
      <c r="N569" s="29" t="n"/>
      <c r="O569" s="5" t="n"/>
      <c r="P569" s="5" t="n"/>
      <c r="Q569" s="5" t="n"/>
      <c r="R569" s="5" t="n"/>
      <c r="S569" s="5" t="n"/>
    </row>
    <row r="570">
      <c r="A570" s="32" t="n"/>
      <c r="B570" s="32" t="n"/>
      <c r="C570" s="32" t="n"/>
      <c r="D570" s="32" t="n"/>
      <c r="E570" s="32" t="n"/>
      <c r="F570" s="29" t="n"/>
      <c r="G570" s="29" t="n"/>
      <c r="H570" s="29" t="n"/>
      <c r="I570" s="29" t="n"/>
      <c r="J570" s="29" t="n"/>
      <c r="K570" s="29" t="n"/>
      <c r="L570" s="29" t="n"/>
      <c r="M570" s="29" t="n"/>
      <c r="N570" s="29" t="n"/>
      <c r="O570" s="5" t="n"/>
      <c r="P570" s="5" t="n"/>
      <c r="Q570" s="5" t="n"/>
      <c r="R570" s="5" t="n"/>
      <c r="S570" s="5" t="n"/>
    </row>
    <row r="571">
      <c r="A571" s="32" t="n"/>
      <c r="B571" s="32" t="n"/>
      <c r="C571" s="32" t="n"/>
      <c r="D571" s="32" t="n"/>
      <c r="E571" s="32" t="n"/>
      <c r="F571" s="29" t="n"/>
      <c r="G571" s="29" t="n"/>
      <c r="H571" s="29" t="n"/>
      <c r="I571" s="29" t="n"/>
      <c r="J571" s="29" t="n"/>
      <c r="K571" s="29" t="n"/>
      <c r="L571" s="29" t="n"/>
      <c r="M571" s="29" t="n"/>
      <c r="N571" s="29" t="n"/>
      <c r="O571" s="5" t="n"/>
      <c r="P571" s="5" t="n"/>
      <c r="Q571" s="5" t="n"/>
      <c r="R571" s="5" t="n"/>
      <c r="S571" s="5" t="n"/>
    </row>
    <row r="572">
      <c r="A572" s="32" t="n"/>
      <c r="B572" s="32" t="n"/>
      <c r="C572" s="32" t="n"/>
      <c r="D572" s="32" t="n"/>
      <c r="E572" s="32" t="n"/>
      <c r="F572" s="29" t="n"/>
      <c r="G572" s="29" t="n"/>
      <c r="H572" s="29" t="n"/>
      <c r="I572" s="29" t="n"/>
      <c r="J572" s="29" t="n"/>
      <c r="K572" s="29" t="n"/>
      <c r="L572" s="29" t="n"/>
      <c r="M572" s="29" t="n"/>
      <c r="N572" s="29" t="n"/>
      <c r="O572" s="5" t="n"/>
      <c r="P572" s="5" t="n"/>
      <c r="Q572" s="5" t="n"/>
      <c r="R572" s="5" t="n"/>
      <c r="S572" s="5" t="n"/>
    </row>
    <row r="573">
      <c r="A573" s="32" t="n"/>
      <c r="B573" s="32" t="n"/>
      <c r="C573" s="32" t="n"/>
      <c r="D573" s="32" t="n"/>
      <c r="E573" s="32" t="n"/>
      <c r="F573" s="29" t="n"/>
      <c r="G573" s="29" t="n"/>
      <c r="H573" s="29" t="n"/>
      <c r="I573" s="29" t="n"/>
      <c r="J573" s="29" t="n"/>
      <c r="K573" s="29" t="n"/>
      <c r="L573" s="29" t="n"/>
      <c r="M573" s="29" t="n"/>
      <c r="N573" s="29" t="n"/>
      <c r="O573" s="5" t="n"/>
      <c r="P573" s="5" t="n"/>
      <c r="Q573" s="5" t="n"/>
      <c r="R573" s="5" t="n"/>
      <c r="S573" s="5" t="n"/>
    </row>
    <row r="574">
      <c r="A574" s="32" t="n"/>
      <c r="B574" s="32" t="n"/>
      <c r="C574" s="32" t="n"/>
      <c r="D574" s="32" t="n"/>
      <c r="E574" s="32" t="n"/>
      <c r="F574" s="29" t="n"/>
      <c r="G574" s="29" t="n"/>
      <c r="H574" s="29" t="n"/>
      <c r="I574" s="29" t="n"/>
      <c r="J574" s="29" t="n"/>
      <c r="K574" s="29" t="n"/>
      <c r="L574" s="29" t="n"/>
      <c r="M574" s="29" t="n"/>
      <c r="N574" s="29" t="n"/>
      <c r="O574" s="5" t="n"/>
      <c r="P574" s="5" t="n"/>
      <c r="Q574" s="5" t="n"/>
      <c r="R574" s="5" t="n"/>
      <c r="S574" s="5" t="n"/>
    </row>
    <row r="575">
      <c r="A575" s="32" t="n"/>
      <c r="B575" s="32" t="n"/>
      <c r="C575" s="32" t="n"/>
      <c r="D575" s="32" t="n"/>
      <c r="E575" s="32" t="n"/>
      <c r="F575" s="29" t="n"/>
      <c r="G575" s="29" t="n"/>
      <c r="H575" s="29" t="n"/>
      <c r="I575" s="29" t="n"/>
      <c r="J575" s="29" t="n"/>
      <c r="K575" s="29" t="n"/>
      <c r="L575" s="29" t="n"/>
      <c r="M575" s="29" t="n"/>
      <c r="N575" s="29" t="n"/>
      <c r="O575" s="5" t="n"/>
      <c r="P575" s="5" t="n"/>
      <c r="Q575" s="5" t="n"/>
      <c r="R575" s="5" t="n"/>
      <c r="S575" s="5" t="n"/>
    </row>
    <row r="576">
      <c r="A576" s="32" t="n"/>
      <c r="B576" s="32" t="n"/>
      <c r="C576" s="32" t="n"/>
      <c r="D576" s="32" t="n"/>
      <c r="E576" s="32" t="n"/>
      <c r="F576" s="29" t="n"/>
      <c r="G576" s="29" t="n"/>
      <c r="H576" s="29" t="n"/>
      <c r="I576" s="29" t="n"/>
      <c r="J576" s="29" t="n"/>
      <c r="K576" s="29" t="n"/>
      <c r="L576" s="29" t="n"/>
      <c r="M576" s="29" t="n"/>
      <c r="N576" s="29" t="n"/>
      <c r="O576" s="5" t="n"/>
      <c r="P576" s="5" t="n"/>
      <c r="Q576" s="5" t="n"/>
      <c r="R576" s="5" t="n"/>
      <c r="S576" s="5" t="n"/>
    </row>
    <row r="577">
      <c r="A577" s="32" t="n"/>
      <c r="B577" s="32" t="n"/>
      <c r="C577" s="32" t="n"/>
      <c r="D577" s="32" t="n"/>
      <c r="E577" s="32" t="n"/>
      <c r="F577" s="29" t="n"/>
      <c r="G577" s="29" t="n"/>
      <c r="H577" s="29" t="n"/>
      <c r="I577" s="29" t="n"/>
      <c r="J577" s="29" t="n"/>
      <c r="K577" s="29" t="n"/>
      <c r="L577" s="29" t="n"/>
      <c r="M577" s="29" t="n"/>
      <c r="N577" s="29" t="n"/>
      <c r="O577" s="5" t="n"/>
      <c r="P577" s="5" t="n"/>
      <c r="Q577" s="5" t="n"/>
      <c r="R577" s="5" t="n"/>
      <c r="S577" s="5" t="n"/>
    </row>
    <row r="578">
      <c r="A578" s="32" t="n"/>
      <c r="B578" s="32" t="n"/>
      <c r="C578" s="32" t="n"/>
      <c r="D578" s="32" t="n"/>
      <c r="E578" s="32" t="n"/>
      <c r="F578" s="29" t="n"/>
      <c r="G578" s="29" t="n"/>
      <c r="H578" s="29" t="n"/>
      <c r="I578" s="29" t="n"/>
      <c r="J578" s="29" t="n"/>
      <c r="K578" s="29" t="n"/>
      <c r="L578" s="29" t="n"/>
      <c r="M578" s="29" t="n"/>
      <c r="N578" s="29" t="n"/>
      <c r="O578" s="5" t="n"/>
      <c r="P578" s="5" t="n"/>
      <c r="Q578" s="5" t="n"/>
      <c r="R578" s="5" t="n"/>
      <c r="S578" s="5" t="n"/>
    </row>
    <row r="579">
      <c r="A579" s="32" t="n"/>
      <c r="B579" s="32" t="n"/>
      <c r="C579" s="32" t="n"/>
      <c r="D579" s="32" t="n"/>
      <c r="E579" s="32" t="n"/>
      <c r="F579" s="29" t="n"/>
      <c r="G579" s="29" t="n"/>
      <c r="H579" s="29" t="n"/>
      <c r="I579" s="29" t="n"/>
      <c r="J579" s="29" t="n"/>
      <c r="K579" s="29" t="n"/>
      <c r="L579" s="29" t="n"/>
      <c r="M579" s="29" t="n"/>
      <c r="N579" s="29" t="n"/>
      <c r="O579" s="5" t="n"/>
      <c r="P579" s="5" t="n"/>
      <c r="Q579" s="5" t="n"/>
      <c r="R579" s="5" t="n"/>
      <c r="S579" s="5" t="n"/>
    </row>
    <row r="580">
      <c r="A580" s="32" t="n"/>
      <c r="B580" s="32" t="n"/>
      <c r="C580" s="32" t="n"/>
      <c r="D580" s="32" t="n"/>
      <c r="E580" s="32" t="n"/>
      <c r="F580" s="29" t="n"/>
      <c r="G580" s="29" t="n"/>
      <c r="H580" s="29" t="n"/>
      <c r="I580" s="29" t="n"/>
      <c r="J580" s="29" t="n"/>
      <c r="K580" s="29" t="n"/>
      <c r="L580" s="29" t="n"/>
      <c r="M580" s="29" t="n"/>
      <c r="N580" s="29" t="n"/>
      <c r="O580" s="5" t="n"/>
      <c r="P580" s="5" t="n"/>
      <c r="Q580" s="5" t="n"/>
      <c r="R580" s="5" t="n"/>
      <c r="S580" s="5" t="n"/>
    </row>
    <row r="581">
      <c r="A581" s="32" t="n"/>
      <c r="B581" s="32" t="n"/>
      <c r="C581" s="32" t="n"/>
      <c r="D581" s="32" t="n"/>
      <c r="E581" s="32" t="n"/>
      <c r="F581" s="29" t="n"/>
      <c r="G581" s="29" t="n"/>
      <c r="H581" s="29" t="n"/>
      <c r="I581" s="29" t="n"/>
      <c r="J581" s="29" t="n"/>
      <c r="K581" s="29" t="n"/>
      <c r="L581" s="29" t="n"/>
      <c r="M581" s="29" t="n"/>
      <c r="N581" s="29" t="n"/>
      <c r="O581" s="5" t="n"/>
      <c r="P581" s="5" t="n"/>
      <c r="Q581" s="5" t="n"/>
      <c r="R581" s="5" t="n"/>
      <c r="S581" s="5" t="n"/>
    </row>
    <row r="582">
      <c r="A582" s="32" t="n"/>
      <c r="B582" s="32" t="n"/>
      <c r="C582" s="32" t="n"/>
      <c r="D582" s="32" t="n"/>
      <c r="E582" s="32" t="n"/>
      <c r="F582" s="29" t="n"/>
      <c r="G582" s="29" t="n"/>
      <c r="H582" s="29" t="n"/>
      <c r="I582" s="29" t="n"/>
      <c r="J582" s="29" t="n"/>
      <c r="K582" s="29" t="n"/>
      <c r="L582" s="29" t="n"/>
      <c r="M582" s="29" t="n"/>
      <c r="N582" s="29" t="n"/>
      <c r="O582" s="5" t="n"/>
      <c r="P582" s="5" t="n"/>
      <c r="Q582" s="5" t="n"/>
      <c r="R582" s="5" t="n"/>
      <c r="S582" s="5" t="n"/>
    </row>
    <row r="583">
      <c r="A583" s="32" t="n"/>
      <c r="B583" s="32" t="n"/>
      <c r="C583" s="32" t="n"/>
      <c r="D583" s="32" t="n"/>
      <c r="E583" s="32" t="n"/>
      <c r="F583" s="29" t="n"/>
      <c r="G583" s="29" t="n"/>
      <c r="H583" s="29" t="n"/>
      <c r="I583" s="29" t="n"/>
      <c r="J583" s="29" t="n"/>
      <c r="K583" s="29" t="n"/>
      <c r="L583" s="29" t="n"/>
      <c r="M583" s="29" t="n"/>
      <c r="N583" s="29" t="n"/>
      <c r="O583" s="5" t="n"/>
      <c r="P583" s="5" t="n"/>
      <c r="Q583" s="5" t="n"/>
      <c r="R583" s="5" t="n"/>
      <c r="S583" s="5" t="n"/>
    </row>
    <row r="584">
      <c r="A584" s="32" t="n"/>
      <c r="B584" s="32" t="n"/>
      <c r="C584" s="32" t="n"/>
      <c r="D584" s="32" t="n"/>
      <c r="E584" s="32" t="n"/>
      <c r="F584" s="29" t="n"/>
      <c r="G584" s="29" t="n"/>
      <c r="H584" s="29" t="n"/>
      <c r="I584" s="29" t="n"/>
      <c r="J584" s="29" t="n"/>
      <c r="K584" s="29" t="n"/>
      <c r="L584" s="29" t="n"/>
      <c r="M584" s="29" t="n"/>
      <c r="N584" s="29" t="n"/>
      <c r="O584" s="5" t="n"/>
      <c r="P584" s="5" t="n"/>
      <c r="Q584" s="5" t="n"/>
      <c r="R584" s="5" t="n"/>
      <c r="S584" s="5" t="n"/>
    </row>
    <row r="585">
      <c r="A585" s="32" t="n"/>
      <c r="B585" s="32" t="n"/>
      <c r="C585" s="32" t="n"/>
      <c r="D585" s="32" t="n"/>
      <c r="E585" s="32" t="n"/>
      <c r="F585" s="29" t="n"/>
      <c r="G585" s="29" t="n"/>
      <c r="H585" s="29" t="n"/>
      <c r="I585" s="29" t="n"/>
      <c r="J585" s="29" t="n"/>
      <c r="K585" s="29" t="n"/>
      <c r="L585" s="29" t="n"/>
      <c r="M585" s="29" t="n"/>
      <c r="N585" s="29" t="n"/>
      <c r="O585" s="5" t="n"/>
      <c r="P585" s="5" t="n"/>
      <c r="Q585" s="5" t="n"/>
      <c r="R585" s="5" t="n"/>
      <c r="S585" s="5" t="n"/>
    </row>
    <row r="586">
      <c r="A586" s="32" t="n"/>
      <c r="B586" s="32" t="n"/>
      <c r="C586" s="32" t="n"/>
      <c r="D586" s="32" t="n"/>
      <c r="E586" s="32" t="n"/>
      <c r="F586" s="29" t="n"/>
      <c r="G586" s="29" t="n"/>
      <c r="H586" s="29" t="n"/>
      <c r="I586" s="29" t="n"/>
      <c r="J586" s="29" t="n"/>
      <c r="K586" s="29" t="n"/>
      <c r="L586" s="29" t="n"/>
      <c r="M586" s="29" t="n"/>
      <c r="N586" s="29" t="n"/>
      <c r="O586" s="5" t="n"/>
      <c r="P586" s="5" t="n"/>
      <c r="Q586" s="5" t="n"/>
      <c r="R586" s="5" t="n"/>
      <c r="S586" s="5" t="n"/>
    </row>
    <row r="587">
      <c r="A587" s="32" t="n"/>
      <c r="B587" s="32" t="n"/>
      <c r="C587" s="32" t="n"/>
      <c r="D587" s="32" t="n"/>
      <c r="E587" s="32" t="n"/>
      <c r="F587" s="29" t="n"/>
      <c r="G587" s="29" t="n"/>
      <c r="H587" s="29" t="n"/>
      <c r="I587" s="29" t="n"/>
      <c r="J587" s="29" t="n"/>
      <c r="K587" s="29" t="n"/>
      <c r="L587" s="29" t="n"/>
      <c r="M587" s="29" t="n"/>
      <c r="N587" s="29" t="n"/>
      <c r="O587" s="5" t="n"/>
      <c r="P587" s="5" t="n"/>
      <c r="Q587" s="5" t="n"/>
      <c r="R587" s="5" t="n"/>
      <c r="S587" s="5" t="n"/>
    </row>
    <row r="588">
      <c r="A588" s="32" t="n"/>
      <c r="B588" s="32" t="n"/>
      <c r="C588" s="32" t="n"/>
      <c r="D588" s="32" t="n"/>
      <c r="E588" s="32" t="n"/>
      <c r="F588" s="29" t="n"/>
      <c r="G588" s="29" t="n"/>
      <c r="H588" s="29" t="n"/>
      <c r="I588" s="29" t="n"/>
      <c r="J588" s="29" t="n"/>
      <c r="K588" s="29" t="n"/>
      <c r="L588" s="29" t="n"/>
      <c r="M588" s="29" t="n"/>
      <c r="N588" s="29" t="n"/>
      <c r="O588" s="5" t="n"/>
      <c r="P588" s="5" t="n"/>
      <c r="Q588" s="5" t="n"/>
      <c r="R588" s="5" t="n"/>
      <c r="S588" s="5" t="n"/>
    </row>
    <row r="589">
      <c r="A589" s="32" t="n"/>
      <c r="B589" s="32" t="n"/>
      <c r="C589" s="32" t="n"/>
      <c r="D589" s="32" t="n"/>
      <c r="E589" s="32" t="n"/>
      <c r="F589" s="29" t="n"/>
      <c r="G589" s="29" t="n"/>
      <c r="H589" s="29" t="n"/>
      <c r="I589" s="29" t="n"/>
      <c r="J589" s="29" t="n"/>
      <c r="K589" s="29" t="n"/>
      <c r="L589" s="29" t="n"/>
      <c r="M589" s="29" t="n"/>
      <c r="N589" s="29" t="n"/>
      <c r="O589" s="5" t="n"/>
      <c r="P589" s="5" t="n"/>
      <c r="Q589" s="5" t="n"/>
      <c r="R589" s="5" t="n"/>
      <c r="S589" s="5" t="n"/>
    </row>
    <row r="590">
      <c r="A590" s="32" t="n"/>
      <c r="B590" s="32" t="n"/>
      <c r="C590" s="32" t="n"/>
      <c r="D590" s="32" t="n"/>
      <c r="E590" s="32" t="n"/>
      <c r="F590" s="29" t="n"/>
      <c r="G590" s="29" t="n"/>
      <c r="H590" s="29" t="n"/>
      <c r="I590" s="29" t="n"/>
      <c r="J590" s="29" t="n"/>
      <c r="K590" s="29" t="n"/>
      <c r="L590" s="29" t="n"/>
      <c r="M590" s="29" t="n"/>
      <c r="N590" s="29" t="n"/>
      <c r="O590" s="5" t="n"/>
      <c r="P590" s="5" t="n"/>
      <c r="Q590" s="5" t="n"/>
      <c r="R590" s="5" t="n"/>
      <c r="S590" s="5" t="n"/>
    </row>
    <row r="591">
      <c r="A591" s="32" t="n"/>
      <c r="B591" s="32" t="n"/>
      <c r="C591" s="32" t="n"/>
      <c r="D591" s="32" t="n"/>
      <c r="E591" s="32" t="n"/>
      <c r="F591" s="29" t="n"/>
      <c r="G591" s="29" t="n"/>
      <c r="H591" s="29" t="n"/>
      <c r="I591" s="29" t="n"/>
      <c r="J591" s="29" t="n"/>
      <c r="K591" s="29" t="n"/>
      <c r="L591" s="29" t="n"/>
      <c r="M591" s="29" t="n"/>
      <c r="N591" s="29" t="n"/>
      <c r="O591" s="5" t="n"/>
      <c r="P591" s="5" t="n"/>
      <c r="Q591" s="5" t="n"/>
      <c r="R591" s="5" t="n"/>
      <c r="S591" s="5" t="n"/>
    </row>
    <row r="592">
      <c r="A592" s="32" t="n"/>
      <c r="B592" s="32" t="n"/>
      <c r="C592" s="32" t="n"/>
      <c r="D592" s="32" t="n"/>
      <c r="E592" s="32" t="n"/>
      <c r="F592" s="29" t="n"/>
      <c r="G592" s="29" t="n"/>
      <c r="H592" s="29" t="n"/>
      <c r="I592" s="29" t="n"/>
      <c r="J592" s="29" t="n"/>
      <c r="K592" s="29" t="n"/>
      <c r="L592" s="29" t="n"/>
      <c r="M592" s="29" t="n"/>
      <c r="N592" s="29" t="n"/>
      <c r="O592" s="5" t="n"/>
      <c r="P592" s="5" t="n"/>
      <c r="Q592" s="5" t="n"/>
      <c r="R592" s="5" t="n"/>
      <c r="S592" s="5" t="n"/>
    </row>
    <row r="593">
      <c r="A593" s="32" t="n"/>
      <c r="B593" s="32" t="n"/>
      <c r="C593" s="32" t="n"/>
      <c r="D593" s="32" t="n"/>
      <c r="E593" s="32" t="n"/>
      <c r="F593" s="29" t="n"/>
      <c r="G593" s="29" t="n"/>
      <c r="H593" s="29" t="n"/>
      <c r="I593" s="29" t="n"/>
      <c r="J593" s="29" t="n"/>
      <c r="K593" s="29" t="n"/>
      <c r="L593" s="29" t="n"/>
      <c r="M593" s="29" t="n"/>
      <c r="N593" s="29" t="n"/>
      <c r="O593" s="5" t="n"/>
      <c r="P593" s="5" t="n"/>
      <c r="Q593" s="5" t="n"/>
      <c r="R593" s="5" t="n"/>
      <c r="S593" s="5" t="n"/>
    </row>
    <row r="594">
      <c r="A594" s="32" t="n"/>
      <c r="B594" s="32" t="n"/>
      <c r="C594" s="32" t="n"/>
      <c r="D594" s="32" t="n"/>
      <c r="E594" s="32" t="n"/>
      <c r="F594" s="29" t="n"/>
      <c r="G594" s="29" t="n"/>
      <c r="H594" s="29" t="n"/>
      <c r="I594" s="29" t="n"/>
      <c r="J594" s="29" t="n"/>
      <c r="K594" s="29" t="n"/>
      <c r="L594" s="29" t="n"/>
      <c r="M594" s="29" t="n"/>
      <c r="N594" s="29" t="n"/>
      <c r="O594" s="5" t="n"/>
      <c r="P594" s="5" t="n"/>
      <c r="Q594" s="5" t="n"/>
      <c r="R594" s="5" t="n"/>
      <c r="S594" s="5" t="n"/>
    </row>
    <row r="595">
      <c r="A595" s="32" t="n"/>
      <c r="B595" s="32" t="n"/>
      <c r="C595" s="32" t="n"/>
      <c r="D595" s="32" t="n"/>
      <c r="E595" s="32" t="n"/>
      <c r="F595" s="29" t="n"/>
      <c r="G595" s="29" t="n"/>
      <c r="H595" s="29" t="n"/>
      <c r="I595" s="29" t="n"/>
      <c r="J595" s="29" t="n"/>
      <c r="K595" s="29" t="n"/>
      <c r="L595" s="29" t="n"/>
      <c r="M595" s="29" t="n"/>
      <c r="N595" s="29" t="n"/>
      <c r="O595" s="5" t="n"/>
      <c r="P595" s="5" t="n"/>
      <c r="Q595" s="5" t="n"/>
      <c r="R595" s="5" t="n"/>
      <c r="S595" s="5" t="n"/>
    </row>
    <row r="596">
      <c r="A596" s="32" t="n"/>
      <c r="B596" s="32" t="n"/>
      <c r="C596" s="32" t="n"/>
      <c r="D596" s="32" t="n"/>
      <c r="E596" s="32" t="n"/>
      <c r="F596" s="29" t="n"/>
      <c r="G596" s="29" t="n"/>
      <c r="H596" s="29" t="n"/>
      <c r="I596" s="29" t="n"/>
      <c r="J596" s="29" t="n"/>
      <c r="K596" s="29" t="n"/>
      <c r="L596" s="29" t="n"/>
      <c r="M596" s="29" t="n"/>
      <c r="N596" s="29" t="n"/>
      <c r="O596" s="5" t="n"/>
      <c r="P596" s="5" t="n"/>
      <c r="Q596" s="5" t="n"/>
      <c r="R596" s="5" t="n"/>
      <c r="S596" s="5" t="n"/>
    </row>
    <row r="597">
      <c r="A597" s="32" t="n"/>
      <c r="B597" s="32" t="n"/>
      <c r="C597" s="32" t="n"/>
      <c r="D597" s="32" t="n"/>
      <c r="E597" s="32" t="n"/>
      <c r="F597" s="29" t="n"/>
      <c r="G597" s="29" t="n"/>
      <c r="H597" s="29" t="n"/>
      <c r="I597" s="29" t="n"/>
      <c r="J597" s="29" t="n"/>
      <c r="K597" s="29" t="n"/>
      <c r="L597" s="29" t="n"/>
      <c r="M597" s="29" t="n"/>
      <c r="N597" s="29" t="n"/>
      <c r="O597" s="5" t="n"/>
      <c r="P597" s="5" t="n"/>
      <c r="Q597" s="5" t="n"/>
      <c r="R597" s="5" t="n"/>
      <c r="S597" s="5" t="n"/>
    </row>
    <row r="598">
      <c r="A598" s="32" t="n"/>
      <c r="B598" s="32" t="n"/>
      <c r="C598" s="32" t="n"/>
      <c r="D598" s="32" t="n"/>
      <c r="E598" s="32" t="n"/>
      <c r="F598" s="29" t="n"/>
      <c r="G598" s="29" t="n"/>
      <c r="H598" s="29" t="n"/>
      <c r="I598" s="29" t="n"/>
      <c r="J598" s="29" t="n"/>
      <c r="K598" s="29" t="n"/>
      <c r="L598" s="29" t="n"/>
      <c r="M598" s="29" t="n"/>
      <c r="N598" s="29" t="n"/>
      <c r="O598" s="5" t="n"/>
      <c r="P598" s="5" t="n"/>
      <c r="Q598" s="5" t="n"/>
      <c r="R598" s="5" t="n"/>
      <c r="S598" s="5" t="n"/>
    </row>
    <row r="599">
      <c r="A599" s="32" t="n"/>
      <c r="B599" s="32" t="n"/>
      <c r="C599" s="32" t="n"/>
      <c r="D599" s="32" t="n"/>
      <c r="E599" s="32" t="n"/>
      <c r="F599" s="29" t="n"/>
      <c r="G599" s="29" t="n"/>
      <c r="H599" s="29" t="n"/>
      <c r="I599" s="29" t="n"/>
      <c r="J599" s="29" t="n"/>
      <c r="K599" s="29" t="n"/>
      <c r="L599" s="29" t="n"/>
      <c r="M599" s="29" t="n"/>
      <c r="N599" s="29" t="n"/>
      <c r="O599" s="5" t="n"/>
      <c r="P599" s="5" t="n"/>
      <c r="Q599" s="5" t="n"/>
      <c r="R599" s="5" t="n"/>
      <c r="S599" s="5" t="n"/>
    </row>
    <row r="600">
      <c r="A600" s="32" t="n"/>
      <c r="B600" s="32" t="n"/>
      <c r="C600" s="32" t="n"/>
      <c r="D600" s="32" t="n"/>
      <c r="E600" s="32" t="n"/>
      <c r="F600" s="29" t="n"/>
      <c r="G600" s="29" t="n"/>
      <c r="H600" s="29" t="n"/>
      <c r="I600" s="29" t="n"/>
      <c r="J600" s="29" t="n"/>
      <c r="K600" s="29" t="n"/>
      <c r="L600" s="29" t="n"/>
      <c r="M600" s="29" t="n"/>
      <c r="N600" s="29" t="n"/>
      <c r="O600" s="5" t="n"/>
      <c r="P600" s="5" t="n"/>
      <c r="Q600" s="5" t="n"/>
      <c r="R600" s="5" t="n"/>
      <c r="S600" s="5" t="n"/>
    </row>
    <row r="601">
      <c r="A601" s="32" t="n"/>
      <c r="B601" s="32" t="n"/>
      <c r="C601" s="32" t="n"/>
      <c r="D601" s="32" t="n"/>
      <c r="E601" s="32" t="n"/>
      <c r="F601" s="29" t="n"/>
      <c r="G601" s="29" t="n"/>
      <c r="H601" s="29" t="n"/>
      <c r="I601" s="29" t="n"/>
      <c r="J601" s="29" t="n"/>
      <c r="K601" s="29" t="n"/>
      <c r="L601" s="29" t="n"/>
      <c r="M601" s="29" t="n"/>
      <c r="N601" s="29" t="n"/>
      <c r="O601" s="5" t="n"/>
      <c r="P601" s="5" t="n"/>
      <c r="Q601" s="5" t="n"/>
      <c r="R601" s="5" t="n"/>
      <c r="S601" s="5" t="n"/>
    </row>
    <row r="602">
      <c r="A602" s="32" t="n"/>
      <c r="B602" s="32" t="n"/>
      <c r="C602" s="32" t="n"/>
      <c r="D602" s="32" t="n"/>
      <c r="E602" s="32" t="n"/>
      <c r="F602" s="29" t="n"/>
      <c r="G602" s="29" t="n"/>
      <c r="H602" s="29" t="n"/>
      <c r="I602" s="29" t="n"/>
      <c r="J602" s="29" t="n"/>
      <c r="K602" s="29" t="n"/>
      <c r="L602" s="29" t="n"/>
      <c r="M602" s="29" t="n"/>
      <c r="N602" s="29" t="n"/>
      <c r="O602" s="5" t="n"/>
      <c r="P602" s="5" t="n"/>
      <c r="Q602" s="5" t="n"/>
      <c r="R602" s="5" t="n"/>
      <c r="S602" s="5" t="n"/>
    </row>
    <row r="603">
      <c r="A603" s="32" t="n"/>
      <c r="B603" s="32" t="n"/>
      <c r="C603" s="32" t="n"/>
      <c r="D603" s="32" t="n"/>
      <c r="E603" s="32" t="n"/>
      <c r="F603" s="29" t="n"/>
      <c r="G603" s="29" t="n"/>
      <c r="H603" s="29" t="n"/>
      <c r="I603" s="29" t="n"/>
      <c r="J603" s="29" t="n"/>
      <c r="K603" s="29" t="n"/>
      <c r="L603" s="29" t="n"/>
      <c r="M603" s="29" t="n"/>
      <c r="N603" s="29" t="n"/>
      <c r="O603" s="5" t="n"/>
      <c r="P603" s="5" t="n"/>
      <c r="Q603" s="5" t="n"/>
      <c r="R603" s="5" t="n"/>
      <c r="S603" s="5" t="n"/>
    </row>
    <row r="604">
      <c r="A604" s="32" t="n"/>
      <c r="B604" s="32" t="n"/>
      <c r="C604" s="32" t="n"/>
      <c r="D604" s="32" t="n"/>
      <c r="E604" s="32" t="n"/>
      <c r="F604" s="29" t="n"/>
      <c r="G604" s="29" t="n"/>
      <c r="H604" s="29" t="n"/>
      <c r="I604" s="29" t="n"/>
      <c r="J604" s="29" t="n"/>
      <c r="K604" s="29" t="n"/>
      <c r="L604" s="29" t="n"/>
      <c r="M604" s="29" t="n"/>
      <c r="N604" s="29" t="n"/>
      <c r="O604" s="5" t="n"/>
      <c r="P604" s="5" t="n"/>
      <c r="Q604" s="5" t="n"/>
      <c r="R604" s="5" t="n"/>
      <c r="S604" s="5" t="n"/>
    </row>
    <row r="605">
      <c r="A605" s="32" t="n"/>
      <c r="B605" s="32" t="n"/>
      <c r="C605" s="32" t="n"/>
      <c r="D605" s="32" t="n"/>
      <c r="E605" s="32" t="n"/>
      <c r="F605" s="29" t="n"/>
      <c r="G605" s="29" t="n"/>
      <c r="H605" s="29" t="n"/>
      <c r="I605" s="29" t="n"/>
      <c r="J605" s="29" t="n"/>
      <c r="K605" s="29" t="n"/>
      <c r="L605" s="29" t="n"/>
      <c r="M605" s="29" t="n"/>
      <c r="N605" s="29" t="n"/>
      <c r="O605" s="5" t="n"/>
      <c r="P605" s="5" t="n"/>
      <c r="Q605" s="5" t="n"/>
      <c r="R605" s="5" t="n"/>
      <c r="S605" s="5" t="n"/>
    </row>
    <row r="606">
      <c r="A606" s="32" t="n"/>
      <c r="B606" s="32" t="n"/>
      <c r="C606" s="32" t="n"/>
      <c r="D606" s="32" t="n"/>
      <c r="E606" s="32" t="n"/>
      <c r="F606" s="29" t="n"/>
      <c r="G606" s="29" t="n"/>
      <c r="H606" s="29" t="n"/>
      <c r="I606" s="29" t="n"/>
      <c r="J606" s="29" t="n"/>
      <c r="K606" s="29" t="n"/>
      <c r="L606" s="29" t="n"/>
      <c r="M606" s="29" t="n"/>
      <c r="N606" s="29" t="n"/>
      <c r="O606" s="5" t="n"/>
      <c r="P606" s="5" t="n"/>
      <c r="Q606" s="5" t="n"/>
      <c r="R606" s="5" t="n"/>
      <c r="S606" s="5" t="n"/>
    </row>
    <row r="607">
      <c r="A607" s="32" t="n"/>
      <c r="B607" s="32" t="n"/>
      <c r="C607" s="32" t="n"/>
      <c r="D607" s="32" t="n"/>
      <c r="E607" s="32" t="n"/>
      <c r="F607" s="29" t="n"/>
      <c r="G607" s="29" t="n"/>
      <c r="H607" s="29" t="n"/>
      <c r="I607" s="29" t="n"/>
      <c r="J607" s="29" t="n"/>
      <c r="K607" s="29" t="n"/>
      <c r="L607" s="29" t="n"/>
      <c r="M607" s="29" t="n"/>
      <c r="N607" s="29" t="n"/>
      <c r="O607" s="5" t="n"/>
      <c r="P607" s="5" t="n"/>
      <c r="Q607" s="5" t="n"/>
      <c r="R607" s="5" t="n"/>
      <c r="S607" s="5" t="n"/>
    </row>
    <row r="608">
      <c r="A608" s="32" t="n"/>
      <c r="B608" s="32" t="n"/>
      <c r="C608" s="32" t="n"/>
      <c r="D608" s="32" t="n"/>
      <c r="E608" s="32" t="n"/>
      <c r="F608" s="29" t="n"/>
      <c r="G608" s="29" t="n"/>
      <c r="H608" s="29" t="n"/>
      <c r="I608" s="29" t="n"/>
      <c r="J608" s="29" t="n"/>
      <c r="K608" s="29" t="n"/>
      <c r="L608" s="29" t="n"/>
      <c r="M608" s="29" t="n"/>
      <c r="N608" s="29" t="n"/>
      <c r="O608" s="5" t="n"/>
      <c r="P608" s="5" t="n"/>
      <c r="Q608" s="5" t="n"/>
      <c r="R608" s="5" t="n"/>
      <c r="S608" s="5" t="n"/>
    </row>
    <row r="609">
      <c r="A609" s="32" t="n"/>
      <c r="B609" s="32" t="n"/>
      <c r="C609" s="32" t="n"/>
      <c r="D609" s="32" t="n"/>
      <c r="E609" s="32" t="n"/>
      <c r="F609" s="29" t="n"/>
      <c r="G609" s="29" t="n"/>
      <c r="H609" s="29" t="n"/>
      <c r="I609" s="29" t="n"/>
      <c r="J609" s="29" t="n"/>
      <c r="K609" s="29" t="n"/>
      <c r="L609" s="29" t="n"/>
      <c r="M609" s="29" t="n"/>
      <c r="N609" s="29" t="n"/>
      <c r="O609" s="5" t="n"/>
      <c r="P609" s="5" t="n"/>
      <c r="Q609" s="5" t="n"/>
      <c r="R609" s="5" t="n"/>
      <c r="S609" s="5" t="n"/>
    </row>
    <row r="610">
      <c r="A610" s="32" t="n"/>
      <c r="B610" s="32" t="n"/>
      <c r="C610" s="32" t="n"/>
      <c r="D610" s="32" t="n"/>
      <c r="E610" s="32" t="n"/>
      <c r="F610" s="29" t="n"/>
      <c r="G610" s="29" t="n"/>
      <c r="H610" s="29" t="n"/>
      <c r="I610" s="29" t="n"/>
      <c r="J610" s="29" t="n"/>
      <c r="K610" s="29" t="n"/>
      <c r="L610" s="29" t="n"/>
      <c r="M610" s="29" t="n"/>
      <c r="N610" s="29" t="n"/>
      <c r="O610" s="5" t="n"/>
      <c r="P610" s="5" t="n"/>
      <c r="Q610" s="5" t="n"/>
      <c r="R610" s="5" t="n"/>
      <c r="S610" s="5" t="n"/>
    </row>
    <row r="611">
      <c r="A611" s="32" t="n"/>
      <c r="B611" s="32" t="n"/>
      <c r="C611" s="32" t="n"/>
      <c r="D611" s="32" t="n"/>
      <c r="E611" s="32" t="n"/>
      <c r="F611" s="29" t="n"/>
      <c r="G611" s="29" t="n"/>
      <c r="H611" s="29" t="n"/>
      <c r="I611" s="29" t="n"/>
      <c r="J611" s="29" t="n"/>
      <c r="K611" s="29" t="n"/>
      <c r="L611" s="29" t="n"/>
      <c r="M611" s="29" t="n"/>
      <c r="N611" s="29" t="n"/>
      <c r="O611" s="5" t="n"/>
      <c r="P611" s="5" t="n"/>
      <c r="Q611" s="5" t="n"/>
      <c r="R611" s="5" t="n"/>
      <c r="S611" s="5" t="n"/>
    </row>
    <row r="612">
      <c r="A612" s="32" t="n"/>
      <c r="B612" s="32" t="n"/>
      <c r="C612" s="32" t="n"/>
      <c r="D612" s="32" t="n"/>
      <c r="E612" s="32" t="n"/>
      <c r="F612" s="29" t="n"/>
      <c r="G612" s="29" t="n"/>
      <c r="H612" s="29" t="n"/>
      <c r="I612" s="29" t="n"/>
      <c r="J612" s="29" t="n"/>
      <c r="K612" s="29" t="n"/>
      <c r="L612" s="29" t="n"/>
      <c r="M612" s="29" t="n"/>
      <c r="N612" s="29" t="n"/>
      <c r="O612" s="5" t="n"/>
      <c r="P612" s="5" t="n"/>
      <c r="Q612" s="5" t="n"/>
      <c r="R612" s="5" t="n"/>
      <c r="S612" s="5" t="n"/>
    </row>
    <row r="613">
      <c r="A613" s="32" t="n"/>
      <c r="B613" s="32" t="n"/>
      <c r="C613" s="32" t="n"/>
      <c r="D613" s="32" t="n"/>
      <c r="E613" s="32" t="n"/>
      <c r="F613" s="29" t="n"/>
      <c r="G613" s="29" t="n"/>
      <c r="H613" s="29" t="n"/>
      <c r="I613" s="29" t="n"/>
      <c r="J613" s="29" t="n"/>
      <c r="K613" s="29" t="n"/>
      <c r="L613" s="29" t="n"/>
      <c r="M613" s="29" t="n"/>
      <c r="N613" s="29" t="n"/>
      <c r="O613" s="5" t="n"/>
      <c r="P613" s="5" t="n"/>
      <c r="Q613" s="5" t="n"/>
      <c r="R613" s="5" t="n"/>
      <c r="S613" s="5" t="n"/>
    </row>
    <row r="614">
      <c r="A614" s="32" t="n"/>
      <c r="B614" s="32" t="n"/>
      <c r="C614" s="32" t="n"/>
      <c r="D614" s="32" t="n"/>
      <c r="E614" s="32" t="n"/>
      <c r="F614" s="29" t="n"/>
      <c r="G614" s="29" t="n"/>
      <c r="H614" s="29" t="n"/>
      <c r="I614" s="29" t="n"/>
      <c r="J614" s="29" t="n"/>
      <c r="K614" s="29" t="n"/>
      <c r="L614" s="29" t="n"/>
      <c r="M614" s="29" t="n"/>
      <c r="N614" s="29" t="n"/>
      <c r="O614" s="5" t="n"/>
      <c r="P614" s="5" t="n"/>
      <c r="Q614" s="5" t="n"/>
      <c r="R614" s="5" t="n"/>
      <c r="S614" s="5" t="n"/>
    </row>
    <row r="615">
      <c r="A615" s="32" t="n"/>
      <c r="B615" s="32" t="n"/>
      <c r="C615" s="32" t="n"/>
      <c r="D615" s="32" t="n"/>
      <c r="E615" s="32" t="n"/>
      <c r="F615" s="29" t="n"/>
      <c r="G615" s="29" t="n"/>
      <c r="H615" s="29" t="n"/>
      <c r="I615" s="29" t="n"/>
      <c r="J615" s="29" t="n"/>
      <c r="K615" s="29" t="n"/>
      <c r="L615" s="29" t="n"/>
      <c r="M615" s="29" t="n"/>
      <c r="N615" s="29" t="n"/>
      <c r="O615" s="5" t="n"/>
      <c r="P615" s="5" t="n"/>
      <c r="Q615" s="5" t="n"/>
      <c r="R615" s="5" t="n"/>
      <c r="S615" s="5" t="n"/>
    </row>
    <row r="616">
      <c r="A616" s="32" t="n"/>
      <c r="B616" s="32" t="n"/>
      <c r="C616" s="32" t="n"/>
      <c r="D616" s="32" t="n"/>
      <c r="E616" s="32" t="n"/>
      <c r="F616" s="29" t="n"/>
      <c r="G616" s="29" t="n"/>
      <c r="H616" s="29" t="n"/>
      <c r="I616" s="29" t="n"/>
      <c r="J616" s="29" t="n"/>
      <c r="K616" s="29" t="n"/>
      <c r="L616" s="29" t="n"/>
      <c r="M616" s="29" t="n"/>
      <c r="N616" s="29" t="n"/>
      <c r="O616" s="5" t="n"/>
      <c r="P616" s="5" t="n"/>
      <c r="Q616" s="5" t="n"/>
      <c r="R616" s="5" t="n"/>
      <c r="S616" s="5" t="n"/>
    </row>
    <row r="617">
      <c r="A617" s="32" t="n"/>
      <c r="B617" s="32" t="n"/>
      <c r="C617" s="32" t="n"/>
      <c r="D617" s="32" t="n"/>
      <c r="E617" s="32" t="n"/>
      <c r="F617" s="29" t="n"/>
      <c r="G617" s="29" t="n"/>
      <c r="H617" s="29" t="n"/>
      <c r="I617" s="29" t="n"/>
      <c r="J617" s="29" t="n"/>
      <c r="K617" s="29" t="n"/>
      <c r="L617" s="29" t="n"/>
      <c r="M617" s="29" t="n"/>
      <c r="N617" s="29" t="n"/>
      <c r="O617" s="5" t="n"/>
      <c r="P617" s="5" t="n"/>
      <c r="Q617" s="5" t="n"/>
      <c r="R617" s="5" t="n"/>
      <c r="S617" s="5" t="n"/>
    </row>
    <row r="618">
      <c r="A618" s="32" t="n"/>
      <c r="B618" s="32" t="n"/>
      <c r="C618" s="32" t="n"/>
      <c r="D618" s="32" t="n"/>
      <c r="E618" s="32" t="n"/>
      <c r="F618" s="29" t="n"/>
      <c r="G618" s="29" t="n"/>
      <c r="H618" s="29" t="n"/>
      <c r="I618" s="29" t="n"/>
      <c r="J618" s="29" t="n"/>
      <c r="K618" s="29" t="n"/>
      <c r="L618" s="29" t="n"/>
      <c r="M618" s="29" t="n"/>
      <c r="N618" s="29" t="n"/>
      <c r="O618" s="5" t="n"/>
      <c r="P618" s="5" t="n"/>
      <c r="Q618" s="5" t="n"/>
      <c r="R618" s="5" t="n"/>
      <c r="S618" s="5" t="n"/>
    </row>
    <row r="619">
      <c r="A619" s="32" t="n"/>
      <c r="B619" s="32" t="n"/>
      <c r="C619" s="32" t="n"/>
      <c r="D619" s="32" t="n"/>
      <c r="E619" s="32" t="n"/>
      <c r="F619" s="29" t="n"/>
      <c r="G619" s="29" t="n"/>
      <c r="H619" s="29" t="n"/>
      <c r="I619" s="29" t="n"/>
      <c r="J619" s="29" t="n"/>
      <c r="K619" s="29" t="n"/>
      <c r="L619" s="29" t="n"/>
      <c r="M619" s="29" t="n"/>
      <c r="N619" s="29" t="n"/>
      <c r="O619" s="5" t="n"/>
      <c r="P619" s="5" t="n"/>
      <c r="Q619" s="5" t="n"/>
      <c r="R619" s="5" t="n"/>
      <c r="S619" s="5" t="n"/>
    </row>
    <row r="620">
      <c r="A620" s="32" t="n"/>
      <c r="B620" s="32" t="n"/>
      <c r="C620" s="32" t="n"/>
      <c r="D620" s="32" t="n"/>
      <c r="E620" s="32" t="n"/>
      <c r="F620" s="29" t="n"/>
      <c r="G620" s="29" t="n"/>
      <c r="H620" s="29" t="n"/>
      <c r="I620" s="29" t="n"/>
      <c r="J620" s="29" t="n"/>
      <c r="K620" s="29" t="n"/>
      <c r="L620" s="29" t="n"/>
      <c r="M620" s="29" t="n"/>
      <c r="N620" s="29" t="n"/>
      <c r="O620" s="5" t="n"/>
      <c r="P620" s="5" t="n"/>
      <c r="Q620" s="5" t="n"/>
      <c r="R620" s="5" t="n"/>
      <c r="S620" s="5" t="n"/>
    </row>
    <row r="621">
      <c r="A621" s="32" t="n"/>
      <c r="B621" s="32" t="n"/>
      <c r="C621" s="32" t="n"/>
      <c r="D621" s="32" t="n"/>
      <c r="E621" s="32" t="n"/>
      <c r="F621" s="29" t="n"/>
      <c r="G621" s="29" t="n"/>
      <c r="H621" s="29" t="n"/>
      <c r="I621" s="29" t="n"/>
      <c r="J621" s="29" t="n"/>
      <c r="K621" s="29" t="n"/>
      <c r="L621" s="29" t="n"/>
      <c r="M621" s="29" t="n"/>
      <c r="N621" s="29" t="n"/>
      <c r="O621" s="5" t="n"/>
      <c r="P621" s="5" t="n"/>
      <c r="Q621" s="5" t="n"/>
      <c r="R621" s="5" t="n"/>
      <c r="S621" s="5" t="n"/>
    </row>
    <row r="622">
      <c r="A622" s="32" t="n"/>
      <c r="B622" s="32" t="n"/>
      <c r="C622" s="32" t="n"/>
      <c r="D622" s="32" t="n"/>
      <c r="E622" s="32" t="n"/>
      <c r="F622" s="29" t="n"/>
      <c r="G622" s="29" t="n"/>
      <c r="H622" s="29" t="n"/>
      <c r="I622" s="29" t="n"/>
      <c r="J622" s="29" t="n"/>
      <c r="K622" s="29" t="n"/>
      <c r="L622" s="29" t="n"/>
      <c r="M622" s="29" t="n"/>
      <c r="N622" s="29" t="n"/>
      <c r="O622" s="5" t="n"/>
      <c r="P622" s="5" t="n"/>
      <c r="Q622" s="5" t="n"/>
      <c r="R622" s="5" t="n"/>
      <c r="S622" s="5" t="n"/>
    </row>
    <row r="623">
      <c r="A623" s="32" t="n"/>
      <c r="B623" s="32" t="n"/>
      <c r="C623" s="32" t="n"/>
      <c r="D623" s="32" t="n"/>
      <c r="E623" s="32" t="n"/>
      <c r="F623" s="29" t="n"/>
      <c r="G623" s="29" t="n"/>
      <c r="H623" s="29" t="n"/>
      <c r="I623" s="29" t="n"/>
      <c r="J623" s="29" t="n"/>
      <c r="K623" s="29" t="n"/>
      <c r="L623" s="29" t="n"/>
      <c r="M623" s="29" t="n"/>
      <c r="N623" s="29" t="n"/>
      <c r="O623" s="5" t="n"/>
      <c r="P623" s="5" t="n"/>
      <c r="Q623" s="5" t="n"/>
      <c r="R623" s="5" t="n"/>
      <c r="S623" s="5" t="n"/>
    </row>
    <row r="624">
      <c r="A624" s="32" t="n"/>
      <c r="B624" s="32" t="n"/>
      <c r="C624" s="32" t="n"/>
      <c r="D624" s="32" t="n"/>
      <c r="E624" s="32" t="n"/>
      <c r="F624" s="29" t="n"/>
      <c r="G624" s="29" t="n"/>
      <c r="H624" s="29" t="n"/>
      <c r="I624" s="29" t="n"/>
      <c r="J624" s="29" t="n"/>
      <c r="K624" s="29" t="n"/>
      <c r="L624" s="29" t="n"/>
      <c r="M624" s="29" t="n"/>
      <c r="N624" s="29" t="n"/>
      <c r="O624" s="5" t="n"/>
      <c r="P624" s="5" t="n"/>
      <c r="Q624" s="5" t="n"/>
      <c r="R624" s="5" t="n"/>
      <c r="S624" s="5" t="n"/>
    </row>
    <row r="625">
      <c r="A625" s="32" t="n"/>
      <c r="B625" s="32" t="n"/>
      <c r="C625" s="32" t="n"/>
      <c r="D625" s="32" t="n"/>
      <c r="E625" s="32" t="n"/>
      <c r="F625" s="29" t="n"/>
      <c r="G625" s="29" t="n"/>
      <c r="H625" s="29" t="n"/>
      <c r="I625" s="29" t="n"/>
      <c r="J625" s="29" t="n"/>
      <c r="K625" s="29" t="n"/>
      <c r="L625" s="29" t="n"/>
      <c r="M625" s="29" t="n"/>
      <c r="N625" s="29" t="n"/>
      <c r="O625" s="5" t="n"/>
      <c r="P625" s="5" t="n"/>
      <c r="Q625" s="5" t="n"/>
      <c r="R625" s="5" t="n"/>
      <c r="S625" s="5" t="n"/>
    </row>
    <row r="626">
      <c r="A626" s="32" t="n"/>
      <c r="B626" s="32" t="n"/>
      <c r="C626" s="32" t="n"/>
      <c r="D626" s="32" t="n"/>
      <c r="E626" s="32" t="n"/>
      <c r="F626" s="29" t="n"/>
      <c r="G626" s="29" t="n"/>
      <c r="H626" s="29" t="n"/>
      <c r="I626" s="29" t="n"/>
      <c r="J626" s="29" t="n"/>
      <c r="K626" s="29" t="n"/>
      <c r="L626" s="29" t="n"/>
      <c r="M626" s="29" t="n"/>
      <c r="N626" s="29" t="n"/>
      <c r="O626" s="5" t="n"/>
      <c r="P626" s="5" t="n"/>
      <c r="Q626" s="5" t="n"/>
      <c r="R626" s="5" t="n"/>
      <c r="S626" s="5" t="n"/>
    </row>
    <row r="627">
      <c r="A627" s="32" t="n"/>
      <c r="B627" s="32" t="n"/>
      <c r="C627" s="32" t="n"/>
      <c r="D627" s="32" t="n"/>
      <c r="E627" s="32" t="n"/>
      <c r="F627" s="29" t="n"/>
      <c r="G627" s="29" t="n"/>
      <c r="H627" s="29" t="n"/>
      <c r="I627" s="29" t="n"/>
      <c r="J627" s="29" t="n"/>
      <c r="K627" s="29" t="n"/>
      <c r="L627" s="29" t="n"/>
      <c r="M627" s="29" t="n"/>
      <c r="N627" s="29" t="n"/>
      <c r="O627" s="5" t="n"/>
      <c r="P627" s="5" t="n"/>
      <c r="Q627" s="5" t="n"/>
      <c r="R627" s="5" t="n"/>
      <c r="S627" s="5" t="n"/>
    </row>
    <row r="628">
      <c r="A628" s="32" t="n"/>
      <c r="B628" s="32" t="n"/>
      <c r="C628" s="32" t="n"/>
      <c r="D628" s="32" t="n"/>
      <c r="E628" s="32" t="n"/>
      <c r="F628" s="29" t="n"/>
      <c r="G628" s="29" t="n"/>
      <c r="H628" s="29" t="n"/>
      <c r="I628" s="29" t="n"/>
      <c r="J628" s="29" t="n"/>
      <c r="K628" s="29" t="n"/>
      <c r="L628" s="29" t="n"/>
      <c r="M628" s="29" t="n"/>
      <c r="N628" s="29" t="n"/>
      <c r="O628" s="5" t="n"/>
      <c r="P628" s="5" t="n"/>
      <c r="Q628" s="5" t="n"/>
      <c r="R628" s="5" t="n"/>
      <c r="S628" s="5" t="n"/>
    </row>
    <row r="629">
      <c r="A629" s="32" t="n"/>
      <c r="B629" s="32" t="n"/>
      <c r="C629" s="32" t="n"/>
      <c r="D629" s="32" t="n"/>
      <c r="E629" s="32" t="n"/>
      <c r="F629" s="29" t="n"/>
      <c r="G629" s="29" t="n"/>
      <c r="H629" s="29" t="n"/>
      <c r="I629" s="29" t="n"/>
      <c r="J629" s="29" t="n"/>
      <c r="K629" s="29" t="n"/>
      <c r="L629" s="29" t="n"/>
      <c r="M629" s="29" t="n"/>
      <c r="N629" s="29" t="n"/>
      <c r="O629" s="5" t="n"/>
      <c r="P629" s="5" t="n"/>
      <c r="Q629" s="5" t="n"/>
      <c r="R629" s="5" t="n"/>
      <c r="S629" s="5" t="n"/>
    </row>
    <row r="630">
      <c r="A630" s="32" t="n"/>
      <c r="B630" s="32" t="n"/>
      <c r="C630" s="32" t="n"/>
      <c r="D630" s="32" t="n"/>
      <c r="E630" s="32" t="n"/>
      <c r="F630" s="29" t="n"/>
      <c r="G630" s="29" t="n"/>
      <c r="H630" s="29" t="n"/>
      <c r="I630" s="29" t="n"/>
      <c r="J630" s="29" t="n"/>
      <c r="K630" s="29" t="n"/>
      <c r="L630" s="29" t="n"/>
      <c r="M630" s="29" t="n"/>
      <c r="N630" s="29" t="n"/>
      <c r="O630" s="5" t="n"/>
      <c r="P630" s="5" t="n"/>
      <c r="Q630" s="5" t="n"/>
      <c r="R630" s="5" t="n"/>
      <c r="S630" s="5" t="n"/>
    </row>
    <row r="631">
      <c r="A631" s="32" t="n"/>
      <c r="B631" s="32" t="n"/>
      <c r="C631" s="32" t="n"/>
      <c r="D631" s="32" t="n"/>
      <c r="E631" s="32" t="n"/>
      <c r="F631" s="29" t="n"/>
      <c r="G631" s="29" t="n"/>
      <c r="H631" s="29" t="n"/>
      <c r="I631" s="29" t="n"/>
      <c r="J631" s="29" t="n"/>
      <c r="K631" s="29" t="n"/>
      <c r="L631" s="29" t="n"/>
      <c r="M631" s="29" t="n"/>
      <c r="N631" s="29" t="n"/>
      <c r="O631" s="5" t="n"/>
      <c r="P631" s="5" t="n"/>
      <c r="Q631" s="5" t="n"/>
      <c r="R631" s="5" t="n"/>
      <c r="S631" s="5" t="n"/>
    </row>
    <row r="632">
      <c r="A632" s="32" t="n"/>
      <c r="B632" s="32" t="n"/>
      <c r="C632" s="32" t="n"/>
      <c r="D632" s="32" t="n"/>
      <c r="E632" s="32" t="n"/>
      <c r="F632" s="29" t="n"/>
      <c r="G632" s="29" t="n"/>
      <c r="H632" s="29" t="n"/>
      <c r="I632" s="29" t="n"/>
      <c r="J632" s="29" t="n"/>
      <c r="K632" s="29" t="n"/>
      <c r="L632" s="29" t="n"/>
      <c r="M632" s="29" t="n"/>
      <c r="N632" s="29" t="n"/>
      <c r="O632" s="5" t="n"/>
      <c r="P632" s="5" t="n"/>
      <c r="Q632" s="5" t="n"/>
      <c r="R632" s="5" t="n"/>
      <c r="S632" s="5" t="n"/>
    </row>
    <row r="633">
      <c r="A633" s="32" t="n"/>
      <c r="B633" s="32" t="n"/>
      <c r="C633" s="32" t="n"/>
      <c r="D633" s="32" t="n"/>
      <c r="E633" s="32" t="n"/>
      <c r="F633" s="29" t="n"/>
      <c r="G633" s="29" t="n"/>
      <c r="H633" s="29" t="n"/>
      <c r="I633" s="29" t="n"/>
      <c r="J633" s="29" t="n"/>
      <c r="K633" s="29" t="n"/>
      <c r="L633" s="29" t="n"/>
      <c r="M633" s="29" t="n"/>
      <c r="N633" s="29" t="n"/>
      <c r="O633" s="5" t="n"/>
      <c r="P633" s="5" t="n"/>
      <c r="Q633" s="5" t="n"/>
      <c r="R633" s="5" t="n"/>
      <c r="S633" s="5" t="n"/>
    </row>
    <row r="634">
      <c r="A634" s="32" t="n"/>
      <c r="B634" s="32" t="n"/>
      <c r="C634" s="32" t="n"/>
      <c r="D634" s="32" t="n"/>
      <c r="E634" s="32" t="n"/>
      <c r="F634" s="29" t="n"/>
      <c r="G634" s="29" t="n"/>
      <c r="H634" s="29" t="n"/>
      <c r="I634" s="29" t="n"/>
      <c r="J634" s="29" t="n"/>
      <c r="K634" s="29" t="n"/>
      <c r="L634" s="29" t="n"/>
      <c r="M634" s="29" t="n"/>
      <c r="N634" s="29" t="n"/>
      <c r="O634" s="5" t="n"/>
      <c r="P634" s="5" t="n"/>
      <c r="Q634" s="5" t="n"/>
      <c r="R634" s="5" t="n"/>
      <c r="S634" s="5" t="n"/>
    </row>
    <row r="635">
      <c r="A635" s="32" t="n"/>
      <c r="B635" s="32" t="n"/>
      <c r="C635" s="32" t="n"/>
      <c r="D635" s="32" t="n"/>
      <c r="E635" s="32" t="n"/>
      <c r="F635" s="29" t="n"/>
      <c r="G635" s="29" t="n"/>
      <c r="H635" s="29" t="n"/>
      <c r="I635" s="29" t="n"/>
      <c r="J635" s="29" t="n"/>
      <c r="K635" s="29" t="n"/>
      <c r="L635" s="29" t="n"/>
      <c r="M635" s="29" t="n"/>
      <c r="N635" s="29" t="n"/>
      <c r="O635" s="5" t="n"/>
      <c r="P635" s="5" t="n"/>
      <c r="Q635" s="5" t="n"/>
      <c r="R635" s="5" t="n"/>
      <c r="S635" s="5" t="n"/>
    </row>
    <row r="636">
      <c r="A636" s="32" t="n"/>
      <c r="B636" s="32" t="n"/>
      <c r="C636" s="32" t="n"/>
      <c r="D636" s="32" t="n"/>
      <c r="E636" s="32" t="n"/>
      <c r="F636" s="29" t="n"/>
      <c r="G636" s="29" t="n"/>
      <c r="H636" s="29" t="n"/>
      <c r="I636" s="29" t="n"/>
      <c r="J636" s="29" t="n"/>
      <c r="K636" s="29" t="n"/>
      <c r="L636" s="29" t="n"/>
      <c r="M636" s="29" t="n"/>
      <c r="N636" s="29" t="n"/>
      <c r="O636" s="5" t="n"/>
      <c r="P636" s="5" t="n"/>
      <c r="Q636" s="5" t="n"/>
      <c r="R636" s="5" t="n"/>
      <c r="S636" s="5" t="n"/>
    </row>
    <row r="637">
      <c r="A637" s="32" t="n"/>
      <c r="B637" s="32" t="n"/>
      <c r="C637" s="32" t="n"/>
      <c r="D637" s="32" t="n"/>
      <c r="E637" s="32" t="n"/>
      <c r="F637" s="29" t="n"/>
      <c r="G637" s="29" t="n"/>
      <c r="H637" s="29" t="n"/>
      <c r="I637" s="29" t="n"/>
      <c r="J637" s="29" t="n"/>
      <c r="K637" s="29" t="n"/>
      <c r="L637" s="29" t="n"/>
      <c r="M637" s="29" t="n"/>
      <c r="N637" s="29" t="n"/>
      <c r="O637" s="5" t="n"/>
      <c r="P637" s="5" t="n"/>
      <c r="Q637" s="5" t="n"/>
      <c r="R637" s="5" t="n"/>
      <c r="S637" s="5" t="n"/>
    </row>
    <row r="638">
      <c r="A638" s="32" t="n"/>
      <c r="B638" s="32" t="n"/>
      <c r="C638" s="32" t="n"/>
      <c r="D638" s="32" t="n"/>
      <c r="E638" s="32" t="n"/>
      <c r="F638" s="29" t="n"/>
      <c r="G638" s="29" t="n"/>
      <c r="H638" s="29" t="n"/>
      <c r="I638" s="29" t="n"/>
      <c r="J638" s="29" t="n"/>
      <c r="K638" s="29" t="n"/>
      <c r="L638" s="29" t="n"/>
      <c r="M638" s="29" t="n"/>
      <c r="N638" s="29" t="n"/>
      <c r="O638" s="5" t="n"/>
      <c r="P638" s="5" t="n"/>
      <c r="Q638" s="5" t="n"/>
      <c r="R638" s="5" t="n"/>
      <c r="S638" s="5" t="n"/>
    </row>
    <row r="639">
      <c r="A639" s="32" t="n"/>
      <c r="B639" s="32" t="n"/>
      <c r="C639" s="32" t="n"/>
      <c r="D639" s="32" t="n"/>
      <c r="E639" s="32" t="n"/>
      <c r="F639" s="29" t="n"/>
      <c r="G639" s="29" t="n"/>
      <c r="H639" s="29" t="n"/>
      <c r="I639" s="29" t="n"/>
      <c r="J639" s="29" t="n"/>
      <c r="K639" s="29" t="n"/>
      <c r="L639" s="29" t="n"/>
      <c r="M639" s="29" t="n"/>
      <c r="N639" s="29" t="n"/>
      <c r="O639" s="5" t="n"/>
      <c r="P639" s="5" t="n"/>
      <c r="Q639" s="5" t="n"/>
      <c r="R639" s="5" t="n"/>
      <c r="S639" s="5" t="n"/>
    </row>
    <row r="640">
      <c r="A640" s="32" t="n"/>
      <c r="B640" s="32" t="n"/>
      <c r="C640" s="32" t="n"/>
      <c r="D640" s="32" t="n"/>
      <c r="E640" s="32" t="n"/>
      <c r="F640" s="29" t="n"/>
      <c r="G640" s="29" t="n"/>
      <c r="H640" s="29" t="n"/>
      <c r="I640" s="29" t="n"/>
      <c r="J640" s="29" t="n"/>
      <c r="K640" s="29" t="n"/>
      <c r="L640" s="29" t="n"/>
      <c r="M640" s="29" t="n"/>
      <c r="N640" s="29" t="n"/>
      <c r="O640" s="5" t="n"/>
      <c r="P640" s="5" t="n"/>
      <c r="Q640" s="5" t="n"/>
      <c r="R640" s="5" t="n"/>
      <c r="S640" s="5" t="n"/>
    </row>
    <row r="641">
      <c r="A641" s="32" t="n"/>
      <c r="B641" s="32" t="n"/>
      <c r="C641" s="32" t="n"/>
      <c r="D641" s="32" t="n"/>
      <c r="E641" s="32" t="n"/>
      <c r="F641" s="29" t="n"/>
      <c r="G641" s="29" t="n"/>
      <c r="H641" s="29" t="n"/>
      <c r="I641" s="29" t="n"/>
      <c r="J641" s="29" t="n"/>
      <c r="K641" s="29" t="n"/>
      <c r="L641" s="29" t="n"/>
      <c r="M641" s="29" t="n"/>
      <c r="N641" s="29" t="n"/>
      <c r="O641" s="5" t="n"/>
      <c r="P641" s="5" t="n"/>
      <c r="Q641" s="5" t="n"/>
      <c r="R641" s="5" t="n"/>
      <c r="S641" s="5" t="n"/>
    </row>
    <row r="642">
      <c r="A642" s="32" t="n"/>
      <c r="B642" s="32" t="n"/>
      <c r="C642" s="32" t="n"/>
      <c r="D642" s="32" t="n"/>
      <c r="E642" s="32" t="n"/>
      <c r="F642" s="29" t="n"/>
      <c r="G642" s="29" t="n"/>
      <c r="H642" s="29" t="n"/>
      <c r="I642" s="29" t="n"/>
      <c r="J642" s="29" t="n"/>
      <c r="K642" s="29" t="n"/>
      <c r="L642" s="29" t="n"/>
      <c r="M642" s="29" t="n"/>
      <c r="N642" s="29" t="n"/>
      <c r="O642" s="5" t="n"/>
      <c r="P642" s="5" t="n"/>
      <c r="Q642" s="5" t="n"/>
      <c r="R642" s="5" t="n"/>
      <c r="S642" s="5" t="n"/>
    </row>
    <row r="643">
      <c r="A643" s="32" t="n"/>
      <c r="B643" s="32" t="n"/>
      <c r="C643" s="32" t="n"/>
      <c r="D643" s="32" t="n"/>
      <c r="E643" s="32" t="n"/>
      <c r="F643" s="29" t="n"/>
      <c r="G643" s="29" t="n"/>
      <c r="H643" s="29" t="n"/>
      <c r="I643" s="29" t="n"/>
      <c r="J643" s="29" t="n"/>
      <c r="K643" s="29" t="n"/>
      <c r="L643" s="29" t="n"/>
      <c r="M643" s="29" t="n"/>
      <c r="N643" s="29" t="n"/>
      <c r="O643" s="5" t="n"/>
      <c r="P643" s="5" t="n"/>
      <c r="Q643" s="5" t="n"/>
      <c r="R643" s="5" t="n"/>
      <c r="S643" s="5" t="n"/>
    </row>
    <row r="644">
      <c r="A644" s="32" t="n"/>
      <c r="B644" s="32" t="n"/>
      <c r="C644" s="32" t="n"/>
      <c r="D644" s="32" t="n"/>
      <c r="E644" s="32" t="n"/>
      <c r="F644" s="29" t="n"/>
      <c r="G644" s="29" t="n"/>
      <c r="H644" s="29" t="n"/>
      <c r="I644" s="29" t="n"/>
      <c r="J644" s="29" t="n"/>
      <c r="K644" s="29" t="n"/>
      <c r="L644" s="29" t="n"/>
      <c r="M644" s="29" t="n"/>
      <c r="N644" s="29" t="n"/>
      <c r="O644" s="5" t="n"/>
      <c r="P644" s="5" t="n"/>
      <c r="Q644" s="5" t="n"/>
      <c r="R644" s="5" t="n"/>
      <c r="S644" s="5" t="n"/>
    </row>
    <row r="645">
      <c r="A645" s="32" t="n"/>
      <c r="B645" s="32" t="n"/>
      <c r="C645" s="32" t="n"/>
      <c r="D645" s="32" t="n"/>
      <c r="E645" s="32" t="n"/>
      <c r="F645" s="29" t="n"/>
      <c r="G645" s="29" t="n"/>
      <c r="H645" s="29" t="n"/>
      <c r="I645" s="29" t="n"/>
      <c r="J645" s="29" t="n"/>
      <c r="K645" s="29" t="n"/>
      <c r="L645" s="29" t="n"/>
      <c r="M645" s="29" t="n"/>
      <c r="N645" s="29" t="n"/>
      <c r="O645" s="5" t="n"/>
      <c r="P645" s="5" t="n"/>
      <c r="Q645" s="5" t="n"/>
      <c r="R645" s="5" t="n"/>
      <c r="S645" s="5" t="n"/>
    </row>
    <row r="646">
      <c r="A646" s="32" t="n"/>
      <c r="B646" s="32" t="n"/>
      <c r="C646" s="32" t="n"/>
      <c r="D646" s="32" t="n"/>
      <c r="E646" s="32" t="n"/>
      <c r="F646" s="29" t="n"/>
      <c r="G646" s="29" t="n"/>
      <c r="H646" s="29" t="n"/>
      <c r="I646" s="29" t="n"/>
      <c r="J646" s="29" t="n"/>
      <c r="K646" s="29" t="n"/>
      <c r="L646" s="29" t="n"/>
      <c r="M646" s="29" t="n"/>
      <c r="N646" s="29" t="n"/>
      <c r="O646" s="5" t="n"/>
      <c r="P646" s="5" t="n"/>
      <c r="Q646" s="5" t="n"/>
      <c r="R646" s="5" t="n"/>
      <c r="S646" s="5" t="n"/>
    </row>
    <row r="647">
      <c r="A647" s="32" t="n"/>
      <c r="B647" s="32" t="n"/>
      <c r="C647" s="32" t="n"/>
      <c r="D647" s="32" t="n"/>
      <c r="E647" s="32" t="n"/>
      <c r="F647" s="29" t="n"/>
      <c r="G647" s="29" t="n"/>
      <c r="H647" s="29" t="n"/>
      <c r="I647" s="29" t="n"/>
      <c r="J647" s="29" t="n"/>
      <c r="K647" s="29" t="n"/>
      <c r="L647" s="29" t="n"/>
      <c r="M647" s="29" t="n"/>
      <c r="N647" s="29" t="n"/>
      <c r="O647" s="5" t="n"/>
      <c r="P647" s="5" t="n"/>
      <c r="Q647" s="5" t="n"/>
      <c r="R647" s="5" t="n"/>
      <c r="S647" s="5" t="n"/>
    </row>
    <row r="648">
      <c r="A648" s="32" t="n"/>
      <c r="B648" s="32" t="n"/>
      <c r="C648" s="32" t="n"/>
      <c r="D648" s="32" t="n"/>
      <c r="E648" s="32" t="n"/>
      <c r="F648" s="29" t="n"/>
      <c r="G648" s="29" t="n"/>
      <c r="H648" s="29" t="n"/>
      <c r="I648" s="29" t="n"/>
      <c r="J648" s="29" t="n"/>
      <c r="K648" s="29" t="n"/>
      <c r="L648" s="29" t="n"/>
      <c r="M648" s="29" t="n"/>
      <c r="N648" s="29" t="n"/>
      <c r="O648" s="5" t="n"/>
      <c r="P648" s="5" t="n"/>
      <c r="Q648" s="5" t="n"/>
      <c r="R648" s="5" t="n"/>
      <c r="S648" s="5" t="n"/>
    </row>
    <row r="649">
      <c r="A649" s="32" t="n"/>
      <c r="B649" s="32" t="n"/>
      <c r="C649" s="32" t="n"/>
      <c r="D649" s="32" t="n"/>
      <c r="E649" s="32" t="n"/>
      <c r="F649" s="29" t="n"/>
      <c r="G649" s="29" t="n"/>
      <c r="H649" s="29" t="n"/>
      <c r="I649" s="29" t="n"/>
      <c r="J649" s="29" t="n"/>
      <c r="K649" s="29" t="n"/>
      <c r="L649" s="29" t="n"/>
      <c r="M649" s="29" t="n"/>
      <c r="N649" s="29" t="n"/>
      <c r="O649" s="5" t="n"/>
      <c r="P649" s="5" t="n"/>
      <c r="Q649" s="5" t="n"/>
      <c r="R649" s="5" t="n"/>
      <c r="S649" s="5" t="n"/>
    </row>
    <row r="650">
      <c r="A650" s="32" t="n"/>
      <c r="B650" s="32" t="n"/>
      <c r="C650" s="32" t="n"/>
      <c r="D650" s="32" t="n"/>
      <c r="E650" s="32" t="n"/>
      <c r="F650" s="29" t="n"/>
      <c r="G650" s="29" t="n"/>
      <c r="H650" s="29" t="n"/>
      <c r="I650" s="29" t="n"/>
      <c r="J650" s="29" t="n"/>
      <c r="K650" s="29" t="n"/>
      <c r="L650" s="29" t="n"/>
      <c r="M650" s="29" t="n"/>
      <c r="N650" s="29" t="n"/>
      <c r="O650" s="5" t="n"/>
      <c r="P650" s="5" t="n"/>
      <c r="Q650" s="5" t="n"/>
      <c r="R650" s="5" t="n"/>
      <c r="S650" s="5" t="n"/>
    </row>
    <row r="651">
      <c r="A651" s="32" t="n"/>
      <c r="B651" s="32" t="n"/>
      <c r="C651" s="32" t="n"/>
      <c r="D651" s="32" t="n"/>
      <c r="E651" s="32" t="n"/>
      <c r="F651" s="29" t="n"/>
      <c r="G651" s="29" t="n"/>
      <c r="H651" s="29" t="n"/>
      <c r="I651" s="29" t="n"/>
      <c r="J651" s="29" t="n"/>
      <c r="K651" s="29" t="n"/>
      <c r="L651" s="29" t="n"/>
      <c r="M651" s="29" t="n"/>
      <c r="N651" s="29" t="n"/>
      <c r="O651" s="5" t="n"/>
      <c r="P651" s="5" t="n"/>
      <c r="Q651" s="5" t="n"/>
      <c r="R651" s="5" t="n"/>
      <c r="S651" s="5" t="n"/>
    </row>
    <row r="652">
      <c r="A652" s="32" t="n"/>
      <c r="B652" s="32" t="n"/>
      <c r="C652" s="32" t="n"/>
      <c r="D652" s="32" t="n"/>
      <c r="E652" s="32" t="n"/>
      <c r="F652" s="29" t="n"/>
      <c r="G652" s="29" t="n"/>
      <c r="H652" s="29" t="n"/>
      <c r="I652" s="29" t="n"/>
      <c r="J652" s="29" t="n"/>
      <c r="K652" s="29" t="n"/>
      <c r="L652" s="29" t="n"/>
      <c r="M652" s="29" t="n"/>
      <c r="N652" s="29" t="n"/>
      <c r="O652" s="5" t="n"/>
      <c r="P652" s="5" t="n"/>
      <c r="Q652" s="5" t="n"/>
      <c r="R652" s="5" t="n"/>
      <c r="S652" s="5" t="n"/>
    </row>
    <row r="653">
      <c r="A653" s="32" t="n"/>
      <c r="B653" s="32" t="n"/>
      <c r="C653" s="32" t="n"/>
      <c r="D653" s="32" t="n"/>
      <c r="E653" s="32" t="n"/>
      <c r="F653" s="29" t="n"/>
      <c r="G653" s="29" t="n"/>
      <c r="H653" s="29" t="n"/>
      <c r="I653" s="29" t="n"/>
      <c r="J653" s="29" t="n"/>
      <c r="K653" s="29" t="n"/>
      <c r="L653" s="29" t="n"/>
      <c r="M653" s="29" t="n"/>
      <c r="N653" s="29" t="n"/>
      <c r="O653" s="5" t="n"/>
      <c r="P653" s="5" t="n"/>
      <c r="Q653" s="5" t="n"/>
      <c r="R653" s="5" t="n"/>
      <c r="S653" s="5" t="n"/>
    </row>
    <row r="654">
      <c r="A654" s="32" t="n"/>
      <c r="B654" s="32" t="n"/>
      <c r="C654" s="32" t="n"/>
      <c r="D654" s="32" t="n"/>
      <c r="E654" s="32" t="n"/>
      <c r="F654" s="29" t="n"/>
      <c r="G654" s="29" t="n"/>
      <c r="H654" s="29" t="n"/>
      <c r="I654" s="29" t="n"/>
      <c r="J654" s="29" t="n"/>
      <c r="K654" s="29" t="n"/>
      <c r="L654" s="29" t="n"/>
      <c r="M654" s="29" t="n"/>
      <c r="N654" s="29" t="n"/>
      <c r="O654" s="5" t="n"/>
      <c r="P654" s="5" t="n"/>
      <c r="Q654" s="5" t="n"/>
      <c r="R654" s="5" t="n"/>
      <c r="S654" s="5" t="n"/>
    </row>
    <row r="655">
      <c r="A655" s="32" t="n"/>
      <c r="B655" s="32" t="n"/>
      <c r="C655" s="32" t="n"/>
      <c r="D655" s="32" t="n"/>
      <c r="E655" s="32" t="n"/>
      <c r="F655" s="29" t="n"/>
      <c r="G655" s="29" t="n"/>
      <c r="H655" s="29" t="n"/>
      <c r="I655" s="29" t="n"/>
      <c r="J655" s="29" t="n"/>
      <c r="K655" s="29" t="n"/>
      <c r="L655" s="29" t="n"/>
      <c r="M655" s="29" t="n"/>
      <c r="N655" s="29" t="n"/>
      <c r="O655" s="5" t="n"/>
      <c r="P655" s="5" t="n"/>
      <c r="Q655" s="5" t="n"/>
      <c r="R655" s="5" t="n"/>
      <c r="S655" s="5" t="n"/>
    </row>
    <row r="656">
      <c r="A656" s="32" t="n"/>
      <c r="B656" s="32" t="n"/>
      <c r="C656" s="32" t="n"/>
      <c r="D656" s="32" t="n"/>
      <c r="E656" s="32" t="n"/>
      <c r="F656" s="29" t="n"/>
      <c r="G656" s="29" t="n"/>
      <c r="H656" s="29" t="n"/>
      <c r="I656" s="29" t="n"/>
      <c r="J656" s="29" t="n"/>
      <c r="K656" s="29" t="n"/>
      <c r="L656" s="29" t="n"/>
      <c r="M656" s="29" t="n"/>
      <c r="N656" s="29" t="n"/>
      <c r="O656" s="5" t="n"/>
      <c r="P656" s="5" t="n"/>
      <c r="Q656" s="5" t="n"/>
      <c r="R656" s="5" t="n"/>
      <c r="S656" s="5" t="n"/>
    </row>
    <row r="657">
      <c r="A657" s="32" t="n"/>
      <c r="B657" s="32" t="n"/>
      <c r="C657" s="32" t="n"/>
      <c r="D657" s="32" t="n"/>
      <c r="E657" s="32" t="n"/>
      <c r="F657" s="29" t="n"/>
      <c r="G657" s="29" t="n"/>
      <c r="H657" s="29" t="n"/>
      <c r="I657" s="29" t="n"/>
      <c r="J657" s="29" t="n"/>
      <c r="K657" s="29" t="n"/>
      <c r="L657" s="29" t="n"/>
      <c r="M657" s="29" t="n"/>
      <c r="N657" s="29" t="n"/>
      <c r="O657" s="5" t="n"/>
      <c r="P657" s="5" t="n"/>
      <c r="Q657" s="5" t="n"/>
      <c r="R657" s="5" t="n"/>
      <c r="S657" s="5" t="n"/>
    </row>
    <row r="658">
      <c r="A658" s="32" t="n"/>
      <c r="B658" s="32" t="n"/>
      <c r="C658" s="32" t="n"/>
      <c r="D658" s="32" t="n"/>
      <c r="E658" s="32" t="n"/>
      <c r="F658" s="29" t="n"/>
      <c r="G658" s="29" t="n"/>
      <c r="H658" s="29" t="n"/>
      <c r="I658" s="29" t="n"/>
      <c r="J658" s="29" t="n"/>
      <c r="K658" s="29" t="n"/>
      <c r="L658" s="29" t="n"/>
      <c r="M658" s="29" t="n"/>
      <c r="N658" s="29" t="n"/>
      <c r="O658" s="5" t="n"/>
      <c r="P658" s="5" t="n"/>
      <c r="Q658" s="5" t="n"/>
      <c r="R658" s="5" t="n"/>
      <c r="S658" s="5" t="n"/>
    </row>
    <row r="659">
      <c r="A659" s="32" t="n"/>
      <c r="B659" s="32" t="n"/>
      <c r="C659" s="32" t="n"/>
      <c r="D659" s="32" t="n"/>
      <c r="E659" s="32" t="n"/>
      <c r="F659" s="29" t="n"/>
      <c r="G659" s="29" t="n"/>
      <c r="H659" s="29" t="n"/>
      <c r="I659" s="29" t="n"/>
      <c r="J659" s="29" t="n"/>
      <c r="K659" s="29" t="n"/>
      <c r="L659" s="29" t="n"/>
      <c r="M659" s="29" t="n"/>
      <c r="N659" s="29" t="n"/>
      <c r="O659" s="5" t="n"/>
      <c r="P659" s="5" t="n"/>
      <c r="Q659" s="5" t="n"/>
      <c r="R659" s="5" t="n"/>
      <c r="S659" s="5" t="n"/>
    </row>
    <row r="660">
      <c r="A660" s="32" t="n"/>
      <c r="B660" s="32" t="n"/>
      <c r="C660" s="32" t="n"/>
      <c r="D660" s="32" t="n"/>
      <c r="E660" s="32" t="n"/>
      <c r="F660" s="29" t="n"/>
      <c r="G660" s="29" t="n"/>
      <c r="H660" s="29" t="n"/>
      <c r="I660" s="29" t="n"/>
      <c r="J660" s="29" t="n"/>
      <c r="K660" s="29" t="n"/>
      <c r="L660" s="29" t="n"/>
      <c r="M660" s="29" t="n"/>
      <c r="N660" s="29" t="n"/>
      <c r="O660" s="5" t="n"/>
      <c r="P660" s="5" t="n"/>
      <c r="Q660" s="5" t="n"/>
      <c r="R660" s="5" t="n"/>
      <c r="S660" s="5" t="n"/>
    </row>
    <row r="661">
      <c r="A661" s="32" t="n"/>
      <c r="B661" s="32" t="n"/>
      <c r="C661" s="32" t="n"/>
      <c r="D661" s="32" t="n"/>
      <c r="E661" s="32" t="n"/>
      <c r="F661" s="29" t="n"/>
      <c r="G661" s="29" t="n"/>
      <c r="H661" s="29" t="n"/>
      <c r="I661" s="29" t="n"/>
      <c r="J661" s="29" t="n"/>
      <c r="K661" s="29" t="n"/>
      <c r="L661" s="29" t="n"/>
      <c r="M661" s="29" t="n"/>
      <c r="N661" s="29" t="n"/>
      <c r="O661" s="5" t="n"/>
      <c r="P661" s="5" t="n"/>
      <c r="Q661" s="5" t="n"/>
      <c r="R661" s="5" t="n"/>
      <c r="S661" s="5" t="n"/>
    </row>
    <row r="662">
      <c r="A662" s="32" t="n"/>
      <c r="B662" s="32" t="n"/>
      <c r="C662" s="32" t="n"/>
      <c r="D662" s="32" t="n"/>
      <c r="E662" s="32" t="n"/>
      <c r="F662" s="29" t="n"/>
      <c r="G662" s="29" t="n"/>
      <c r="H662" s="29" t="n"/>
      <c r="I662" s="29" t="n"/>
      <c r="J662" s="29" t="n"/>
      <c r="K662" s="29" t="n"/>
      <c r="L662" s="29" t="n"/>
      <c r="M662" s="29" t="n"/>
      <c r="N662" s="29" t="n"/>
      <c r="O662" s="5" t="n"/>
      <c r="P662" s="5" t="n"/>
      <c r="Q662" s="5" t="n"/>
      <c r="R662" s="5" t="n"/>
      <c r="S662" s="5" t="n"/>
    </row>
    <row r="663">
      <c r="A663" s="32" t="n"/>
      <c r="B663" s="32" t="n"/>
      <c r="C663" s="32" t="n"/>
      <c r="D663" s="32" t="n"/>
      <c r="E663" s="32" t="n"/>
      <c r="F663" s="29" t="n"/>
      <c r="G663" s="29" t="n"/>
      <c r="H663" s="29" t="n"/>
      <c r="I663" s="29" t="n"/>
      <c r="J663" s="29" t="n"/>
      <c r="K663" s="29" t="n"/>
      <c r="L663" s="29" t="n"/>
      <c r="M663" s="29" t="n"/>
      <c r="N663" s="29" t="n"/>
      <c r="O663" s="5" t="n"/>
      <c r="P663" s="5" t="n"/>
      <c r="Q663" s="5" t="n"/>
      <c r="R663" s="5" t="n"/>
      <c r="S663" s="5" t="n"/>
    </row>
    <row r="664">
      <c r="A664" s="32" t="n"/>
      <c r="B664" s="32" t="n"/>
      <c r="C664" s="32" t="n"/>
      <c r="D664" s="32" t="n"/>
      <c r="E664" s="32" t="n"/>
      <c r="F664" s="29" t="n"/>
      <c r="G664" s="29" t="n"/>
      <c r="H664" s="29" t="n"/>
      <c r="I664" s="29" t="n"/>
      <c r="J664" s="29" t="n"/>
      <c r="K664" s="29" t="n"/>
      <c r="L664" s="29" t="n"/>
      <c r="M664" s="29" t="n"/>
      <c r="N664" s="29" t="n"/>
      <c r="O664" s="5" t="n"/>
      <c r="P664" s="5" t="n"/>
      <c r="Q664" s="5" t="n"/>
      <c r="R664" s="5" t="n"/>
      <c r="S664" s="5" t="n"/>
    </row>
    <row r="665">
      <c r="A665" s="32" t="n"/>
      <c r="B665" s="32" t="n"/>
      <c r="C665" s="32" t="n"/>
      <c r="D665" s="32" t="n"/>
      <c r="E665" s="32" t="n"/>
      <c r="F665" s="29" t="n"/>
      <c r="G665" s="29" t="n"/>
      <c r="H665" s="29" t="n"/>
      <c r="I665" s="29" t="n"/>
      <c r="J665" s="29" t="n"/>
      <c r="K665" s="29" t="n"/>
      <c r="L665" s="29" t="n"/>
      <c r="M665" s="29" t="n"/>
      <c r="N665" s="29" t="n"/>
      <c r="O665" s="5" t="n"/>
      <c r="P665" s="5" t="n"/>
      <c r="Q665" s="5" t="n"/>
      <c r="R665" s="5" t="n"/>
      <c r="S665" s="5" t="n"/>
    </row>
    <row r="666">
      <c r="A666" s="32" t="n"/>
      <c r="B666" s="32" t="n"/>
      <c r="C666" s="32" t="n"/>
      <c r="D666" s="32" t="n"/>
      <c r="E666" s="32" t="n"/>
      <c r="F666" s="29" t="n"/>
      <c r="G666" s="29" t="n"/>
      <c r="H666" s="29" t="n"/>
      <c r="I666" s="29" t="n"/>
      <c r="J666" s="29" t="n"/>
      <c r="K666" s="29" t="n"/>
      <c r="L666" s="29" t="n"/>
      <c r="M666" s="29" t="n"/>
      <c r="N666" s="29" t="n"/>
      <c r="O666" s="5" t="n"/>
      <c r="P666" s="5" t="n"/>
      <c r="Q666" s="5" t="n"/>
      <c r="R666" s="5" t="n"/>
      <c r="S666" s="5" t="n"/>
    </row>
    <row r="667">
      <c r="A667" s="32" t="n"/>
      <c r="B667" s="32" t="n"/>
      <c r="C667" s="32" t="n"/>
      <c r="D667" s="32" t="n"/>
      <c r="E667" s="32" t="n"/>
      <c r="F667" s="29" t="n"/>
      <c r="G667" s="29" t="n"/>
      <c r="H667" s="29" t="n"/>
      <c r="I667" s="29" t="n"/>
      <c r="J667" s="29" t="n"/>
      <c r="K667" s="29" t="n"/>
      <c r="L667" s="29" t="n"/>
      <c r="M667" s="29" t="n"/>
      <c r="N667" s="29" t="n"/>
      <c r="O667" s="5" t="n"/>
      <c r="P667" s="5" t="n"/>
      <c r="Q667" s="5" t="n"/>
      <c r="R667" s="5" t="n"/>
      <c r="S667" s="5" t="n"/>
    </row>
    <row r="668">
      <c r="A668" s="32" t="n"/>
      <c r="B668" s="32" t="n"/>
      <c r="C668" s="32" t="n"/>
      <c r="D668" s="32" t="n"/>
      <c r="E668" s="32" t="n"/>
      <c r="F668" s="29" t="n"/>
      <c r="G668" s="29" t="n"/>
      <c r="H668" s="29" t="n"/>
      <c r="I668" s="29" t="n"/>
      <c r="J668" s="29" t="n"/>
      <c r="K668" s="29" t="n"/>
      <c r="L668" s="29" t="n"/>
      <c r="M668" s="29" t="n"/>
      <c r="N668" s="29" t="n"/>
      <c r="O668" s="5" t="n"/>
      <c r="P668" s="5" t="n"/>
      <c r="Q668" s="5" t="n"/>
      <c r="R668" s="5" t="n"/>
      <c r="S668" s="5" t="n"/>
    </row>
    <row r="669">
      <c r="A669" s="32" t="n"/>
      <c r="B669" s="32" t="n"/>
      <c r="C669" s="32" t="n"/>
      <c r="D669" s="32" t="n"/>
      <c r="E669" s="32" t="n"/>
      <c r="F669" s="29" t="n"/>
      <c r="G669" s="29" t="n"/>
      <c r="H669" s="29" t="n"/>
      <c r="I669" s="29" t="n"/>
      <c r="J669" s="29" t="n"/>
      <c r="K669" s="29" t="n"/>
      <c r="L669" s="29" t="n"/>
      <c r="M669" s="29" t="n"/>
      <c r="N669" s="29" t="n"/>
      <c r="O669" s="5" t="n"/>
      <c r="P669" s="5" t="n"/>
      <c r="Q669" s="5" t="n"/>
      <c r="R669" s="5" t="n"/>
      <c r="S669" s="5" t="n"/>
    </row>
    <row r="670">
      <c r="A670" s="32" t="n"/>
      <c r="B670" s="32" t="n"/>
      <c r="C670" s="32" t="n"/>
      <c r="D670" s="32" t="n"/>
      <c r="E670" s="32" t="n"/>
      <c r="F670" s="29" t="n"/>
      <c r="G670" s="29" t="n"/>
      <c r="H670" s="29" t="n"/>
      <c r="I670" s="29" t="n"/>
      <c r="J670" s="29" t="n"/>
      <c r="K670" s="29" t="n"/>
      <c r="L670" s="29" t="n"/>
      <c r="M670" s="29" t="n"/>
      <c r="N670" s="29" t="n"/>
      <c r="O670" s="5" t="n"/>
      <c r="P670" s="5" t="n"/>
      <c r="Q670" s="5" t="n"/>
      <c r="R670" s="5" t="n"/>
      <c r="S670" s="5" t="n"/>
    </row>
    <row r="671">
      <c r="A671" s="32" t="n"/>
      <c r="B671" s="32" t="n"/>
      <c r="C671" s="32" t="n"/>
      <c r="D671" s="32" t="n"/>
      <c r="E671" s="32" t="n"/>
      <c r="F671" s="29" t="n"/>
      <c r="G671" s="29" t="n"/>
      <c r="H671" s="29" t="n"/>
      <c r="I671" s="29" t="n"/>
      <c r="J671" s="29" t="n"/>
      <c r="K671" s="29" t="n"/>
      <c r="L671" s="29" t="n"/>
      <c r="M671" s="29" t="n"/>
      <c r="N671" s="29" t="n"/>
      <c r="O671" s="5" t="n"/>
      <c r="P671" s="5" t="n"/>
      <c r="Q671" s="5" t="n"/>
      <c r="R671" s="5" t="n"/>
      <c r="S671" s="5" t="n"/>
    </row>
    <row r="672">
      <c r="A672" s="32" t="n"/>
      <c r="B672" s="32" t="n"/>
      <c r="C672" s="32" t="n"/>
      <c r="D672" s="32" t="n"/>
      <c r="E672" s="32" t="n"/>
      <c r="F672" s="29" t="n"/>
      <c r="G672" s="29" t="n"/>
      <c r="H672" s="29" t="n"/>
      <c r="I672" s="29" t="n"/>
      <c r="J672" s="29" t="n"/>
      <c r="K672" s="29" t="n"/>
      <c r="L672" s="29" t="n"/>
      <c r="M672" s="29" t="n"/>
      <c r="N672" s="29" t="n"/>
      <c r="O672" s="5" t="n"/>
      <c r="P672" s="5" t="n"/>
      <c r="Q672" s="5" t="n"/>
      <c r="R672" s="5" t="n"/>
      <c r="S672" s="5" t="n"/>
    </row>
    <row r="673">
      <c r="A673" s="32" t="n"/>
      <c r="B673" s="32" t="n"/>
      <c r="C673" s="32" t="n"/>
      <c r="D673" s="32" t="n"/>
      <c r="E673" s="32" t="n"/>
      <c r="F673" s="29" t="n"/>
      <c r="G673" s="29" t="n"/>
      <c r="H673" s="29" t="n"/>
      <c r="I673" s="29" t="n"/>
      <c r="J673" s="29" t="n"/>
      <c r="K673" s="29" t="n"/>
      <c r="L673" s="29" t="n"/>
      <c r="M673" s="29" t="n"/>
      <c r="N673" s="29" t="n"/>
      <c r="O673" s="5" t="n"/>
      <c r="P673" s="5" t="n"/>
      <c r="Q673" s="5" t="n"/>
      <c r="R673" s="5" t="n"/>
      <c r="S673" s="5" t="n"/>
    </row>
    <row r="674">
      <c r="A674" s="32" t="n"/>
      <c r="B674" s="32" t="n"/>
      <c r="C674" s="32" t="n"/>
      <c r="D674" s="32" t="n"/>
      <c r="E674" s="32" t="n"/>
      <c r="F674" s="29" t="n"/>
      <c r="G674" s="29" t="n"/>
      <c r="H674" s="29" t="n"/>
      <c r="I674" s="29" t="n"/>
      <c r="J674" s="29" t="n"/>
      <c r="K674" s="29" t="n"/>
      <c r="L674" s="29" t="n"/>
      <c r="M674" s="29" t="n"/>
      <c r="N674" s="29" t="n"/>
      <c r="O674" s="5" t="n"/>
      <c r="P674" s="5" t="n"/>
      <c r="Q674" s="5" t="n"/>
      <c r="R674" s="5" t="n"/>
      <c r="S674" s="5" t="n"/>
    </row>
    <row r="675">
      <c r="A675" s="32" t="n"/>
      <c r="B675" s="32" t="n"/>
      <c r="C675" s="32" t="n"/>
      <c r="D675" s="32" t="n"/>
      <c r="E675" s="32" t="n"/>
      <c r="F675" s="29" t="n"/>
      <c r="G675" s="29" t="n"/>
      <c r="H675" s="29" t="n"/>
      <c r="I675" s="29" t="n"/>
      <c r="J675" s="29" t="n"/>
      <c r="K675" s="29" t="n"/>
      <c r="L675" s="29" t="n"/>
      <c r="M675" s="29" t="n"/>
      <c r="N675" s="29" t="n"/>
      <c r="O675" s="5" t="n"/>
      <c r="P675" s="5" t="n"/>
      <c r="Q675" s="5" t="n"/>
      <c r="R675" s="5" t="n"/>
      <c r="S675" s="5" t="n"/>
    </row>
    <row r="676">
      <c r="A676" s="32" t="n"/>
      <c r="B676" s="32" t="n"/>
      <c r="C676" s="32" t="n"/>
      <c r="D676" s="32" t="n"/>
      <c r="E676" s="32" t="n"/>
      <c r="F676" s="29" t="n"/>
      <c r="G676" s="29" t="n"/>
      <c r="H676" s="29" t="n"/>
      <c r="I676" s="29" t="n"/>
      <c r="J676" s="29" t="n"/>
      <c r="K676" s="29" t="n"/>
      <c r="L676" s="29" t="n"/>
      <c r="M676" s="29" t="n"/>
      <c r="N676" s="29" t="n"/>
      <c r="O676" s="5" t="n"/>
      <c r="P676" s="5" t="n"/>
      <c r="Q676" s="5" t="n"/>
      <c r="R676" s="5" t="n"/>
      <c r="S676" s="5" t="n"/>
    </row>
    <row r="677">
      <c r="A677" s="32" t="n"/>
      <c r="B677" s="32" t="n"/>
      <c r="C677" s="32" t="n"/>
      <c r="D677" s="32" t="n"/>
      <c r="E677" s="32" t="n"/>
      <c r="F677" s="29" t="n"/>
      <c r="G677" s="29" t="n"/>
      <c r="H677" s="29" t="n"/>
      <c r="I677" s="29" t="n"/>
      <c r="J677" s="29" t="n"/>
      <c r="K677" s="29" t="n"/>
      <c r="L677" s="29" t="n"/>
      <c r="M677" s="29" t="n"/>
      <c r="N677" s="29" t="n"/>
      <c r="O677" s="5" t="n"/>
      <c r="P677" s="5" t="n"/>
      <c r="Q677" s="5" t="n"/>
      <c r="R677" s="5" t="n"/>
      <c r="S677" s="5" t="n"/>
    </row>
    <row r="678">
      <c r="A678" s="32" t="n"/>
      <c r="B678" s="32" t="n"/>
      <c r="C678" s="32" t="n"/>
      <c r="D678" s="32" t="n"/>
      <c r="E678" s="32" t="n"/>
      <c r="F678" s="29" t="n"/>
      <c r="G678" s="29" t="n"/>
      <c r="H678" s="29" t="n"/>
      <c r="I678" s="29" t="n"/>
      <c r="J678" s="29" t="n"/>
      <c r="K678" s="29" t="n"/>
      <c r="L678" s="29" t="n"/>
      <c r="M678" s="29" t="n"/>
      <c r="N678" s="29" t="n"/>
      <c r="O678" s="5" t="n"/>
      <c r="P678" s="5" t="n"/>
      <c r="Q678" s="5" t="n"/>
      <c r="R678" s="5" t="n"/>
      <c r="S678" s="5" t="n"/>
    </row>
    <row r="679">
      <c r="A679" s="32" t="n"/>
      <c r="B679" s="32" t="n"/>
      <c r="C679" s="32" t="n"/>
      <c r="D679" s="32" t="n"/>
      <c r="E679" s="32" t="n"/>
      <c r="F679" s="29" t="n"/>
      <c r="G679" s="29" t="n"/>
      <c r="H679" s="29" t="n"/>
      <c r="I679" s="29" t="n"/>
      <c r="J679" s="29" t="n"/>
      <c r="K679" s="29" t="n"/>
      <c r="L679" s="29" t="n"/>
      <c r="M679" s="29" t="n"/>
      <c r="N679" s="29" t="n"/>
      <c r="O679" s="5" t="n"/>
      <c r="P679" s="5" t="n"/>
      <c r="Q679" s="5" t="n"/>
      <c r="R679" s="5" t="n"/>
      <c r="S679" s="5" t="n"/>
    </row>
    <row r="680">
      <c r="A680" s="32" t="n"/>
      <c r="B680" s="32" t="n"/>
      <c r="C680" s="32" t="n"/>
      <c r="D680" s="32" t="n"/>
      <c r="E680" s="32" t="n"/>
      <c r="F680" s="29" t="n"/>
      <c r="G680" s="29" t="n"/>
      <c r="H680" s="29" t="n"/>
      <c r="I680" s="29" t="n"/>
      <c r="J680" s="29" t="n"/>
      <c r="K680" s="29" t="n"/>
      <c r="L680" s="29" t="n"/>
      <c r="M680" s="29" t="n"/>
      <c r="N680" s="29" t="n"/>
      <c r="O680" s="5" t="n"/>
      <c r="P680" s="5" t="n"/>
      <c r="Q680" s="5" t="n"/>
      <c r="R680" s="5" t="n"/>
      <c r="S680" s="5" t="n"/>
    </row>
    <row r="681">
      <c r="A681" s="32" t="n"/>
      <c r="B681" s="32" t="n"/>
      <c r="C681" s="32" t="n"/>
      <c r="D681" s="32" t="n"/>
      <c r="E681" s="32" t="n"/>
      <c r="F681" s="29" t="n"/>
      <c r="G681" s="29" t="n"/>
      <c r="H681" s="29" t="n"/>
      <c r="I681" s="29" t="n"/>
      <c r="J681" s="29" t="n"/>
      <c r="K681" s="29" t="n"/>
      <c r="L681" s="29" t="n"/>
      <c r="M681" s="29" t="n"/>
      <c r="N681" s="29" t="n"/>
      <c r="O681" s="5" t="n"/>
      <c r="P681" s="5" t="n"/>
      <c r="Q681" s="5" t="n"/>
      <c r="R681" s="5" t="n"/>
      <c r="S681" s="5" t="n"/>
    </row>
    <row r="682">
      <c r="A682" s="32" t="n"/>
      <c r="B682" s="32" t="n"/>
      <c r="C682" s="32" t="n"/>
      <c r="D682" s="32" t="n"/>
      <c r="E682" s="32" t="n"/>
      <c r="F682" s="29" t="n"/>
      <c r="G682" s="29" t="n"/>
      <c r="H682" s="29" t="n"/>
      <c r="I682" s="29" t="n"/>
      <c r="J682" s="29" t="n"/>
      <c r="K682" s="29" t="n"/>
      <c r="L682" s="29" t="n"/>
      <c r="M682" s="29" t="n"/>
      <c r="N682" s="29" t="n"/>
      <c r="O682" s="5" t="n"/>
      <c r="P682" s="5" t="n"/>
      <c r="Q682" s="5" t="n"/>
      <c r="R682" s="5" t="n"/>
      <c r="S682" s="5" t="n"/>
    </row>
    <row r="683">
      <c r="A683" s="32" t="n"/>
      <c r="B683" s="32" t="n"/>
      <c r="C683" s="32" t="n"/>
      <c r="D683" s="32" t="n"/>
      <c r="E683" s="32" t="n"/>
      <c r="F683" s="29" t="n"/>
      <c r="G683" s="29" t="n"/>
      <c r="H683" s="29" t="n"/>
      <c r="I683" s="29" t="n"/>
      <c r="J683" s="29" t="n"/>
      <c r="K683" s="29" t="n"/>
      <c r="L683" s="29" t="n"/>
      <c r="M683" s="29" t="n"/>
      <c r="N683" s="29" t="n"/>
      <c r="O683" s="5" t="n"/>
      <c r="P683" s="5" t="n"/>
      <c r="Q683" s="5" t="n"/>
      <c r="R683" s="5" t="n"/>
      <c r="S683" s="5" t="n"/>
    </row>
    <row r="684">
      <c r="A684" s="32" t="n"/>
      <c r="B684" s="32" t="n"/>
      <c r="C684" s="32" t="n"/>
      <c r="D684" s="32" t="n"/>
      <c r="E684" s="32" t="n"/>
      <c r="F684" s="29" t="n"/>
      <c r="G684" s="29" t="n"/>
      <c r="H684" s="29" t="n"/>
      <c r="I684" s="29" t="n"/>
      <c r="J684" s="29" t="n"/>
      <c r="K684" s="29" t="n"/>
      <c r="L684" s="29" t="n"/>
      <c r="M684" s="29" t="n"/>
      <c r="N684" s="29" t="n"/>
      <c r="O684" s="5" t="n"/>
      <c r="P684" s="5" t="n"/>
      <c r="Q684" s="5" t="n"/>
      <c r="R684" s="5" t="n"/>
      <c r="S684" s="5" t="n"/>
    </row>
    <row r="685">
      <c r="A685" s="32" t="n"/>
      <c r="B685" s="32" t="n"/>
      <c r="C685" s="32" t="n"/>
      <c r="D685" s="32" t="n"/>
      <c r="E685" s="32" t="n"/>
      <c r="F685" s="29" t="n"/>
      <c r="G685" s="29" t="n"/>
      <c r="H685" s="29" t="n"/>
      <c r="I685" s="29" t="n"/>
      <c r="J685" s="29" t="n"/>
      <c r="K685" s="29" t="n"/>
      <c r="L685" s="29" t="n"/>
      <c r="M685" s="29" t="n"/>
      <c r="N685" s="29" t="n"/>
      <c r="O685" s="5" t="n"/>
      <c r="P685" s="5" t="n"/>
      <c r="Q685" s="5" t="n"/>
      <c r="R685" s="5" t="n"/>
      <c r="S685" s="5" t="n"/>
    </row>
    <row r="686">
      <c r="A686" s="32" t="n"/>
      <c r="B686" s="32" t="n"/>
      <c r="C686" s="32" t="n"/>
      <c r="D686" s="32" t="n"/>
      <c r="E686" s="32" t="n"/>
      <c r="F686" s="29" t="n"/>
      <c r="G686" s="29" t="n"/>
      <c r="H686" s="29" t="n"/>
      <c r="I686" s="29" t="n"/>
      <c r="J686" s="29" t="n"/>
      <c r="K686" s="29" t="n"/>
      <c r="L686" s="29" t="n"/>
      <c r="M686" s="29" t="n"/>
      <c r="N686" s="29" t="n"/>
      <c r="O686" s="5" t="n"/>
      <c r="P686" s="5" t="n"/>
      <c r="Q686" s="5" t="n"/>
      <c r="R686" s="5" t="n"/>
      <c r="S686" s="5" t="n"/>
    </row>
    <row r="687">
      <c r="A687" s="32" t="n"/>
      <c r="B687" s="32" t="n"/>
      <c r="C687" s="32" t="n"/>
      <c r="D687" s="32" t="n"/>
      <c r="E687" s="32" t="n"/>
      <c r="F687" s="29" t="n"/>
      <c r="G687" s="29" t="n"/>
      <c r="H687" s="29" t="n"/>
      <c r="I687" s="29" t="n"/>
      <c r="J687" s="29" t="n"/>
      <c r="K687" s="29" t="n"/>
      <c r="L687" s="29" t="n"/>
      <c r="M687" s="29" t="n"/>
      <c r="N687" s="29" t="n"/>
      <c r="O687" s="5" t="n"/>
      <c r="P687" s="5" t="n"/>
      <c r="Q687" s="5" t="n"/>
      <c r="R687" s="5" t="n"/>
      <c r="S687" s="5" t="n"/>
    </row>
    <row r="688">
      <c r="A688" s="32" t="n"/>
      <c r="B688" s="32" t="n"/>
      <c r="C688" s="32" t="n"/>
      <c r="D688" s="32" t="n"/>
      <c r="E688" s="32" t="n"/>
      <c r="F688" s="29" t="n"/>
      <c r="G688" s="29" t="n"/>
      <c r="H688" s="29" t="n"/>
      <c r="I688" s="29" t="n"/>
      <c r="J688" s="29" t="n"/>
      <c r="K688" s="29" t="n"/>
      <c r="L688" s="29" t="n"/>
      <c r="M688" s="29" t="n"/>
      <c r="N688" s="29" t="n"/>
      <c r="O688" s="5" t="n"/>
      <c r="P688" s="5" t="n"/>
      <c r="Q688" s="5" t="n"/>
      <c r="R688" s="5" t="n"/>
      <c r="S688" s="5" t="n"/>
    </row>
    <row r="689">
      <c r="A689" s="32" t="n"/>
      <c r="B689" s="32" t="n"/>
      <c r="C689" s="32" t="n"/>
      <c r="D689" s="32" t="n"/>
      <c r="E689" s="32" t="n"/>
      <c r="F689" s="29" t="n"/>
      <c r="G689" s="29" t="n"/>
      <c r="H689" s="29" t="n"/>
      <c r="I689" s="29" t="n"/>
      <c r="J689" s="29" t="n"/>
      <c r="K689" s="29" t="n"/>
      <c r="L689" s="29" t="n"/>
      <c r="M689" s="29" t="n"/>
      <c r="N689" s="29" t="n"/>
      <c r="O689" s="5" t="n"/>
      <c r="P689" s="5" t="n"/>
      <c r="Q689" s="5" t="n"/>
      <c r="R689" s="5" t="n"/>
      <c r="S689" s="5" t="n"/>
    </row>
    <row r="690">
      <c r="A690" s="32" t="n"/>
      <c r="B690" s="32" t="n"/>
      <c r="C690" s="32" t="n"/>
      <c r="D690" s="32" t="n"/>
      <c r="E690" s="32" t="n"/>
      <c r="F690" s="29" t="n"/>
      <c r="G690" s="29" t="n"/>
      <c r="H690" s="29" t="n"/>
      <c r="I690" s="29" t="n"/>
      <c r="J690" s="29" t="n"/>
      <c r="K690" s="29" t="n"/>
      <c r="L690" s="29" t="n"/>
      <c r="M690" s="29" t="n"/>
      <c r="N690" s="29" t="n"/>
      <c r="O690" s="5" t="n"/>
      <c r="P690" s="5" t="n"/>
      <c r="Q690" s="5" t="n"/>
      <c r="R690" s="5" t="n"/>
      <c r="S690" s="5" t="n"/>
    </row>
    <row r="691">
      <c r="A691" s="32" t="n"/>
      <c r="B691" s="32" t="n"/>
      <c r="C691" s="32" t="n"/>
      <c r="D691" s="32" t="n"/>
      <c r="E691" s="32" t="n"/>
      <c r="F691" s="29" t="n"/>
      <c r="G691" s="29" t="n"/>
      <c r="H691" s="29" t="n"/>
      <c r="I691" s="29" t="n"/>
      <c r="J691" s="29" t="n"/>
      <c r="K691" s="29" t="n"/>
      <c r="L691" s="29" t="n"/>
      <c r="M691" s="29" t="n"/>
      <c r="N691" s="29" t="n"/>
      <c r="O691" s="5" t="n"/>
      <c r="P691" s="5" t="n"/>
      <c r="Q691" s="5" t="n"/>
      <c r="R691" s="5" t="n"/>
      <c r="S691" s="5" t="n"/>
    </row>
    <row r="692">
      <c r="A692" s="32" t="n"/>
      <c r="B692" s="32" t="n"/>
      <c r="C692" s="32" t="n"/>
      <c r="D692" s="32" t="n"/>
      <c r="E692" s="32" t="n"/>
      <c r="F692" s="29" t="n"/>
      <c r="G692" s="29" t="n"/>
      <c r="H692" s="29" t="n"/>
      <c r="I692" s="29" t="n"/>
      <c r="J692" s="29" t="n"/>
      <c r="K692" s="29" t="n"/>
      <c r="L692" s="29" t="n"/>
      <c r="M692" s="29" t="n"/>
      <c r="N692" s="29" t="n"/>
      <c r="O692" s="5" t="n"/>
      <c r="P692" s="5" t="n"/>
      <c r="Q692" s="5" t="n"/>
      <c r="R692" s="5" t="n"/>
      <c r="S692" s="5" t="n"/>
    </row>
    <row r="693">
      <c r="A693" s="32" t="n"/>
      <c r="B693" s="32" t="n"/>
      <c r="C693" s="32" t="n"/>
      <c r="D693" s="32" t="n"/>
      <c r="E693" s="32" t="n"/>
      <c r="F693" s="29" t="n"/>
      <c r="G693" s="29" t="n"/>
      <c r="H693" s="29" t="n"/>
      <c r="I693" s="29" t="n"/>
      <c r="J693" s="29" t="n"/>
      <c r="K693" s="29" t="n"/>
      <c r="L693" s="29" t="n"/>
      <c r="M693" s="29" t="n"/>
      <c r="N693" s="29" t="n"/>
      <c r="O693" s="5" t="n"/>
      <c r="P693" s="5" t="n"/>
      <c r="Q693" s="5" t="n"/>
      <c r="R693" s="5" t="n"/>
      <c r="S693" s="5" t="n"/>
    </row>
    <row r="694">
      <c r="A694" s="32" t="n"/>
      <c r="B694" s="32" t="n"/>
      <c r="C694" s="32" t="n"/>
      <c r="D694" s="32" t="n"/>
      <c r="E694" s="32" t="n"/>
      <c r="F694" s="29" t="n"/>
      <c r="G694" s="29" t="n"/>
      <c r="H694" s="29" t="n"/>
      <c r="I694" s="29" t="n"/>
      <c r="J694" s="29" t="n"/>
      <c r="K694" s="29" t="n"/>
      <c r="L694" s="29" t="n"/>
      <c r="M694" s="29" t="n"/>
      <c r="N694" s="29" t="n"/>
      <c r="O694" s="5" t="n"/>
      <c r="P694" s="5" t="n"/>
      <c r="Q694" s="5" t="n"/>
      <c r="R694" s="5" t="n"/>
      <c r="S694" s="5" t="n"/>
    </row>
    <row r="695">
      <c r="A695" s="32" t="n"/>
      <c r="B695" s="32" t="n"/>
      <c r="C695" s="32" t="n"/>
      <c r="D695" s="32" t="n"/>
      <c r="E695" s="32" t="n"/>
      <c r="F695" s="29" t="n"/>
      <c r="G695" s="29" t="n"/>
      <c r="H695" s="29" t="n"/>
      <c r="I695" s="29" t="n"/>
      <c r="J695" s="29" t="n"/>
      <c r="K695" s="29" t="n"/>
      <c r="L695" s="29" t="n"/>
      <c r="M695" s="29" t="n"/>
      <c r="N695" s="29" t="n"/>
      <c r="O695" s="5" t="n"/>
      <c r="P695" s="5" t="n"/>
      <c r="Q695" s="5" t="n"/>
      <c r="R695" s="5" t="n"/>
      <c r="S695" s="5" t="n"/>
    </row>
    <row r="696">
      <c r="A696" s="32" t="n"/>
      <c r="B696" s="32" t="n"/>
      <c r="C696" s="32" t="n"/>
      <c r="D696" s="32" t="n"/>
      <c r="E696" s="32" t="n"/>
      <c r="F696" s="29" t="n"/>
      <c r="G696" s="29" t="n"/>
      <c r="H696" s="29" t="n"/>
      <c r="I696" s="29" t="n"/>
      <c r="J696" s="29" t="n"/>
      <c r="K696" s="29" t="n"/>
      <c r="L696" s="29" t="n"/>
      <c r="M696" s="29" t="n"/>
      <c r="N696" s="29" t="n"/>
      <c r="O696" s="5" t="n"/>
      <c r="P696" s="5" t="n"/>
      <c r="Q696" s="5" t="n"/>
      <c r="R696" s="5" t="n"/>
      <c r="S696" s="5" t="n"/>
    </row>
    <row r="697">
      <c r="A697" s="32" t="n"/>
      <c r="B697" s="32" t="n"/>
      <c r="C697" s="32" t="n"/>
      <c r="D697" s="32" t="n"/>
      <c r="E697" s="32" t="n"/>
      <c r="F697" s="29" t="n"/>
      <c r="G697" s="29" t="n"/>
      <c r="H697" s="29" t="n"/>
      <c r="I697" s="29" t="n"/>
      <c r="J697" s="29" t="n"/>
      <c r="K697" s="29" t="n"/>
      <c r="L697" s="29" t="n"/>
      <c r="M697" s="29" t="n"/>
      <c r="N697" s="29" t="n"/>
      <c r="O697" s="5" t="n"/>
      <c r="P697" s="5" t="n"/>
      <c r="Q697" s="5" t="n"/>
      <c r="R697" s="5" t="n"/>
      <c r="S697" s="5" t="n"/>
    </row>
    <row r="698">
      <c r="A698" s="32" t="n"/>
      <c r="B698" s="32" t="n"/>
      <c r="C698" s="32" t="n"/>
      <c r="D698" s="32" t="n"/>
      <c r="E698" s="32" t="n"/>
      <c r="F698" s="29" t="n"/>
      <c r="G698" s="29" t="n"/>
      <c r="H698" s="29" t="n"/>
      <c r="I698" s="29" t="n"/>
      <c r="J698" s="29" t="n"/>
      <c r="K698" s="29" t="n"/>
      <c r="L698" s="29" t="n"/>
      <c r="M698" s="29" t="n"/>
      <c r="N698" s="29" t="n"/>
      <c r="O698" s="5" t="n"/>
      <c r="P698" s="5" t="n"/>
      <c r="Q698" s="5" t="n"/>
      <c r="R698" s="5" t="n"/>
      <c r="S698" s="5" t="n"/>
    </row>
    <row r="699">
      <c r="A699" s="32" t="n"/>
      <c r="B699" s="32" t="n"/>
      <c r="C699" s="32" t="n"/>
      <c r="D699" s="32" t="n"/>
      <c r="E699" s="32" t="n"/>
      <c r="F699" s="29" t="n"/>
      <c r="G699" s="29" t="n"/>
      <c r="H699" s="29" t="n"/>
      <c r="I699" s="29" t="n"/>
      <c r="J699" s="29" t="n"/>
      <c r="K699" s="29" t="n"/>
      <c r="L699" s="29" t="n"/>
      <c r="M699" s="29" t="n"/>
      <c r="N699" s="29" t="n"/>
      <c r="O699" s="5" t="n"/>
      <c r="P699" s="5" t="n"/>
      <c r="Q699" s="5" t="n"/>
      <c r="R699" s="5" t="n"/>
      <c r="S699" s="5" t="n"/>
    </row>
    <row r="700">
      <c r="A700" s="32" t="n"/>
      <c r="B700" s="32" t="n"/>
      <c r="C700" s="32" t="n"/>
      <c r="D700" s="32" t="n"/>
      <c r="E700" s="32" t="n"/>
      <c r="F700" s="29" t="n"/>
      <c r="G700" s="29" t="n"/>
      <c r="H700" s="29" t="n"/>
      <c r="I700" s="29" t="n"/>
      <c r="J700" s="29" t="n"/>
      <c r="K700" s="29" t="n"/>
      <c r="L700" s="29" t="n"/>
      <c r="M700" s="29" t="n"/>
      <c r="N700" s="29" t="n"/>
      <c r="O700" s="5" t="n"/>
      <c r="P700" s="5" t="n"/>
      <c r="Q700" s="5" t="n"/>
      <c r="R700" s="5" t="n"/>
      <c r="S700" s="5" t="n"/>
    </row>
    <row r="701">
      <c r="A701" s="32" t="n"/>
      <c r="B701" s="32" t="n"/>
      <c r="C701" s="32" t="n"/>
      <c r="D701" s="32" t="n"/>
      <c r="E701" s="32" t="n"/>
      <c r="F701" s="29" t="n"/>
      <c r="G701" s="29" t="n"/>
      <c r="H701" s="29" t="n"/>
      <c r="I701" s="29" t="n"/>
      <c r="J701" s="29" t="n"/>
      <c r="K701" s="29" t="n"/>
      <c r="L701" s="29" t="n"/>
      <c r="M701" s="29" t="n"/>
      <c r="N701" s="29" t="n"/>
      <c r="O701" s="5" t="n"/>
      <c r="P701" s="5" t="n"/>
      <c r="Q701" s="5" t="n"/>
      <c r="R701" s="5" t="n"/>
      <c r="S701" s="5" t="n"/>
    </row>
    <row r="702">
      <c r="A702" s="32" t="n"/>
      <c r="B702" s="32" t="n"/>
      <c r="C702" s="32" t="n"/>
      <c r="D702" s="32" t="n"/>
      <c r="E702" s="32" t="n"/>
      <c r="F702" s="29" t="n"/>
      <c r="G702" s="29" t="n"/>
      <c r="H702" s="29" t="n"/>
      <c r="I702" s="29" t="n"/>
      <c r="J702" s="29" t="n"/>
      <c r="K702" s="29" t="n"/>
      <c r="L702" s="29" t="n"/>
      <c r="M702" s="29" t="n"/>
      <c r="N702" s="29" t="n"/>
      <c r="O702" s="5" t="n"/>
      <c r="P702" s="5" t="n"/>
      <c r="Q702" s="5" t="n"/>
      <c r="R702" s="5" t="n"/>
      <c r="S702" s="5" t="n"/>
    </row>
    <row r="703">
      <c r="A703" s="32" t="n"/>
      <c r="B703" s="32" t="n"/>
      <c r="C703" s="32" t="n"/>
      <c r="D703" s="32" t="n"/>
      <c r="E703" s="32" t="n"/>
      <c r="F703" s="29" t="n"/>
      <c r="G703" s="29" t="n"/>
      <c r="H703" s="29" t="n"/>
      <c r="I703" s="29" t="n"/>
      <c r="J703" s="29" t="n"/>
      <c r="K703" s="29" t="n"/>
      <c r="L703" s="29" t="n"/>
      <c r="M703" s="29" t="n"/>
      <c r="N703" s="29" t="n"/>
      <c r="O703" s="5" t="n"/>
      <c r="P703" s="5" t="n"/>
      <c r="Q703" s="5" t="n"/>
      <c r="R703" s="5" t="n"/>
      <c r="S703" s="5" t="n"/>
    </row>
    <row r="704">
      <c r="A704" s="32" t="n"/>
      <c r="B704" s="32" t="n"/>
      <c r="C704" s="32" t="n"/>
      <c r="D704" s="32" t="n"/>
      <c r="E704" s="32" t="n"/>
      <c r="F704" s="29" t="n"/>
      <c r="G704" s="29" t="n"/>
      <c r="H704" s="29" t="n"/>
      <c r="I704" s="29" t="n"/>
      <c r="J704" s="29" t="n"/>
      <c r="K704" s="29" t="n"/>
      <c r="L704" s="29" t="n"/>
      <c r="M704" s="29" t="n"/>
      <c r="N704" s="29" t="n"/>
      <c r="O704" s="5" t="n"/>
      <c r="P704" s="5" t="n"/>
      <c r="Q704" s="5" t="n"/>
      <c r="R704" s="5" t="n"/>
      <c r="S704" s="5" t="n"/>
    </row>
    <row r="705">
      <c r="A705" s="32" t="n"/>
      <c r="B705" s="32" t="n"/>
      <c r="C705" s="32" t="n"/>
      <c r="D705" s="32" t="n"/>
      <c r="E705" s="32" t="n"/>
      <c r="F705" s="29" t="n"/>
      <c r="G705" s="29" t="n"/>
      <c r="H705" s="29" t="n"/>
      <c r="I705" s="29" t="n"/>
      <c r="J705" s="29" t="n"/>
      <c r="K705" s="29" t="n"/>
      <c r="L705" s="29" t="n"/>
      <c r="M705" s="29" t="n"/>
      <c r="N705" s="29" t="n"/>
      <c r="O705" s="5" t="n"/>
      <c r="P705" s="5" t="n"/>
      <c r="Q705" s="5" t="n"/>
      <c r="R705" s="5" t="n"/>
      <c r="S705" s="5" t="n"/>
    </row>
    <row r="706">
      <c r="A706" s="32" t="n"/>
      <c r="B706" s="32" t="n"/>
      <c r="C706" s="32" t="n"/>
      <c r="D706" s="32" t="n"/>
      <c r="E706" s="32" t="n"/>
      <c r="F706" s="29" t="n"/>
      <c r="G706" s="29" t="n"/>
      <c r="H706" s="29" t="n"/>
      <c r="I706" s="29" t="n"/>
      <c r="J706" s="29" t="n"/>
      <c r="K706" s="29" t="n"/>
      <c r="L706" s="29" t="n"/>
      <c r="M706" s="29" t="n"/>
      <c r="N706" s="29" t="n"/>
      <c r="O706" s="5" t="n"/>
      <c r="P706" s="5" t="n"/>
      <c r="Q706" s="5" t="n"/>
      <c r="R706" s="5" t="n"/>
      <c r="S706" s="5" t="n"/>
    </row>
    <row r="707">
      <c r="A707" s="32" t="n"/>
      <c r="B707" s="32" t="n"/>
      <c r="C707" s="32" t="n"/>
      <c r="D707" s="32" t="n"/>
      <c r="E707" s="32" t="n"/>
      <c r="F707" s="29" t="n"/>
      <c r="G707" s="29" t="n"/>
      <c r="H707" s="29" t="n"/>
      <c r="I707" s="29" t="n"/>
      <c r="J707" s="29" t="n"/>
      <c r="K707" s="29" t="n"/>
      <c r="L707" s="29" t="n"/>
      <c r="M707" s="29" t="n"/>
      <c r="N707" s="29" t="n"/>
      <c r="O707" s="5" t="n"/>
      <c r="P707" s="5" t="n"/>
      <c r="Q707" s="5" t="n"/>
      <c r="R707" s="5" t="n"/>
      <c r="S707" s="5" t="n"/>
    </row>
    <row r="708">
      <c r="A708" s="32" t="n"/>
      <c r="B708" s="32" t="n"/>
      <c r="C708" s="32" t="n"/>
      <c r="D708" s="32" t="n"/>
      <c r="E708" s="32" t="n"/>
      <c r="F708" s="29" t="n"/>
      <c r="G708" s="29" t="n"/>
      <c r="H708" s="29" t="n"/>
      <c r="I708" s="29" t="n"/>
      <c r="J708" s="29" t="n"/>
      <c r="K708" s="29" t="n"/>
      <c r="L708" s="29" t="n"/>
      <c r="M708" s="29" t="n"/>
      <c r="N708" s="29" t="n"/>
      <c r="O708" s="5" t="n"/>
      <c r="P708" s="5" t="n"/>
      <c r="Q708" s="5" t="n"/>
      <c r="R708" s="5" t="n"/>
      <c r="S708" s="5" t="n"/>
    </row>
    <row r="709">
      <c r="A709" s="32" t="n"/>
      <c r="B709" s="32" t="n"/>
      <c r="C709" s="32" t="n"/>
      <c r="D709" s="32" t="n"/>
      <c r="E709" s="32" t="n"/>
      <c r="F709" s="29" t="n"/>
      <c r="G709" s="29" t="n"/>
      <c r="H709" s="29" t="n"/>
      <c r="I709" s="29" t="n"/>
      <c r="J709" s="29" t="n"/>
      <c r="K709" s="29" t="n"/>
      <c r="L709" s="29" t="n"/>
      <c r="M709" s="29" t="n"/>
      <c r="N709" s="29" t="n"/>
      <c r="O709" s="5" t="n"/>
      <c r="P709" s="5" t="n"/>
      <c r="Q709" s="5" t="n"/>
      <c r="R709" s="5" t="n"/>
      <c r="S709" s="5" t="n"/>
    </row>
    <row r="710">
      <c r="A710" s="32" t="n"/>
      <c r="B710" s="32" t="n"/>
      <c r="C710" s="32" t="n"/>
      <c r="D710" s="32" t="n"/>
      <c r="E710" s="32" t="n"/>
      <c r="F710" s="29" t="n"/>
      <c r="G710" s="29" t="n"/>
      <c r="H710" s="29" t="n"/>
      <c r="I710" s="29" t="n"/>
      <c r="J710" s="29" t="n"/>
      <c r="K710" s="29" t="n"/>
      <c r="L710" s="29" t="n"/>
      <c r="M710" s="29" t="n"/>
      <c r="N710" s="29" t="n"/>
      <c r="O710" s="5" t="n"/>
      <c r="P710" s="5" t="n"/>
      <c r="Q710" s="5" t="n"/>
      <c r="R710" s="5" t="n"/>
      <c r="S710" s="5" t="n"/>
    </row>
    <row r="711">
      <c r="A711" s="32" t="n"/>
      <c r="B711" s="32" t="n"/>
      <c r="C711" s="32" t="n"/>
      <c r="D711" s="32" t="n"/>
      <c r="E711" s="32" t="n"/>
      <c r="F711" s="29" t="n"/>
      <c r="G711" s="29" t="n"/>
      <c r="H711" s="29" t="n"/>
      <c r="I711" s="29" t="n"/>
      <c r="J711" s="29" t="n"/>
      <c r="K711" s="29" t="n"/>
      <c r="L711" s="29" t="n"/>
      <c r="M711" s="29" t="n"/>
      <c r="N711" s="29" t="n"/>
      <c r="O711" s="5" t="n"/>
      <c r="P711" s="5" t="n"/>
      <c r="Q711" s="5" t="n"/>
      <c r="R711" s="5" t="n"/>
      <c r="S711" s="5" t="n"/>
    </row>
    <row r="712">
      <c r="A712" s="32" t="n"/>
      <c r="B712" s="32" t="n"/>
      <c r="C712" s="32" t="n"/>
      <c r="D712" s="32" t="n"/>
      <c r="E712" s="32" t="n"/>
      <c r="F712" s="29" t="n"/>
      <c r="G712" s="29" t="n"/>
      <c r="H712" s="29" t="n"/>
      <c r="I712" s="29" t="n"/>
      <c r="J712" s="29" t="n"/>
      <c r="K712" s="29" t="n"/>
      <c r="L712" s="29" t="n"/>
      <c r="M712" s="29" t="n"/>
      <c r="N712" s="29" t="n"/>
      <c r="O712" s="5" t="n"/>
      <c r="P712" s="5" t="n"/>
      <c r="Q712" s="5" t="n"/>
      <c r="R712" s="5" t="n"/>
      <c r="S712" s="5" t="n"/>
    </row>
    <row r="713">
      <c r="A713" s="32" t="n"/>
      <c r="B713" s="32" t="n"/>
      <c r="C713" s="32" t="n"/>
      <c r="D713" s="32" t="n"/>
      <c r="E713" s="32" t="n"/>
      <c r="F713" s="29" t="n"/>
      <c r="G713" s="29" t="n"/>
      <c r="H713" s="29" t="n"/>
      <c r="I713" s="29" t="n"/>
      <c r="J713" s="29" t="n"/>
      <c r="K713" s="29" t="n"/>
      <c r="L713" s="29" t="n"/>
      <c r="M713" s="29" t="n"/>
      <c r="N713" s="29" t="n"/>
      <c r="O713" s="5" t="n"/>
      <c r="P713" s="5" t="n"/>
      <c r="Q713" s="5" t="n"/>
      <c r="R713" s="5" t="n"/>
      <c r="S713" s="5" t="n"/>
    </row>
    <row r="714">
      <c r="A714" s="32" t="n"/>
      <c r="B714" s="32" t="n"/>
      <c r="C714" s="32" t="n"/>
      <c r="D714" s="32" t="n"/>
      <c r="E714" s="32" t="n"/>
      <c r="F714" s="29" t="n"/>
      <c r="G714" s="29" t="n"/>
      <c r="H714" s="29" t="n"/>
      <c r="I714" s="29" t="n"/>
      <c r="J714" s="29" t="n"/>
      <c r="K714" s="29" t="n"/>
      <c r="L714" s="29" t="n"/>
      <c r="M714" s="29" t="n"/>
      <c r="N714" s="29" t="n"/>
      <c r="O714" s="5" t="n"/>
      <c r="P714" s="5" t="n"/>
      <c r="Q714" s="5" t="n"/>
      <c r="R714" s="5" t="n"/>
      <c r="S714" s="5" t="n"/>
    </row>
    <row r="715">
      <c r="A715" s="32" t="n"/>
      <c r="B715" s="32" t="n"/>
      <c r="C715" s="32" t="n"/>
      <c r="D715" s="32" t="n"/>
      <c r="E715" s="32" t="n"/>
      <c r="F715" s="29" t="n"/>
      <c r="G715" s="29" t="n"/>
      <c r="H715" s="29" t="n"/>
      <c r="I715" s="29" t="n"/>
      <c r="J715" s="29" t="n"/>
      <c r="K715" s="29" t="n"/>
      <c r="L715" s="29" t="n"/>
      <c r="M715" s="29" t="n"/>
      <c r="N715" s="29" t="n"/>
      <c r="O715" s="5" t="n"/>
      <c r="P715" s="5" t="n"/>
      <c r="Q715" s="5" t="n"/>
      <c r="R715" s="5" t="n"/>
      <c r="S715" s="5" t="n"/>
    </row>
    <row r="716">
      <c r="A716" s="32" t="n"/>
      <c r="B716" s="32" t="n"/>
      <c r="C716" s="32" t="n"/>
      <c r="D716" s="32" t="n"/>
      <c r="E716" s="32" t="n"/>
      <c r="F716" s="29" t="n"/>
      <c r="G716" s="29" t="n"/>
      <c r="H716" s="29" t="n"/>
      <c r="I716" s="29" t="n"/>
      <c r="J716" s="29" t="n"/>
      <c r="K716" s="29" t="n"/>
      <c r="L716" s="29" t="n"/>
      <c r="M716" s="29" t="n"/>
      <c r="N716" s="29" t="n"/>
      <c r="O716" s="5" t="n"/>
      <c r="P716" s="5" t="n"/>
      <c r="Q716" s="5" t="n"/>
      <c r="R716" s="5" t="n"/>
      <c r="S716" s="5" t="n"/>
    </row>
    <row r="717">
      <c r="A717" s="32" t="n"/>
      <c r="B717" s="32" t="n"/>
      <c r="C717" s="32" t="n"/>
      <c r="D717" s="32" t="n"/>
      <c r="E717" s="32" t="n"/>
      <c r="F717" s="29" t="n"/>
      <c r="G717" s="29" t="n"/>
      <c r="H717" s="29" t="n"/>
      <c r="I717" s="29" t="n"/>
      <c r="J717" s="29" t="n"/>
      <c r="K717" s="29" t="n"/>
      <c r="L717" s="29" t="n"/>
      <c r="M717" s="29" t="n"/>
      <c r="N717" s="29" t="n"/>
      <c r="O717" s="5" t="n"/>
      <c r="P717" s="5" t="n"/>
      <c r="Q717" s="5" t="n"/>
      <c r="R717" s="5" t="n"/>
      <c r="S717" s="5" t="n"/>
    </row>
    <row r="718">
      <c r="A718" s="32" t="n"/>
      <c r="B718" s="32" t="n"/>
      <c r="C718" s="32" t="n"/>
      <c r="D718" s="32" t="n"/>
      <c r="E718" s="32" t="n"/>
      <c r="F718" s="29" t="n"/>
      <c r="G718" s="29" t="n"/>
      <c r="H718" s="29" t="n"/>
      <c r="I718" s="29" t="n"/>
      <c r="J718" s="29" t="n"/>
      <c r="K718" s="29" t="n"/>
      <c r="L718" s="29" t="n"/>
      <c r="M718" s="29" t="n"/>
      <c r="N718" s="29" t="n"/>
      <c r="O718" s="5" t="n"/>
      <c r="P718" s="5" t="n"/>
      <c r="Q718" s="5" t="n"/>
      <c r="R718" s="5" t="n"/>
      <c r="S718" s="5" t="n"/>
    </row>
    <row r="719">
      <c r="A719" s="32" t="n"/>
      <c r="B719" s="32" t="n"/>
      <c r="C719" s="32" t="n"/>
      <c r="D719" s="32" t="n"/>
      <c r="E719" s="32" t="n"/>
      <c r="F719" s="29" t="n"/>
      <c r="G719" s="29" t="n"/>
      <c r="H719" s="29" t="n"/>
      <c r="I719" s="29" t="n"/>
      <c r="J719" s="29" t="n"/>
      <c r="K719" s="29" t="n"/>
      <c r="L719" s="29" t="n"/>
      <c r="M719" s="29" t="n"/>
      <c r="N719" s="29" t="n"/>
      <c r="O719" s="5" t="n"/>
      <c r="P719" s="5" t="n"/>
      <c r="Q719" s="5" t="n"/>
      <c r="R719" s="5" t="n"/>
      <c r="S719" s="5" t="n"/>
    </row>
    <row r="720">
      <c r="A720" s="32" t="n"/>
      <c r="B720" s="32" t="n"/>
      <c r="C720" s="32" t="n"/>
      <c r="D720" s="32" t="n"/>
      <c r="E720" s="32" t="n"/>
      <c r="F720" s="29" t="n"/>
      <c r="G720" s="29" t="n"/>
      <c r="H720" s="29" t="n"/>
      <c r="I720" s="29" t="n"/>
      <c r="J720" s="29" t="n"/>
      <c r="K720" s="29" t="n"/>
      <c r="L720" s="29" t="n"/>
      <c r="M720" s="29" t="n"/>
      <c r="N720" s="29" t="n"/>
      <c r="O720" s="5" t="n"/>
      <c r="P720" s="5" t="n"/>
      <c r="Q720" s="5" t="n"/>
      <c r="R720" s="5" t="n"/>
      <c r="S720" s="5" t="n"/>
    </row>
    <row r="721">
      <c r="A721" s="32" t="n"/>
      <c r="B721" s="32" t="n"/>
      <c r="C721" s="32" t="n"/>
      <c r="D721" s="32" t="n"/>
      <c r="E721" s="32" t="n"/>
      <c r="F721" s="29" t="n"/>
      <c r="G721" s="29" t="n"/>
      <c r="H721" s="29" t="n"/>
      <c r="I721" s="29" t="n"/>
      <c r="J721" s="29" t="n"/>
      <c r="K721" s="29" t="n"/>
      <c r="L721" s="29" t="n"/>
      <c r="M721" s="29" t="n"/>
      <c r="N721" s="29" t="n"/>
      <c r="O721" s="5" t="n"/>
      <c r="P721" s="5" t="n"/>
      <c r="Q721" s="5" t="n"/>
      <c r="R721" s="5" t="n"/>
      <c r="S721" s="5" t="n"/>
    </row>
    <row r="722">
      <c r="A722" s="32" t="n"/>
      <c r="B722" s="32" t="n"/>
      <c r="C722" s="32" t="n"/>
      <c r="D722" s="32" t="n"/>
      <c r="E722" s="32" t="n"/>
      <c r="F722" s="29" t="n"/>
      <c r="G722" s="29" t="n"/>
      <c r="H722" s="29" t="n"/>
      <c r="I722" s="29" t="n"/>
      <c r="J722" s="29" t="n"/>
      <c r="K722" s="29" t="n"/>
      <c r="L722" s="29" t="n"/>
      <c r="M722" s="29" t="n"/>
      <c r="N722" s="29" t="n"/>
      <c r="O722" s="5" t="n"/>
      <c r="P722" s="5" t="n"/>
      <c r="Q722" s="5" t="n"/>
      <c r="R722" s="5" t="n"/>
      <c r="S722" s="5" t="n"/>
    </row>
    <row r="723">
      <c r="A723" s="32" t="n"/>
      <c r="B723" s="32" t="n"/>
      <c r="C723" s="32" t="n"/>
      <c r="D723" s="32" t="n"/>
      <c r="E723" s="32" t="n"/>
      <c r="F723" s="29" t="n"/>
      <c r="G723" s="29" t="n"/>
      <c r="H723" s="29" t="n"/>
      <c r="I723" s="29" t="n"/>
      <c r="J723" s="29" t="n"/>
      <c r="K723" s="29" t="n"/>
      <c r="L723" s="29" t="n"/>
      <c r="M723" s="29" t="n"/>
      <c r="N723" s="29" t="n"/>
      <c r="O723" s="5" t="n"/>
      <c r="P723" s="5" t="n"/>
      <c r="Q723" s="5" t="n"/>
      <c r="R723" s="5" t="n"/>
      <c r="S723" s="5" t="n"/>
    </row>
    <row r="724">
      <c r="A724" s="32" t="n"/>
      <c r="B724" s="32" t="n"/>
      <c r="C724" s="32" t="n"/>
      <c r="D724" s="32" t="n"/>
      <c r="E724" s="32" t="n"/>
      <c r="F724" s="29" t="n"/>
      <c r="G724" s="29" t="n"/>
      <c r="H724" s="29" t="n"/>
      <c r="I724" s="29" t="n"/>
      <c r="J724" s="29" t="n"/>
      <c r="K724" s="29" t="n"/>
      <c r="L724" s="29" t="n"/>
      <c r="M724" s="29" t="n"/>
      <c r="N724" s="29" t="n"/>
      <c r="O724" s="5" t="n"/>
      <c r="P724" s="5" t="n"/>
      <c r="Q724" s="5" t="n"/>
      <c r="R724" s="5" t="n"/>
      <c r="S724" s="5" t="n"/>
    </row>
    <row r="725">
      <c r="A725" s="32" t="n"/>
      <c r="B725" s="32" t="n"/>
      <c r="C725" s="32" t="n"/>
      <c r="D725" s="32" t="n"/>
      <c r="E725" s="32" t="n"/>
      <c r="F725" s="29" t="n"/>
      <c r="G725" s="29" t="n"/>
      <c r="H725" s="29" t="n"/>
      <c r="I725" s="29" t="n"/>
      <c r="J725" s="29" t="n"/>
      <c r="K725" s="29" t="n"/>
      <c r="L725" s="29" t="n"/>
      <c r="M725" s="29" t="n"/>
      <c r="N725" s="29" t="n"/>
      <c r="O725" s="5" t="n"/>
      <c r="P725" s="5" t="n"/>
      <c r="Q725" s="5" t="n"/>
      <c r="R725" s="5" t="n"/>
      <c r="S725" s="5" t="n"/>
    </row>
    <row r="726">
      <c r="A726" s="32" t="n"/>
      <c r="B726" s="32" t="n"/>
      <c r="C726" s="32" t="n"/>
      <c r="D726" s="32" t="n"/>
      <c r="E726" s="32" t="n"/>
      <c r="F726" s="29" t="n"/>
      <c r="G726" s="29" t="n"/>
      <c r="H726" s="29" t="n"/>
      <c r="I726" s="29" t="n"/>
      <c r="J726" s="29" t="n"/>
      <c r="K726" s="29" t="n"/>
      <c r="L726" s="29" t="n"/>
      <c r="M726" s="29" t="n"/>
      <c r="N726" s="29" t="n"/>
      <c r="O726" s="5" t="n"/>
      <c r="P726" s="5" t="n"/>
      <c r="Q726" s="5" t="n"/>
      <c r="R726" s="5" t="n"/>
      <c r="S726" s="5" t="n"/>
    </row>
    <row r="727">
      <c r="A727" s="32" t="n"/>
      <c r="B727" s="32" t="n"/>
      <c r="C727" s="32" t="n"/>
      <c r="D727" s="32" t="n"/>
      <c r="E727" s="32" t="n"/>
      <c r="F727" s="29" t="n"/>
      <c r="G727" s="29" t="n"/>
      <c r="H727" s="29" t="n"/>
      <c r="I727" s="29" t="n"/>
      <c r="J727" s="29" t="n"/>
      <c r="K727" s="29" t="n"/>
      <c r="L727" s="29" t="n"/>
      <c r="M727" s="29" t="n"/>
      <c r="N727" s="29" t="n"/>
      <c r="O727" s="5" t="n"/>
      <c r="P727" s="5" t="n"/>
      <c r="Q727" s="5" t="n"/>
      <c r="R727" s="5" t="n"/>
      <c r="S727" s="5" t="n"/>
    </row>
    <row r="728">
      <c r="A728" s="32" t="n"/>
      <c r="B728" s="32" t="n"/>
      <c r="C728" s="32" t="n"/>
      <c r="D728" s="32" t="n"/>
      <c r="E728" s="32" t="n"/>
      <c r="F728" s="29" t="n"/>
      <c r="G728" s="29" t="n"/>
      <c r="H728" s="29" t="n"/>
      <c r="I728" s="29" t="n"/>
      <c r="J728" s="29" t="n"/>
      <c r="K728" s="29" t="n"/>
      <c r="L728" s="29" t="n"/>
      <c r="M728" s="29" t="n"/>
      <c r="N728" s="29" t="n"/>
      <c r="O728" s="5" t="n"/>
      <c r="P728" s="5" t="n"/>
      <c r="Q728" s="5" t="n"/>
      <c r="R728" s="5" t="n"/>
      <c r="S728" s="5" t="n"/>
    </row>
    <row r="729">
      <c r="A729" s="32" t="n"/>
      <c r="B729" s="32" t="n"/>
      <c r="C729" s="32" t="n"/>
      <c r="D729" s="32" t="n"/>
      <c r="E729" s="32" t="n"/>
      <c r="F729" s="29" t="n"/>
      <c r="G729" s="29" t="n"/>
      <c r="H729" s="29" t="n"/>
      <c r="I729" s="29" t="n"/>
      <c r="J729" s="29" t="n"/>
      <c r="K729" s="29" t="n"/>
      <c r="L729" s="29" t="n"/>
      <c r="M729" s="29" t="n"/>
      <c r="N729" s="29" t="n"/>
      <c r="O729" s="5" t="n"/>
      <c r="P729" s="5" t="n"/>
      <c r="Q729" s="5" t="n"/>
      <c r="R729" s="5" t="n"/>
      <c r="S729" s="5" t="n"/>
    </row>
    <row r="730">
      <c r="A730" s="32" t="n"/>
      <c r="B730" s="32" t="n"/>
      <c r="C730" s="32" t="n"/>
      <c r="D730" s="32" t="n"/>
      <c r="E730" s="32" t="n"/>
      <c r="F730" s="29" t="n"/>
      <c r="G730" s="29" t="n"/>
      <c r="H730" s="29" t="n"/>
      <c r="I730" s="29" t="n"/>
      <c r="J730" s="29" t="n"/>
      <c r="K730" s="29" t="n"/>
      <c r="L730" s="29" t="n"/>
      <c r="M730" s="29" t="n"/>
      <c r="N730" s="29" t="n"/>
      <c r="O730" s="5" t="n"/>
      <c r="P730" s="5" t="n"/>
      <c r="Q730" s="5" t="n"/>
      <c r="R730" s="5" t="n"/>
      <c r="S730" s="5" t="n"/>
    </row>
    <row r="731">
      <c r="A731" s="32" t="n"/>
      <c r="B731" s="32" t="n"/>
      <c r="C731" s="32" t="n"/>
      <c r="D731" s="32" t="n"/>
      <c r="E731" s="32" t="n"/>
      <c r="F731" s="29" t="n"/>
      <c r="G731" s="29" t="n"/>
      <c r="H731" s="29" t="n"/>
      <c r="I731" s="29" t="n"/>
      <c r="J731" s="29" t="n"/>
      <c r="K731" s="29" t="n"/>
      <c r="L731" s="29" t="n"/>
      <c r="M731" s="29" t="n"/>
      <c r="N731" s="29" t="n"/>
      <c r="O731" s="5" t="n"/>
      <c r="P731" s="5" t="n"/>
      <c r="Q731" s="5" t="n"/>
      <c r="R731" s="5" t="n"/>
      <c r="S731" s="5" t="n"/>
    </row>
    <row r="732">
      <c r="A732" s="32" t="n"/>
      <c r="B732" s="32" t="n"/>
      <c r="C732" s="32" t="n"/>
      <c r="D732" s="32" t="n"/>
      <c r="E732" s="32" t="n"/>
      <c r="F732" s="29" t="n"/>
      <c r="G732" s="29" t="n"/>
      <c r="H732" s="29" t="n"/>
      <c r="I732" s="29" t="n"/>
      <c r="J732" s="29" t="n"/>
      <c r="K732" s="29" t="n"/>
      <c r="L732" s="29" t="n"/>
      <c r="M732" s="29" t="n"/>
      <c r="N732" s="29" t="n"/>
      <c r="O732" s="5" t="n"/>
      <c r="P732" s="5" t="n"/>
      <c r="Q732" s="5" t="n"/>
      <c r="R732" s="5" t="n"/>
      <c r="S732" s="5" t="n"/>
    </row>
    <row r="733">
      <c r="A733" s="32" t="n"/>
      <c r="B733" s="32" t="n"/>
      <c r="C733" s="32" t="n"/>
      <c r="D733" s="32" t="n"/>
      <c r="E733" s="32" t="n"/>
      <c r="F733" s="29" t="n"/>
      <c r="G733" s="29" t="n"/>
      <c r="H733" s="29" t="n"/>
      <c r="I733" s="29" t="n"/>
      <c r="J733" s="29" t="n"/>
      <c r="K733" s="29" t="n"/>
      <c r="L733" s="29" t="n"/>
      <c r="M733" s="29" t="n"/>
      <c r="N733" s="29" t="n"/>
      <c r="O733" s="5" t="n"/>
      <c r="P733" s="5" t="n"/>
      <c r="Q733" s="5" t="n"/>
      <c r="R733" s="5" t="n"/>
      <c r="S733" s="5" t="n"/>
    </row>
    <row r="734">
      <c r="A734" s="32" t="n"/>
      <c r="B734" s="32" t="n"/>
      <c r="C734" s="32" t="n"/>
      <c r="D734" s="32" t="n"/>
      <c r="E734" s="32" t="n"/>
      <c r="F734" s="29" t="n"/>
      <c r="G734" s="29" t="n"/>
      <c r="H734" s="29" t="n"/>
      <c r="I734" s="29" t="n"/>
      <c r="J734" s="29" t="n"/>
      <c r="K734" s="29" t="n"/>
      <c r="L734" s="29" t="n"/>
      <c r="M734" s="29" t="n"/>
      <c r="N734" s="29" t="n"/>
      <c r="O734" s="5" t="n"/>
      <c r="P734" s="5" t="n"/>
      <c r="Q734" s="5" t="n"/>
      <c r="R734" s="5" t="n"/>
      <c r="S734" s="5" t="n"/>
    </row>
    <row r="735">
      <c r="A735" s="32" t="n"/>
      <c r="B735" s="32" t="n"/>
      <c r="C735" s="32" t="n"/>
      <c r="D735" s="32" t="n"/>
      <c r="E735" s="32" t="n"/>
      <c r="F735" s="29" t="n"/>
      <c r="G735" s="29" t="n"/>
      <c r="H735" s="29" t="n"/>
      <c r="I735" s="29" t="n"/>
      <c r="J735" s="29" t="n"/>
      <c r="K735" s="29" t="n"/>
      <c r="L735" s="29" t="n"/>
      <c r="M735" s="29" t="n"/>
      <c r="N735" s="29" t="n"/>
      <c r="O735" s="5" t="n"/>
      <c r="P735" s="5" t="n"/>
      <c r="Q735" s="5" t="n"/>
      <c r="R735" s="5" t="n"/>
      <c r="S735" s="5" t="n"/>
    </row>
    <row r="736">
      <c r="A736" s="32" t="n"/>
      <c r="B736" s="32" t="n"/>
      <c r="C736" s="32" t="n"/>
      <c r="D736" s="32" t="n"/>
      <c r="E736" s="32" t="n"/>
      <c r="F736" s="29" t="n"/>
      <c r="G736" s="29" t="n"/>
      <c r="H736" s="29" t="n"/>
      <c r="I736" s="29" t="n"/>
      <c r="J736" s="29" t="n"/>
      <c r="K736" s="29" t="n"/>
      <c r="L736" s="29" t="n"/>
      <c r="M736" s="29" t="n"/>
      <c r="N736" s="29" t="n"/>
      <c r="O736" s="5" t="n"/>
      <c r="P736" s="5" t="n"/>
      <c r="Q736" s="5" t="n"/>
      <c r="R736" s="5" t="n"/>
      <c r="S736" s="5" t="n"/>
    </row>
    <row r="737">
      <c r="A737" s="32" t="n"/>
      <c r="B737" s="32" t="n"/>
      <c r="C737" s="32" t="n"/>
      <c r="D737" s="32" t="n"/>
      <c r="E737" s="32" t="n"/>
      <c r="F737" s="29" t="n"/>
      <c r="G737" s="29" t="n"/>
      <c r="H737" s="29" t="n"/>
      <c r="I737" s="29" t="n"/>
      <c r="J737" s="29" t="n"/>
      <c r="K737" s="29" t="n"/>
      <c r="L737" s="29" t="n"/>
      <c r="M737" s="29" t="n"/>
      <c r="N737" s="29" t="n"/>
      <c r="O737" s="5" t="n"/>
      <c r="P737" s="5" t="n"/>
      <c r="Q737" s="5" t="n"/>
      <c r="R737" s="5" t="n"/>
      <c r="S737" s="5" t="n"/>
    </row>
    <row r="738">
      <c r="A738" s="32" t="n"/>
      <c r="B738" s="32" t="n"/>
      <c r="C738" s="32" t="n"/>
      <c r="D738" s="32" t="n"/>
      <c r="E738" s="32" t="n"/>
      <c r="F738" s="29" t="n"/>
      <c r="G738" s="29" t="n"/>
      <c r="H738" s="29" t="n"/>
      <c r="I738" s="29" t="n"/>
      <c r="J738" s="29" t="n"/>
      <c r="K738" s="29" t="n"/>
      <c r="L738" s="29" t="n"/>
      <c r="M738" s="29" t="n"/>
      <c r="N738" s="29" t="n"/>
      <c r="O738" s="5" t="n"/>
      <c r="P738" s="5" t="n"/>
      <c r="Q738" s="5" t="n"/>
      <c r="R738" s="5" t="n"/>
      <c r="S738" s="5" t="n"/>
    </row>
    <row r="739">
      <c r="A739" s="32" t="n"/>
      <c r="B739" s="32" t="n"/>
      <c r="C739" s="32" t="n"/>
      <c r="D739" s="32" t="n"/>
      <c r="E739" s="32" t="n"/>
      <c r="F739" s="29" t="n"/>
      <c r="G739" s="29" t="n"/>
      <c r="H739" s="29" t="n"/>
      <c r="I739" s="29" t="n"/>
      <c r="J739" s="29" t="n"/>
      <c r="K739" s="29" t="n"/>
      <c r="L739" s="29" t="n"/>
      <c r="M739" s="29" t="n"/>
      <c r="N739" s="29" t="n"/>
      <c r="O739" s="5" t="n"/>
      <c r="P739" s="5" t="n"/>
      <c r="Q739" s="5" t="n"/>
      <c r="R739" s="5" t="n"/>
      <c r="S739" s="5" t="n"/>
    </row>
    <row r="740">
      <c r="A740" s="32" t="n"/>
      <c r="B740" s="32" t="n"/>
      <c r="C740" s="32" t="n"/>
      <c r="D740" s="32" t="n"/>
      <c r="E740" s="32" t="n"/>
      <c r="F740" s="29" t="n"/>
      <c r="G740" s="29" t="n"/>
      <c r="H740" s="29" t="n"/>
      <c r="I740" s="29" t="n"/>
      <c r="J740" s="29" t="n"/>
      <c r="K740" s="29" t="n"/>
      <c r="L740" s="29" t="n"/>
      <c r="M740" s="29" t="n"/>
      <c r="N740" s="29" t="n"/>
      <c r="O740" s="5" t="n"/>
      <c r="P740" s="5" t="n"/>
      <c r="Q740" s="5" t="n"/>
      <c r="R740" s="5" t="n"/>
      <c r="S740" s="5" t="n"/>
    </row>
    <row r="741">
      <c r="A741" s="32" t="n"/>
      <c r="B741" s="32" t="n"/>
      <c r="C741" s="32" t="n"/>
      <c r="D741" s="32" t="n"/>
      <c r="E741" s="32" t="n"/>
      <c r="F741" s="29" t="n"/>
      <c r="G741" s="29" t="n"/>
      <c r="H741" s="29" t="n"/>
      <c r="I741" s="29" t="n"/>
      <c r="J741" s="29" t="n"/>
      <c r="K741" s="29" t="n"/>
      <c r="L741" s="29" t="n"/>
      <c r="M741" s="29" t="n"/>
      <c r="N741" s="29" t="n"/>
      <c r="O741" s="5" t="n"/>
      <c r="P741" s="5" t="n"/>
      <c r="Q741" s="5" t="n"/>
      <c r="R741" s="5" t="n"/>
      <c r="S741" s="5" t="n"/>
    </row>
    <row r="742">
      <c r="A742" s="32" t="n"/>
      <c r="B742" s="32" t="n"/>
      <c r="C742" s="32" t="n"/>
      <c r="D742" s="32" t="n"/>
      <c r="E742" s="32" t="n"/>
      <c r="F742" s="29" t="n"/>
      <c r="G742" s="29" t="n"/>
      <c r="H742" s="29" t="n"/>
      <c r="I742" s="29" t="n"/>
      <c r="J742" s="29" t="n"/>
      <c r="K742" s="29" t="n"/>
      <c r="L742" s="29" t="n"/>
      <c r="M742" s="29" t="n"/>
      <c r="N742" s="29" t="n"/>
      <c r="O742" s="5" t="n"/>
      <c r="P742" s="5" t="n"/>
      <c r="Q742" s="5" t="n"/>
      <c r="R742" s="5" t="n"/>
      <c r="S742" s="5" t="n"/>
    </row>
    <row r="743">
      <c r="A743" s="32" t="n"/>
      <c r="B743" s="32" t="n"/>
      <c r="C743" s="32" t="n"/>
      <c r="D743" s="32" t="n"/>
      <c r="E743" s="32" t="n"/>
      <c r="F743" s="29" t="n"/>
      <c r="G743" s="29" t="n"/>
      <c r="H743" s="29" t="n"/>
      <c r="I743" s="29" t="n"/>
      <c r="J743" s="29" t="n"/>
      <c r="K743" s="29" t="n"/>
      <c r="L743" s="29" t="n"/>
      <c r="M743" s="29" t="n"/>
      <c r="N743" s="29" t="n"/>
      <c r="O743" s="5" t="n"/>
      <c r="P743" s="5" t="n"/>
      <c r="Q743" s="5" t="n"/>
      <c r="R743" s="5" t="n"/>
      <c r="S743" s="5" t="n"/>
    </row>
    <row r="744">
      <c r="A744" s="32" t="n"/>
      <c r="B744" s="32" t="n"/>
      <c r="C744" s="32" t="n"/>
      <c r="D744" s="32" t="n"/>
      <c r="E744" s="32" t="n"/>
      <c r="F744" s="29" t="n"/>
      <c r="G744" s="29" t="n"/>
      <c r="H744" s="29" t="n"/>
      <c r="I744" s="29" t="n"/>
      <c r="J744" s="29" t="n"/>
      <c r="K744" s="29" t="n"/>
      <c r="L744" s="29" t="n"/>
      <c r="M744" s="29" t="n"/>
      <c r="N744" s="29" t="n"/>
      <c r="O744" s="5" t="n"/>
      <c r="P744" s="5" t="n"/>
      <c r="Q744" s="5" t="n"/>
      <c r="R744" s="5" t="n"/>
      <c r="S744" s="5" t="n"/>
    </row>
    <row r="745">
      <c r="A745" s="32" t="n"/>
      <c r="B745" s="32" t="n"/>
      <c r="C745" s="32" t="n"/>
      <c r="D745" s="32" t="n"/>
      <c r="E745" s="32" t="n"/>
      <c r="F745" s="29" t="n"/>
      <c r="G745" s="29" t="n"/>
      <c r="H745" s="29" t="n"/>
      <c r="I745" s="29" t="n"/>
      <c r="J745" s="29" t="n"/>
      <c r="K745" s="29" t="n"/>
      <c r="L745" s="29" t="n"/>
      <c r="M745" s="29" t="n"/>
      <c r="N745" s="29" t="n"/>
      <c r="O745" s="5" t="n"/>
      <c r="P745" s="5" t="n"/>
      <c r="Q745" s="5" t="n"/>
      <c r="R745" s="5" t="n"/>
      <c r="S745" s="5" t="n"/>
    </row>
    <row r="746">
      <c r="A746" s="32" t="n"/>
      <c r="B746" s="32" t="n"/>
      <c r="C746" s="32" t="n"/>
      <c r="D746" s="32" t="n"/>
      <c r="E746" s="32" t="n"/>
      <c r="F746" s="29" t="n"/>
      <c r="G746" s="29" t="n"/>
      <c r="H746" s="29" t="n"/>
      <c r="I746" s="29" t="n"/>
      <c r="J746" s="29" t="n"/>
      <c r="K746" s="29" t="n"/>
      <c r="L746" s="29" t="n"/>
      <c r="M746" s="29" t="n"/>
      <c r="N746" s="29" t="n"/>
      <c r="O746" s="5" t="n"/>
      <c r="P746" s="5" t="n"/>
      <c r="Q746" s="5" t="n"/>
      <c r="R746" s="5" t="n"/>
      <c r="S746" s="5" t="n"/>
    </row>
    <row r="747">
      <c r="A747" s="32" t="n"/>
      <c r="B747" s="32" t="n"/>
      <c r="C747" s="32" t="n"/>
      <c r="D747" s="32" t="n"/>
      <c r="E747" s="32" t="n"/>
      <c r="F747" s="29" t="n"/>
      <c r="G747" s="29" t="n"/>
      <c r="H747" s="29" t="n"/>
      <c r="I747" s="29" t="n"/>
      <c r="J747" s="29" t="n"/>
      <c r="K747" s="29" t="n"/>
      <c r="L747" s="29" t="n"/>
      <c r="M747" s="29" t="n"/>
      <c r="N747" s="29" t="n"/>
      <c r="O747" s="5" t="n"/>
      <c r="P747" s="5" t="n"/>
      <c r="Q747" s="5" t="n"/>
      <c r="R747" s="5" t="n"/>
      <c r="S747" s="5" t="n"/>
    </row>
    <row r="748">
      <c r="A748" s="32" t="n"/>
      <c r="B748" s="32" t="n"/>
      <c r="C748" s="32" t="n"/>
      <c r="D748" s="32" t="n"/>
      <c r="E748" s="32" t="n"/>
      <c r="F748" s="29" t="n"/>
      <c r="G748" s="29" t="n"/>
      <c r="H748" s="29" t="n"/>
      <c r="I748" s="29" t="n"/>
      <c r="J748" s="29" t="n"/>
      <c r="K748" s="29" t="n"/>
      <c r="L748" s="29" t="n"/>
      <c r="M748" s="29" t="n"/>
      <c r="N748" s="29" t="n"/>
      <c r="O748" s="5" t="n"/>
      <c r="P748" s="5" t="n"/>
      <c r="Q748" s="5" t="n"/>
      <c r="R748" s="5" t="n"/>
      <c r="S748" s="5" t="n"/>
    </row>
    <row r="749">
      <c r="A749" s="32" t="n"/>
      <c r="B749" s="32" t="n"/>
      <c r="C749" s="32" t="n"/>
      <c r="D749" s="32" t="n"/>
      <c r="E749" s="32" t="n"/>
      <c r="F749" s="29" t="n"/>
      <c r="G749" s="29" t="n"/>
      <c r="H749" s="29" t="n"/>
      <c r="I749" s="29" t="n"/>
      <c r="J749" s="29" t="n"/>
      <c r="K749" s="29" t="n"/>
      <c r="L749" s="29" t="n"/>
      <c r="M749" s="29" t="n"/>
      <c r="N749" s="29" t="n"/>
      <c r="O749" s="5" t="n"/>
      <c r="P749" s="5" t="n"/>
      <c r="Q749" s="5" t="n"/>
      <c r="R749" s="5" t="n"/>
      <c r="S749" s="5" t="n"/>
    </row>
    <row r="750">
      <c r="A750" s="32" t="n"/>
      <c r="B750" s="32" t="n"/>
      <c r="C750" s="32" t="n"/>
      <c r="D750" s="32" t="n"/>
      <c r="E750" s="32" t="n"/>
      <c r="F750" s="29" t="n"/>
      <c r="G750" s="29" t="n"/>
      <c r="H750" s="29" t="n"/>
      <c r="I750" s="29" t="n"/>
      <c r="J750" s="29" t="n"/>
      <c r="K750" s="29" t="n"/>
      <c r="L750" s="29" t="n"/>
      <c r="M750" s="29" t="n"/>
      <c r="N750" s="29" t="n"/>
      <c r="O750" s="5" t="n"/>
      <c r="P750" s="5" t="n"/>
      <c r="Q750" s="5" t="n"/>
      <c r="R750" s="5" t="n"/>
      <c r="S750" s="5" t="n"/>
    </row>
    <row r="751">
      <c r="A751" s="32" t="n"/>
      <c r="B751" s="32" t="n"/>
      <c r="C751" s="32" t="n"/>
      <c r="D751" s="32" t="n"/>
      <c r="E751" s="32" t="n"/>
      <c r="F751" s="29" t="n"/>
      <c r="G751" s="29" t="n"/>
      <c r="H751" s="29" t="n"/>
      <c r="I751" s="29" t="n"/>
      <c r="J751" s="29" t="n"/>
      <c r="K751" s="29" t="n"/>
      <c r="L751" s="29" t="n"/>
      <c r="M751" s="29" t="n"/>
      <c r="N751" s="29" t="n"/>
      <c r="O751" s="5" t="n"/>
      <c r="P751" s="5" t="n"/>
      <c r="Q751" s="5" t="n"/>
      <c r="R751" s="5" t="n"/>
      <c r="S751" s="5" t="n"/>
    </row>
    <row r="752">
      <c r="A752" s="32" t="n"/>
      <c r="B752" s="32" t="n"/>
      <c r="C752" s="32" t="n"/>
      <c r="D752" s="32" t="n"/>
      <c r="E752" s="32" t="n"/>
      <c r="F752" s="29" t="n"/>
      <c r="G752" s="29" t="n"/>
      <c r="H752" s="29" t="n"/>
      <c r="I752" s="29" t="n"/>
      <c r="J752" s="29" t="n"/>
      <c r="K752" s="29" t="n"/>
      <c r="L752" s="29" t="n"/>
      <c r="M752" s="29" t="n"/>
      <c r="N752" s="29" t="n"/>
      <c r="O752" s="5" t="n"/>
      <c r="P752" s="5" t="n"/>
      <c r="Q752" s="5" t="n"/>
      <c r="R752" s="5" t="n"/>
      <c r="S752" s="5" t="n"/>
    </row>
    <row r="753">
      <c r="A753" s="32" t="n"/>
      <c r="B753" s="32" t="n"/>
      <c r="C753" s="32" t="n"/>
      <c r="D753" s="32" t="n"/>
      <c r="E753" s="32" t="n"/>
      <c r="F753" s="29" t="n"/>
      <c r="G753" s="29" t="n"/>
      <c r="H753" s="29" t="n"/>
      <c r="I753" s="29" t="n"/>
      <c r="J753" s="29" t="n"/>
      <c r="K753" s="29" t="n"/>
      <c r="L753" s="29" t="n"/>
      <c r="M753" s="29" t="n"/>
      <c r="N753" s="29" t="n"/>
      <c r="O753" s="5" t="n"/>
      <c r="P753" s="5" t="n"/>
      <c r="Q753" s="5" t="n"/>
      <c r="R753" s="5" t="n"/>
      <c r="S753" s="5" t="n"/>
    </row>
    <row r="754">
      <c r="A754" s="32" t="n"/>
      <c r="B754" s="32" t="n"/>
      <c r="C754" s="32" t="n"/>
      <c r="D754" s="32" t="n"/>
      <c r="E754" s="32" t="n"/>
      <c r="F754" s="29" t="n"/>
      <c r="G754" s="29" t="n"/>
      <c r="H754" s="29" t="n"/>
      <c r="I754" s="29" t="n"/>
      <c r="J754" s="29" t="n"/>
      <c r="K754" s="29" t="n"/>
      <c r="L754" s="29" t="n"/>
      <c r="M754" s="29" t="n"/>
      <c r="N754" s="29" t="n"/>
      <c r="O754" s="5" t="n"/>
      <c r="P754" s="5" t="n"/>
      <c r="Q754" s="5" t="n"/>
      <c r="R754" s="5" t="n"/>
      <c r="S754" s="5" t="n"/>
    </row>
    <row r="755">
      <c r="A755" s="32" t="n"/>
      <c r="B755" s="32" t="n"/>
      <c r="C755" s="32" t="n"/>
      <c r="D755" s="32" t="n"/>
      <c r="E755" s="32" t="n"/>
      <c r="F755" s="29" t="n"/>
      <c r="G755" s="29" t="n"/>
      <c r="H755" s="29" t="n"/>
      <c r="I755" s="29" t="n"/>
      <c r="J755" s="29" t="n"/>
      <c r="K755" s="29" t="n"/>
      <c r="L755" s="29" t="n"/>
      <c r="M755" s="29" t="n"/>
      <c r="N755" s="29" t="n"/>
      <c r="O755" s="5" t="n"/>
      <c r="P755" s="5" t="n"/>
      <c r="Q755" s="5" t="n"/>
      <c r="R755" s="5" t="n"/>
      <c r="S755" s="5" t="n"/>
    </row>
    <row r="756">
      <c r="A756" s="32" t="n"/>
      <c r="B756" s="32" t="n"/>
      <c r="C756" s="32" t="n"/>
      <c r="D756" s="32" t="n"/>
      <c r="E756" s="32" t="n"/>
      <c r="F756" s="29" t="n"/>
      <c r="G756" s="29" t="n"/>
      <c r="H756" s="29" t="n"/>
      <c r="I756" s="29" t="n"/>
      <c r="J756" s="29" t="n"/>
      <c r="K756" s="29" t="n"/>
      <c r="L756" s="29" t="n"/>
      <c r="M756" s="29" t="n"/>
      <c r="N756" s="29" t="n"/>
      <c r="O756" s="5" t="n"/>
      <c r="P756" s="5" t="n"/>
      <c r="Q756" s="5" t="n"/>
      <c r="R756" s="5" t="n"/>
      <c r="S756" s="5" t="n"/>
    </row>
    <row r="757">
      <c r="A757" s="32" t="n"/>
      <c r="B757" s="32" t="n"/>
      <c r="C757" s="32" t="n"/>
      <c r="D757" s="32" t="n"/>
      <c r="E757" s="32" t="n"/>
      <c r="F757" s="29" t="n"/>
      <c r="G757" s="29" t="n"/>
      <c r="H757" s="29" t="n"/>
      <c r="I757" s="29" t="n"/>
      <c r="J757" s="29" t="n"/>
      <c r="K757" s="29" t="n"/>
      <c r="L757" s="29" t="n"/>
      <c r="M757" s="29" t="n"/>
      <c r="N757" s="29" t="n"/>
      <c r="O757" s="5" t="n"/>
      <c r="P757" s="5" t="n"/>
      <c r="Q757" s="5" t="n"/>
      <c r="R757" s="5" t="n"/>
      <c r="S757" s="5" t="n"/>
    </row>
    <row r="758">
      <c r="A758" s="32" t="n"/>
      <c r="B758" s="32" t="n"/>
      <c r="C758" s="32" t="n"/>
      <c r="D758" s="32" t="n"/>
      <c r="E758" s="32" t="n"/>
      <c r="F758" s="29" t="n"/>
      <c r="G758" s="29" t="n"/>
      <c r="H758" s="29" t="n"/>
      <c r="I758" s="29" t="n"/>
      <c r="J758" s="29" t="n"/>
      <c r="K758" s="29" t="n"/>
      <c r="L758" s="29" t="n"/>
      <c r="M758" s="29" t="n"/>
      <c r="N758" s="29" t="n"/>
      <c r="O758" s="5" t="n"/>
      <c r="P758" s="5" t="n"/>
      <c r="Q758" s="5" t="n"/>
      <c r="R758" s="5" t="n"/>
      <c r="S758" s="5" t="n"/>
    </row>
    <row r="759">
      <c r="A759" s="32" t="n"/>
      <c r="B759" s="32" t="n"/>
      <c r="C759" s="32" t="n"/>
      <c r="D759" s="32" t="n"/>
      <c r="E759" s="32" t="n"/>
      <c r="F759" s="29" t="n"/>
      <c r="G759" s="29" t="n"/>
      <c r="H759" s="29" t="n"/>
      <c r="I759" s="29" t="n"/>
      <c r="J759" s="29" t="n"/>
      <c r="K759" s="29" t="n"/>
      <c r="L759" s="29" t="n"/>
      <c r="M759" s="29" t="n"/>
      <c r="N759" s="29" t="n"/>
      <c r="O759" s="5" t="n"/>
      <c r="P759" s="5" t="n"/>
      <c r="Q759" s="5" t="n"/>
      <c r="R759" s="5" t="n"/>
      <c r="S759" s="5" t="n"/>
    </row>
    <row r="760">
      <c r="A760" s="32" t="n"/>
      <c r="B760" s="32" t="n"/>
      <c r="C760" s="32" t="n"/>
      <c r="D760" s="32" t="n"/>
      <c r="E760" s="32" t="n"/>
      <c r="F760" s="29" t="n"/>
      <c r="G760" s="29" t="n"/>
      <c r="H760" s="29" t="n"/>
      <c r="I760" s="29" t="n"/>
      <c r="J760" s="29" t="n"/>
      <c r="K760" s="29" t="n"/>
      <c r="L760" s="29" t="n"/>
      <c r="M760" s="29" t="n"/>
      <c r="N760" s="29" t="n"/>
      <c r="O760" s="5" t="n"/>
      <c r="P760" s="5" t="n"/>
      <c r="Q760" s="5" t="n"/>
      <c r="R760" s="5" t="n"/>
      <c r="S760" s="5" t="n"/>
    </row>
    <row r="761">
      <c r="A761" s="32" t="n"/>
      <c r="B761" s="32" t="n"/>
      <c r="C761" s="32" t="n"/>
      <c r="D761" s="32" t="n"/>
      <c r="E761" s="32" t="n"/>
      <c r="F761" s="29" t="n"/>
      <c r="G761" s="29" t="n"/>
      <c r="H761" s="29" t="n"/>
      <c r="I761" s="29" t="n"/>
      <c r="J761" s="29" t="n"/>
      <c r="K761" s="29" t="n"/>
      <c r="L761" s="29" t="n"/>
      <c r="M761" s="29" t="n"/>
      <c r="N761" s="29" t="n"/>
      <c r="O761" s="5" t="n"/>
      <c r="P761" s="5" t="n"/>
      <c r="Q761" s="5" t="n"/>
      <c r="R761" s="5" t="n"/>
      <c r="S761" s="5" t="n"/>
    </row>
    <row r="762">
      <c r="A762" s="32" t="n"/>
      <c r="B762" s="32" t="n"/>
      <c r="C762" s="32" t="n"/>
      <c r="D762" s="32" t="n"/>
      <c r="E762" s="32" t="n"/>
      <c r="F762" s="29" t="n"/>
      <c r="G762" s="29" t="n"/>
      <c r="H762" s="29" t="n"/>
      <c r="I762" s="29" t="n"/>
      <c r="J762" s="29" t="n"/>
      <c r="K762" s="29" t="n"/>
      <c r="L762" s="29" t="n"/>
      <c r="M762" s="29" t="n"/>
      <c r="N762" s="29" t="n"/>
      <c r="O762" s="5" t="n"/>
      <c r="P762" s="5" t="n"/>
      <c r="Q762" s="5" t="n"/>
      <c r="R762" s="5" t="n"/>
      <c r="S762" s="5" t="n"/>
    </row>
    <row r="763">
      <c r="A763" s="32" t="n"/>
      <c r="B763" s="32" t="n"/>
      <c r="C763" s="32" t="n"/>
      <c r="D763" s="32" t="n"/>
      <c r="E763" s="32" t="n"/>
      <c r="F763" s="29" t="n"/>
      <c r="G763" s="29" t="n"/>
      <c r="H763" s="29" t="n"/>
      <c r="I763" s="29" t="n"/>
      <c r="J763" s="29" t="n"/>
      <c r="K763" s="29" t="n"/>
      <c r="L763" s="29" t="n"/>
      <c r="M763" s="29" t="n"/>
      <c r="N763" s="29" t="n"/>
      <c r="O763" s="5" t="n"/>
      <c r="P763" s="5" t="n"/>
      <c r="Q763" s="5" t="n"/>
      <c r="R763" s="5" t="n"/>
      <c r="S763" s="5" t="n"/>
    </row>
    <row r="764">
      <c r="A764" s="32" t="n"/>
      <c r="B764" s="32" t="n"/>
      <c r="C764" s="32" t="n"/>
      <c r="D764" s="32" t="n"/>
      <c r="E764" s="32" t="n"/>
      <c r="F764" s="29" t="n"/>
      <c r="G764" s="29" t="n"/>
      <c r="H764" s="29" t="n"/>
      <c r="I764" s="29" t="n"/>
      <c r="J764" s="29" t="n"/>
      <c r="K764" s="29" t="n"/>
      <c r="L764" s="29" t="n"/>
      <c r="M764" s="29" t="n"/>
      <c r="N764" s="29" t="n"/>
      <c r="O764" s="5" t="n"/>
      <c r="P764" s="5" t="n"/>
      <c r="Q764" s="5" t="n"/>
      <c r="R764" s="5" t="n"/>
      <c r="S764" s="5" t="n"/>
    </row>
    <row r="765">
      <c r="A765" s="32" t="n"/>
      <c r="B765" s="32" t="n"/>
      <c r="C765" s="32" t="n"/>
      <c r="D765" s="32" t="n"/>
      <c r="E765" s="32" t="n"/>
      <c r="F765" s="29" t="n"/>
      <c r="G765" s="29" t="n"/>
      <c r="H765" s="29" t="n"/>
      <c r="I765" s="29" t="n"/>
      <c r="J765" s="29" t="n"/>
      <c r="K765" s="29" t="n"/>
      <c r="L765" s="29" t="n"/>
      <c r="M765" s="29" t="n"/>
      <c r="N765" s="29" t="n"/>
      <c r="O765" s="5" t="n"/>
      <c r="P765" s="5" t="n"/>
      <c r="Q765" s="5" t="n"/>
      <c r="R765" s="5" t="n"/>
      <c r="S765" s="5" t="n"/>
    </row>
    <row r="766">
      <c r="A766" s="32" t="n"/>
      <c r="B766" s="32" t="n"/>
      <c r="C766" s="32" t="n"/>
      <c r="D766" s="32" t="n"/>
      <c r="E766" s="32" t="n"/>
      <c r="F766" s="29" t="n"/>
      <c r="G766" s="29" t="n"/>
      <c r="H766" s="29" t="n"/>
      <c r="I766" s="29" t="n"/>
      <c r="J766" s="29" t="n"/>
      <c r="K766" s="29" t="n"/>
      <c r="L766" s="29" t="n"/>
      <c r="M766" s="29" t="n"/>
      <c r="N766" s="29" t="n"/>
      <c r="O766" s="5" t="n"/>
      <c r="P766" s="5" t="n"/>
      <c r="Q766" s="5" t="n"/>
      <c r="R766" s="5" t="n"/>
      <c r="S766" s="5" t="n"/>
    </row>
    <row r="767">
      <c r="A767" s="32" t="n"/>
      <c r="B767" s="32" t="n"/>
      <c r="C767" s="32" t="n"/>
      <c r="D767" s="32" t="n"/>
      <c r="E767" s="32" t="n"/>
      <c r="F767" s="29" t="n"/>
      <c r="G767" s="29" t="n"/>
      <c r="H767" s="29" t="n"/>
      <c r="I767" s="29" t="n"/>
      <c r="J767" s="29" t="n"/>
      <c r="K767" s="29" t="n"/>
      <c r="L767" s="29" t="n"/>
      <c r="M767" s="29" t="n"/>
      <c r="N767" s="29" t="n"/>
      <c r="O767" s="5" t="n"/>
      <c r="P767" s="5" t="n"/>
      <c r="Q767" s="5" t="n"/>
      <c r="R767" s="5" t="n"/>
      <c r="S767" s="5" t="n"/>
    </row>
    <row r="768">
      <c r="A768" s="32" t="n"/>
      <c r="B768" s="32" t="n"/>
      <c r="C768" s="32" t="n"/>
      <c r="D768" s="32" t="n"/>
      <c r="E768" s="32" t="n"/>
      <c r="F768" s="29" t="n"/>
      <c r="G768" s="29" t="n"/>
      <c r="H768" s="29" t="n"/>
      <c r="I768" s="29" t="n"/>
      <c r="J768" s="29" t="n"/>
      <c r="K768" s="29" t="n"/>
      <c r="L768" s="29" t="n"/>
      <c r="M768" s="29" t="n"/>
      <c r="N768" s="29" t="n"/>
      <c r="O768" s="5" t="n"/>
      <c r="P768" s="5" t="n"/>
      <c r="Q768" s="5" t="n"/>
      <c r="R768" s="5" t="n"/>
      <c r="S768" s="5" t="n"/>
    </row>
    <row r="769">
      <c r="A769" s="32" t="n"/>
      <c r="B769" s="32" t="n"/>
      <c r="C769" s="32" t="n"/>
      <c r="D769" s="32" t="n"/>
      <c r="E769" s="32" t="n"/>
      <c r="F769" s="29" t="n"/>
      <c r="G769" s="29" t="n"/>
      <c r="H769" s="29" t="n"/>
      <c r="I769" s="29" t="n"/>
      <c r="J769" s="29" t="n"/>
      <c r="K769" s="29" t="n"/>
      <c r="L769" s="29" t="n"/>
      <c r="M769" s="29" t="n"/>
      <c r="N769" s="29" t="n"/>
      <c r="O769" s="5" t="n"/>
      <c r="P769" s="5" t="n"/>
      <c r="Q769" s="5" t="n"/>
      <c r="R769" s="5" t="n"/>
      <c r="S769" s="5" t="n"/>
    </row>
    <row r="770">
      <c r="A770" s="32" t="n"/>
      <c r="B770" s="32" t="n"/>
      <c r="C770" s="32" t="n"/>
      <c r="D770" s="32" t="n"/>
      <c r="E770" s="32" t="n"/>
      <c r="F770" s="29" t="n"/>
      <c r="G770" s="29" t="n"/>
      <c r="H770" s="29" t="n"/>
      <c r="I770" s="29" t="n"/>
      <c r="J770" s="29" t="n"/>
      <c r="K770" s="29" t="n"/>
      <c r="L770" s="29" t="n"/>
      <c r="M770" s="29" t="n"/>
      <c r="N770" s="29" t="n"/>
      <c r="O770" s="5" t="n"/>
      <c r="P770" s="5" t="n"/>
      <c r="Q770" s="5" t="n"/>
      <c r="R770" s="5" t="n"/>
      <c r="S770" s="5" t="n"/>
    </row>
    <row r="771">
      <c r="A771" s="32" t="n"/>
      <c r="B771" s="32" t="n"/>
      <c r="C771" s="32" t="n"/>
      <c r="D771" s="32" t="n"/>
      <c r="E771" s="32" t="n"/>
      <c r="F771" s="29" t="n"/>
      <c r="G771" s="29" t="n"/>
      <c r="H771" s="29" t="n"/>
      <c r="I771" s="29" t="n"/>
      <c r="J771" s="29" t="n"/>
      <c r="K771" s="29" t="n"/>
      <c r="L771" s="29" t="n"/>
      <c r="M771" s="29" t="n"/>
      <c r="N771" s="29" t="n"/>
      <c r="O771" s="5" t="n"/>
      <c r="P771" s="5" t="n"/>
      <c r="Q771" s="5" t="n"/>
      <c r="R771" s="5" t="n"/>
      <c r="S771" s="5" t="n"/>
    </row>
    <row r="772">
      <c r="A772" s="32" t="n"/>
      <c r="B772" s="32" t="n"/>
      <c r="C772" s="32" t="n"/>
      <c r="D772" s="32" t="n"/>
      <c r="E772" s="32" t="n"/>
      <c r="F772" s="29" t="n"/>
      <c r="G772" s="29" t="n"/>
      <c r="H772" s="29" t="n"/>
      <c r="I772" s="29" t="n"/>
      <c r="J772" s="29" t="n"/>
      <c r="K772" s="29" t="n"/>
      <c r="L772" s="29" t="n"/>
      <c r="M772" s="29" t="n"/>
      <c r="N772" s="29" t="n"/>
      <c r="O772" s="5" t="n"/>
      <c r="P772" s="5" t="n"/>
      <c r="Q772" s="5" t="n"/>
      <c r="R772" s="5" t="n"/>
      <c r="S772" s="5" t="n"/>
    </row>
    <row r="773">
      <c r="A773" s="32" t="n"/>
      <c r="B773" s="32" t="n"/>
      <c r="C773" s="32" t="n"/>
      <c r="D773" s="32" t="n"/>
      <c r="E773" s="32" t="n"/>
      <c r="F773" s="29" t="n"/>
      <c r="G773" s="29" t="n"/>
      <c r="H773" s="29" t="n"/>
      <c r="I773" s="29" t="n"/>
      <c r="J773" s="29" t="n"/>
      <c r="K773" s="29" t="n"/>
      <c r="L773" s="29" t="n"/>
      <c r="M773" s="29" t="n"/>
      <c r="N773" s="29" t="n"/>
      <c r="O773" s="5" t="n"/>
      <c r="P773" s="5" t="n"/>
      <c r="Q773" s="5" t="n"/>
      <c r="R773" s="5" t="n"/>
      <c r="S773" s="5" t="n"/>
    </row>
    <row r="774">
      <c r="A774" s="32" t="n"/>
      <c r="B774" s="32" t="n"/>
      <c r="C774" s="32" t="n"/>
      <c r="D774" s="32" t="n"/>
      <c r="E774" s="32" t="n"/>
      <c r="F774" s="29" t="n"/>
      <c r="G774" s="29" t="n"/>
      <c r="H774" s="29" t="n"/>
      <c r="I774" s="29" t="n"/>
      <c r="J774" s="29" t="n"/>
      <c r="K774" s="29" t="n"/>
      <c r="L774" s="29" t="n"/>
      <c r="M774" s="29" t="n"/>
      <c r="N774" s="29" t="n"/>
      <c r="O774" s="5" t="n"/>
      <c r="P774" s="5" t="n"/>
      <c r="Q774" s="5" t="n"/>
      <c r="R774" s="5" t="n"/>
      <c r="S774" s="5" t="n"/>
    </row>
    <row r="775">
      <c r="A775" s="32" t="n"/>
      <c r="B775" s="32" t="n"/>
      <c r="C775" s="32" t="n"/>
      <c r="D775" s="32" t="n"/>
      <c r="E775" s="32" t="n"/>
      <c r="F775" s="29" t="n"/>
      <c r="G775" s="29" t="n"/>
      <c r="H775" s="29" t="n"/>
      <c r="I775" s="29" t="n"/>
      <c r="J775" s="29" t="n"/>
      <c r="K775" s="29" t="n"/>
      <c r="L775" s="29" t="n"/>
      <c r="M775" s="29" t="n"/>
      <c r="N775" s="29" t="n"/>
      <c r="O775" s="5" t="n"/>
      <c r="P775" s="5" t="n"/>
      <c r="Q775" s="5" t="n"/>
      <c r="R775" s="5" t="n"/>
      <c r="S775" s="5" t="n"/>
    </row>
    <row r="776">
      <c r="A776" s="32" t="n"/>
      <c r="B776" s="32" t="n"/>
      <c r="C776" s="32" t="n"/>
      <c r="D776" s="32" t="n"/>
      <c r="E776" s="32" t="n"/>
      <c r="F776" s="29" t="n"/>
      <c r="G776" s="29" t="n"/>
      <c r="H776" s="29" t="n"/>
      <c r="I776" s="29" t="n"/>
      <c r="J776" s="29" t="n"/>
      <c r="K776" s="29" t="n"/>
      <c r="L776" s="29" t="n"/>
      <c r="M776" s="29" t="n"/>
      <c r="N776" s="29" t="n"/>
      <c r="O776" s="5" t="n"/>
      <c r="P776" s="5" t="n"/>
      <c r="Q776" s="5" t="n"/>
      <c r="R776" s="5" t="n"/>
      <c r="S776" s="5" t="n"/>
    </row>
    <row r="777">
      <c r="A777" s="32" t="n"/>
      <c r="B777" s="32" t="n"/>
      <c r="C777" s="32" t="n"/>
      <c r="D777" s="32" t="n"/>
      <c r="E777" s="32" t="n"/>
      <c r="F777" s="29" t="n"/>
      <c r="G777" s="29" t="n"/>
      <c r="H777" s="29" t="n"/>
      <c r="I777" s="29" t="n"/>
      <c r="J777" s="29" t="n"/>
      <c r="K777" s="29" t="n"/>
      <c r="L777" s="29" t="n"/>
      <c r="M777" s="29" t="n"/>
      <c r="N777" s="29" t="n"/>
      <c r="O777" s="5" t="n"/>
      <c r="P777" s="5" t="n"/>
      <c r="Q777" s="5" t="n"/>
      <c r="R777" s="5" t="n"/>
      <c r="S777" s="5" t="n"/>
    </row>
    <row r="778">
      <c r="A778" s="32" t="n"/>
      <c r="B778" s="32" t="n"/>
      <c r="C778" s="32" t="n"/>
      <c r="D778" s="32" t="n"/>
      <c r="E778" s="32" t="n"/>
      <c r="F778" s="29" t="n"/>
      <c r="G778" s="29" t="n"/>
      <c r="H778" s="29" t="n"/>
      <c r="I778" s="29" t="n"/>
      <c r="J778" s="29" t="n"/>
      <c r="K778" s="29" t="n"/>
      <c r="L778" s="29" t="n"/>
      <c r="M778" s="29" t="n"/>
      <c r="N778" s="29" t="n"/>
      <c r="O778" s="5" t="n"/>
      <c r="P778" s="5" t="n"/>
      <c r="Q778" s="5" t="n"/>
      <c r="R778" s="5" t="n"/>
      <c r="S778" s="5" t="n"/>
    </row>
    <row r="779">
      <c r="A779" s="32" t="n"/>
      <c r="B779" s="32" t="n"/>
      <c r="C779" s="32" t="n"/>
      <c r="D779" s="32" t="n"/>
      <c r="E779" s="32" t="n"/>
      <c r="F779" s="29" t="n"/>
      <c r="G779" s="29" t="n"/>
      <c r="H779" s="29" t="n"/>
      <c r="I779" s="29" t="n"/>
      <c r="J779" s="29" t="n"/>
      <c r="K779" s="29" t="n"/>
      <c r="L779" s="29" t="n"/>
      <c r="M779" s="29" t="n"/>
      <c r="N779" s="29" t="n"/>
      <c r="O779" s="5" t="n"/>
      <c r="P779" s="5" t="n"/>
      <c r="Q779" s="5" t="n"/>
      <c r="R779" s="5" t="n"/>
      <c r="S779" s="5" t="n"/>
    </row>
    <row r="780">
      <c r="A780" s="32" t="n"/>
      <c r="B780" s="32" t="n"/>
      <c r="C780" s="32" t="n"/>
      <c r="D780" s="32" t="n"/>
      <c r="E780" s="32" t="n"/>
      <c r="F780" s="29" t="n"/>
      <c r="G780" s="29" t="n"/>
      <c r="H780" s="29" t="n"/>
      <c r="I780" s="29" t="n"/>
      <c r="J780" s="29" t="n"/>
      <c r="K780" s="29" t="n"/>
      <c r="L780" s="29" t="n"/>
      <c r="M780" s="29" t="n"/>
      <c r="N780" s="29" t="n"/>
      <c r="O780" s="5" t="n"/>
      <c r="P780" s="5" t="n"/>
      <c r="Q780" s="5" t="n"/>
      <c r="R780" s="5" t="n"/>
      <c r="S780" s="5" t="n"/>
    </row>
    <row r="781">
      <c r="A781" s="32" t="n"/>
      <c r="B781" s="32" t="n"/>
      <c r="C781" s="32" t="n"/>
      <c r="D781" s="32" t="n"/>
      <c r="E781" s="32" t="n"/>
      <c r="F781" s="29" t="n"/>
      <c r="G781" s="29" t="n"/>
      <c r="H781" s="29" t="n"/>
      <c r="I781" s="29" t="n"/>
      <c r="J781" s="29" t="n"/>
      <c r="K781" s="29" t="n"/>
      <c r="L781" s="29" t="n"/>
      <c r="M781" s="29" t="n"/>
      <c r="N781" s="29" t="n"/>
      <c r="O781" s="5" t="n"/>
      <c r="P781" s="5" t="n"/>
      <c r="Q781" s="5" t="n"/>
      <c r="R781" s="5" t="n"/>
      <c r="S781" s="5" t="n"/>
    </row>
    <row r="782">
      <c r="A782" s="32" t="n"/>
      <c r="B782" s="32" t="n"/>
      <c r="C782" s="32" t="n"/>
      <c r="D782" s="32" t="n"/>
      <c r="E782" s="32" t="n"/>
      <c r="F782" s="29" t="n"/>
      <c r="G782" s="29" t="n"/>
      <c r="H782" s="29" t="n"/>
      <c r="I782" s="29" t="n"/>
      <c r="J782" s="29" t="n"/>
      <c r="K782" s="29" t="n"/>
      <c r="L782" s="29" t="n"/>
      <c r="M782" s="29" t="n"/>
      <c r="N782" s="29" t="n"/>
      <c r="O782" s="5" t="n"/>
      <c r="P782" s="5" t="n"/>
      <c r="Q782" s="5" t="n"/>
      <c r="R782" s="5" t="n"/>
      <c r="S782" s="5" t="n"/>
    </row>
    <row r="783">
      <c r="A783" s="32" t="n"/>
      <c r="B783" s="32" t="n"/>
      <c r="C783" s="32" t="n"/>
      <c r="D783" s="32" t="n"/>
      <c r="E783" s="32" t="n"/>
      <c r="F783" s="29" t="n"/>
      <c r="G783" s="29" t="n"/>
      <c r="H783" s="29" t="n"/>
      <c r="I783" s="29" t="n"/>
      <c r="J783" s="29" t="n"/>
      <c r="K783" s="29" t="n"/>
      <c r="L783" s="29" t="n"/>
      <c r="M783" s="29" t="n"/>
      <c r="N783" s="29" t="n"/>
      <c r="O783" s="5" t="n"/>
      <c r="P783" s="5" t="n"/>
      <c r="Q783" s="5" t="n"/>
      <c r="R783" s="5" t="n"/>
      <c r="S783" s="5" t="n"/>
    </row>
    <row r="784">
      <c r="A784" s="32" t="n"/>
      <c r="B784" s="32" t="n"/>
      <c r="C784" s="32" t="n"/>
      <c r="D784" s="32" t="n"/>
      <c r="E784" s="32" t="n"/>
      <c r="F784" s="29" t="n"/>
      <c r="G784" s="29" t="n"/>
      <c r="H784" s="29" t="n"/>
      <c r="I784" s="29" t="n"/>
      <c r="J784" s="29" t="n"/>
      <c r="K784" s="29" t="n"/>
      <c r="L784" s="29" t="n"/>
      <c r="M784" s="29" t="n"/>
      <c r="N784" s="29" t="n"/>
      <c r="O784" s="5" t="n"/>
      <c r="P784" s="5" t="n"/>
      <c r="Q784" s="5" t="n"/>
      <c r="R784" s="5" t="n"/>
      <c r="S784" s="5" t="n"/>
    </row>
    <row r="785">
      <c r="A785" s="32" t="n"/>
      <c r="B785" s="32" t="n"/>
      <c r="C785" s="32" t="n"/>
      <c r="D785" s="32" t="n"/>
      <c r="E785" s="32" t="n"/>
      <c r="F785" s="29" t="n"/>
      <c r="G785" s="29" t="n"/>
      <c r="H785" s="29" t="n"/>
      <c r="I785" s="29" t="n"/>
      <c r="J785" s="29" t="n"/>
      <c r="K785" s="29" t="n"/>
      <c r="L785" s="29" t="n"/>
      <c r="M785" s="29" t="n"/>
      <c r="N785" s="29" t="n"/>
      <c r="O785" s="5" t="n"/>
      <c r="P785" s="5" t="n"/>
      <c r="Q785" s="5" t="n"/>
      <c r="R785" s="5" t="n"/>
      <c r="S785" s="5" t="n"/>
    </row>
    <row r="786">
      <c r="A786" s="32" t="n"/>
      <c r="B786" s="32" t="n"/>
      <c r="C786" s="32" t="n"/>
      <c r="D786" s="32" t="n"/>
      <c r="E786" s="32" t="n"/>
      <c r="F786" s="29" t="n"/>
      <c r="G786" s="29" t="n"/>
      <c r="H786" s="29" t="n"/>
      <c r="I786" s="29" t="n"/>
      <c r="J786" s="29" t="n"/>
      <c r="K786" s="29" t="n"/>
      <c r="L786" s="29" t="n"/>
      <c r="M786" s="29" t="n"/>
      <c r="N786" s="29" t="n"/>
      <c r="O786" s="5" t="n"/>
      <c r="P786" s="5" t="n"/>
      <c r="Q786" s="5" t="n"/>
      <c r="R786" s="5" t="n"/>
      <c r="S786" s="5" t="n"/>
    </row>
    <row r="787">
      <c r="A787" s="32" t="n"/>
      <c r="B787" s="32" t="n"/>
      <c r="C787" s="32" t="n"/>
      <c r="D787" s="32" t="n"/>
      <c r="E787" s="32" t="n"/>
      <c r="F787" s="29" t="n"/>
      <c r="G787" s="29" t="n"/>
      <c r="H787" s="29" t="n"/>
      <c r="I787" s="29" t="n"/>
      <c r="J787" s="29" t="n"/>
      <c r="K787" s="29" t="n"/>
      <c r="L787" s="29" t="n"/>
      <c r="M787" s="29" t="n"/>
      <c r="N787" s="29" t="n"/>
      <c r="O787" s="5" t="n"/>
      <c r="P787" s="5" t="n"/>
      <c r="Q787" s="5" t="n"/>
      <c r="R787" s="5" t="n"/>
      <c r="S787" s="5" t="n"/>
    </row>
    <row r="788">
      <c r="A788" s="32" t="n"/>
      <c r="B788" s="32" t="n"/>
      <c r="C788" s="32" t="n"/>
      <c r="D788" s="32" t="n"/>
      <c r="E788" s="32" t="n"/>
      <c r="F788" s="29" t="n"/>
      <c r="G788" s="29" t="n"/>
      <c r="H788" s="29" t="n"/>
      <c r="I788" s="29" t="n"/>
      <c r="J788" s="29" t="n"/>
      <c r="K788" s="29" t="n"/>
      <c r="L788" s="29" t="n"/>
      <c r="M788" s="29" t="n"/>
      <c r="N788" s="29" t="n"/>
      <c r="O788" s="5" t="n"/>
      <c r="P788" s="5" t="n"/>
      <c r="Q788" s="5" t="n"/>
      <c r="R788" s="5" t="n"/>
      <c r="S788" s="5" t="n"/>
    </row>
    <row r="789">
      <c r="A789" s="32" t="n"/>
      <c r="B789" s="32" t="n"/>
      <c r="C789" s="32" t="n"/>
      <c r="D789" s="32" t="n"/>
      <c r="E789" s="32" t="n"/>
      <c r="F789" s="29" t="n"/>
      <c r="G789" s="29" t="n"/>
      <c r="H789" s="29" t="n"/>
      <c r="I789" s="29" t="n"/>
      <c r="J789" s="29" t="n"/>
      <c r="K789" s="29" t="n"/>
      <c r="L789" s="29" t="n"/>
      <c r="M789" s="29" t="n"/>
      <c r="N789" s="29" t="n"/>
      <c r="O789" s="5" t="n"/>
      <c r="P789" s="5" t="n"/>
      <c r="Q789" s="5" t="n"/>
      <c r="R789" s="5" t="n"/>
      <c r="S789" s="5" t="n"/>
    </row>
    <row r="790">
      <c r="A790" s="32" t="n"/>
      <c r="B790" s="32" t="n"/>
      <c r="C790" s="32" t="n"/>
      <c r="D790" s="32" t="n"/>
      <c r="E790" s="32" t="n"/>
      <c r="F790" s="29" t="n"/>
      <c r="G790" s="29" t="n"/>
      <c r="H790" s="29" t="n"/>
      <c r="I790" s="29" t="n"/>
      <c r="J790" s="29" t="n"/>
      <c r="K790" s="29" t="n"/>
      <c r="L790" s="29" t="n"/>
      <c r="M790" s="29" t="n"/>
      <c r="N790" s="29" t="n"/>
      <c r="O790" s="5" t="n"/>
      <c r="P790" s="5" t="n"/>
      <c r="Q790" s="5" t="n"/>
      <c r="R790" s="5" t="n"/>
      <c r="S790" s="5" t="n"/>
    </row>
    <row r="791">
      <c r="A791" s="32" t="n"/>
      <c r="B791" s="32" t="n"/>
      <c r="C791" s="32" t="n"/>
      <c r="D791" s="32" t="n"/>
      <c r="E791" s="32" t="n"/>
      <c r="F791" s="29" t="n"/>
      <c r="G791" s="29" t="n"/>
      <c r="H791" s="29" t="n"/>
      <c r="I791" s="29" t="n"/>
      <c r="J791" s="29" t="n"/>
      <c r="K791" s="29" t="n"/>
      <c r="L791" s="29" t="n"/>
      <c r="M791" s="29" t="n"/>
      <c r="N791" s="29" t="n"/>
      <c r="O791" s="5" t="n"/>
      <c r="P791" s="5" t="n"/>
      <c r="Q791" s="5" t="n"/>
      <c r="R791" s="5" t="n"/>
      <c r="S791" s="5" t="n"/>
    </row>
    <row r="792">
      <c r="A792" s="32" t="n"/>
      <c r="B792" s="32" t="n"/>
      <c r="C792" s="32" t="n"/>
      <c r="D792" s="32" t="n"/>
      <c r="E792" s="32" t="n"/>
      <c r="F792" s="29" t="n"/>
      <c r="G792" s="29" t="n"/>
      <c r="H792" s="29" t="n"/>
      <c r="I792" s="29" t="n"/>
      <c r="J792" s="29" t="n"/>
      <c r="K792" s="29" t="n"/>
      <c r="L792" s="29" t="n"/>
      <c r="M792" s="29" t="n"/>
      <c r="N792" s="29" t="n"/>
      <c r="O792" s="5" t="n"/>
      <c r="P792" s="5" t="n"/>
      <c r="Q792" s="5" t="n"/>
      <c r="R792" s="5" t="n"/>
      <c r="S792" s="5" t="n"/>
    </row>
    <row r="793">
      <c r="A793" s="32" t="n"/>
      <c r="B793" s="32" t="n"/>
      <c r="C793" s="32" t="n"/>
      <c r="D793" s="32" t="n"/>
      <c r="E793" s="32" t="n"/>
      <c r="F793" s="29" t="n"/>
      <c r="G793" s="29" t="n"/>
      <c r="H793" s="29" t="n"/>
      <c r="I793" s="29" t="n"/>
      <c r="J793" s="29" t="n"/>
      <c r="K793" s="29" t="n"/>
      <c r="L793" s="29" t="n"/>
      <c r="M793" s="29" t="n"/>
      <c r="N793" s="29" t="n"/>
      <c r="O793" s="5" t="n"/>
      <c r="P793" s="5" t="n"/>
      <c r="Q793" s="5" t="n"/>
      <c r="R793" s="5" t="n"/>
      <c r="S793" s="5" t="n"/>
    </row>
    <row r="794">
      <c r="A794" s="32" t="n"/>
      <c r="B794" s="32" t="n"/>
      <c r="C794" s="32" t="n"/>
      <c r="D794" s="32" t="n"/>
      <c r="E794" s="32" t="n"/>
      <c r="F794" s="29" t="n"/>
      <c r="G794" s="29" t="n"/>
      <c r="H794" s="29" t="n"/>
      <c r="I794" s="29" t="n"/>
      <c r="J794" s="29" t="n"/>
      <c r="K794" s="29" t="n"/>
      <c r="L794" s="29" t="n"/>
      <c r="M794" s="29" t="n"/>
      <c r="N794" s="29" t="n"/>
      <c r="O794" s="5" t="n"/>
      <c r="P794" s="5" t="n"/>
      <c r="Q794" s="5" t="n"/>
      <c r="R794" s="5" t="n"/>
      <c r="S794" s="5" t="n"/>
    </row>
    <row r="795">
      <c r="A795" s="32" t="n"/>
      <c r="B795" s="32" t="n"/>
      <c r="C795" s="32" t="n"/>
      <c r="D795" s="32" t="n"/>
      <c r="E795" s="32" t="n"/>
      <c r="F795" s="29" t="n"/>
      <c r="G795" s="29" t="n"/>
      <c r="H795" s="29" t="n"/>
      <c r="I795" s="29" t="n"/>
      <c r="J795" s="29" t="n"/>
      <c r="K795" s="29" t="n"/>
      <c r="L795" s="29" t="n"/>
      <c r="M795" s="29" t="n"/>
      <c r="N795" s="29" t="n"/>
      <c r="O795" s="5" t="n"/>
      <c r="P795" s="5" t="n"/>
      <c r="Q795" s="5" t="n"/>
      <c r="R795" s="5" t="n"/>
      <c r="S795" s="5" t="n"/>
    </row>
    <row r="796">
      <c r="A796" s="32" t="n"/>
      <c r="B796" s="32" t="n"/>
      <c r="C796" s="32" t="n"/>
      <c r="D796" s="32" t="n"/>
      <c r="E796" s="32" t="n"/>
      <c r="F796" s="29" t="n"/>
      <c r="G796" s="29" t="n"/>
      <c r="H796" s="29" t="n"/>
      <c r="I796" s="29" t="n"/>
      <c r="J796" s="29" t="n"/>
      <c r="K796" s="29" t="n"/>
      <c r="L796" s="29" t="n"/>
      <c r="M796" s="29" t="n"/>
      <c r="N796" s="29" t="n"/>
      <c r="O796" s="5" t="n"/>
      <c r="P796" s="5" t="n"/>
      <c r="Q796" s="5" t="n"/>
      <c r="R796" s="5" t="n"/>
      <c r="S796" s="5" t="n"/>
    </row>
    <row r="797">
      <c r="A797" s="32" t="n"/>
      <c r="B797" s="32" t="n"/>
      <c r="C797" s="32" t="n"/>
      <c r="D797" s="32" t="n"/>
      <c r="E797" s="32" t="n"/>
      <c r="F797" s="29" t="n"/>
      <c r="G797" s="29" t="n"/>
      <c r="H797" s="29" t="n"/>
      <c r="I797" s="29" t="n"/>
      <c r="J797" s="29" t="n"/>
      <c r="K797" s="29" t="n"/>
      <c r="L797" s="29" t="n"/>
      <c r="M797" s="29" t="n"/>
      <c r="N797" s="29" t="n"/>
      <c r="O797" s="5" t="n"/>
      <c r="P797" s="5" t="n"/>
      <c r="Q797" s="5" t="n"/>
      <c r="R797" s="5" t="n"/>
      <c r="S797" s="5" t="n"/>
    </row>
    <row r="798">
      <c r="A798" s="32" t="n"/>
      <c r="B798" s="32" t="n"/>
      <c r="C798" s="32" t="n"/>
      <c r="D798" s="32" t="n"/>
      <c r="E798" s="32" t="n"/>
      <c r="F798" s="29" t="n"/>
      <c r="G798" s="29" t="n"/>
      <c r="H798" s="29" t="n"/>
      <c r="I798" s="29" t="n"/>
      <c r="J798" s="29" t="n"/>
      <c r="K798" s="29" t="n"/>
      <c r="L798" s="29" t="n"/>
      <c r="M798" s="29" t="n"/>
      <c r="N798" s="29" t="n"/>
      <c r="O798" s="5" t="n"/>
      <c r="P798" s="5" t="n"/>
      <c r="Q798" s="5" t="n"/>
      <c r="R798" s="5" t="n"/>
      <c r="S798" s="5" t="n"/>
    </row>
    <row r="799">
      <c r="A799" s="32" t="n"/>
      <c r="B799" s="32" t="n"/>
      <c r="C799" s="32" t="n"/>
      <c r="D799" s="32" t="n"/>
      <c r="E799" s="32" t="n"/>
      <c r="F799" s="29" t="n"/>
      <c r="G799" s="29" t="n"/>
      <c r="H799" s="29" t="n"/>
      <c r="I799" s="29" t="n"/>
      <c r="J799" s="29" t="n"/>
      <c r="K799" s="29" t="n"/>
      <c r="L799" s="29" t="n"/>
      <c r="M799" s="29" t="n"/>
      <c r="N799" s="29" t="n"/>
      <c r="O799" s="5" t="n"/>
      <c r="P799" s="5" t="n"/>
      <c r="Q799" s="5" t="n"/>
      <c r="R799" s="5" t="n"/>
      <c r="S799" s="5" t="n"/>
    </row>
    <row r="800">
      <c r="A800" s="32" t="n"/>
      <c r="B800" s="32" t="n"/>
      <c r="C800" s="32" t="n"/>
      <c r="D800" s="32" t="n"/>
      <c r="E800" s="32" t="n"/>
      <c r="F800" s="29" t="n"/>
      <c r="G800" s="29" t="n"/>
      <c r="H800" s="29" t="n"/>
      <c r="I800" s="29" t="n"/>
      <c r="J800" s="29" t="n"/>
      <c r="K800" s="29" t="n"/>
      <c r="L800" s="29" t="n"/>
      <c r="M800" s="29" t="n"/>
      <c r="N800" s="29" t="n"/>
      <c r="O800" s="5" t="n"/>
      <c r="P800" s="5" t="n"/>
      <c r="Q800" s="5" t="n"/>
      <c r="R800" s="5" t="n"/>
      <c r="S800" s="5" t="n"/>
    </row>
    <row r="801">
      <c r="A801" s="32" t="n"/>
      <c r="B801" s="32" t="n"/>
      <c r="C801" s="32" t="n"/>
      <c r="D801" s="32" t="n"/>
      <c r="E801" s="32" t="n"/>
      <c r="F801" s="29" t="n"/>
      <c r="G801" s="29" t="n"/>
      <c r="H801" s="29" t="n"/>
      <c r="I801" s="29" t="n"/>
      <c r="J801" s="29" t="n"/>
      <c r="K801" s="29" t="n"/>
      <c r="L801" s="29" t="n"/>
      <c r="M801" s="29" t="n"/>
      <c r="N801" s="29" t="n"/>
      <c r="O801" s="5" t="n"/>
      <c r="P801" s="5" t="n"/>
      <c r="Q801" s="5" t="n"/>
      <c r="R801" s="5" t="n"/>
      <c r="S801" s="5" t="n"/>
    </row>
    <row r="802">
      <c r="A802" s="32" t="n"/>
      <c r="B802" s="32" t="n"/>
      <c r="C802" s="32" t="n"/>
      <c r="D802" s="32" t="n"/>
      <c r="E802" s="32" t="n"/>
      <c r="F802" s="29" t="n"/>
      <c r="G802" s="29" t="n"/>
      <c r="H802" s="29" t="n"/>
      <c r="I802" s="29" t="n"/>
      <c r="J802" s="29" t="n"/>
      <c r="K802" s="29" t="n"/>
      <c r="L802" s="29" t="n"/>
      <c r="M802" s="29" t="n"/>
      <c r="N802" s="29" t="n"/>
      <c r="O802" s="5" t="n"/>
      <c r="P802" s="5" t="n"/>
      <c r="Q802" s="5" t="n"/>
      <c r="R802" s="5" t="n"/>
      <c r="S802" s="5" t="n"/>
    </row>
    <row r="803">
      <c r="A803" s="32" t="n"/>
      <c r="B803" s="32" t="n"/>
      <c r="C803" s="32" t="n"/>
      <c r="D803" s="32" t="n"/>
      <c r="E803" s="32" t="n"/>
      <c r="F803" s="29" t="n"/>
      <c r="G803" s="29" t="n"/>
      <c r="H803" s="29" t="n"/>
      <c r="I803" s="29" t="n"/>
      <c r="J803" s="29" t="n"/>
      <c r="K803" s="29" t="n"/>
      <c r="L803" s="29" t="n"/>
      <c r="M803" s="29" t="n"/>
      <c r="N803" s="29" t="n"/>
      <c r="O803" s="5" t="n"/>
      <c r="P803" s="5" t="n"/>
      <c r="Q803" s="5" t="n"/>
      <c r="R803" s="5" t="n"/>
      <c r="S803" s="5" t="n"/>
    </row>
    <row r="804">
      <c r="A804" s="32" t="n"/>
      <c r="B804" s="32" t="n"/>
      <c r="C804" s="32" t="n"/>
      <c r="D804" s="32" t="n"/>
      <c r="E804" s="32" t="n"/>
      <c r="F804" s="29" t="n"/>
      <c r="G804" s="29" t="n"/>
      <c r="H804" s="29" t="n"/>
      <c r="I804" s="29" t="n"/>
      <c r="J804" s="29" t="n"/>
      <c r="K804" s="29" t="n"/>
      <c r="L804" s="29" t="n"/>
      <c r="M804" s="29" t="n"/>
      <c r="N804" s="29" t="n"/>
      <c r="O804" s="5" t="n"/>
      <c r="P804" s="5" t="n"/>
      <c r="Q804" s="5" t="n"/>
      <c r="R804" s="5" t="n"/>
      <c r="S804" s="5" t="n"/>
    </row>
    <row r="805">
      <c r="A805" s="32" t="n"/>
      <c r="B805" s="32" t="n"/>
      <c r="C805" s="32" t="n"/>
      <c r="D805" s="32" t="n"/>
      <c r="E805" s="32" t="n"/>
      <c r="F805" s="29" t="n"/>
      <c r="G805" s="29" t="n"/>
      <c r="H805" s="29" t="n"/>
      <c r="I805" s="29" t="n"/>
      <c r="J805" s="29" t="n"/>
      <c r="K805" s="29" t="n"/>
      <c r="L805" s="29" t="n"/>
      <c r="M805" s="29" t="n"/>
      <c r="N805" s="29" t="n"/>
      <c r="O805" s="5" t="n"/>
      <c r="P805" s="5" t="n"/>
      <c r="Q805" s="5" t="n"/>
      <c r="R805" s="5" t="n"/>
      <c r="S805" s="5" t="n"/>
    </row>
    <row r="806">
      <c r="A806" s="32" t="n"/>
      <c r="B806" s="32" t="n"/>
      <c r="C806" s="32" t="n"/>
      <c r="D806" s="32" t="n"/>
      <c r="E806" s="32" t="n"/>
      <c r="F806" s="29" t="n"/>
      <c r="G806" s="29" t="n"/>
      <c r="H806" s="29" t="n"/>
      <c r="I806" s="29" t="n"/>
      <c r="J806" s="29" t="n"/>
      <c r="K806" s="29" t="n"/>
      <c r="L806" s="29" t="n"/>
      <c r="M806" s="29" t="n"/>
      <c r="N806" s="29" t="n"/>
      <c r="O806" s="5" t="n"/>
      <c r="P806" s="5" t="n"/>
      <c r="Q806" s="5" t="n"/>
      <c r="R806" s="5" t="n"/>
      <c r="S806" s="5" t="n"/>
    </row>
    <row r="807">
      <c r="A807" s="32" t="n"/>
      <c r="B807" s="32" t="n"/>
      <c r="C807" s="32" t="n"/>
      <c r="D807" s="32" t="n"/>
      <c r="E807" s="32" t="n"/>
      <c r="F807" s="29" t="n"/>
      <c r="G807" s="29" t="n"/>
      <c r="H807" s="29" t="n"/>
      <c r="I807" s="29" t="n"/>
      <c r="J807" s="29" t="n"/>
      <c r="K807" s="29" t="n"/>
      <c r="L807" s="29" t="n"/>
      <c r="M807" s="29" t="n"/>
      <c r="N807" s="29" t="n"/>
      <c r="O807" s="5" t="n"/>
      <c r="P807" s="5" t="n"/>
      <c r="Q807" s="5" t="n"/>
      <c r="R807" s="5" t="n"/>
      <c r="S807" s="5" t="n"/>
    </row>
    <row r="808">
      <c r="A808" s="32" t="n"/>
      <c r="B808" s="32" t="n"/>
      <c r="C808" s="32" t="n"/>
      <c r="D808" s="32" t="n"/>
      <c r="E808" s="32" t="n"/>
      <c r="F808" s="29" t="n"/>
      <c r="G808" s="29" t="n"/>
      <c r="H808" s="29" t="n"/>
      <c r="I808" s="29" t="n"/>
      <c r="J808" s="29" t="n"/>
      <c r="K808" s="29" t="n"/>
      <c r="L808" s="29" t="n"/>
      <c r="M808" s="29" t="n"/>
      <c r="N808" s="29" t="n"/>
      <c r="O808" s="5" t="n"/>
      <c r="P808" s="5" t="n"/>
      <c r="Q808" s="5" t="n"/>
      <c r="R808" s="5" t="n"/>
      <c r="S808" s="5" t="n"/>
    </row>
    <row r="809">
      <c r="A809" s="32" t="n"/>
      <c r="B809" s="32" t="n"/>
      <c r="C809" s="32" t="n"/>
      <c r="D809" s="32" t="n"/>
      <c r="E809" s="32" t="n"/>
      <c r="F809" s="29" t="n"/>
      <c r="G809" s="29" t="n"/>
      <c r="H809" s="29" t="n"/>
      <c r="I809" s="29" t="n"/>
      <c r="J809" s="29" t="n"/>
      <c r="K809" s="29" t="n"/>
      <c r="L809" s="29" t="n"/>
      <c r="M809" s="29" t="n"/>
      <c r="N809" s="29" t="n"/>
      <c r="O809" s="5" t="n"/>
      <c r="P809" s="5" t="n"/>
      <c r="Q809" s="5" t="n"/>
      <c r="R809" s="5" t="n"/>
      <c r="S809" s="5" t="n"/>
    </row>
    <row r="810">
      <c r="A810" s="32" t="n"/>
      <c r="B810" s="32" t="n"/>
      <c r="C810" s="32" t="n"/>
      <c r="D810" s="32" t="n"/>
      <c r="E810" s="32" t="n"/>
      <c r="F810" s="29" t="n"/>
      <c r="G810" s="29" t="n"/>
      <c r="H810" s="29" t="n"/>
      <c r="I810" s="29" t="n"/>
      <c r="J810" s="29" t="n"/>
      <c r="K810" s="29" t="n"/>
      <c r="L810" s="29" t="n"/>
      <c r="M810" s="29" t="n"/>
      <c r="N810" s="29" t="n"/>
      <c r="O810" s="5" t="n"/>
      <c r="P810" s="5" t="n"/>
      <c r="Q810" s="5" t="n"/>
      <c r="R810" s="5" t="n"/>
      <c r="S810" s="5" t="n"/>
    </row>
    <row r="811">
      <c r="A811" s="32" t="n"/>
      <c r="B811" s="32" t="n"/>
      <c r="C811" s="32" t="n"/>
      <c r="D811" s="32" t="n"/>
      <c r="E811" s="32" t="n"/>
      <c r="F811" s="29" t="n"/>
      <c r="G811" s="29" t="n"/>
      <c r="H811" s="29" t="n"/>
      <c r="I811" s="29" t="n"/>
      <c r="J811" s="29" t="n"/>
      <c r="K811" s="29" t="n"/>
      <c r="L811" s="29" t="n"/>
      <c r="M811" s="29" t="n"/>
      <c r="N811" s="29" t="n"/>
      <c r="O811" s="5" t="n"/>
      <c r="P811" s="5" t="n"/>
      <c r="Q811" s="5" t="n"/>
      <c r="R811" s="5" t="n"/>
      <c r="S811" s="5" t="n"/>
    </row>
    <row r="812">
      <c r="A812" s="32" t="n"/>
      <c r="B812" s="32" t="n"/>
      <c r="C812" s="32" t="n"/>
      <c r="D812" s="32" t="n"/>
      <c r="E812" s="32" t="n"/>
      <c r="F812" s="29" t="n"/>
      <c r="G812" s="29" t="n"/>
      <c r="H812" s="29" t="n"/>
      <c r="I812" s="29" t="n"/>
      <c r="J812" s="29" t="n"/>
      <c r="K812" s="29" t="n"/>
      <c r="L812" s="29" t="n"/>
      <c r="M812" s="29" t="n"/>
      <c r="N812" s="29" t="n"/>
      <c r="O812" s="5" t="n"/>
      <c r="P812" s="5" t="n"/>
      <c r="Q812" s="5" t="n"/>
      <c r="R812" s="5" t="n"/>
      <c r="S812" s="5" t="n"/>
    </row>
    <row r="813">
      <c r="A813" s="32" t="n"/>
      <c r="B813" s="32" t="n"/>
      <c r="C813" s="32" t="n"/>
      <c r="D813" s="32" t="n"/>
      <c r="E813" s="32" t="n"/>
      <c r="F813" s="29" t="n"/>
      <c r="G813" s="29" t="n"/>
      <c r="H813" s="29" t="n"/>
      <c r="I813" s="29" t="n"/>
      <c r="J813" s="29" t="n"/>
      <c r="K813" s="29" t="n"/>
      <c r="L813" s="29" t="n"/>
      <c r="M813" s="29" t="n"/>
      <c r="N813" s="29" t="n"/>
      <c r="O813" s="5" t="n"/>
      <c r="P813" s="5" t="n"/>
      <c r="Q813" s="5" t="n"/>
      <c r="R813" s="5" t="n"/>
      <c r="S813" s="5" t="n"/>
    </row>
    <row r="814">
      <c r="A814" s="32" t="n"/>
      <c r="B814" s="32" t="n"/>
      <c r="C814" s="32" t="n"/>
      <c r="D814" s="32" t="n"/>
      <c r="E814" s="32" t="n"/>
      <c r="F814" s="29" t="n"/>
      <c r="G814" s="29" t="n"/>
      <c r="H814" s="29" t="n"/>
      <c r="I814" s="29" t="n"/>
      <c r="J814" s="29" t="n"/>
      <c r="K814" s="29" t="n"/>
      <c r="L814" s="29" t="n"/>
      <c r="M814" s="29" t="n"/>
      <c r="N814" s="29" t="n"/>
      <c r="O814" s="5" t="n"/>
      <c r="P814" s="5" t="n"/>
      <c r="Q814" s="5" t="n"/>
      <c r="R814" s="5" t="n"/>
      <c r="S814" s="5" t="n"/>
    </row>
    <row r="815">
      <c r="A815" s="32" t="n"/>
      <c r="B815" s="32" t="n"/>
      <c r="C815" s="32" t="n"/>
      <c r="D815" s="32" t="n"/>
      <c r="E815" s="32" t="n"/>
      <c r="F815" s="29" t="n"/>
      <c r="G815" s="29" t="n"/>
      <c r="H815" s="29" t="n"/>
      <c r="I815" s="29" t="n"/>
      <c r="J815" s="29" t="n"/>
      <c r="K815" s="29" t="n"/>
      <c r="L815" s="29" t="n"/>
      <c r="M815" s="29" t="n"/>
      <c r="N815" s="29" t="n"/>
      <c r="O815" s="5" t="n"/>
      <c r="P815" s="5" t="n"/>
      <c r="Q815" s="5" t="n"/>
      <c r="R815" s="5" t="n"/>
      <c r="S815" s="5" t="n"/>
    </row>
    <row r="816">
      <c r="A816" s="32" t="n"/>
      <c r="B816" s="32" t="n"/>
      <c r="C816" s="32" t="n"/>
      <c r="D816" s="32" t="n"/>
      <c r="E816" s="32" t="n"/>
      <c r="F816" s="29" t="n"/>
      <c r="G816" s="29" t="n"/>
      <c r="H816" s="29" t="n"/>
      <c r="I816" s="29" t="n"/>
      <c r="J816" s="29" t="n"/>
      <c r="K816" s="29" t="n"/>
      <c r="L816" s="29" t="n"/>
      <c r="M816" s="29" t="n"/>
      <c r="N816" s="29" t="n"/>
      <c r="O816" s="5" t="n"/>
      <c r="P816" s="5" t="n"/>
      <c r="Q816" s="5" t="n"/>
      <c r="R816" s="5" t="n"/>
      <c r="S816" s="5" t="n"/>
    </row>
    <row r="817">
      <c r="A817" s="32" t="n"/>
      <c r="B817" s="32" t="n"/>
      <c r="C817" s="32" t="n"/>
      <c r="D817" s="32" t="n"/>
      <c r="E817" s="32" t="n"/>
      <c r="F817" s="29" t="n"/>
      <c r="G817" s="29" t="n"/>
      <c r="H817" s="29" t="n"/>
      <c r="I817" s="29" t="n"/>
      <c r="J817" s="29" t="n"/>
      <c r="K817" s="29" t="n"/>
      <c r="L817" s="29" t="n"/>
      <c r="M817" s="29" t="n"/>
      <c r="N817" s="29" t="n"/>
      <c r="O817" s="5" t="n"/>
      <c r="P817" s="5" t="n"/>
      <c r="Q817" s="5" t="n"/>
      <c r="R817" s="5" t="n"/>
      <c r="S817" s="5" t="n"/>
    </row>
    <row r="818">
      <c r="A818" s="32" t="n"/>
      <c r="B818" s="32" t="n"/>
      <c r="C818" s="32" t="n"/>
      <c r="D818" s="32" t="n"/>
      <c r="E818" s="32" t="n"/>
      <c r="F818" s="29" t="n"/>
      <c r="G818" s="29" t="n"/>
      <c r="H818" s="29" t="n"/>
      <c r="I818" s="29" t="n"/>
      <c r="J818" s="29" t="n"/>
      <c r="K818" s="29" t="n"/>
      <c r="L818" s="29" t="n"/>
      <c r="M818" s="29" t="n"/>
      <c r="N818" s="29" t="n"/>
      <c r="O818" s="5" t="n"/>
      <c r="P818" s="5" t="n"/>
      <c r="Q818" s="5" t="n"/>
      <c r="R818" s="5" t="n"/>
      <c r="S818" s="5" t="n"/>
    </row>
    <row r="819">
      <c r="A819" s="32" t="n"/>
      <c r="B819" s="32" t="n"/>
      <c r="C819" s="32" t="n"/>
      <c r="D819" s="32" t="n"/>
      <c r="E819" s="32" t="n"/>
      <c r="F819" s="29" t="n"/>
      <c r="G819" s="29" t="n"/>
      <c r="H819" s="29" t="n"/>
      <c r="I819" s="29" t="n"/>
      <c r="J819" s="29" t="n"/>
      <c r="K819" s="29" t="n"/>
      <c r="L819" s="29" t="n"/>
      <c r="M819" s="29" t="n"/>
      <c r="N819" s="29" t="n"/>
      <c r="O819" s="5" t="n"/>
      <c r="P819" s="5" t="n"/>
      <c r="Q819" s="5" t="n"/>
      <c r="R819" s="5" t="n"/>
      <c r="S819" s="5" t="n"/>
    </row>
    <row r="820">
      <c r="A820" s="32" t="n"/>
      <c r="B820" s="32" t="n"/>
      <c r="C820" s="32" t="n"/>
      <c r="D820" s="32" t="n"/>
      <c r="E820" s="32" t="n"/>
      <c r="F820" s="29" t="n"/>
      <c r="G820" s="29" t="n"/>
      <c r="H820" s="29" t="n"/>
      <c r="I820" s="29" t="n"/>
      <c r="J820" s="29" t="n"/>
      <c r="K820" s="29" t="n"/>
      <c r="L820" s="29" t="n"/>
      <c r="M820" s="29" t="n"/>
      <c r="N820" s="29" t="n"/>
      <c r="O820" s="5" t="n"/>
      <c r="P820" s="5" t="n"/>
      <c r="Q820" s="5" t="n"/>
      <c r="R820" s="5" t="n"/>
      <c r="S820" s="5" t="n"/>
    </row>
    <row r="821">
      <c r="A821" s="32" t="n"/>
      <c r="B821" s="32" t="n"/>
      <c r="C821" s="32" t="n"/>
      <c r="D821" s="32" t="n"/>
      <c r="E821" s="32" t="n"/>
      <c r="F821" s="29" t="n"/>
      <c r="G821" s="29" t="n"/>
      <c r="H821" s="29" t="n"/>
      <c r="I821" s="29" t="n"/>
      <c r="J821" s="29" t="n"/>
      <c r="K821" s="29" t="n"/>
      <c r="L821" s="29" t="n"/>
      <c r="M821" s="29" t="n"/>
      <c r="N821" s="29" t="n"/>
      <c r="O821" s="5" t="n"/>
      <c r="P821" s="5" t="n"/>
      <c r="Q821" s="5" t="n"/>
      <c r="R821" s="5" t="n"/>
      <c r="S821" s="5" t="n"/>
    </row>
    <row r="822">
      <c r="A822" s="32" t="n"/>
      <c r="B822" s="32" t="n"/>
      <c r="C822" s="32" t="n"/>
      <c r="D822" s="32" t="n"/>
      <c r="E822" s="32" t="n"/>
      <c r="F822" s="29" t="n"/>
      <c r="G822" s="29" t="n"/>
      <c r="H822" s="29" t="n"/>
      <c r="I822" s="29" t="n"/>
      <c r="J822" s="29" t="n"/>
      <c r="K822" s="29" t="n"/>
      <c r="L822" s="29" t="n"/>
      <c r="M822" s="29" t="n"/>
      <c r="N822" s="29" t="n"/>
      <c r="O822" s="5" t="n"/>
      <c r="P822" s="5" t="n"/>
      <c r="Q822" s="5" t="n"/>
      <c r="R822" s="5" t="n"/>
      <c r="S822" s="5" t="n"/>
    </row>
    <row r="823">
      <c r="A823" s="32" t="n"/>
      <c r="B823" s="32" t="n"/>
      <c r="C823" s="32" t="n"/>
      <c r="D823" s="32" t="n"/>
      <c r="E823" s="32" t="n"/>
      <c r="F823" s="29" t="n"/>
      <c r="G823" s="29" t="n"/>
      <c r="H823" s="29" t="n"/>
      <c r="I823" s="29" t="n"/>
      <c r="J823" s="29" t="n"/>
      <c r="K823" s="29" t="n"/>
      <c r="L823" s="29" t="n"/>
      <c r="M823" s="29" t="n"/>
      <c r="N823" s="29" t="n"/>
      <c r="O823" s="5" t="n"/>
      <c r="P823" s="5" t="n"/>
      <c r="Q823" s="5" t="n"/>
      <c r="R823" s="5" t="n"/>
      <c r="S823" s="5" t="n"/>
    </row>
    <row r="824">
      <c r="A824" s="32" t="n"/>
      <c r="B824" s="32" t="n"/>
      <c r="C824" s="32" t="n"/>
      <c r="D824" s="32" t="n"/>
      <c r="E824" s="32" t="n"/>
      <c r="F824" s="29" t="n"/>
      <c r="G824" s="29" t="n"/>
      <c r="H824" s="29" t="n"/>
      <c r="I824" s="29" t="n"/>
      <c r="J824" s="29" t="n"/>
      <c r="K824" s="29" t="n"/>
      <c r="L824" s="29" t="n"/>
      <c r="M824" s="29" t="n"/>
      <c r="N824" s="29" t="n"/>
      <c r="O824" s="5" t="n"/>
      <c r="P824" s="5" t="n"/>
      <c r="Q824" s="5" t="n"/>
      <c r="R824" s="5" t="n"/>
      <c r="S824" s="5" t="n"/>
    </row>
    <row r="825">
      <c r="A825" s="32" t="n"/>
      <c r="B825" s="32" t="n"/>
      <c r="C825" s="32" t="n"/>
      <c r="D825" s="32" t="n"/>
      <c r="E825" s="32" t="n"/>
      <c r="F825" s="29" t="n"/>
      <c r="G825" s="29" t="n"/>
      <c r="H825" s="29" t="n"/>
      <c r="I825" s="29" t="n"/>
      <c r="J825" s="29" t="n"/>
      <c r="K825" s="29" t="n"/>
      <c r="L825" s="29" t="n"/>
      <c r="M825" s="29" t="n"/>
      <c r="N825" s="29" t="n"/>
      <c r="O825" s="5" t="n"/>
      <c r="P825" s="5" t="n"/>
      <c r="Q825" s="5" t="n"/>
      <c r="R825" s="5" t="n"/>
      <c r="S825" s="5" t="n"/>
    </row>
    <row r="826">
      <c r="A826" s="32" t="n"/>
      <c r="B826" s="32" t="n"/>
      <c r="C826" s="32" t="n"/>
      <c r="D826" s="32" t="n"/>
      <c r="E826" s="32" t="n"/>
      <c r="F826" s="29" t="n"/>
      <c r="G826" s="29" t="n"/>
      <c r="H826" s="29" t="n"/>
      <c r="I826" s="29" t="n"/>
      <c r="J826" s="29" t="n"/>
      <c r="K826" s="29" t="n"/>
      <c r="L826" s="29" t="n"/>
      <c r="M826" s="29" t="n"/>
      <c r="N826" s="29" t="n"/>
      <c r="O826" s="5" t="n"/>
      <c r="P826" s="5" t="n"/>
      <c r="Q826" s="5" t="n"/>
      <c r="R826" s="5" t="n"/>
      <c r="S826" s="5" t="n"/>
    </row>
    <row r="827">
      <c r="A827" s="32" t="n"/>
      <c r="B827" s="32" t="n"/>
      <c r="C827" s="32" t="n"/>
      <c r="D827" s="32" t="n"/>
      <c r="E827" s="32" t="n"/>
      <c r="F827" s="29" t="n"/>
      <c r="G827" s="29" t="n"/>
      <c r="H827" s="29" t="n"/>
      <c r="I827" s="29" t="n"/>
      <c r="J827" s="29" t="n"/>
      <c r="K827" s="29" t="n"/>
      <c r="L827" s="29" t="n"/>
      <c r="M827" s="29" t="n"/>
      <c r="N827" s="29" t="n"/>
      <c r="O827" s="5" t="n"/>
      <c r="P827" s="5" t="n"/>
      <c r="Q827" s="5" t="n"/>
      <c r="R827" s="5" t="n"/>
      <c r="S827" s="5" t="n"/>
    </row>
    <row r="828">
      <c r="A828" s="32" t="n"/>
      <c r="B828" s="32" t="n"/>
      <c r="C828" s="32" t="n"/>
      <c r="D828" s="32" t="n"/>
      <c r="E828" s="32" t="n"/>
      <c r="F828" s="29" t="n"/>
      <c r="G828" s="29" t="n"/>
      <c r="H828" s="29" t="n"/>
      <c r="I828" s="29" t="n"/>
      <c r="J828" s="29" t="n"/>
      <c r="K828" s="29" t="n"/>
      <c r="L828" s="29" t="n"/>
      <c r="M828" s="29" t="n"/>
      <c r="N828" s="29" t="n"/>
      <c r="O828" s="5" t="n"/>
      <c r="P828" s="5" t="n"/>
      <c r="Q828" s="5" t="n"/>
      <c r="R828" s="5" t="n"/>
      <c r="S828" s="5" t="n"/>
    </row>
    <row r="829">
      <c r="A829" s="32" t="n"/>
      <c r="B829" s="32" t="n"/>
      <c r="C829" s="32" t="n"/>
      <c r="D829" s="32" t="n"/>
      <c r="E829" s="32" t="n"/>
      <c r="F829" s="29" t="n"/>
      <c r="G829" s="29" t="n"/>
      <c r="H829" s="29" t="n"/>
      <c r="I829" s="29" t="n"/>
      <c r="J829" s="29" t="n"/>
      <c r="K829" s="29" t="n"/>
      <c r="L829" s="29" t="n"/>
      <c r="M829" s="29" t="n"/>
      <c r="N829" s="29" t="n"/>
      <c r="O829" s="5" t="n"/>
      <c r="P829" s="5" t="n"/>
      <c r="Q829" s="5" t="n"/>
      <c r="R829" s="5" t="n"/>
      <c r="S829" s="5" t="n"/>
    </row>
    <row r="830">
      <c r="A830" s="32" t="n"/>
      <c r="B830" s="32" t="n"/>
      <c r="C830" s="32" t="n"/>
      <c r="D830" s="32" t="n"/>
      <c r="E830" s="32" t="n"/>
      <c r="F830" s="29" t="n"/>
      <c r="G830" s="29" t="n"/>
      <c r="H830" s="29" t="n"/>
      <c r="I830" s="29" t="n"/>
      <c r="J830" s="29" t="n"/>
      <c r="K830" s="29" t="n"/>
      <c r="L830" s="29" t="n"/>
      <c r="M830" s="29" t="n"/>
      <c r="N830" s="29" t="n"/>
      <c r="O830" s="5" t="n"/>
      <c r="P830" s="5" t="n"/>
      <c r="Q830" s="5" t="n"/>
      <c r="R830" s="5" t="n"/>
      <c r="S830" s="5" t="n"/>
    </row>
    <row r="831">
      <c r="A831" s="32" t="n"/>
      <c r="B831" s="32" t="n"/>
      <c r="C831" s="32" t="n"/>
      <c r="D831" s="32" t="n"/>
      <c r="E831" s="32" t="n"/>
      <c r="F831" s="29" t="n"/>
      <c r="G831" s="29" t="n"/>
      <c r="H831" s="29" t="n"/>
      <c r="I831" s="29" t="n"/>
      <c r="J831" s="29" t="n"/>
      <c r="K831" s="29" t="n"/>
      <c r="L831" s="29" t="n"/>
      <c r="M831" s="29" t="n"/>
      <c r="N831" s="29" t="n"/>
      <c r="O831" s="5" t="n"/>
      <c r="P831" s="5" t="n"/>
      <c r="Q831" s="5" t="n"/>
      <c r="R831" s="5" t="n"/>
      <c r="S831" s="5" t="n"/>
    </row>
    <row r="832">
      <c r="A832" s="32" t="n"/>
      <c r="B832" s="32" t="n"/>
      <c r="C832" s="32" t="n"/>
      <c r="D832" s="32" t="n"/>
      <c r="E832" s="32" t="n"/>
      <c r="F832" s="29" t="n"/>
      <c r="G832" s="29" t="n"/>
      <c r="H832" s="29" t="n"/>
      <c r="I832" s="29" t="n"/>
      <c r="J832" s="29" t="n"/>
      <c r="K832" s="29" t="n"/>
      <c r="L832" s="29" t="n"/>
      <c r="M832" s="29" t="n"/>
      <c r="N832" s="29" t="n"/>
      <c r="O832" s="5" t="n"/>
      <c r="P832" s="5" t="n"/>
      <c r="Q832" s="5" t="n"/>
      <c r="R832" s="5" t="n"/>
      <c r="S832" s="5" t="n"/>
    </row>
    <row r="833">
      <c r="A833" s="32" t="n"/>
      <c r="B833" s="32" t="n"/>
      <c r="C833" s="32" t="n"/>
      <c r="D833" s="32" t="n"/>
      <c r="E833" s="32" t="n"/>
      <c r="F833" s="29" t="n"/>
      <c r="G833" s="29" t="n"/>
      <c r="H833" s="29" t="n"/>
      <c r="I833" s="29" t="n"/>
      <c r="J833" s="29" t="n"/>
      <c r="K833" s="29" t="n"/>
      <c r="L833" s="29" t="n"/>
      <c r="M833" s="29" t="n"/>
      <c r="N833" s="29" t="n"/>
      <c r="O833" s="5" t="n"/>
      <c r="P833" s="5" t="n"/>
      <c r="Q833" s="5" t="n"/>
      <c r="R833" s="5" t="n"/>
      <c r="S833" s="5" t="n"/>
    </row>
    <row r="834">
      <c r="A834" s="32" t="n"/>
      <c r="B834" s="32" t="n"/>
      <c r="C834" s="32" t="n"/>
      <c r="D834" s="32" t="n"/>
      <c r="E834" s="32" t="n"/>
      <c r="F834" s="29" t="n"/>
      <c r="G834" s="29" t="n"/>
      <c r="H834" s="29" t="n"/>
      <c r="I834" s="29" t="n"/>
      <c r="J834" s="29" t="n"/>
      <c r="K834" s="29" t="n"/>
      <c r="L834" s="29" t="n"/>
      <c r="M834" s="29" t="n"/>
      <c r="N834" s="29" t="n"/>
      <c r="O834" s="5" t="n"/>
      <c r="P834" s="5" t="n"/>
      <c r="Q834" s="5" t="n"/>
      <c r="R834" s="5" t="n"/>
      <c r="S834" s="5" t="n"/>
    </row>
    <row r="835">
      <c r="A835" s="32" t="n"/>
      <c r="B835" s="32" t="n"/>
      <c r="C835" s="32" t="n"/>
      <c r="D835" s="32" t="n"/>
      <c r="E835" s="32" t="n"/>
      <c r="F835" s="29" t="n"/>
      <c r="G835" s="29" t="n"/>
      <c r="H835" s="29" t="n"/>
      <c r="I835" s="29" t="n"/>
      <c r="J835" s="29" t="n"/>
      <c r="K835" s="29" t="n"/>
      <c r="L835" s="29" t="n"/>
      <c r="M835" s="29" t="n"/>
      <c r="N835" s="29" t="n"/>
      <c r="O835" s="5" t="n"/>
      <c r="P835" s="5" t="n"/>
      <c r="Q835" s="5" t="n"/>
      <c r="R835" s="5" t="n"/>
      <c r="S835" s="5" t="n"/>
    </row>
    <row r="836">
      <c r="A836" s="32" t="n"/>
      <c r="B836" s="32" t="n"/>
      <c r="C836" s="32" t="n"/>
      <c r="D836" s="32" t="n"/>
      <c r="E836" s="32" t="n"/>
      <c r="F836" s="29" t="n"/>
      <c r="G836" s="29" t="n"/>
      <c r="H836" s="29" t="n"/>
      <c r="I836" s="29" t="n"/>
      <c r="J836" s="29" t="n"/>
      <c r="K836" s="29" t="n"/>
      <c r="L836" s="29" t="n"/>
      <c r="M836" s="29" t="n"/>
      <c r="N836" s="29" t="n"/>
      <c r="O836" s="5" t="n"/>
      <c r="P836" s="5" t="n"/>
      <c r="Q836" s="5" t="n"/>
      <c r="R836" s="5" t="n"/>
      <c r="S836" s="5" t="n"/>
    </row>
    <row r="837">
      <c r="A837" s="32" t="n"/>
      <c r="B837" s="32" t="n"/>
      <c r="C837" s="32" t="n"/>
      <c r="D837" s="32" t="n"/>
      <c r="E837" s="32" t="n"/>
      <c r="F837" s="29" t="n"/>
      <c r="G837" s="29" t="n"/>
      <c r="H837" s="29" t="n"/>
      <c r="I837" s="29" t="n"/>
      <c r="J837" s="29" t="n"/>
      <c r="K837" s="29" t="n"/>
      <c r="L837" s="29" t="n"/>
      <c r="M837" s="29" t="n"/>
      <c r="N837" s="29" t="n"/>
      <c r="O837" s="5" t="n"/>
      <c r="P837" s="5" t="n"/>
      <c r="Q837" s="5" t="n"/>
      <c r="R837" s="5" t="n"/>
      <c r="S837" s="5" t="n"/>
    </row>
    <row r="838">
      <c r="A838" s="32" t="n"/>
      <c r="B838" s="32" t="n"/>
      <c r="C838" s="32" t="n"/>
      <c r="D838" s="32" t="n"/>
      <c r="E838" s="32" t="n"/>
      <c r="F838" s="29" t="n"/>
      <c r="G838" s="29" t="n"/>
      <c r="H838" s="29" t="n"/>
      <c r="I838" s="29" t="n"/>
      <c r="J838" s="29" t="n"/>
      <c r="K838" s="29" t="n"/>
      <c r="L838" s="29" t="n"/>
      <c r="M838" s="29" t="n"/>
      <c r="N838" s="29" t="n"/>
      <c r="O838" s="5" t="n"/>
      <c r="P838" s="5" t="n"/>
      <c r="Q838" s="5" t="n"/>
      <c r="R838" s="5" t="n"/>
      <c r="S838" s="5" t="n"/>
    </row>
    <row r="839">
      <c r="A839" s="32" t="n"/>
      <c r="B839" s="32" t="n"/>
      <c r="C839" s="32" t="n"/>
      <c r="D839" s="32" t="n"/>
      <c r="E839" s="32" t="n"/>
      <c r="F839" s="29" t="n"/>
      <c r="G839" s="29" t="n"/>
      <c r="H839" s="29" t="n"/>
      <c r="I839" s="29" t="n"/>
      <c r="J839" s="29" t="n"/>
      <c r="K839" s="29" t="n"/>
      <c r="L839" s="29" t="n"/>
      <c r="M839" s="29" t="n"/>
      <c r="N839" s="29" t="n"/>
      <c r="O839" s="5" t="n"/>
      <c r="P839" s="5" t="n"/>
      <c r="Q839" s="5" t="n"/>
      <c r="R839" s="5" t="n"/>
      <c r="S839" s="5" t="n"/>
    </row>
    <row r="840">
      <c r="A840" s="32" t="n"/>
      <c r="B840" s="32" t="n"/>
      <c r="C840" s="32" t="n"/>
      <c r="D840" s="32" t="n"/>
      <c r="E840" s="32" t="n"/>
      <c r="F840" s="29" t="n"/>
      <c r="G840" s="29" t="n"/>
      <c r="H840" s="29" t="n"/>
      <c r="I840" s="29" t="n"/>
      <c r="J840" s="29" t="n"/>
      <c r="K840" s="29" t="n"/>
      <c r="L840" s="29" t="n"/>
      <c r="M840" s="29" t="n"/>
      <c r="N840" s="29" t="n"/>
      <c r="O840" s="5" t="n"/>
      <c r="P840" s="5" t="n"/>
      <c r="Q840" s="5" t="n"/>
      <c r="R840" s="5" t="n"/>
      <c r="S840" s="5" t="n"/>
    </row>
    <row r="841">
      <c r="A841" s="32" t="n"/>
      <c r="B841" s="32" t="n"/>
      <c r="C841" s="32" t="n"/>
      <c r="D841" s="32" t="n"/>
      <c r="E841" s="32" t="n"/>
      <c r="F841" s="29" t="n"/>
      <c r="G841" s="29" t="n"/>
      <c r="H841" s="29" t="n"/>
      <c r="I841" s="29" t="n"/>
      <c r="J841" s="29" t="n"/>
      <c r="K841" s="29" t="n"/>
      <c r="L841" s="29" t="n"/>
      <c r="M841" s="29" t="n"/>
      <c r="N841" s="29" t="n"/>
      <c r="O841" s="5" t="n"/>
      <c r="P841" s="5" t="n"/>
      <c r="Q841" s="5" t="n"/>
      <c r="R841" s="5" t="n"/>
      <c r="S841" s="5" t="n"/>
    </row>
    <row r="842">
      <c r="A842" s="32" t="n"/>
      <c r="B842" s="32" t="n"/>
      <c r="C842" s="32" t="n"/>
      <c r="D842" s="32" t="n"/>
      <c r="E842" s="32" t="n"/>
      <c r="F842" s="29" t="n"/>
      <c r="G842" s="29" t="n"/>
      <c r="H842" s="29" t="n"/>
      <c r="I842" s="29" t="n"/>
      <c r="J842" s="29" t="n"/>
      <c r="K842" s="29" t="n"/>
      <c r="L842" s="29" t="n"/>
      <c r="M842" s="29" t="n"/>
      <c r="N842" s="29" t="n"/>
      <c r="O842" s="5" t="n"/>
      <c r="P842" s="5" t="n"/>
      <c r="Q842" s="5" t="n"/>
      <c r="R842" s="5" t="n"/>
      <c r="S842" s="5" t="n"/>
    </row>
    <row r="843">
      <c r="A843" s="32" t="n"/>
      <c r="B843" s="32" t="n"/>
      <c r="C843" s="32" t="n"/>
      <c r="D843" s="32" t="n"/>
      <c r="E843" s="32" t="n"/>
      <c r="F843" s="29" t="n"/>
      <c r="G843" s="29" t="n"/>
      <c r="H843" s="29" t="n"/>
      <c r="I843" s="29" t="n"/>
      <c r="J843" s="29" t="n"/>
      <c r="K843" s="29" t="n"/>
      <c r="L843" s="29" t="n"/>
      <c r="M843" s="29" t="n"/>
      <c r="N843" s="29" t="n"/>
      <c r="O843" s="5" t="n"/>
      <c r="P843" s="5" t="n"/>
      <c r="Q843" s="5" t="n"/>
      <c r="R843" s="5" t="n"/>
      <c r="S843" s="5" t="n"/>
    </row>
    <row r="844">
      <c r="A844" s="32" t="n"/>
      <c r="B844" s="32" t="n"/>
      <c r="C844" s="32" t="n"/>
      <c r="D844" s="32" t="n"/>
      <c r="E844" s="32" t="n"/>
      <c r="F844" s="29" t="n"/>
      <c r="G844" s="29" t="n"/>
      <c r="H844" s="29" t="n"/>
      <c r="I844" s="29" t="n"/>
      <c r="J844" s="29" t="n"/>
      <c r="K844" s="29" t="n"/>
      <c r="L844" s="29" t="n"/>
      <c r="M844" s="29" t="n"/>
      <c r="N844" s="29" t="n"/>
      <c r="O844" s="5" t="n"/>
      <c r="P844" s="5" t="n"/>
      <c r="Q844" s="5" t="n"/>
      <c r="R844" s="5" t="n"/>
      <c r="S844" s="5" t="n"/>
    </row>
    <row r="845">
      <c r="A845" s="32" t="n"/>
      <c r="B845" s="32" t="n"/>
      <c r="C845" s="32" t="n"/>
      <c r="D845" s="32" t="n"/>
      <c r="E845" s="32" t="n"/>
      <c r="F845" s="29" t="n"/>
      <c r="G845" s="29" t="n"/>
      <c r="H845" s="29" t="n"/>
      <c r="I845" s="29" t="n"/>
      <c r="J845" s="29" t="n"/>
      <c r="K845" s="29" t="n"/>
      <c r="L845" s="29" t="n"/>
      <c r="M845" s="29" t="n"/>
      <c r="N845" s="29" t="n"/>
      <c r="O845" s="5" t="n"/>
      <c r="P845" s="5" t="n"/>
      <c r="Q845" s="5" t="n"/>
      <c r="R845" s="5" t="n"/>
      <c r="S845" s="5" t="n"/>
    </row>
    <row r="846">
      <c r="A846" s="32" t="n"/>
      <c r="B846" s="32" t="n"/>
      <c r="C846" s="32" t="n"/>
      <c r="D846" s="32" t="n"/>
      <c r="E846" s="32" t="n"/>
      <c r="F846" s="29" t="n"/>
      <c r="G846" s="29" t="n"/>
      <c r="H846" s="29" t="n"/>
      <c r="I846" s="29" t="n"/>
      <c r="J846" s="29" t="n"/>
      <c r="K846" s="29" t="n"/>
      <c r="L846" s="29" t="n"/>
      <c r="M846" s="29" t="n"/>
      <c r="N846" s="29" t="n"/>
      <c r="O846" s="5" t="n"/>
      <c r="P846" s="5" t="n"/>
      <c r="Q846" s="5" t="n"/>
      <c r="R846" s="5" t="n"/>
      <c r="S846" s="5" t="n"/>
    </row>
    <row r="847">
      <c r="A847" s="32" t="n"/>
      <c r="B847" s="32" t="n"/>
      <c r="C847" s="32" t="n"/>
      <c r="D847" s="32" t="n"/>
      <c r="E847" s="32" t="n"/>
      <c r="F847" s="29" t="n"/>
      <c r="G847" s="29" t="n"/>
      <c r="H847" s="29" t="n"/>
      <c r="I847" s="29" t="n"/>
      <c r="J847" s="29" t="n"/>
      <c r="K847" s="29" t="n"/>
      <c r="L847" s="29" t="n"/>
      <c r="M847" s="29" t="n"/>
      <c r="N847" s="29" t="n"/>
      <c r="O847" s="5" t="n"/>
      <c r="P847" s="5" t="n"/>
      <c r="Q847" s="5" t="n"/>
      <c r="R847" s="5" t="n"/>
      <c r="S847" s="5" t="n"/>
    </row>
    <row r="848">
      <c r="A848" s="32" t="n"/>
      <c r="B848" s="32" t="n"/>
      <c r="C848" s="32" t="n"/>
      <c r="D848" s="32" t="n"/>
      <c r="E848" s="32" t="n"/>
      <c r="F848" s="29" t="n"/>
      <c r="G848" s="29" t="n"/>
      <c r="H848" s="29" t="n"/>
      <c r="I848" s="29" t="n"/>
      <c r="J848" s="29" t="n"/>
      <c r="K848" s="29" t="n"/>
      <c r="L848" s="29" t="n"/>
      <c r="M848" s="29" t="n"/>
      <c r="N848" s="29" t="n"/>
      <c r="O848" s="5" t="n"/>
      <c r="P848" s="5" t="n"/>
      <c r="Q848" s="5" t="n"/>
      <c r="R848" s="5" t="n"/>
      <c r="S848" s="5" t="n"/>
    </row>
    <row r="849">
      <c r="A849" s="32" t="n"/>
      <c r="B849" s="32" t="n"/>
      <c r="C849" s="32" t="n"/>
      <c r="D849" s="32" t="n"/>
      <c r="E849" s="32" t="n"/>
      <c r="F849" s="29" t="n"/>
      <c r="G849" s="29" t="n"/>
      <c r="H849" s="29" t="n"/>
      <c r="I849" s="29" t="n"/>
      <c r="J849" s="29" t="n"/>
      <c r="K849" s="29" t="n"/>
      <c r="L849" s="29" t="n"/>
      <c r="M849" s="29" t="n"/>
      <c r="N849" s="29" t="n"/>
      <c r="O849" s="5" t="n"/>
      <c r="P849" s="5" t="n"/>
      <c r="Q849" s="5" t="n"/>
      <c r="R849" s="5" t="n"/>
      <c r="S849" s="5" t="n"/>
    </row>
    <row r="850">
      <c r="A850" s="32" t="n"/>
      <c r="B850" s="32" t="n"/>
      <c r="C850" s="32" t="n"/>
      <c r="D850" s="32" t="n"/>
      <c r="E850" s="32" t="n"/>
      <c r="F850" s="29" t="n"/>
      <c r="G850" s="29" t="n"/>
      <c r="H850" s="29" t="n"/>
      <c r="I850" s="29" t="n"/>
      <c r="J850" s="29" t="n"/>
      <c r="K850" s="29" t="n"/>
      <c r="L850" s="29" t="n"/>
      <c r="M850" s="29" t="n"/>
      <c r="N850" s="29" t="n"/>
      <c r="O850" s="5" t="n"/>
      <c r="P850" s="5" t="n"/>
      <c r="Q850" s="5" t="n"/>
      <c r="R850" s="5" t="n"/>
      <c r="S850" s="5" t="n"/>
    </row>
    <row r="851">
      <c r="A851" s="32" t="n"/>
      <c r="B851" s="32" t="n"/>
      <c r="C851" s="32" t="n"/>
      <c r="D851" s="32" t="n"/>
      <c r="E851" s="32" t="n"/>
      <c r="F851" s="29" t="n"/>
      <c r="G851" s="29" t="n"/>
      <c r="H851" s="29" t="n"/>
      <c r="I851" s="29" t="n"/>
      <c r="J851" s="29" t="n"/>
      <c r="K851" s="29" t="n"/>
      <c r="L851" s="29" t="n"/>
      <c r="M851" s="29" t="n"/>
      <c r="N851" s="29" t="n"/>
      <c r="O851" s="5" t="n"/>
      <c r="P851" s="5" t="n"/>
      <c r="Q851" s="5" t="n"/>
      <c r="R851" s="5" t="n"/>
      <c r="S851" s="5" t="n"/>
    </row>
    <row r="852">
      <c r="A852" s="32" t="n"/>
      <c r="B852" s="32" t="n"/>
      <c r="C852" s="32" t="n"/>
      <c r="D852" s="32" t="n"/>
      <c r="E852" s="32" t="n"/>
      <c r="F852" s="29" t="n"/>
      <c r="G852" s="29" t="n"/>
      <c r="H852" s="29" t="n"/>
      <c r="I852" s="29" t="n"/>
      <c r="J852" s="29" t="n"/>
      <c r="K852" s="29" t="n"/>
      <c r="L852" s="29" t="n"/>
      <c r="M852" s="29" t="n"/>
      <c r="N852" s="29" t="n"/>
      <c r="O852" s="5" t="n"/>
      <c r="P852" s="5" t="n"/>
      <c r="Q852" s="5" t="n"/>
      <c r="R852" s="5" t="n"/>
      <c r="S852" s="5" t="n"/>
    </row>
    <row r="853">
      <c r="A853" s="32" t="n"/>
      <c r="B853" s="32" t="n"/>
      <c r="C853" s="32" t="n"/>
      <c r="D853" s="32" t="n"/>
      <c r="E853" s="32" t="n"/>
      <c r="F853" s="29" t="n"/>
      <c r="G853" s="29" t="n"/>
      <c r="H853" s="29" t="n"/>
      <c r="I853" s="29" t="n"/>
      <c r="J853" s="29" t="n"/>
      <c r="K853" s="29" t="n"/>
      <c r="L853" s="29" t="n"/>
      <c r="M853" s="29" t="n"/>
      <c r="N853" s="29" t="n"/>
      <c r="O853" s="5" t="n"/>
      <c r="P853" s="5" t="n"/>
      <c r="Q853" s="5" t="n"/>
      <c r="R853" s="5" t="n"/>
      <c r="S853" s="5" t="n"/>
    </row>
    <row r="854">
      <c r="A854" s="32" t="n"/>
      <c r="B854" s="32" t="n"/>
      <c r="C854" s="32" t="n"/>
      <c r="D854" s="32" t="n"/>
      <c r="E854" s="32" t="n"/>
      <c r="F854" s="29" t="n"/>
      <c r="G854" s="29" t="n"/>
      <c r="H854" s="29" t="n"/>
      <c r="I854" s="29" t="n"/>
      <c r="J854" s="29" t="n"/>
      <c r="K854" s="29" t="n"/>
      <c r="L854" s="29" t="n"/>
      <c r="M854" s="29" t="n"/>
      <c r="N854" s="29" t="n"/>
      <c r="O854" s="5" t="n"/>
      <c r="P854" s="5" t="n"/>
      <c r="Q854" s="5" t="n"/>
      <c r="R854" s="5" t="n"/>
      <c r="S854" s="5" t="n"/>
    </row>
    <row r="855">
      <c r="A855" s="32" t="n"/>
      <c r="B855" s="32" t="n"/>
      <c r="C855" s="32" t="n"/>
      <c r="D855" s="32" t="n"/>
      <c r="E855" s="32" t="n"/>
      <c r="F855" s="29" t="n"/>
      <c r="G855" s="29" t="n"/>
      <c r="H855" s="29" t="n"/>
      <c r="I855" s="29" t="n"/>
      <c r="J855" s="29" t="n"/>
      <c r="K855" s="29" t="n"/>
      <c r="L855" s="29" t="n"/>
      <c r="M855" s="29" t="n"/>
      <c r="N855" s="29" t="n"/>
      <c r="O855" s="5" t="n"/>
      <c r="P855" s="5" t="n"/>
      <c r="Q855" s="5" t="n"/>
      <c r="R855" s="5" t="n"/>
      <c r="S855" s="5" t="n"/>
    </row>
    <row r="856">
      <c r="A856" s="32" t="n"/>
      <c r="B856" s="32" t="n"/>
      <c r="C856" s="32" t="n"/>
      <c r="D856" s="32" t="n"/>
      <c r="E856" s="32" t="n"/>
      <c r="F856" s="29" t="n"/>
      <c r="G856" s="29" t="n"/>
      <c r="H856" s="29" t="n"/>
      <c r="I856" s="29" t="n"/>
      <c r="J856" s="29" t="n"/>
      <c r="K856" s="29" t="n"/>
      <c r="L856" s="29" t="n"/>
      <c r="M856" s="29" t="n"/>
      <c r="N856" s="29" t="n"/>
      <c r="O856" s="5" t="n"/>
      <c r="P856" s="5" t="n"/>
      <c r="Q856" s="5" t="n"/>
      <c r="R856" s="5" t="n"/>
      <c r="S856" s="5" t="n"/>
    </row>
    <row r="857">
      <c r="A857" s="32" t="n"/>
      <c r="B857" s="32" t="n"/>
      <c r="C857" s="32" t="n"/>
      <c r="D857" s="32" t="n"/>
      <c r="E857" s="32" t="n"/>
      <c r="F857" s="29" t="n"/>
      <c r="G857" s="29" t="n"/>
      <c r="H857" s="29" t="n"/>
      <c r="I857" s="29" t="n"/>
      <c r="J857" s="29" t="n"/>
      <c r="K857" s="29" t="n"/>
      <c r="L857" s="29" t="n"/>
      <c r="M857" s="29" t="n"/>
      <c r="N857" s="29" t="n"/>
      <c r="O857" s="5" t="n"/>
      <c r="P857" s="5" t="n"/>
      <c r="Q857" s="5" t="n"/>
      <c r="R857" s="5" t="n"/>
      <c r="S857" s="5" t="n"/>
    </row>
    <row r="858">
      <c r="A858" s="32" t="n"/>
      <c r="B858" s="32" t="n"/>
      <c r="C858" s="32" t="n"/>
      <c r="D858" s="32" t="n"/>
      <c r="E858" s="32" t="n"/>
      <c r="F858" s="29" t="n"/>
      <c r="G858" s="29" t="n"/>
      <c r="H858" s="29" t="n"/>
      <c r="I858" s="29" t="n"/>
      <c r="J858" s="29" t="n"/>
      <c r="K858" s="29" t="n"/>
      <c r="L858" s="29" t="n"/>
      <c r="M858" s="29" t="n"/>
      <c r="N858" s="29" t="n"/>
      <c r="O858" s="5" t="n"/>
      <c r="P858" s="5" t="n"/>
      <c r="Q858" s="5" t="n"/>
      <c r="R858" s="5" t="n"/>
      <c r="S858" s="5" t="n"/>
    </row>
    <row r="859">
      <c r="A859" s="32" t="n"/>
      <c r="B859" s="32" t="n"/>
      <c r="C859" s="32" t="n"/>
      <c r="D859" s="32" t="n"/>
      <c r="E859" s="32" t="n"/>
      <c r="F859" s="29" t="n"/>
      <c r="G859" s="29" t="n"/>
      <c r="H859" s="29" t="n"/>
      <c r="I859" s="29" t="n"/>
      <c r="J859" s="29" t="n"/>
      <c r="K859" s="29" t="n"/>
      <c r="L859" s="29" t="n"/>
      <c r="M859" s="29" t="n"/>
      <c r="N859" s="29" t="n"/>
      <c r="O859" s="5" t="n"/>
      <c r="P859" s="5" t="n"/>
      <c r="Q859" s="5" t="n"/>
      <c r="R859" s="5" t="n"/>
      <c r="S859" s="5" t="n"/>
    </row>
    <row r="860">
      <c r="A860" s="32" t="n"/>
      <c r="B860" s="32" t="n"/>
      <c r="C860" s="32" t="n"/>
      <c r="D860" s="32" t="n"/>
      <c r="E860" s="32" t="n"/>
      <c r="F860" s="29" t="n"/>
      <c r="G860" s="29" t="n"/>
      <c r="H860" s="29" t="n"/>
      <c r="I860" s="29" t="n"/>
      <c r="J860" s="29" t="n"/>
      <c r="K860" s="29" t="n"/>
      <c r="L860" s="29" t="n"/>
      <c r="M860" s="29" t="n"/>
      <c r="N860" s="29" t="n"/>
      <c r="O860" s="5" t="n"/>
      <c r="P860" s="5" t="n"/>
      <c r="Q860" s="5" t="n"/>
      <c r="R860" s="5" t="n"/>
      <c r="S860" s="5" t="n"/>
    </row>
    <row r="861">
      <c r="A861" s="32" t="n"/>
      <c r="B861" s="32" t="n"/>
      <c r="C861" s="32" t="n"/>
      <c r="D861" s="32" t="n"/>
      <c r="E861" s="32" t="n"/>
      <c r="F861" s="29" t="n"/>
      <c r="G861" s="29" t="n"/>
      <c r="H861" s="29" t="n"/>
      <c r="I861" s="29" t="n"/>
      <c r="J861" s="29" t="n"/>
      <c r="K861" s="29" t="n"/>
      <c r="L861" s="29" t="n"/>
      <c r="M861" s="29" t="n"/>
      <c r="N861" s="29" t="n"/>
      <c r="O861" s="5" t="n"/>
      <c r="P861" s="5" t="n"/>
      <c r="Q861" s="5" t="n"/>
      <c r="R861" s="5" t="n"/>
      <c r="S861" s="5" t="n"/>
    </row>
    <row r="862">
      <c r="A862" s="32" t="n"/>
      <c r="B862" s="32" t="n"/>
      <c r="C862" s="32" t="n"/>
      <c r="D862" s="32" t="n"/>
      <c r="E862" s="32" t="n"/>
      <c r="F862" s="29" t="n"/>
      <c r="G862" s="29" t="n"/>
      <c r="H862" s="29" t="n"/>
      <c r="I862" s="29" t="n"/>
      <c r="J862" s="29" t="n"/>
      <c r="K862" s="29" t="n"/>
      <c r="L862" s="29" t="n"/>
      <c r="M862" s="29" t="n"/>
      <c r="N862" s="29" t="n"/>
      <c r="O862" s="5" t="n"/>
      <c r="P862" s="5" t="n"/>
      <c r="Q862" s="5" t="n"/>
      <c r="R862" s="5" t="n"/>
      <c r="S862" s="5" t="n"/>
    </row>
    <row r="863">
      <c r="A863" s="32" t="n"/>
      <c r="B863" s="32" t="n"/>
      <c r="C863" s="32" t="n"/>
      <c r="D863" s="32" t="n"/>
      <c r="E863" s="32" t="n"/>
      <c r="F863" s="29" t="n"/>
      <c r="G863" s="29" t="n"/>
      <c r="H863" s="29" t="n"/>
      <c r="I863" s="29" t="n"/>
      <c r="J863" s="29" t="n"/>
      <c r="K863" s="29" t="n"/>
      <c r="L863" s="29" t="n"/>
      <c r="M863" s="29" t="n"/>
      <c r="N863" s="29" t="n"/>
      <c r="O863" s="5" t="n"/>
      <c r="P863" s="5" t="n"/>
      <c r="Q863" s="5" t="n"/>
      <c r="R863" s="5" t="n"/>
      <c r="S863" s="5" t="n"/>
    </row>
    <row r="864">
      <c r="A864" s="32" t="n"/>
      <c r="B864" s="32" t="n"/>
      <c r="C864" s="32" t="n"/>
      <c r="D864" s="32" t="n"/>
      <c r="E864" s="32" t="n"/>
      <c r="F864" s="29" t="n"/>
      <c r="G864" s="29" t="n"/>
      <c r="H864" s="29" t="n"/>
      <c r="I864" s="29" t="n"/>
      <c r="J864" s="29" t="n"/>
      <c r="K864" s="29" t="n"/>
      <c r="L864" s="29" t="n"/>
      <c r="M864" s="29" t="n"/>
      <c r="N864" s="29" t="n"/>
      <c r="O864" s="5" t="n"/>
      <c r="P864" s="5" t="n"/>
      <c r="Q864" s="5" t="n"/>
      <c r="R864" s="5" t="n"/>
      <c r="S864" s="5" t="n"/>
    </row>
    <row r="865">
      <c r="A865" s="32" t="n"/>
      <c r="B865" s="32" t="n"/>
      <c r="C865" s="32" t="n"/>
      <c r="D865" s="32" t="n"/>
      <c r="E865" s="32" t="n"/>
      <c r="F865" s="29" t="n"/>
      <c r="G865" s="29" t="n"/>
      <c r="H865" s="29" t="n"/>
      <c r="I865" s="29" t="n"/>
      <c r="J865" s="29" t="n"/>
      <c r="K865" s="29" t="n"/>
      <c r="L865" s="29" t="n"/>
      <c r="M865" s="29" t="n"/>
      <c r="N865" s="29" t="n"/>
      <c r="O865" s="5" t="n"/>
      <c r="P865" s="5" t="n"/>
      <c r="Q865" s="5" t="n"/>
      <c r="R865" s="5" t="n"/>
      <c r="S865" s="5" t="n"/>
    </row>
    <row r="866">
      <c r="A866" s="32" t="n"/>
      <c r="B866" s="32" t="n"/>
      <c r="C866" s="32" t="n"/>
      <c r="D866" s="32" t="n"/>
      <c r="E866" s="32" t="n"/>
      <c r="F866" s="29" t="n"/>
      <c r="G866" s="29" t="n"/>
      <c r="H866" s="29" t="n"/>
      <c r="I866" s="29" t="n"/>
      <c r="J866" s="29" t="n"/>
      <c r="K866" s="29" t="n"/>
      <c r="L866" s="29" t="n"/>
      <c r="M866" s="29" t="n"/>
      <c r="N866" s="29" t="n"/>
      <c r="O866" s="5" t="n"/>
      <c r="P866" s="5" t="n"/>
      <c r="Q866" s="5" t="n"/>
      <c r="R866" s="5" t="n"/>
      <c r="S866" s="5" t="n"/>
    </row>
    <row r="867">
      <c r="A867" s="32" t="n"/>
      <c r="B867" s="32" t="n"/>
      <c r="C867" s="32" t="n"/>
      <c r="D867" s="32" t="n"/>
      <c r="E867" s="32" t="n"/>
      <c r="F867" s="29" t="n"/>
      <c r="G867" s="29" t="n"/>
      <c r="H867" s="29" t="n"/>
      <c r="I867" s="29" t="n"/>
      <c r="J867" s="29" t="n"/>
      <c r="K867" s="29" t="n"/>
      <c r="L867" s="29" t="n"/>
      <c r="M867" s="29" t="n"/>
      <c r="N867" s="29" t="n"/>
      <c r="O867" s="5" t="n"/>
      <c r="P867" s="5" t="n"/>
      <c r="Q867" s="5" t="n"/>
      <c r="R867" s="5" t="n"/>
      <c r="S867" s="5" t="n"/>
    </row>
    <row r="868">
      <c r="A868" s="32" t="n"/>
      <c r="B868" s="32" t="n"/>
      <c r="C868" s="32" t="n"/>
      <c r="D868" s="32" t="n"/>
      <c r="E868" s="32" t="n"/>
      <c r="F868" s="29" t="n"/>
      <c r="G868" s="29" t="n"/>
      <c r="H868" s="29" t="n"/>
      <c r="I868" s="29" t="n"/>
      <c r="J868" s="29" t="n"/>
      <c r="K868" s="29" t="n"/>
      <c r="L868" s="29" t="n"/>
      <c r="M868" s="29" t="n"/>
      <c r="N868" s="29" t="n"/>
      <c r="O868" s="5" t="n"/>
      <c r="P868" s="5" t="n"/>
      <c r="Q868" s="5" t="n"/>
      <c r="R868" s="5" t="n"/>
      <c r="S868" s="5" t="n"/>
    </row>
    <row r="869">
      <c r="A869" s="32" t="n"/>
      <c r="B869" s="32" t="n"/>
      <c r="C869" s="32" t="n"/>
      <c r="D869" s="32" t="n"/>
      <c r="E869" s="32" t="n"/>
      <c r="F869" s="29" t="n"/>
      <c r="G869" s="29" t="n"/>
      <c r="H869" s="29" t="n"/>
      <c r="I869" s="29" t="n"/>
      <c r="J869" s="29" t="n"/>
      <c r="K869" s="29" t="n"/>
      <c r="L869" s="29" t="n"/>
      <c r="M869" s="29" t="n"/>
      <c r="N869" s="29" t="n"/>
      <c r="O869" s="5" t="n"/>
      <c r="P869" s="5" t="n"/>
      <c r="Q869" s="5" t="n"/>
      <c r="R869" s="5" t="n"/>
      <c r="S869" s="5" t="n"/>
    </row>
    <row r="870">
      <c r="A870" s="32" t="n"/>
      <c r="B870" s="32" t="n"/>
      <c r="C870" s="32" t="n"/>
      <c r="D870" s="32" t="n"/>
      <c r="E870" s="32" t="n"/>
      <c r="F870" s="29" t="n"/>
      <c r="G870" s="29" t="n"/>
      <c r="H870" s="29" t="n"/>
      <c r="I870" s="29" t="n"/>
      <c r="J870" s="29" t="n"/>
      <c r="K870" s="29" t="n"/>
      <c r="L870" s="29" t="n"/>
      <c r="M870" s="29" t="n"/>
      <c r="N870" s="29" t="n"/>
      <c r="O870" s="5" t="n"/>
      <c r="P870" s="5" t="n"/>
      <c r="Q870" s="5" t="n"/>
      <c r="R870" s="5" t="n"/>
      <c r="S870" s="5" t="n"/>
    </row>
    <row r="871">
      <c r="A871" s="32" t="n"/>
      <c r="B871" s="32" t="n"/>
      <c r="C871" s="32" t="n"/>
      <c r="D871" s="32" t="n"/>
      <c r="E871" s="32" t="n"/>
      <c r="F871" s="29" t="n"/>
      <c r="G871" s="29" t="n"/>
      <c r="H871" s="29" t="n"/>
      <c r="I871" s="29" t="n"/>
      <c r="J871" s="29" t="n"/>
      <c r="K871" s="29" t="n"/>
      <c r="L871" s="29" t="n"/>
      <c r="M871" s="29" t="n"/>
      <c r="N871" s="29" t="n"/>
      <c r="O871" s="5" t="n"/>
      <c r="P871" s="5" t="n"/>
      <c r="Q871" s="5" t="n"/>
      <c r="R871" s="5" t="n"/>
      <c r="S871" s="5" t="n"/>
    </row>
    <row r="872">
      <c r="A872" s="32" t="n"/>
      <c r="B872" s="32" t="n"/>
      <c r="C872" s="32" t="n"/>
      <c r="D872" s="32" t="n"/>
      <c r="E872" s="32" t="n"/>
      <c r="F872" s="29" t="n"/>
      <c r="G872" s="29" t="n"/>
      <c r="H872" s="29" t="n"/>
      <c r="I872" s="29" t="n"/>
      <c r="J872" s="29" t="n"/>
      <c r="K872" s="29" t="n"/>
      <c r="L872" s="29" t="n"/>
      <c r="M872" s="29" t="n"/>
      <c r="N872" s="29" t="n"/>
      <c r="O872" s="5" t="n"/>
      <c r="P872" s="5" t="n"/>
      <c r="Q872" s="5" t="n"/>
      <c r="R872" s="5" t="n"/>
      <c r="S872" s="5" t="n"/>
    </row>
    <row r="873">
      <c r="A873" s="32" t="n"/>
      <c r="B873" s="32" t="n"/>
      <c r="C873" s="32" t="n"/>
      <c r="D873" s="32" t="n"/>
      <c r="E873" s="32" t="n"/>
      <c r="F873" s="29" t="n"/>
      <c r="G873" s="29" t="n"/>
      <c r="H873" s="29" t="n"/>
      <c r="I873" s="29" t="n"/>
      <c r="J873" s="29" t="n"/>
      <c r="K873" s="29" t="n"/>
      <c r="L873" s="29" t="n"/>
      <c r="M873" s="29" t="n"/>
      <c r="N873" s="29" t="n"/>
      <c r="O873" s="5" t="n"/>
      <c r="P873" s="5" t="n"/>
      <c r="Q873" s="5" t="n"/>
      <c r="R873" s="5" t="n"/>
      <c r="S873" s="5" t="n"/>
    </row>
    <row r="874">
      <c r="A874" s="32" t="n"/>
      <c r="B874" s="32" t="n"/>
      <c r="C874" s="32" t="n"/>
      <c r="D874" s="32" t="n"/>
      <c r="E874" s="32" t="n"/>
      <c r="F874" s="29" t="n"/>
      <c r="G874" s="29" t="n"/>
      <c r="H874" s="29" t="n"/>
      <c r="I874" s="29" t="n"/>
      <c r="J874" s="29" t="n"/>
      <c r="K874" s="29" t="n"/>
      <c r="L874" s="29" t="n"/>
      <c r="M874" s="29" t="n"/>
      <c r="N874" s="29" t="n"/>
      <c r="O874" s="5" t="n"/>
      <c r="P874" s="5" t="n"/>
      <c r="Q874" s="5" t="n"/>
      <c r="R874" s="5" t="n"/>
      <c r="S874" s="5" t="n"/>
    </row>
    <row r="875">
      <c r="A875" s="32" t="n"/>
      <c r="B875" s="32" t="n"/>
      <c r="C875" s="32" t="n"/>
      <c r="D875" s="32" t="n"/>
      <c r="E875" s="32" t="n"/>
      <c r="F875" s="29" t="n"/>
      <c r="G875" s="29" t="n"/>
      <c r="H875" s="29" t="n"/>
      <c r="I875" s="29" t="n"/>
      <c r="J875" s="29" t="n"/>
      <c r="K875" s="29" t="n"/>
      <c r="L875" s="29" t="n"/>
      <c r="M875" s="29" t="n"/>
      <c r="N875" s="29" t="n"/>
      <c r="O875" s="5" t="n"/>
      <c r="P875" s="5" t="n"/>
      <c r="Q875" s="5" t="n"/>
      <c r="R875" s="5" t="n"/>
      <c r="S875" s="5" t="n"/>
    </row>
    <row r="876">
      <c r="A876" s="32" t="n"/>
      <c r="B876" s="32" t="n"/>
      <c r="C876" s="32" t="n"/>
      <c r="D876" s="32" t="n"/>
      <c r="E876" s="32" t="n"/>
      <c r="F876" s="29" t="n"/>
      <c r="G876" s="29" t="n"/>
      <c r="H876" s="29" t="n"/>
      <c r="I876" s="29" t="n"/>
      <c r="J876" s="29" t="n"/>
      <c r="K876" s="29" t="n"/>
      <c r="L876" s="29" t="n"/>
      <c r="M876" s="29" t="n"/>
      <c r="N876" s="29" t="n"/>
      <c r="O876" s="5" t="n"/>
      <c r="P876" s="5" t="n"/>
      <c r="Q876" s="5" t="n"/>
      <c r="R876" s="5" t="n"/>
      <c r="S876" s="5" t="n"/>
    </row>
    <row r="877">
      <c r="A877" s="32" t="n"/>
      <c r="B877" s="32" t="n"/>
      <c r="C877" s="32" t="n"/>
      <c r="D877" s="32" t="n"/>
      <c r="E877" s="32" t="n"/>
      <c r="F877" s="29" t="n"/>
      <c r="G877" s="29" t="n"/>
      <c r="H877" s="29" t="n"/>
      <c r="I877" s="29" t="n"/>
      <c r="J877" s="29" t="n"/>
      <c r="K877" s="29" t="n"/>
      <c r="L877" s="29" t="n"/>
      <c r="M877" s="29" t="n"/>
      <c r="N877" s="29" t="n"/>
      <c r="O877" s="5" t="n"/>
      <c r="P877" s="5" t="n"/>
      <c r="Q877" s="5" t="n"/>
      <c r="R877" s="5" t="n"/>
      <c r="S877" s="5" t="n"/>
    </row>
    <row r="878">
      <c r="A878" s="32" t="n"/>
      <c r="B878" s="32" t="n"/>
      <c r="C878" s="32" t="n"/>
      <c r="D878" s="32" t="n"/>
      <c r="E878" s="32" t="n"/>
      <c r="F878" s="29" t="n"/>
      <c r="G878" s="29" t="n"/>
      <c r="H878" s="29" t="n"/>
      <c r="I878" s="29" t="n"/>
      <c r="J878" s="29" t="n"/>
      <c r="K878" s="29" t="n"/>
      <c r="L878" s="29" t="n"/>
      <c r="M878" s="29" t="n"/>
      <c r="N878" s="29" t="n"/>
      <c r="O878" s="5" t="n"/>
      <c r="P878" s="5" t="n"/>
      <c r="Q878" s="5" t="n"/>
      <c r="R878" s="5" t="n"/>
      <c r="S878" s="5" t="n"/>
    </row>
    <row r="879">
      <c r="A879" s="32" t="n"/>
      <c r="B879" s="32" t="n"/>
      <c r="C879" s="32" t="n"/>
      <c r="D879" s="32" t="n"/>
      <c r="E879" s="32" t="n"/>
      <c r="F879" s="29" t="n"/>
      <c r="G879" s="29" t="n"/>
      <c r="H879" s="29" t="n"/>
      <c r="I879" s="29" t="n"/>
      <c r="J879" s="29" t="n"/>
      <c r="K879" s="29" t="n"/>
      <c r="L879" s="29" t="n"/>
      <c r="M879" s="29" t="n"/>
      <c r="N879" s="29" t="n"/>
      <c r="O879" s="5" t="n"/>
      <c r="P879" s="5" t="n"/>
      <c r="Q879" s="5" t="n"/>
      <c r="R879" s="5" t="n"/>
      <c r="S879" s="5" t="n"/>
    </row>
    <row r="880">
      <c r="A880" s="32" t="n"/>
      <c r="B880" s="32" t="n"/>
      <c r="C880" s="32" t="n"/>
      <c r="D880" s="32" t="n"/>
      <c r="E880" s="32" t="n"/>
      <c r="F880" s="29" t="n"/>
      <c r="G880" s="29" t="n"/>
      <c r="H880" s="29" t="n"/>
      <c r="I880" s="29" t="n"/>
      <c r="J880" s="29" t="n"/>
      <c r="K880" s="29" t="n"/>
      <c r="L880" s="29" t="n"/>
      <c r="M880" s="29" t="n"/>
      <c r="N880" s="29" t="n"/>
      <c r="O880" s="5" t="n"/>
      <c r="P880" s="5" t="n"/>
      <c r="Q880" s="5" t="n"/>
      <c r="R880" s="5" t="n"/>
      <c r="S880" s="5" t="n"/>
    </row>
    <row r="881">
      <c r="A881" s="32" t="n"/>
      <c r="B881" s="32" t="n"/>
      <c r="C881" s="32" t="n"/>
      <c r="D881" s="32" t="n"/>
      <c r="E881" s="32" t="n"/>
      <c r="F881" s="29" t="n"/>
      <c r="G881" s="29" t="n"/>
      <c r="H881" s="29" t="n"/>
      <c r="I881" s="29" t="n"/>
      <c r="J881" s="29" t="n"/>
      <c r="K881" s="29" t="n"/>
      <c r="L881" s="29" t="n"/>
      <c r="M881" s="29" t="n"/>
      <c r="N881" s="29" t="n"/>
      <c r="O881" s="5" t="n"/>
      <c r="P881" s="5" t="n"/>
      <c r="Q881" s="5" t="n"/>
      <c r="R881" s="5" t="n"/>
      <c r="S881" s="5" t="n"/>
    </row>
    <row r="882">
      <c r="A882" s="32" t="n"/>
      <c r="B882" s="32" t="n"/>
      <c r="C882" s="32" t="n"/>
      <c r="D882" s="32" t="n"/>
      <c r="E882" s="32" t="n"/>
      <c r="F882" s="29" t="n"/>
      <c r="G882" s="29" t="n"/>
      <c r="H882" s="29" t="n"/>
      <c r="I882" s="29" t="n"/>
      <c r="J882" s="29" t="n"/>
      <c r="K882" s="29" t="n"/>
      <c r="L882" s="29" t="n"/>
      <c r="M882" s="29" t="n"/>
      <c r="N882" s="29" t="n"/>
      <c r="O882" s="5" t="n"/>
      <c r="P882" s="5" t="n"/>
      <c r="Q882" s="5" t="n"/>
      <c r="R882" s="5" t="n"/>
      <c r="S882" s="5" t="n"/>
    </row>
    <row r="883">
      <c r="A883" s="32" t="n"/>
      <c r="B883" s="32" t="n"/>
      <c r="C883" s="32" t="n"/>
      <c r="D883" s="32" t="n"/>
      <c r="E883" s="32" t="n"/>
      <c r="F883" s="29" t="n"/>
      <c r="G883" s="29" t="n"/>
      <c r="H883" s="29" t="n"/>
      <c r="I883" s="29" t="n"/>
      <c r="J883" s="29" t="n"/>
      <c r="K883" s="29" t="n"/>
      <c r="L883" s="29" t="n"/>
      <c r="M883" s="29" t="n"/>
      <c r="N883" s="29" t="n"/>
      <c r="O883" s="5" t="n"/>
      <c r="P883" s="5" t="n"/>
      <c r="Q883" s="5" t="n"/>
      <c r="R883" s="5" t="n"/>
      <c r="S883" s="5" t="n"/>
    </row>
    <row r="884">
      <c r="A884" s="32" t="n"/>
      <c r="B884" s="32" t="n"/>
      <c r="C884" s="32" t="n"/>
      <c r="D884" s="32" t="n"/>
      <c r="E884" s="32" t="n"/>
      <c r="F884" s="29" t="n"/>
      <c r="G884" s="29" t="n"/>
      <c r="H884" s="29" t="n"/>
      <c r="I884" s="29" t="n"/>
      <c r="J884" s="29" t="n"/>
      <c r="K884" s="29" t="n"/>
      <c r="L884" s="29" t="n"/>
      <c r="M884" s="29" t="n"/>
      <c r="N884" s="29" t="n"/>
      <c r="O884" s="5" t="n"/>
      <c r="P884" s="5" t="n"/>
      <c r="Q884" s="5" t="n"/>
      <c r="R884" s="5" t="n"/>
      <c r="S884" s="5" t="n"/>
    </row>
    <row r="885">
      <c r="A885" s="32" t="n"/>
      <c r="B885" s="32" t="n"/>
      <c r="C885" s="32" t="n"/>
      <c r="D885" s="32" t="n"/>
      <c r="E885" s="32" t="n"/>
      <c r="F885" s="29" t="n"/>
      <c r="G885" s="29" t="n"/>
      <c r="H885" s="29" t="n"/>
      <c r="I885" s="29" t="n"/>
      <c r="J885" s="29" t="n"/>
      <c r="K885" s="29" t="n"/>
      <c r="L885" s="29" t="n"/>
      <c r="M885" s="29" t="n"/>
      <c r="N885" s="29" t="n"/>
      <c r="O885" s="5" t="n"/>
      <c r="P885" s="5" t="n"/>
      <c r="Q885" s="5" t="n"/>
      <c r="R885" s="5" t="n"/>
      <c r="S885" s="5" t="n"/>
    </row>
    <row r="886">
      <c r="A886" s="32" t="n"/>
      <c r="B886" s="32" t="n"/>
      <c r="C886" s="32" t="n"/>
      <c r="D886" s="32" t="n"/>
      <c r="E886" s="32" t="n"/>
      <c r="F886" s="29" t="n"/>
      <c r="G886" s="29" t="n"/>
      <c r="H886" s="29" t="n"/>
      <c r="I886" s="29" t="n"/>
      <c r="J886" s="29" t="n"/>
      <c r="K886" s="29" t="n"/>
      <c r="L886" s="29" t="n"/>
      <c r="M886" s="29" t="n"/>
      <c r="N886" s="29" t="n"/>
      <c r="O886" s="5" t="n"/>
      <c r="P886" s="5" t="n"/>
      <c r="Q886" s="5" t="n"/>
      <c r="R886" s="5" t="n"/>
      <c r="S886" s="5" t="n"/>
    </row>
    <row r="887">
      <c r="A887" s="32" t="n"/>
      <c r="B887" s="32" t="n"/>
      <c r="C887" s="32" t="n"/>
      <c r="D887" s="32" t="n"/>
      <c r="E887" s="32" t="n"/>
      <c r="F887" s="29" t="n"/>
      <c r="G887" s="29" t="n"/>
      <c r="H887" s="29" t="n"/>
      <c r="I887" s="29" t="n"/>
      <c r="J887" s="29" t="n"/>
      <c r="K887" s="29" t="n"/>
      <c r="L887" s="29" t="n"/>
      <c r="M887" s="29" t="n"/>
      <c r="N887" s="29" t="n"/>
      <c r="O887" s="5" t="n"/>
      <c r="P887" s="5" t="n"/>
      <c r="Q887" s="5" t="n"/>
      <c r="R887" s="5" t="n"/>
      <c r="S887" s="5" t="n"/>
    </row>
    <row r="888">
      <c r="A888" s="32" t="n"/>
      <c r="B888" s="32" t="n"/>
      <c r="C888" s="32" t="n"/>
      <c r="D888" s="32" t="n"/>
      <c r="E888" s="32" t="n"/>
      <c r="F888" s="29" t="n"/>
      <c r="G888" s="29" t="n"/>
      <c r="H888" s="29" t="n"/>
      <c r="I888" s="29" t="n"/>
      <c r="J888" s="29" t="n"/>
      <c r="K888" s="29" t="n"/>
      <c r="L888" s="29" t="n"/>
      <c r="M888" s="29" t="n"/>
      <c r="N888" s="29" t="n"/>
      <c r="O888" s="5" t="n"/>
      <c r="P888" s="5" t="n"/>
      <c r="Q888" s="5" t="n"/>
      <c r="R888" s="5" t="n"/>
      <c r="S888" s="5" t="n"/>
    </row>
    <row r="889">
      <c r="A889" s="32" t="n"/>
      <c r="B889" s="32" t="n"/>
      <c r="C889" s="32" t="n"/>
      <c r="D889" s="32" t="n"/>
      <c r="E889" s="32" t="n"/>
      <c r="F889" s="29" t="n"/>
      <c r="G889" s="29" t="n"/>
      <c r="H889" s="29" t="n"/>
      <c r="I889" s="29" t="n"/>
      <c r="J889" s="29" t="n"/>
      <c r="K889" s="29" t="n"/>
      <c r="L889" s="29" t="n"/>
      <c r="M889" s="29" t="n"/>
      <c r="N889" s="29" t="n"/>
      <c r="O889" s="5" t="n"/>
      <c r="P889" s="5" t="n"/>
      <c r="Q889" s="5" t="n"/>
      <c r="R889" s="5" t="n"/>
      <c r="S889" s="5" t="n"/>
    </row>
    <row r="890">
      <c r="A890" s="32" t="n"/>
      <c r="B890" s="32" t="n"/>
      <c r="C890" s="32" t="n"/>
      <c r="D890" s="32" t="n"/>
      <c r="E890" s="32" t="n"/>
      <c r="F890" s="29" t="n"/>
      <c r="G890" s="29" t="n"/>
      <c r="H890" s="29" t="n"/>
      <c r="I890" s="29" t="n"/>
      <c r="J890" s="29" t="n"/>
      <c r="K890" s="29" t="n"/>
      <c r="L890" s="29" t="n"/>
      <c r="M890" s="29" t="n"/>
      <c r="N890" s="29" t="n"/>
      <c r="O890" s="5" t="n"/>
      <c r="P890" s="5" t="n"/>
      <c r="Q890" s="5" t="n"/>
      <c r="R890" s="5" t="n"/>
      <c r="S890" s="5" t="n"/>
    </row>
    <row r="891">
      <c r="A891" s="32" t="n"/>
      <c r="B891" s="32" t="n"/>
      <c r="C891" s="32" t="n"/>
      <c r="D891" s="32" t="n"/>
      <c r="E891" s="32" t="n"/>
      <c r="F891" s="29" t="n"/>
      <c r="G891" s="29" t="n"/>
      <c r="H891" s="29" t="n"/>
      <c r="I891" s="29" t="n"/>
      <c r="J891" s="29" t="n"/>
      <c r="K891" s="29" t="n"/>
      <c r="L891" s="29" t="n"/>
      <c r="M891" s="29" t="n"/>
      <c r="N891" s="29" t="n"/>
      <c r="O891" s="5" t="n"/>
      <c r="P891" s="5" t="n"/>
      <c r="Q891" s="5" t="n"/>
      <c r="R891" s="5" t="n"/>
      <c r="S891" s="5" t="n"/>
    </row>
    <row r="892">
      <c r="A892" s="32" t="n"/>
      <c r="B892" s="32" t="n"/>
      <c r="C892" s="32" t="n"/>
      <c r="D892" s="32" t="n"/>
      <c r="E892" s="32" t="n"/>
      <c r="F892" s="29" t="n"/>
      <c r="G892" s="29" t="n"/>
      <c r="H892" s="29" t="n"/>
      <c r="I892" s="29" t="n"/>
      <c r="J892" s="29" t="n"/>
      <c r="K892" s="29" t="n"/>
      <c r="L892" s="29" t="n"/>
      <c r="M892" s="29" t="n"/>
      <c r="N892" s="29" t="n"/>
      <c r="O892" s="5" t="n"/>
      <c r="P892" s="5" t="n"/>
      <c r="Q892" s="5" t="n"/>
      <c r="R892" s="5" t="n"/>
      <c r="S892" s="5" t="n"/>
    </row>
    <row r="893">
      <c r="A893" s="32" t="n"/>
      <c r="B893" s="32" t="n"/>
      <c r="C893" s="32" t="n"/>
      <c r="D893" s="32" t="n"/>
      <c r="E893" s="32" t="n"/>
      <c r="F893" s="29" t="n"/>
      <c r="G893" s="29" t="n"/>
      <c r="H893" s="29" t="n"/>
      <c r="I893" s="29" t="n"/>
      <c r="J893" s="29" t="n"/>
      <c r="K893" s="29" t="n"/>
      <c r="L893" s="29" t="n"/>
      <c r="M893" s="29" t="n"/>
      <c r="N893" s="29" t="n"/>
      <c r="O893" s="5" t="n"/>
      <c r="P893" s="5" t="n"/>
      <c r="Q893" s="5" t="n"/>
      <c r="R893" s="5" t="n"/>
      <c r="S893" s="5" t="n"/>
    </row>
    <row r="894">
      <c r="A894" s="32" t="n"/>
      <c r="B894" s="32" t="n"/>
      <c r="C894" s="32" t="n"/>
      <c r="D894" s="32" t="n"/>
      <c r="E894" s="32" t="n"/>
      <c r="F894" s="29" t="n"/>
      <c r="G894" s="29" t="n"/>
      <c r="H894" s="29" t="n"/>
      <c r="I894" s="29" t="n"/>
      <c r="J894" s="29" t="n"/>
      <c r="K894" s="29" t="n"/>
      <c r="L894" s="29" t="n"/>
      <c r="M894" s="29" t="n"/>
      <c r="N894" s="29" t="n"/>
      <c r="O894" s="5" t="n"/>
      <c r="P894" s="5" t="n"/>
      <c r="Q894" s="5" t="n"/>
      <c r="R894" s="5" t="n"/>
      <c r="S894" s="5" t="n"/>
    </row>
    <row r="895">
      <c r="A895" s="32" t="n"/>
      <c r="B895" s="32" t="n"/>
      <c r="C895" s="32" t="n"/>
      <c r="D895" s="32" t="n"/>
      <c r="E895" s="32" t="n"/>
      <c r="F895" s="29" t="n"/>
      <c r="G895" s="29" t="n"/>
      <c r="H895" s="29" t="n"/>
      <c r="I895" s="29" t="n"/>
      <c r="J895" s="29" t="n"/>
      <c r="K895" s="29" t="n"/>
      <c r="L895" s="29" t="n"/>
      <c r="M895" s="29" t="n"/>
      <c r="N895" s="29" t="n"/>
      <c r="O895" s="5" t="n"/>
      <c r="P895" s="5" t="n"/>
      <c r="Q895" s="5" t="n"/>
      <c r="R895" s="5" t="n"/>
      <c r="S895" s="5" t="n"/>
    </row>
    <row r="896">
      <c r="A896" s="32" t="n"/>
      <c r="B896" s="32" t="n"/>
      <c r="C896" s="32" t="n"/>
      <c r="D896" s="32" t="n"/>
      <c r="E896" s="32" t="n"/>
      <c r="F896" s="29" t="n"/>
      <c r="G896" s="29" t="n"/>
      <c r="H896" s="29" t="n"/>
      <c r="I896" s="29" t="n"/>
      <c r="J896" s="29" t="n"/>
      <c r="K896" s="29" t="n"/>
      <c r="L896" s="29" t="n"/>
      <c r="M896" s="29" t="n"/>
      <c r="N896" s="29" t="n"/>
      <c r="O896" s="5" t="n"/>
      <c r="P896" s="5" t="n"/>
      <c r="Q896" s="5" t="n"/>
      <c r="R896" s="5" t="n"/>
      <c r="S896" s="5" t="n"/>
    </row>
    <row r="897">
      <c r="A897" s="32" t="n"/>
      <c r="B897" s="32" t="n"/>
      <c r="C897" s="32" t="n"/>
      <c r="D897" s="32" t="n"/>
      <c r="E897" s="32" t="n"/>
      <c r="F897" s="29" t="n"/>
      <c r="G897" s="29" t="n"/>
      <c r="H897" s="29" t="n"/>
      <c r="I897" s="29" t="n"/>
      <c r="J897" s="29" t="n"/>
      <c r="K897" s="29" t="n"/>
      <c r="L897" s="29" t="n"/>
      <c r="M897" s="29" t="n"/>
      <c r="N897" s="29" t="n"/>
      <c r="O897" s="5" t="n"/>
      <c r="P897" s="5" t="n"/>
      <c r="Q897" s="5" t="n"/>
      <c r="R897" s="5" t="n"/>
      <c r="S897" s="5" t="n"/>
    </row>
    <row r="898">
      <c r="A898" s="32" t="n"/>
      <c r="B898" s="32" t="n"/>
      <c r="C898" s="32" t="n"/>
      <c r="D898" s="32" t="n"/>
      <c r="E898" s="32" t="n"/>
      <c r="F898" s="29" t="n"/>
      <c r="G898" s="29" t="n"/>
      <c r="H898" s="29" t="n"/>
      <c r="I898" s="29" t="n"/>
      <c r="J898" s="29" t="n"/>
      <c r="K898" s="29" t="n"/>
      <c r="L898" s="29" t="n"/>
      <c r="M898" s="29" t="n"/>
      <c r="N898" s="29" t="n"/>
      <c r="O898" s="5" t="n"/>
      <c r="P898" s="5" t="n"/>
      <c r="Q898" s="5" t="n"/>
      <c r="R898" s="5" t="n"/>
      <c r="S898" s="5" t="n"/>
    </row>
    <row r="899">
      <c r="A899" s="32" t="n"/>
      <c r="B899" s="32" t="n"/>
      <c r="C899" s="32" t="n"/>
      <c r="D899" s="32" t="n"/>
      <c r="E899" s="32" t="n"/>
      <c r="F899" s="29" t="n"/>
      <c r="G899" s="29" t="n"/>
      <c r="H899" s="29" t="n"/>
      <c r="I899" s="29" t="n"/>
      <c r="J899" s="29" t="n"/>
      <c r="K899" s="29" t="n"/>
      <c r="L899" s="29" t="n"/>
      <c r="M899" s="29" t="n"/>
      <c r="N899" s="29" t="n"/>
      <c r="O899" s="5" t="n"/>
      <c r="P899" s="5" t="n"/>
      <c r="Q899" s="5" t="n"/>
      <c r="R899" s="5" t="n"/>
      <c r="S899" s="5" t="n"/>
    </row>
    <row r="900">
      <c r="A900" s="32" t="n"/>
      <c r="B900" s="32" t="n"/>
      <c r="C900" s="32" t="n"/>
      <c r="D900" s="32" t="n"/>
      <c r="E900" s="32" t="n"/>
      <c r="F900" s="29" t="n"/>
      <c r="G900" s="29" t="n"/>
      <c r="H900" s="29" t="n"/>
      <c r="I900" s="29" t="n"/>
      <c r="J900" s="29" t="n"/>
      <c r="K900" s="29" t="n"/>
      <c r="L900" s="29" t="n"/>
      <c r="M900" s="29" t="n"/>
      <c r="N900" s="29" t="n"/>
      <c r="O900" s="5" t="n"/>
      <c r="P900" s="5" t="n"/>
      <c r="Q900" s="5" t="n"/>
      <c r="R900" s="5" t="n"/>
      <c r="S900" s="5" t="n"/>
    </row>
    <row r="901">
      <c r="A901" s="32" t="n"/>
      <c r="B901" s="32" t="n"/>
      <c r="C901" s="32" t="n"/>
      <c r="D901" s="32" t="n"/>
      <c r="E901" s="32" t="n"/>
      <c r="F901" s="29" t="n"/>
      <c r="G901" s="29" t="n"/>
      <c r="H901" s="29" t="n"/>
      <c r="I901" s="29" t="n"/>
      <c r="J901" s="29" t="n"/>
      <c r="K901" s="29" t="n"/>
      <c r="L901" s="29" t="n"/>
      <c r="M901" s="29" t="n"/>
      <c r="N901" s="29" t="n"/>
      <c r="O901" s="5" t="n"/>
      <c r="P901" s="5" t="n"/>
      <c r="Q901" s="5" t="n"/>
      <c r="R901" s="5" t="n"/>
      <c r="S901" s="5" t="n"/>
    </row>
    <row r="902">
      <c r="A902" s="32" t="n"/>
      <c r="B902" s="32" t="n"/>
      <c r="C902" s="32" t="n"/>
      <c r="D902" s="32" t="n"/>
      <c r="E902" s="32" t="n"/>
      <c r="F902" s="29" t="n"/>
      <c r="G902" s="29" t="n"/>
      <c r="H902" s="29" t="n"/>
      <c r="I902" s="29" t="n"/>
      <c r="J902" s="29" t="n"/>
      <c r="K902" s="29" t="n"/>
      <c r="L902" s="29" t="n"/>
      <c r="M902" s="29" t="n"/>
      <c r="N902" s="29" t="n"/>
      <c r="O902" s="5" t="n"/>
      <c r="P902" s="5" t="n"/>
      <c r="Q902" s="5" t="n"/>
      <c r="R902" s="5" t="n"/>
      <c r="S902" s="5" t="n"/>
    </row>
    <row r="903">
      <c r="A903" s="32" t="n"/>
      <c r="B903" s="32" t="n"/>
      <c r="C903" s="32" t="n"/>
      <c r="D903" s="32" t="n"/>
      <c r="E903" s="32" t="n"/>
      <c r="F903" s="29" t="n"/>
      <c r="G903" s="29" t="n"/>
      <c r="H903" s="29" t="n"/>
      <c r="I903" s="29" t="n"/>
      <c r="J903" s="29" t="n"/>
      <c r="K903" s="29" t="n"/>
      <c r="L903" s="29" t="n"/>
      <c r="M903" s="29" t="n"/>
      <c r="N903" s="29" t="n"/>
      <c r="O903" s="5" t="n"/>
      <c r="P903" s="5" t="n"/>
      <c r="Q903" s="5" t="n"/>
      <c r="R903" s="5" t="n"/>
      <c r="S903" s="5" t="n"/>
    </row>
    <row r="904">
      <c r="A904" s="32" t="n"/>
      <c r="B904" s="32" t="n"/>
      <c r="C904" s="32" t="n"/>
      <c r="D904" s="32" t="n"/>
      <c r="E904" s="32" t="n"/>
      <c r="F904" s="29" t="n"/>
      <c r="G904" s="29" t="n"/>
      <c r="H904" s="29" t="n"/>
      <c r="I904" s="29" t="n"/>
      <c r="J904" s="29" t="n"/>
      <c r="K904" s="29" t="n"/>
      <c r="L904" s="29" t="n"/>
      <c r="M904" s="29" t="n"/>
      <c r="N904" s="29" t="n"/>
      <c r="O904" s="5" t="n"/>
      <c r="P904" s="5" t="n"/>
      <c r="Q904" s="5" t="n"/>
      <c r="R904" s="5" t="n"/>
      <c r="S904" s="5" t="n"/>
    </row>
    <row r="905">
      <c r="A905" s="32" t="n"/>
      <c r="B905" s="32" t="n"/>
      <c r="C905" s="32" t="n"/>
      <c r="D905" s="32" t="n"/>
      <c r="E905" s="32" t="n"/>
      <c r="F905" s="29" t="n"/>
      <c r="G905" s="29" t="n"/>
      <c r="H905" s="29" t="n"/>
      <c r="I905" s="29" t="n"/>
      <c r="J905" s="29" t="n"/>
      <c r="K905" s="29" t="n"/>
      <c r="L905" s="29" t="n"/>
      <c r="M905" s="29" t="n"/>
      <c r="N905" s="29" t="n"/>
      <c r="O905" s="5" t="n"/>
      <c r="P905" s="5" t="n"/>
      <c r="Q905" s="5" t="n"/>
      <c r="R905" s="5" t="n"/>
      <c r="S905" s="5" t="n"/>
    </row>
    <row r="906">
      <c r="A906" s="32" t="n"/>
      <c r="B906" s="32" t="n"/>
      <c r="C906" s="32" t="n"/>
      <c r="D906" s="32" t="n"/>
      <c r="E906" s="32" t="n"/>
      <c r="F906" s="29" t="n"/>
      <c r="G906" s="29" t="n"/>
      <c r="H906" s="29" t="n"/>
      <c r="I906" s="29" t="n"/>
      <c r="J906" s="29" t="n"/>
      <c r="K906" s="29" t="n"/>
      <c r="L906" s="29" t="n"/>
      <c r="M906" s="29" t="n"/>
      <c r="N906" s="29" t="n"/>
      <c r="O906" s="5" t="n"/>
      <c r="P906" s="5" t="n"/>
      <c r="Q906" s="5" t="n"/>
      <c r="R906" s="5" t="n"/>
      <c r="S906" s="5" t="n"/>
    </row>
    <row r="907">
      <c r="A907" s="32" t="n"/>
      <c r="B907" s="32" t="n"/>
      <c r="C907" s="32" t="n"/>
      <c r="D907" s="32" t="n"/>
      <c r="E907" s="32" t="n"/>
      <c r="F907" s="29" t="n"/>
      <c r="G907" s="29" t="n"/>
      <c r="H907" s="29" t="n"/>
      <c r="I907" s="29" t="n"/>
      <c r="J907" s="29" t="n"/>
      <c r="K907" s="29" t="n"/>
      <c r="L907" s="29" t="n"/>
      <c r="M907" s="29" t="n"/>
      <c r="N907" s="29" t="n"/>
      <c r="O907" s="5" t="n"/>
      <c r="P907" s="5" t="n"/>
      <c r="Q907" s="5" t="n"/>
      <c r="R907" s="5" t="n"/>
      <c r="S907" s="5" t="n"/>
    </row>
    <row r="908">
      <c r="A908" s="32" t="n"/>
      <c r="B908" s="32" t="n"/>
      <c r="C908" s="32" t="n"/>
      <c r="D908" s="32" t="n"/>
      <c r="E908" s="32" t="n"/>
      <c r="F908" s="29" t="n"/>
      <c r="G908" s="29" t="n"/>
      <c r="H908" s="29" t="n"/>
      <c r="I908" s="29" t="n"/>
      <c r="J908" s="29" t="n"/>
      <c r="K908" s="29" t="n"/>
      <c r="L908" s="29" t="n"/>
      <c r="M908" s="29" t="n"/>
      <c r="N908" s="29" t="n"/>
      <c r="O908" s="5" t="n"/>
      <c r="P908" s="5" t="n"/>
      <c r="Q908" s="5" t="n"/>
      <c r="R908" s="5" t="n"/>
      <c r="S908" s="5" t="n"/>
    </row>
    <row r="909">
      <c r="A909" s="32" t="n"/>
      <c r="B909" s="32" t="n"/>
      <c r="C909" s="32" t="n"/>
      <c r="D909" s="32" t="n"/>
      <c r="E909" s="32" t="n"/>
      <c r="F909" s="29" t="n"/>
      <c r="G909" s="29" t="n"/>
      <c r="H909" s="29" t="n"/>
      <c r="I909" s="29" t="n"/>
      <c r="J909" s="29" t="n"/>
      <c r="K909" s="29" t="n"/>
      <c r="L909" s="29" t="n"/>
      <c r="M909" s="29" t="n"/>
      <c r="N909" s="29" t="n"/>
      <c r="O909" s="5" t="n"/>
      <c r="P909" s="5" t="n"/>
      <c r="Q909" s="5" t="n"/>
      <c r="R909" s="5" t="n"/>
      <c r="S909" s="5" t="n"/>
    </row>
    <row r="910">
      <c r="A910" s="32" t="n"/>
      <c r="B910" s="32" t="n"/>
      <c r="C910" s="32" t="n"/>
      <c r="D910" s="32" t="n"/>
      <c r="E910" s="32" t="n"/>
      <c r="F910" s="29" t="n"/>
      <c r="G910" s="29" t="n"/>
      <c r="H910" s="29" t="n"/>
      <c r="I910" s="29" t="n"/>
      <c r="J910" s="29" t="n"/>
      <c r="K910" s="29" t="n"/>
      <c r="L910" s="29" t="n"/>
      <c r="M910" s="29" t="n"/>
      <c r="N910" s="29" t="n"/>
      <c r="O910" s="5" t="n"/>
      <c r="P910" s="5" t="n"/>
      <c r="Q910" s="5" t="n"/>
      <c r="R910" s="5" t="n"/>
      <c r="S910" s="5" t="n"/>
    </row>
    <row r="911">
      <c r="A911" s="32" t="n"/>
      <c r="B911" s="32" t="n"/>
      <c r="C911" s="32" t="n"/>
      <c r="D911" s="32" t="n"/>
      <c r="E911" s="32" t="n"/>
      <c r="F911" s="29" t="n"/>
      <c r="G911" s="29" t="n"/>
      <c r="H911" s="29" t="n"/>
      <c r="I911" s="29" t="n"/>
      <c r="J911" s="29" t="n"/>
      <c r="K911" s="29" t="n"/>
      <c r="L911" s="29" t="n"/>
      <c r="M911" s="29" t="n"/>
      <c r="N911" s="29" t="n"/>
      <c r="O911" s="5" t="n"/>
      <c r="P911" s="5" t="n"/>
      <c r="Q911" s="5" t="n"/>
      <c r="R911" s="5" t="n"/>
      <c r="S911" s="5" t="n"/>
    </row>
    <row r="912">
      <c r="A912" s="32" t="n"/>
      <c r="B912" s="32" t="n"/>
      <c r="C912" s="32" t="n"/>
      <c r="D912" s="32" t="n"/>
      <c r="E912" s="32" t="n"/>
      <c r="F912" s="29" t="n"/>
      <c r="G912" s="29" t="n"/>
      <c r="H912" s="29" t="n"/>
      <c r="I912" s="29" t="n"/>
      <c r="J912" s="29" t="n"/>
      <c r="K912" s="29" t="n"/>
      <c r="L912" s="29" t="n"/>
      <c r="M912" s="29" t="n"/>
      <c r="N912" s="29" t="n"/>
      <c r="O912" s="5" t="n"/>
      <c r="P912" s="5" t="n"/>
      <c r="Q912" s="5" t="n"/>
      <c r="R912" s="5" t="n"/>
      <c r="S912" s="5" t="n"/>
    </row>
    <row r="913">
      <c r="A913" s="32" t="n"/>
      <c r="B913" s="32" t="n"/>
      <c r="C913" s="32" t="n"/>
      <c r="D913" s="32" t="n"/>
      <c r="E913" s="32" t="n"/>
      <c r="F913" s="29" t="n"/>
      <c r="G913" s="29" t="n"/>
      <c r="H913" s="29" t="n"/>
      <c r="I913" s="29" t="n"/>
      <c r="J913" s="29" t="n"/>
      <c r="K913" s="29" t="n"/>
      <c r="L913" s="29" t="n"/>
      <c r="M913" s="29" t="n"/>
      <c r="N913" s="29" t="n"/>
      <c r="O913" s="5" t="n"/>
      <c r="P913" s="5" t="n"/>
      <c r="Q913" s="5" t="n"/>
      <c r="R913" s="5" t="n"/>
      <c r="S913" s="5" t="n"/>
    </row>
    <row r="914">
      <c r="A914" s="32" t="n"/>
      <c r="B914" s="32" t="n"/>
      <c r="C914" s="32" t="n"/>
      <c r="D914" s="32" t="n"/>
      <c r="E914" s="32" t="n"/>
      <c r="F914" s="29" t="n"/>
      <c r="G914" s="29" t="n"/>
      <c r="H914" s="29" t="n"/>
      <c r="I914" s="29" t="n"/>
      <c r="J914" s="29" t="n"/>
      <c r="K914" s="29" t="n"/>
      <c r="L914" s="29" t="n"/>
      <c r="M914" s="29" t="n"/>
      <c r="N914" s="29" t="n"/>
      <c r="O914" s="5" t="n"/>
      <c r="P914" s="5" t="n"/>
      <c r="Q914" s="5" t="n"/>
      <c r="R914" s="5" t="n"/>
      <c r="S914" s="5" t="n"/>
    </row>
    <row r="915">
      <c r="A915" s="32" t="n"/>
      <c r="B915" s="32" t="n"/>
      <c r="C915" s="32" t="n"/>
      <c r="D915" s="32" t="n"/>
      <c r="E915" s="32" t="n"/>
      <c r="F915" s="29" t="n"/>
      <c r="G915" s="29" t="n"/>
      <c r="H915" s="29" t="n"/>
      <c r="I915" s="29" t="n"/>
      <c r="J915" s="29" t="n"/>
      <c r="K915" s="29" t="n"/>
      <c r="L915" s="29" t="n"/>
      <c r="M915" s="29" t="n"/>
      <c r="N915" s="29" t="n"/>
      <c r="O915" s="5" t="n"/>
      <c r="P915" s="5" t="n"/>
      <c r="Q915" s="5" t="n"/>
      <c r="R915" s="5" t="n"/>
      <c r="S915" s="5" t="n"/>
    </row>
    <row r="916">
      <c r="A916" s="32" t="n"/>
      <c r="B916" s="32" t="n"/>
      <c r="C916" s="32" t="n"/>
      <c r="D916" s="32" t="n"/>
      <c r="E916" s="32" t="n"/>
      <c r="F916" s="29" t="n"/>
      <c r="G916" s="29" t="n"/>
      <c r="H916" s="29" t="n"/>
      <c r="I916" s="29" t="n"/>
      <c r="J916" s="29" t="n"/>
      <c r="K916" s="29" t="n"/>
      <c r="L916" s="29" t="n"/>
      <c r="M916" s="29" t="n"/>
      <c r="N916" s="29" t="n"/>
      <c r="O916" s="5" t="n"/>
      <c r="P916" s="5" t="n"/>
      <c r="Q916" s="5" t="n"/>
      <c r="R916" s="5" t="n"/>
      <c r="S916" s="5" t="n"/>
    </row>
    <row r="917">
      <c r="A917" s="32" t="n"/>
      <c r="B917" s="32" t="n"/>
      <c r="C917" s="32" t="n"/>
      <c r="D917" s="32" t="n"/>
      <c r="E917" s="32" t="n"/>
      <c r="F917" s="29" t="n"/>
      <c r="G917" s="29" t="n"/>
      <c r="H917" s="29" t="n"/>
      <c r="I917" s="29" t="n"/>
      <c r="J917" s="29" t="n"/>
      <c r="K917" s="29" t="n"/>
      <c r="L917" s="29" t="n"/>
      <c r="M917" s="29" t="n"/>
      <c r="N917" s="29" t="n"/>
      <c r="O917" s="5" t="n"/>
      <c r="P917" s="5" t="n"/>
      <c r="Q917" s="5" t="n"/>
      <c r="R917" s="5" t="n"/>
      <c r="S917" s="5" t="n"/>
    </row>
    <row r="918">
      <c r="A918" s="32" t="n"/>
      <c r="B918" s="32" t="n"/>
      <c r="C918" s="32" t="n"/>
      <c r="D918" s="32" t="n"/>
      <c r="E918" s="32" t="n"/>
      <c r="F918" s="29" t="n"/>
      <c r="G918" s="29" t="n"/>
      <c r="H918" s="29" t="n"/>
      <c r="I918" s="29" t="n"/>
      <c r="J918" s="29" t="n"/>
      <c r="K918" s="29" t="n"/>
      <c r="L918" s="29" t="n"/>
      <c r="M918" s="29" t="n"/>
      <c r="N918" s="29" t="n"/>
      <c r="O918" s="5" t="n"/>
      <c r="P918" s="5" t="n"/>
      <c r="Q918" s="5" t="n"/>
      <c r="R918" s="5" t="n"/>
      <c r="S918" s="5" t="n"/>
    </row>
    <row r="919">
      <c r="A919" s="32" t="n"/>
      <c r="B919" s="32" t="n"/>
      <c r="C919" s="32" t="n"/>
      <c r="D919" s="32" t="n"/>
      <c r="E919" s="32" t="n"/>
      <c r="F919" s="29" t="n"/>
      <c r="G919" s="29" t="n"/>
      <c r="H919" s="29" t="n"/>
      <c r="I919" s="29" t="n"/>
      <c r="J919" s="29" t="n"/>
      <c r="K919" s="29" t="n"/>
      <c r="L919" s="29" t="n"/>
      <c r="M919" s="29" t="n"/>
      <c r="N919" s="29" t="n"/>
      <c r="O919" s="5" t="n"/>
      <c r="P919" s="5" t="n"/>
      <c r="Q919" s="5" t="n"/>
      <c r="R919" s="5" t="n"/>
      <c r="S919" s="5" t="n"/>
    </row>
  </sheetData>
  <autoFilter ref="$A$2:$M$25">
    <sortState ref="A2:M25">
      <sortCondition ref="F2:F25"/>
      <sortCondition ref="I2:I25"/>
      <sortCondition ref="J2:J25"/>
    </sortState>
  </autoFilter>
  <conditionalFormatting sqref="A80 D10 E64:E87 F3:G87 H3:H80 H82:H87 I3:I77 I80 I86:J87 J3:J9 J11:J77 K3:K77 L3:M87 N3:N27">
    <cfRule type="cellIs" priority="1" operator="greaterThan" dxfId="0">
      <formula>0</formula>
    </cfRule>
    <cfRule type="cellIs" priority="2" operator="lessThan" dxfId="1">
      <formula>0</formula>
    </cfRule>
    <cfRule type="containsBlanks" priority="3" dxfId="2">
      <formula>LEN(TRIM(F3))=0</formula>
    </cfRule>
  </conditionalFormatting>
  <conditionalFormatting sqref="A3:B87 C3:C77 D3:D9 D11:D77 E3:E87">
    <cfRule type="expression" priority="4" dxfId="3">
      <formula>#REF!&gt;1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38" t="inlineStr">
        <is>
          <t>Decision</t>
        </is>
      </c>
      <c r="B1" s="38" t="inlineStr">
        <is>
          <t>Company</t>
        </is>
      </c>
      <c r="C1" s="38" t="inlineStr">
        <is>
          <t>Round</t>
        </is>
      </c>
      <c r="D1" s="38" t="inlineStr">
        <is>
          <t>Cap, M$</t>
        </is>
      </c>
      <c r="E1" s="38" t="inlineStr">
        <is>
          <t>ARR, M$</t>
        </is>
      </c>
      <c r="F1" s="38" t="inlineStr">
        <is>
          <t>Growth %/month</t>
        </is>
      </c>
      <c r="G1" s="38" t="inlineStr">
        <is>
          <t xml:space="preserve">Lead </t>
        </is>
      </c>
      <c r="H1" s="38" t="inlineStr">
        <is>
          <t>Deal link</t>
        </is>
      </c>
      <c r="I1" s="38" t="inlineStr">
        <is>
          <t>P/ARR</t>
        </is>
      </c>
      <c r="J1" s="38" t="inlineStr">
        <is>
          <t>ARR/raised</t>
        </is>
      </c>
    </row>
    <row r="2">
      <c r="A2" s="38" t="inlineStr">
        <is>
          <t>No</t>
        </is>
      </c>
      <c r="B2" s="38" t="inlineStr">
        <is>
          <t>Humand</t>
        </is>
      </c>
      <c r="C2" s="38" t="inlineStr">
        <is>
          <t>A+</t>
        </is>
      </c>
      <c r="D2" s="38" t="n">
        <v>120</v>
      </c>
      <c r="E2" s="38" t="n">
        <v>6.25</v>
      </c>
      <c r="F2" s="34">
        <f>(6.25-5)/5/3</f>
        <v/>
      </c>
      <c r="G2" s="38" t="inlineStr">
        <is>
          <t>Pioner+angels</t>
        </is>
      </c>
      <c r="H2" s="35" t="inlineStr">
        <is>
          <t>https://venture.angellist.com/v/andrey-a-semenov/i/invest/durovc-humand-series-a-ext</t>
        </is>
      </c>
      <c r="I2" s="38">
        <f>D2/E2</f>
        <v/>
      </c>
    </row>
    <row r="3">
      <c r="A3" s="38" t="inlineStr">
        <is>
          <t>No</t>
        </is>
      </c>
      <c r="B3" s="38" t="inlineStr">
        <is>
          <t>Bios</t>
        </is>
      </c>
      <c r="C3" s="38" t="inlineStr">
        <is>
          <t>A</t>
        </is>
      </c>
      <c r="D3" s="38" t="n">
        <v>51</v>
      </c>
      <c r="E3" s="38" t="n">
        <v>3.1</v>
      </c>
      <c r="F3" s="34">
        <f>(4.6-2.8)/12</f>
        <v/>
      </c>
      <c r="G3" s="38" t="inlineStr">
        <is>
          <t>DSN+Ester Dyson</t>
        </is>
      </c>
      <c r="H3" s="35" t="inlineStr">
        <is>
          <t>https://venture.angellist.com/v/andrey-a-semenov/i/invest/daniel-gould-bioz-series-a</t>
        </is>
      </c>
      <c r="I3" s="38">
        <f>D3/E3</f>
        <v/>
      </c>
      <c r="J3" s="38">
        <f>4.6/20</f>
        <v/>
      </c>
    </row>
    <row r="4">
      <c r="A4" s="38" t="inlineStr">
        <is>
          <t>Yes</t>
        </is>
      </c>
      <c r="B4" s="38" t="inlineStr">
        <is>
          <t>Eventeny</t>
        </is>
      </c>
      <c r="C4" s="38" t="inlineStr">
        <is>
          <t>Seed+</t>
        </is>
      </c>
      <c r="D4" s="38" t="n">
        <v>43</v>
      </c>
      <c r="E4" s="38" t="n">
        <v>6</v>
      </c>
      <c r="F4" s="34">
        <f>(6-4.5)/12</f>
        <v/>
      </c>
      <c r="G4" s="38" t="inlineStr">
        <is>
          <t>Zach Coelius</t>
        </is>
      </c>
      <c r="H4" s="35" t="inlineStr">
        <is>
          <t>https://venture.angellist.com/v/andrey-a-semenov/i/invest/zach-coelius-eventeny-seed-ext-prorata</t>
        </is>
      </c>
      <c r="I4" s="38">
        <f>D4/E4</f>
        <v/>
      </c>
      <c r="J4" s="38">
        <f>E4/3</f>
        <v/>
      </c>
    </row>
    <row r="5">
      <c r="A5" s="38" t="inlineStr">
        <is>
          <t>No</t>
        </is>
      </c>
      <c r="B5" s="38" t="inlineStr">
        <is>
          <t>InchFab</t>
        </is>
      </c>
      <c r="C5" s="38" t="inlineStr">
        <is>
          <t>Seed</t>
        </is>
      </c>
      <c r="D5" s="38" t="n">
        <v>21</v>
      </c>
      <c r="E5" s="38" t="n">
        <v>0.76</v>
      </c>
      <c r="F5" s="34">
        <f>260/1200</f>
        <v/>
      </c>
      <c r="G5" s="38" t="inlineStr">
        <is>
          <t>Tim Draper</t>
        </is>
      </c>
      <c r="H5" s="35" t="inlineStr">
        <is>
          <t>https://venture.angellist.com/v/andrey-a-semenov/i/invest/rv-inchfab-seed</t>
        </is>
      </c>
      <c r="I5" s="38">
        <f>D5/E5</f>
        <v/>
      </c>
    </row>
    <row r="6">
      <c r="A6" s="38" t="inlineStr">
        <is>
          <t>Yes</t>
        </is>
      </c>
      <c r="B6" s="38" t="inlineStr">
        <is>
          <t>Anello Photonics</t>
        </is>
      </c>
      <c r="C6" s="38" t="inlineStr">
        <is>
          <t>A+</t>
        </is>
      </c>
      <c r="D6" s="38" t="n">
        <v>110</v>
      </c>
      <c r="E6" s="38" t="n">
        <v>8.199999999999999</v>
      </c>
      <c r="F6" s="34">
        <f>(8.2-3)/12</f>
        <v/>
      </c>
      <c r="G6" s="38" t="inlineStr">
        <is>
          <t>Lockheed Martin</t>
        </is>
      </c>
      <c r="H6" s="35" t="inlineStr">
        <is>
          <t>https://venture.angellist.com/v/andrey-a-semenov/i/invest/mana-ventures-anello-photonics-seed</t>
        </is>
      </c>
      <c r="I6" s="38">
        <f>D6/E6</f>
        <v/>
      </c>
      <c r="J6" s="38">
        <f>E6/28</f>
        <v/>
      </c>
    </row>
    <row r="7">
      <c r="B7" s="38" t="inlineStr">
        <is>
          <t>Ale's age</t>
        </is>
      </c>
      <c r="C7" s="38" t="inlineStr">
        <is>
          <t>Growth</t>
        </is>
      </c>
    </row>
    <row r="8">
      <c r="A8" s="38" t="n">
        <v>735</v>
      </c>
      <c r="B8" s="38" t="n">
        <v>5</v>
      </c>
      <c r="C8" s="38" t="n">
        <v>0.096</v>
      </c>
    </row>
    <row r="9">
      <c r="A9" s="38">
        <f>A8*(1+C8)</f>
        <v/>
      </c>
      <c r="B9" s="38" t="n">
        <v>6</v>
      </c>
      <c r="C9" s="38" t="n">
        <v>0.096</v>
      </c>
    </row>
    <row r="10">
      <c r="A10" s="38">
        <f>A9*(1+C9)</f>
        <v/>
      </c>
      <c r="B10" s="38" t="n">
        <v>7</v>
      </c>
      <c r="C10" s="38" t="n">
        <v>0.096</v>
      </c>
    </row>
    <row r="11">
      <c r="A11" s="38">
        <f>A10*(1+C10)</f>
        <v/>
      </c>
      <c r="B11" s="38" t="n">
        <v>8</v>
      </c>
      <c r="C11" s="38" t="n">
        <v>0.096</v>
      </c>
    </row>
    <row r="12">
      <c r="A12" s="38">
        <f>A11*(1+C11)</f>
        <v/>
      </c>
      <c r="B12" s="38" t="n">
        <v>9</v>
      </c>
      <c r="C12" s="38" t="n">
        <v>0.096</v>
      </c>
    </row>
    <row r="13">
      <c r="A13" s="38">
        <f>A12*(1+C12)</f>
        <v/>
      </c>
      <c r="B13" s="38" t="n">
        <v>10</v>
      </c>
      <c r="C13" s="38" t="n">
        <v>0.096</v>
      </c>
    </row>
    <row r="14">
      <c r="A14" s="38">
        <f>A13*(1+C13)</f>
        <v/>
      </c>
      <c r="B14" s="38" t="n">
        <v>11</v>
      </c>
      <c r="C14" s="38" t="n">
        <v>0.096</v>
      </c>
    </row>
    <row r="15">
      <c r="A15" s="38">
        <f>A14*(1+C14)</f>
        <v/>
      </c>
      <c r="B15" s="38" t="n">
        <v>12</v>
      </c>
      <c r="C15" s="38" t="n">
        <v>0.096</v>
      </c>
    </row>
    <row r="16">
      <c r="A16" s="38">
        <f>A15*(1+C15)</f>
        <v/>
      </c>
      <c r="B16" s="38" t="n">
        <v>13</v>
      </c>
      <c r="C16" s="38" t="n">
        <v>0.096</v>
      </c>
    </row>
    <row r="17">
      <c r="A17" s="38">
        <f>A16*(1+C16)</f>
        <v/>
      </c>
      <c r="B17" s="38" t="n">
        <v>14</v>
      </c>
      <c r="C17" s="38" t="n">
        <v>0.096</v>
      </c>
    </row>
    <row r="18">
      <c r="A18" s="38">
        <f>A17*(1+C17)</f>
        <v/>
      </c>
      <c r="B18" s="38" t="n">
        <v>15</v>
      </c>
      <c r="C18" s="38" t="n">
        <v>0.096</v>
      </c>
    </row>
    <row r="19">
      <c r="A19" s="37">
        <f>A18*(1+C18)</f>
        <v/>
      </c>
      <c r="B19" s="3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38" t="inlineStr">
        <is>
          <t>COVID economic downturm</t>
        </is>
      </c>
    </row>
    <row r="2">
      <c r="F2" s="38" t="n">
        <v>33.58</v>
      </c>
      <c r="G2" s="38" t="n">
        <v>107.71</v>
      </c>
      <c r="H2" s="38">
        <f>F2*G2</f>
        <v/>
      </c>
    </row>
    <row r="3">
      <c r="F3" s="38" t="n">
        <v>33.52</v>
      </c>
      <c r="G3" s="38" t="n">
        <v>99.59999999999999</v>
      </c>
      <c r="H3" s="38">
        <f>F3*G3</f>
        <v/>
      </c>
    </row>
    <row r="4">
      <c r="F4" s="38" t="n">
        <v>33.49</v>
      </c>
      <c r="G4" s="38">
        <f>(H2-H3)/F4</f>
        <v/>
      </c>
      <c r="H4" s="38">
        <f>28.06-G4</f>
        <v/>
      </c>
    </row>
    <row r="6">
      <c r="F6" s="38">
        <f>(1+((2923-2880)/2880)*1.2)*303.74</f>
        <v/>
      </c>
    </row>
    <row r="28">
      <c r="B28" s="38" t="inlineStr">
        <is>
          <t>Pershing</t>
        </is>
      </c>
    </row>
    <row r="29">
      <c r="A29" s="38" t="inlineStr">
        <is>
          <t>Blackstone</t>
        </is>
      </c>
      <c r="B29" s="38">
        <f>25/0.549</f>
        <v/>
      </c>
      <c r="C29" s="38" t="inlineStr">
        <is>
          <t>$/share</t>
        </is>
      </c>
    </row>
    <row r="30">
      <c r="A30" s="38" t="inlineStr">
        <is>
          <t>PK</t>
        </is>
      </c>
      <c r="B30" s="38">
        <f>5.4/0.678</f>
        <v/>
      </c>
      <c r="C30" s="38" t="inlineStr">
        <is>
          <t>$/share</t>
        </is>
      </c>
    </row>
    <row r="32">
      <c r="A32" s="38" t="n">
        <v>721</v>
      </c>
      <c r="B32" s="38" t="inlineStr">
        <is>
          <t>Moscow</t>
        </is>
      </c>
      <c r="C32" s="38">
        <f>IFERROR(__xludf.DUMMYFUNCTION("AI(""What is the country"",B32)"),"=AI(""What is the country"",B32)")</f>
        <v/>
      </c>
    </row>
    <row r="33">
      <c r="A33" s="38" t="n">
        <v>1158</v>
      </c>
      <c r="B33" s="38" t="inlineStr">
        <is>
          <t>New York</t>
        </is>
      </c>
      <c r="C33" s="38">
        <f>IFERROR(__xludf.DUMMYFUNCTION("AI(""What is the country"",B33)"),"=AI(""What is the country"",B33)")</f>
        <v/>
      </c>
    </row>
    <row r="34">
      <c r="A34" s="38" t="n">
        <v>587</v>
      </c>
    </row>
    <row r="35">
      <c r="A35" s="38" t="n">
        <v>401</v>
      </c>
    </row>
    <row r="36">
      <c r="A36" s="38" t="n">
        <v>930</v>
      </c>
    </row>
    <row r="37">
      <c r="A37" s="38">
        <f>SUM(A32:A36)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38" t="inlineStr">
        <is>
          <t>autocratn</t>
        </is>
      </c>
      <c r="B1" s="38" t="inlineStr">
        <is>
          <t>autocratp</t>
        </is>
      </c>
    </row>
    <row r="2">
      <c r="A2" s="38" t="inlineStr">
        <is>
          <t>dataSheetName</t>
        </is>
      </c>
      <c r="B2" s="38" t="inlineStr">
        <is>
          <t>"Все компании"</t>
        </is>
      </c>
    </row>
    <row r="3">
      <c r="A3" s="38" t="inlineStr">
        <is>
          <t>v</t>
        </is>
      </c>
      <c r="B3" s="38" t="inlineStr">
        <is>
          <t>"5.1"</t>
        </is>
      </c>
    </row>
    <row r="4">
      <c r="A4" s="38" t="inlineStr">
        <is>
          <t>dataSheetId</t>
        </is>
      </c>
      <c r="B4" s="38" t="inlineStr">
        <is>
          <t>"0.0"</t>
        </is>
      </c>
    </row>
    <row r="5">
      <c r="A5" s="38" t="inlineStr">
        <is>
          <t>updateTime</t>
        </is>
      </c>
      <c r="B5" s="38" t="inlineStr">
        <is>
          <t>"1.770887443575E12"</t>
        </is>
      </c>
    </row>
    <row r="6">
      <c r="A6" s="38" t="inlineStr">
        <is>
          <t>vp</t>
        </is>
      </c>
      <c r="B6" s="38" t="inlineStr">
        <is>
          <t>"5.1"</t>
        </is>
      </c>
    </row>
    <row r="7">
      <c r="A7" s="38" t="inlineStr">
        <is>
          <t>ssId</t>
        </is>
      </c>
      <c r="B7" s="3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8" defaultColWidth="12.63" defaultRowHeight="15.75" customHeight="1"/>
  <cols>
    <col width="8.380000000000001" customWidth="1" style="57" min="1" max="1"/>
    <col width="25.63" customWidth="1" style="57" min="3" max="3"/>
    <col width="25.5" customWidth="1" style="57" min="4" max="4"/>
  </cols>
  <sheetData>
    <row r="1">
      <c r="B1" s="45" t="n"/>
      <c r="C1" s="45" t="n"/>
      <c r="D1" s="40" t="n"/>
      <c r="E1" s="41" t="n"/>
      <c r="F1" s="41" t="n"/>
      <c r="G1" s="41" t="n"/>
      <c r="H1" s="41" t="n"/>
      <c r="I1" s="41" t="n"/>
      <c r="J1" s="41" t="n"/>
      <c r="K1" s="41" t="n"/>
      <c r="L1" s="41" t="n"/>
    </row>
    <row r="2">
      <c r="B2" s="45" t="n"/>
      <c r="C2" s="42">
        <f>HYPERLINK("https://theassets.ru","The Assets")</f>
        <v/>
      </c>
      <c r="D2" s="40" t="n"/>
      <c r="E2" s="41" t="n"/>
      <c r="F2" s="41" t="n"/>
      <c r="G2" s="41" t="n"/>
      <c r="H2" s="41" t="n"/>
      <c r="I2" s="41" t="n"/>
      <c r="J2" s="41" t="n"/>
      <c r="K2" s="41" t="n"/>
      <c r="L2" s="41" t="n"/>
    </row>
    <row r="3">
      <c r="C3" s="43" t="inlineStr">
        <is>
          <t>S&amp;P 500 companies</t>
        </is>
      </c>
    </row>
    <row r="4">
      <c r="C4" s="44" t="n"/>
      <c r="D4" s="40" t="n"/>
      <c r="E4" s="41" t="n"/>
      <c r="F4" s="41" t="n"/>
      <c r="G4" s="41" t="n"/>
      <c r="H4" s="41" t="n"/>
      <c r="I4" s="41" t="n"/>
      <c r="J4" s="41" t="n"/>
      <c r="K4" s="41" t="n"/>
      <c r="L4" s="41" t="n"/>
    </row>
    <row r="5">
      <c r="B5" s="45" t="n"/>
      <c r="C5" s="45" t="n"/>
      <c r="D5" s="40" t="n"/>
      <c r="E5" s="41" t="n"/>
      <c r="F5" s="41" t="n"/>
      <c r="G5" s="41" t="n"/>
      <c r="H5" s="41" t="n"/>
      <c r="I5" s="41" t="n"/>
      <c r="J5" s="41" t="n"/>
      <c r="K5" s="41" t="n"/>
      <c r="L5" s="41" t="n"/>
    </row>
    <row r="6">
      <c r="A6" s="45" t="n"/>
      <c r="B6" s="46" t="inlineStr">
        <is>
          <t>Ticker</t>
        </is>
      </c>
      <c r="C6" s="46" t="inlineStr">
        <is>
          <t>Company</t>
        </is>
      </c>
      <c r="D6" s="47" t="inlineStr">
        <is>
          <t>Industry</t>
        </is>
      </c>
      <c r="E6" s="48" t="inlineStr">
        <is>
          <t>Debt / Equity</t>
        </is>
      </c>
      <c r="F6" s="48" t="inlineStr">
        <is>
          <t>Current Ratio</t>
        </is>
      </c>
      <c r="G6" s="48" t="inlineStr">
        <is>
          <t>Quick Ratio</t>
        </is>
      </c>
      <c r="H6" s="48" t="inlineStr">
        <is>
          <t>Gross Margin</t>
        </is>
      </c>
      <c r="I6" s="48" t="inlineStr">
        <is>
          <t>Operating Margin</t>
        </is>
      </c>
      <c r="J6" s="48" t="inlineStr">
        <is>
          <t>Net Margin</t>
        </is>
      </c>
      <c r="K6" s="48" t="inlineStr">
        <is>
          <t>FCF as a % of Sales</t>
        </is>
      </c>
      <c r="L6" s="48" t="inlineStr">
        <is>
          <t>FCF as a % of Net Income</t>
        </is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45" t="n"/>
    </row>
    <row r="7" hidden="1" s="57">
      <c r="A7" s="38" t="n"/>
      <c r="B7" s="49" t="inlineStr">
        <is>
          <t>MS</t>
        </is>
      </c>
      <c r="C7" s="49" t="inlineStr">
        <is>
          <t>Morgan Stanley</t>
        </is>
      </c>
      <c r="D7" s="50" t="inlineStr">
        <is>
          <t>Capital Markets</t>
        </is>
      </c>
      <c r="E7" s="51" t="n">
        <v>2.4</v>
      </c>
      <c r="F7" s="51" t="inlineStr">
        <is>
          <t xml:space="preserve">- </t>
        </is>
      </c>
      <c r="G7" s="51" t="inlineStr">
        <is>
          <t xml:space="preserve">- </t>
        </is>
      </c>
      <c r="H7" s="52" t="n">
        <v>0</v>
      </c>
      <c r="I7" s="52" t="n">
        <v>0.29</v>
      </c>
      <c r="J7" s="52" t="n">
        <v>0.232</v>
      </c>
      <c r="K7" s="52" t="n">
        <v>0.993</v>
      </c>
      <c r="L7" s="52" t="n">
        <v>4.278</v>
      </c>
    </row>
    <row r="8" hidden="1" s="57">
      <c r="A8" s="38" t="n"/>
      <c r="B8" s="49" t="inlineStr">
        <is>
          <t>ETFC</t>
        </is>
      </c>
      <c r="C8" s="49" t="inlineStr">
        <is>
          <t>E*TRADE Financial</t>
        </is>
      </c>
      <c r="D8" s="50" t="inlineStr">
        <is>
          <t>Capital Markets</t>
        </is>
      </c>
      <c r="E8" s="51" t="n">
        <v>0.2</v>
      </c>
      <c r="F8" s="51" t="inlineStr">
        <is>
          <t xml:space="preserve">- </t>
        </is>
      </c>
      <c r="G8" s="51" t="inlineStr">
        <is>
          <t xml:space="preserve">- </t>
        </is>
      </c>
      <c r="H8" s="52" t="n">
        <v>0</v>
      </c>
      <c r="I8" s="52" t="n">
        <v>0.447</v>
      </c>
      <c r="J8" s="52" t="n">
        <v>0.33</v>
      </c>
      <c r="K8" s="52" t="n">
        <v>0.944</v>
      </c>
      <c r="L8" s="52" t="n">
        <v>2.857</v>
      </c>
    </row>
    <row r="9" hidden="1" s="57">
      <c r="A9" s="38" t="n"/>
      <c r="B9" s="49" t="inlineStr">
        <is>
          <t>SCHW</t>
        </is>
      </c>
      <c r="C9" s="49" t="inlineStr">
        <is>
          <t>Charles Schwab</t>
        </is>
      </c>
      <c r="D9" s="50" t="inlineStr">
        <is>
          <t>Capital Markets</t>
        </is>
      </c>
      <c r="E9" s="51" t="n">
        <v>0.3</v>
      </c>
      <c r="F9" s="51" t="inlineStr">
        <is>
          <t xml:space="preserve">- </t>
        </is>
      </c>
      <c r="G9" s="51" t="inlineStr">
        <is>
          <t xml:space="preserve">- </t>
        </is>
      </c>
      <c r="H9" s="52" t="n">
        <v>0</v>
      </c>
      <c r="I9" s="52" t="n">
        <v>0.452</v>
      </c>
      <c r="J9" s="52" t="n">
        <v>0.345</v>
      </c>
      <c r="K9" s="52" t="n">
        <v>0.824</v>
      </c>
      <c r="L9" s="52" t="n">
        <v>2.386</v>
      </c>
    </row>
    <row r="10" hidden="1" s="57">
      <c r="A10" s="38" t="n"/>
      <c r="B10" s="49" t="inlineStr">
        <is>
          <t>O</t>
        </is>
      </c>
      <c r="C10" s="49" t="inlineStr">
        <is>
          <t>Realty Income</t>
        </is>
      </c>
      <c r="D10" s="50" t="inlineStr">
        <is>
          <t>REIT - Retail</t>
        </is>
      </c>
      <c r="E10" s="51" t="n">
        <v>0.8</v>
      </c>
      <c r="F10" s="51" t="n">
        <v>2</v>
      </c>
      <c r="G10" s="51" t="n">
        <v>2</v>
      </c>
      <c r="H10" s="52" t="n">
        <v>0.9409999999999999</v>
      </c>
      <c r="I10" s="52" t="n">
        <v>0.498</v>
      </c>
      <c r="J10" s="52" t="n">
        <v>0.292</v>
      </c>
      <c r="K10" s="52" t="n">
        <v>0.718</v>
      </c>
      <c r="L10" s="52" t="n">
        <v>2.455</v>
      </c>
    </row>
    <row r="11" hidden="1" s="57">
      <c r="A11" s="38" t="n"/>
      <c r="B11" s="49" t="inlineStr">
        <is>
          <t>PLD</t>
        </is>
      </c>
      <c r="C11" s="49" t="inlineStr">
        <is>
          <t>Prologis</t>
        </is>
      </c>
      <c r="D11" s="50" t="inlineStr">
        <is>
          <t>REIT - Industrial</t>
        </is>
      </c>
      <c r="E11" s="51" t="n">
        <v>0.6</v>
      </c>
      <c r="F11" s="51" t="n">
        <v>2.6</v>
      </c>
      <c r="G11" s="51" t="n">
        <v>2.6</v>
      </c>
      <c r="H11" s="52" t="n">
        <v>0.724</v>
      </c>
      <c r="I11" s="52" t="n">
        <v>0.298</v>
      </c>
      <c r="J11" s="52" t="n">
        <v>0.473</v>
      </c>
      <c r="K11" s="52" t="n">
        <v>0.68</v>
      </c>
      <c r="L11" s="52" t="n">
        <v>1.44</v>
      </c>
    </row>
    <row r="12" hidden="1" s="57">
      <c r="A12" s="38" t="n"/>
      <c r="B12" s="49" t="inlineStr">
        <is>
          <t>BAC</t>
        </is>
      </c>
      <c r="C12" s="49" t="inlineStr">
        <is>
          <t>Bank of America</t>
        </is>
      </c>
      <c r="D12" s="50" t="inlineStr">
        <is>
          <t>Banks - Diversified</t>
        </is>
      </c>
      <c r="E12" s="51" t="n">
        <v>1</v>
      </c>
      <c r="F12" s="51" t="inlineStr">
        <is>
          <t xml:space="preserve">- </t>
        </is>
      </c>
      <c r="G12" s="51" t="inlineStr">
        <is>
          <t xml:space="preserve">- </t>
        </is>
      </c>
      <c r="H12" s="52" t="n">
        <v>0</v>
      </c>
      <c r="I12" s="52" t="n">
        <v>0.398</v>
      </c>
      <c r="J12" s="52" t="n">
        <v>0.3</v>
      </c>
      <c r="K12" s="52" t="n">
        <v>0.677</v>
      </c>
      <c r="L12" s="52" t="n">
        <v>2.254</v>
      </c>
    </row>
    <row r="13" hidden="1" s="57">
      <c r="A13" s="38" t="n"/>
      <c r="B13" s="49" t="inlineStr">
        <is>
          <t>VRSN</t>
        </is>
      </c>
      <c r="C13" s="49" t="inlineStr">
        <is>
          <t>VeriSign</t>
        </is>
      </c>
      <c r="D13" s="50" t="inlineStr">
        <is>
          <t>Software - Infrastructure</t>
        </is>
      </c>
      <c r="E13" s="51" t="inlineStr">
        <is>
          <t xml:space="preserve">- </t>
        </is>
      </c>
      <c r="F13" s="51" t="n">
        <v>1.3</v>
      </c>
      <c r="G13" s="51" t="n">
        <v>1.3</v>
      </c>
      <c r="H13" s="52" t="n">
        <v>0.854</v>
      </c>
      <c r="I13" s="52" t="n">
        <v>0.655</v>
      </c>
      <c r="J13" s="52" t="n">
        <v>0.497</v>
      </c>
      <c r="K13" s="52" t="n">
        <v>0.579</v>
      </c>
      <c r="L13" s="52" t="n">
        <v>1.166</v>
      </c>
    </row>
    <row r="14" hidden="1" s="57">
      <c r="A14" s="38" t="n"/>
      <c r="B14" s="49" t="inlineStr">
        <is>
          <t>COF</t>
        </is>
      </c>
      <c r="C14" s="49" t="inlineStr">
        <is>
          <t>Capital One Financial</t>
        </is>
      </c>
      <c r="D14" s="50" t="inlineStr">
        <is>
          <t>Credit Services</t>
        </is>
      </c>
      <c r="E14" s="51" t="n">
        <v>1</v>
      </c>
      <c r="F14" s="51" t="inlineStr">
        <is>
          <t xml:space="preserve">- </t>
        </is>
      </c>
      <c r="G14" s="51" t="inlineStr">
        <is>
          <t xml:space="preserve">- </t>
        </is>
      </c>
      <c r="H14" s="52" t="n">
        <v>0</v>
      </c>
      <c r="I14" s="52" t="n">
        <v>0.485</v>
      </c>
      <c r="J14" s="52" t="n">
        <v>0.199</v>
      </c>
      <c r="K14" s="52" t="n">
        <v>0.5649999999999999</v>
      </c>
      <c r="L14" s="52" t="n">
        <v>2.835</v>
      </c>
    </row>
    <row r="15" hidden="1" s="57">
      <c r="A15" s="38" t="n"/>
      <c r="B15" s="49" t="inlineStr">
        <is>
          <t>ESS</t>
        </is>
      </c>
      <c r="C15" s="49" t="inlineStr">
        <is>
          <t>Essex Property Trust</t>
        </is>
      </c>
      <c r="D15" s="50" t="inlineStr">
        <is>
          <t>REIT - Residential</t>
        </is>
      </c>
      <c r="E15" s="51" t="n">
        <v>1</v>
      </c>
      <c r="F15" s="51" t="n">
        <v>0.8</v>
      </c>
      <c r="G15" s="51" t="n">
        <v>0.8</v>
      </c>
      <c r="H15" s="52" t="n">
        <v>0.705</v>
      </c>
      <c r="I15" s="52" t="n">
        <v>0.337</v>
      </c>
      <c r="J15" s="52" t="n">
        <v>0.301</v>
      </c>
      <c r="K15" s="52" t="n">
        <v>0.5590000000000001</v>
      </c>
      <c r="L15" s="52" t="n">
        <v>1.859</v>
      </c>
    </row>
    <row r="16" hidden="1" s="57">
      <c r="A16" s="38" t="n"/>
      <c r="B16" s="49" t="inlineStr">
        <is>
          <t>REG</t>
        </is>
      </c>
      <c r="C16" s="49" t="inlineStr">
        <is>
          <t>Regency Centers</t>
        </is>
      </c>
      <c r="D16" s="50" t="inlineStr">
        <is>
          <t>REIT - Retail</t>
        </is>
      </c>
      <c r="E16" s="51" t="n">
        <v>0.7</v>
      </c>
      <c r="F16" s="51" t="n">
        <v>0.8</v>
      </c>
      <c r="G16" s="51" t="n">
        <v>0.8</v>
      </c>
      <c r="H16" s="52" t="n">
        <v>0.73</v>
      </c>
      <c r="I16" s="52" t="n">
        <v>0.327</v>
      </c>
      <c r="J16" s="52" t="n">
        <v>0.21</v>
      </c>
      <c r="K16" s="52" t="n">
        <v>0.549</v>
      </c>
      <c r="L16" s="52" t="n">
        <v>2.614</v>
      </c>
    </row>
    <row r="17" hidden="1" s="57">
      <c r="A17" s="38" t="n"/>
      <c r="B17" s="49" t="inlineStr">
        <is>
          <t>V</t>
        </is>
      </c>
      <c r="C17" s="49" t="inlineStr">
        <is>
          <t>Visa</t>
        </is>
      </c>
      <c r="D17" s="50" t="inlineStr">
        <is>
          <t>Credit Services</t>
        </is>
      </c>
      <c r="E17" s="51" t="n">
        <v>0.5</v>
      </c>
      <c r="F17" s="51" t="n">
        <v>1.3</v>
      </c>
      <c r="G17" s="51" t="n">
        <v>1.3</v>
      </c>
      <c r="H17" s="52" t="n">
        <v>0.8149999999999999</v>
      </c>
      <c r="I17" s="52" t="n">
        <v>0.667</v>
      </c>
      <c r="J17" s="52" t="n">
        <v>0.526</v>
      </c>
      <c r="K17" s="52" t="n">
        <v>0.537</v>
      </c>
      <c r="L17" s="52" t="n">
        <v>1.02</v>
      </c>
    </row>
    <row r="18" hidden="1" s="57">
      <c r="A18" s="38" t="n"/>
      <c r="B18" s="49" t="inlineStr">
        <is>
          <t>EXR</t>
        </is>
      </c>
      <c r="C18" s="49" t="inlineStr">
        <is>
          <t>Extra Space Storage</t>
        </is>
      </c>
      <c r="D18" s="50" t="inlineStr">
        <is>
          <t>REIT - Industrial</t>
        </is>
      </c>
      <c r="E18" s="51" t="n">
        <v>2.1</v>
      </c>
      <c r="F18" s="51" t="n">
        <v>0.5</v>
      </c>
      <c r="G18" s="51" t="n">
        <v>0.5</v>
      </c>
      <c r="H18" s="52" t="n">
        <v>0.721</v>
      </c>
      <c r="I18" s="52" t="n">
        <v>0.484</v>
      </c>
      <c r="J18" s="52" t="n">
        <v>0.321</v>
      </c>
      <c r="K18" s="52" t="n">
        <v>0.535</v>
      </c>
      <c r="L18" s="52" t="n">
        <v>1.666</v>
      </c>
    </row>
    <row r="19" hidden="1" s="57">
      <c r="A19" s="38" t="n"/>
      <c r="B19" s="49" t="inlineStr">
        <is>
          <t>GS</t>
        </is>
      </c>
      <c r="C19" s="49" t="inlineStr">
        <is>
          <t>Goldman Sachs Group</t>
        </is>
      </c>
      <c r="D19" s="50" t="inlineStr">
        <is>
          <t>Capital Markets</t>
        </is>
      </c>
      <c r="E19" s="51" t="n">
        <v>3.1</v>
      </c>
      <c r="F19" s="51" t="inlineStr">
        <is>
          <t xml:space="preserve">- </t>
        </is>
      </c>
      <c r="G19" s="51" t="inlineStr">
        <is>
          <t xml:space="preserve">- </t>
        </is>
      </c>
      <c r="H19" s="52" t="n">
        <v>0</v>
      </c>
      <c r="I19" s="52" t="n">
        <v>0.35</v>
      </c>
      <c r="J19" s="52" t="n">
        <v>0.254</v>
      </c>
      <c r="K19" s="52" t="n">
        <v>0.531</v>
      </c>
      <c r="L19" s="52" t="n">
        <v>2.091</v>
      </c>
    </row>
    <row r="20" hidden="1" s="57">
      <c r="A20" s="38" t="n"/>
      <c r="B20" s="49" t="inlineStr">
        <is>
          <t>SYF</t>
        </is>
      </c>
      <c r="C20" s="49" t="inlineStr">
        <is>
          <t>Synchrony Finl</t>
        </is>
      </c>
      <c r="D20" s="50" t="inlineStr">
        <is>
          <t>Credit Services</t>
        </is>
      </c>
      <c r="E20" s="51" t="n">
        <v>1.3</v>
      </c>
      <c r="F20" s="51" t="inlineStr">
        <is>
          <t xml:space="preserve">- </t>
        </is>
      </c>
      <c r="G20" s="51" t="inlineStr">
        <is>
          <t xml:space="preserve">- </t>
        </is>
      </c>
      <c r="H20" s="52" t="n">
        <v>0</v>
      </c>
      <c r="I20" s="52" t="n">
        <v>0.753</v>
      </c>
      <c r="J20" s="52" t="n">
        <v>0.218</v>
      </c>
      <c r="K20" s="52" t="n">
        <v>0.524</v>
      </c>
      <c r="L20" s="52" t="n">
        <v>2.404</v>
      </c>
    </row>
    <row r="21" hidden="1" s="57">
      <c r="A21" s="38" t="n"/>
      <c r="B21" s="49" t="inlineStr">
        <is>
          <t>DFS</t>
        </is>
      </c>
      <c r="C21" s="49" t="inlineStr">
        <is>
          <t>Discover Financial</t>
        </is>
      </c>
      <c r="D21" s="50" t="inlineStr">
        <is>
          <t>Credit Services</t>
        </is>
      </c>
      <c r="E21" s="51" t="n">
        <v>2.2</v>
      </c>
      <c r="F21" s="51" t="inlineStr">
        <is>
          <t xml:space="preserve">- </t>
        </is>
      </c>
      <c r="G21" s="51" t="inlineStr">
        <is>
          <t xml:space="preserve">- </t>
        </is>
      </c>
      <c r="H21" s="52" t="n">
        <v>0</v>
      </c>
      <c r="I21" s="52" t="n">
        <v>0.625</v>
      </c>
      <c r="J21" s="52" t="n">
        <v>0.258</v>
      </c>
      <c r="K21" s="52" t="n">
        <v>0.513</v>
      </c>
      <c r="L21" s="52" t="n">
        <v>1.987</v>
      </c>
    </row>
    <row r="22" hidden="1" s="57">
      <c r="A22" s="38" t="n"/>
      <c r="B22" s="49" t="inlineStr">
        <is>
          <t>SPG</t>
        </is>
      </c>
      <c r="C22" s="49" t="inlineStr">
        <is>
          <t>Simon Property Group</t>
        </is>
      </c>
      <c r="D22" s="50" t="inlineStr">
        <is>
          <t>REIT - Retail</t>
        </is>
      </c>
      <c r="E22" s="51" t="n">
        <v>9.800000000000001</v>
      </c>
      <c r="F22" s="51" t="n">
        <v>0.5</v>
      </c>
      <c r="G22" s="51" t="n">
        <v>0.5</v>
      </c>
      <c r="H22" s="52" t="n">
        <v>0.823</v>
      </c>
      <c r="I22" s="52" t="n">
        <v>0.506</v>
      </c>
      <c r="J22" s="52" t="n">
        <v>0.365</v>
      </c>
      <c r="K22" s="52" t="n">
        <v>0.51</v>
      </c>
      <c r="L22" s="52" t="n">
        <v>1.398</v>
      </c>
    </row>
    <row r="23" hidden="1" s="57">
      <c r="A23" s="38" t="n"/>
      <c r="B23" s="49" t="inlineStr">
        <is>
          <t>AVB</t>
        </is>
      </c>
      <c r="C23" s="49" t="inlineStr">
        <is>
          <t>AvalonBay Communities</t>
        </is>
      </c>
      <c r="D23" s="50" t="inlineStr">
        <is>
          <t>REIT - Residential</t>
        </is>
      </c>
      <c r="E23" s="51" t="n">
        <v>0.7</v>
      </c>
      <c r="F23" s="51" t="n">
        <v>0.5</v>
      </c>
      <c r="G23" s="51" t="n">
        <v>0.5</v>
      </c>
      <c r="H23" s="52" t="n">
        <v>0.67</v>
      </c>
      <c r="I23" s="52" t="n">
        <v>0.359</v>
      </c>
      <c r="J23" s="52" t="n">
        <v>0.339</v>
      </c>
      <c r="K23" s="52" t="n">
        <v>0.507</v>
      </c>
      <c r="L23" s="52" t="n">
        <v>1.498</v>
      </c>
    </row>
    <row r="24" hidden="1" s="57">
      <c r="A24" s="38" t="n"/>
      <c r="B24" s="49" t="inlineStr">
        <is>
          <t>PSA</t>
        </is>
      </c>
      <c r="C24" s="49" t="inlineStr">
        <is>
          <t>Public Storage</t>
        </is>
      </c>
      <c r="D24" s="50" t="inlineStr">
        <is>
          <t>REIT - Industrial</t>
        </is>
      </c>
      <c r="E24" s="51" t="n">
        <v>0.2</v>
      </c>
      <c r="F24" s="51" t="n">
        <v>1.1</v>
      </c>
      <c r="G24" s="51" t="n">
        <v>1.1</v>
      </c>
      <c r="H24" s="52" t="n">
        <v>0.72</v>
      </c>
      <c r="I24" s="52" t="n">
        <v>0.515</v>
      </c>
      <c r="J24" s="52" t="n">
        <v>0.534</v>
      </c>
      <c r="K24" s="52" t="n">
        <v>0.507</v>
      </c>
      <c r="L24" s="52" t="n">
        <v>0.948</v>
      </c>
    </row>
    <row r="25" hidden="1" s="57">
      <c r="A25" s="38" t="n"/>
      <c r="B25" s="49" t="inlineStr">
        <is>
          <t>KIM</t>
        </is>
      </c>
      <c r="C25" s="49" t="inlineStr">
        <is>
          <t>Kimco Realty</t>
        </is>
      </c>
      <c r="D25" s="50" t="inlineStr">
        <is>
          <t>REIT - Retail</t>
        </is>
      </c>
      <c r="E25" s="51" t="n">
        <v>1.1</v>
      </c>
      <c r="F25" s="51" t="n">
        <v>1.2</v>
      </c>
      <c r="G25" s="51" t="n">
        <v>1.2</v>
      </c>
      <c r="H25" s="52" t="n">
        <v>0.719</v>
      </c>
      <c r="I25" s="52" t="n">
        <v>0.386</v>
      </c>
      <c r="J25" s="52" t="n">
        <v>0.354</v>
      </c>
      <c r="K25" s="52" t="n">
        <v>0.503</v>
      </c>
      <c r="L25" s="52" t="n">
        <v>1.423</v>
      </c>
    </row>
    <row r="26" hidden="1" s="57">
      <c r="A26" s="38" t="n"/>
      <c r="B26" s="49" t="inlineStr">
        <is>
          <t>CME</t>
        </is>
      </c>
      <c r="C26" s="49" t="inlineStr">
        <is>
          <t>CME Group</t>
        </is>
      </c>
      <c r="D26" s="50" t="inlineStr">
        <is>
          <t>Financial Data &amp; Stock Exchanges</t>
        </is>
      </c>
      <c r="E26" s="51" t="n">
        <v>0.1</v>
      </c>
      <c r="F26" s="51" t="n">
        <v>1</v>
      </c>
      <c r="G26" s="51" t="n">
        <v>1</v>
      </c>
      <c r="H26" s="52" t="n">
        <v>0.738</v>
      </c>
      <c r="I26" s="52" t="n">
        <v>0.532</v>
      </c>
      <c r="J26" s="52" t="n">
        <v>0.435</v>
      </c>
      <c r="K26" s="52" t="n">
        <v>0.498</v>
      </c>
      <c r="L26" s="52" t="n">
        <v>1.146</v>
      </c>
    </row>
    <row r="27" hidden="1" s="57">
      <c r="A27" s="38" t="n"/>
      <c r="B27" s="49" t="inlineStr">
        <is>
          <t>MAA</t>
        </is>
      </c>
      <c r="C27" s="49" t="inlineStr">
        <is>
          <t>Mid-America Apartment</t>
        </is>
      </c>
      <c r="D27" s="50" t="inlineStr">
        <is>
          <t>REIT - Residential</t>
        </is>
      </c>
      <c r="E27" s="51" t="n">
        <v>0.7</v>
      </c>
      <c r="F27" s="51" t="n">
        <v>0.2</v>
      </c>
      <c r="G27" s="51" t="n">
        <v>0.2</v>
      </c>
      <c r="H27" s="52" t="n">
        <v>0.627</v>
      </c>
      <c r="I27" s="52" t="n">
        <v>0.262</v>
      </c>
      <c r="J27" s="52" t="n">
        <v>0.216</v>
      </c>
      <c r="K27" s="52" t="n">
        <v>0.477</v>
      </c>
      <c r="L27" s="52" t="n">
        <v>2.207</v>
      </c>
    </row>
    <row r="28" hidden="1" s="57">
      <c r="A28" s="38" t="n"/>
      <c r="B28" s="49" t="inlineStr">
        <is>
          <t>STT</t>
        </is>
      </c>
      <c r="C28" s="49" t="inlineStr">
        <is>
          <t>State Street</t>
        </is>
      </c>
      <c r="D28" s="50" t="inlineStr">
        <is>
          <t>Asset Management</t>
        </is>
      </c>
      <c r="E28" s="51" t="n">
        <v>0.6</v>
      </c>
      <c r="F28" s="51" t="inlineStr">
        <is>
          <t xml:space="preserve">- </t>
        </is>
      </c>
      <c r="G28" s="51" t="inlineStr">
        <is>
          <t xml:space="preserve">- </t>
        </is>
      </c>
      <c r="H28" s="52" t="n">
        <v>0</v>
      </c>
      <c r="I28" s="52" t="n">
        <v>0.269</v>
      </c>
      <c r="J28" s="52" t="n">
        <v>0.211</v>
      </c>
      <c r="K28" s="52" t="n">
        <v>0.475</v>
      </c>
      <c r="L28" s="52" t="n">
        <v>2.248</v>
      </c>
    </row>
    <row r="29" hidden="1" s="57">
      <c r="A29" s="38" t="n"/>
      <c r="B29" s="49" t="inlineStr">
        <is>
          <t>DLR</t>
        </is>
      </c>
      <c r="C29" s="49" t="inlineStr">
        <is>
          <t>Digital Realty Trust</t>
        </is>
      </c>
      <c r="D29" s="50" t="inlineStr">
        <is>
          <t>REIT - Office</t>
        </is>
      </c>
      <c r="E29" s="51" t="n">
        <v>1.1</v>
      </c>
      <c r="F29" s="51" t="n">
        <v>0.5</v>
      </c>
      <c r="G29" s="51" t="n">
        <v>0.5</v>
      </c>
      <c r="H29" s="52" t="n">
        <v>0.628</v>
      </c>
      <c r="I29" s="52" t="n">
        <v>0.196</v>
      </c>
      <c r="J29" s="52" t="n">
        <v>0.181</v>
      </c>
      <c r="K29" s="52" t="n">
        <v>0.472</v>
      </c>
      <c r="L29" s="52" t="n">
        <v>2.608</v>
      </c>
    </row>
    <row r="30" hidden="1" s="57">
      <c r="A30" s="38" t="n"/>
      <c r="B30" s="49" t="inlineStr">
        <is>
          <t>EQR</t>
        </is>
      </c>
      <c r="C30" s="49" t="inlineStr">
        <is>
          <t>Equity Residential</t>
        </is>
      </c>
      <c r="D30" s="50" t="inlineStr">
        <is>
          <t>REIT - Residential</t>
        </is>
      </c>
      <c r="E30" s="51" t="n">
        <v>0.9</v>
      </c>
      <c r="F30" s="51" t="n">
        <v>0.3</v>
      </c>
      <c r="G30" s="51" t="n">
        <v>0.3</v>
      </c>
      <c r="H30" s="52" t="n">
        <v>0.664</v>
      </c>
      <c r="I30" s="52" t="n">
        <v>0.337</v>
      </c>
      <c r="J30" s="52" t="n">
        <v>0.362</v>
      </c>
      <c r="K30" s="52" t="n">
        <v>0.471</v>
      </c>
      <c r="L30" s="52" t="n">
        <v>1.303</v>
      </c>
    </row>
    <row r="31" hidden="1" s="57">
      <c r="A31" s="38" t="n"/>
      <c r="B31" s="49" t="inlineStr">
        <is>
          <t>KEY</t>
        </is>
      </c>
      <c r="C31" s="49" t="inlineStr">
        <is>
          <t>KeyCorp</t>
        </is>
      </c>
      <c r="D31" s="50" t="inlineStr">
        <is>
          <t>Banks - Regional</t>
        </is>
      </c>
      <c r="E31" s="51" t="n">
        <v>0.8</v>
      </c>
      <c r="F31" s="51" t="inlineStr">
        <is>
          <t xml:space="preserve">- </t>
        </is>
      </c>
      <c r="G31" s="51" t="inlineStr">
        <is>
          <t xml:space="preserve">- </t>
        </is>
      </c>
      <c r="H31" s="52" t="n">
        <v>0</v>
      </c>
      <c r="I31" s="52" t="n">
        <v>0.399</v>
      </c>
      <c r="J31" s="52" t="n">
        <v>0.278</v>
      </c>
      <c r="K31" s="52" t="n">
        <v>0.457</v>
      </c>
      <c r="L31" s="52" t="n">
        <v>1.646</v>
      </c>
    </row>
    <row r="32" hidden="1" s="57">
      <c r="A32" s="38" t="n"/>
      <c r="B32" s="49" t="inlineStr">
        <is>
          <t>MKTX</t>
        </is>
      </c>
      <c r="C32" s="49" t="inlineStr">
        <is>
          <t>MarketAxess Holdings</t>
        </is>
      </c>
      <c r="D32" s="50" t="inlineStr">
        <is>
          <t>Capital Markets</t>
        </is>
      </c>
      <c r="E32" s="51" t="n">
        <v>0.1</v>
      </c>
      <c r="F32" s="51" t="n">
        <v>4.4</v>
      </c>
      <c r="G32" s="51" t="n">
        <v>4.3</v>
      </c>
      <c r="H32" s="52" t="n">
        <v>0</v>
      </c>
      <c r="I32" s="52" t="n">
        <v>0.49</v>
      </c>
      <c r="J32" s="52" t="n">
        <v>0.401</v>
      </c>
      <c r="K32" s="52" t="n">
        <v>0.454</v>
      </c>
      <c r="L32" s="52" t="n">
        <v>1.134</v>
      </c>
    </row>
    <row r="33" hidden="1" s="57">
      <c r="A33" s="38" t="n"/>
      <c r="B33" s="49" t="inlineStr">
        <is>
          <t>ARE</t>
        </is>
      </c>
      <c r="C33" s="49" t="inlineStr">
        <is>
          <t>Alexandria Real Estate</t>
        </is>
      </c>
      <c r="D33" s="50" t="inlineStr">
        <is>
          <t>REIT - Office</t>
        </is>
      </c>
      <c r="E33" s="51" t="n">
        <v>0.8</v>
      </c>
      <c r="F33" s="51" t="n">
        <v>0.4</v>
      </c>
      <c r="G33" s="51" t="n">
        <v>0.4</v>
      </c>
      <c r="H33" s="52" t="n">
        <v>0.709</v>
      </c>
      <c r="I33" s="52" t="n">
        <v>0.282</v>
      </c>
      <c r="J33" s="52" t="n">
        <v>0.236</v>
      </c>
      <c r="K33" s="52" t="n">
        <v>0.447</v>
      </c>
      <c r="L33" s="52" t="n">
        <v>1.896</v>
      </c>
    </row>
    <row r="34" hidden="1" s="57">
      <c r="A34" s="38" t="n"/>
      <c r="B34" s="49" t="inlineStr">
        <is>
          <t>BIIB</t>
        </is>
      </c>
      <c r="C34" s="49" t="inlineStr">
        <is>
          <t>Biogen</t>
        </is>
      </c>
      <c r="D34" s="50" t="inlineStr">
        <is>
          <t>Drug Manufacturers - General</t>
        </is>
      </c>
      <c r="E34" s="51" t="n">
        <v>0.5</v>
      </c>
      <c r="F34" s="51" t="n">
        <v>1.7</v>
      </c>
      <c r="G34" s="51" t="n">
        <v>1.6</v>
      </c>
      <c r="H34" s="52" t="n">
        <v>0.864</v>
      </c>
      <c r="I34" s="52" t="n">
        <v>0.49</v>
      </c>
      <c r="J34" s="52" t="n">
        <v>0.41</v>
      </c>
      <c r="K34" s="52" t="n">
        <v>0.447</v>
      </c>
      <c r="L34" s="52" t="n">
        <v>1.09</v>
      </c>
    </row>
    <row r="35" hidden="1" s="57">
      <c r="A35" s="38" t="n"/>
      <c r="B35" s="49" t="inlineStr">
        <is>
          <t>MA</t>
        </is>
      </c>
      <c r="C35" s="49" t="inlineStr">
        <is>
          <t>Mastercard</t>
        </is>
      </c>
      <c r="D35" s="50" t="inlineStr">
        <is>
          <t>Credit Services</t>
        </is>
      </c>
      <c r="E35" s="51" t="n">
        <v>1.5</v>
      </c>
      <c r="F35" s="51" t="n">
        <v>1.4</v>
      </c>
      <c r="G35" s="51" t="n">
        <v>1.4</v>
      </c>
      <c r="H35" s="52" t="n">
        <v>0</v>
      </c>
      <c r="I35" s="52" t="n">
        <v>0.574</v>
      </c>
      <c r="J35" s="52" t="n">
        <v>0.481</v>
      </c>
      <c r="K35" s="52" t="n">
        <v>0.443</v>
      </c>
      <c r="L35" s="52" t="n">
        <v>0.921</v>
      </c>
    </row>
    <row r="36" hidden="1" s="57">
      <c r="A36" s="38" t="n"/>
      <c r="B36" s="49" t="inlineStr">
        <is>
          <t>RF</t>
        </is>
      </c>
      <c r="C36" s="49" t="inlineStr">
        <is>
          <t>Regions Financial</t>
        </is>
      </c>
      <c r="D36" s="50" t="inlineStr">
        <is>
          <t>Banks - Regional</t>
        </is>
      </c>
      <c r="E36" s="51" t="n">
        <v>0.6</v>
      </c>
      <c r="F36" s="51" t="inlineStr">
        <is>
          <t xml:space="preserve">- </t>
        </is>
      </c>
      <c r="G36" s="51" t="inlineStr">
        <is>
          <t xml:space="preserve">- </t>
        </is>
      </c>
      <c r="H36" s="52" t="n">
        <v>0</v>
      </c>
      <c r="I36" s="52" t="n">
        <v>0.415</v>
      </c>
      <c r="J36" s="52" t="n">
        <v>0.271</v>
      </c>
      <c r="K36" s="52" t="n">
        <v>0.439</v>
      </c>
      <c r="L36" s="52" t="n">
        <v>1.618</v>
      </c>
    </row>
    <row r="37" hidden="1" s="57">
      <c r="A37" s="38" t="n"/>
      <c r="B37" s="49" t="inlineStr">
        <is>
          <t>AGN</t>
        </is>
      </c>
      <c r="C37" s="49" t="inlineStr">
        <is>
          <t>Allergan</t>
        </is>
      </c>
      <c r="D37" s="50" t="inlineStr">
        <is>
          <t>Drug Manufacturers - General</t>
        </is>
      </c>
      <c r="E37" s="51" t="n">
        <v>0.4</v>
      </c>
      <c r="F37" s="51" t="n">
        <v>1</v>
      </c>
      <c r="G37" s="51" t="n">
        <v>0.9</v>
      </c>
      <c r="H37" s="52" t="n">
        <v>0.845</v>
      </c>
      <c r="I37" s="52" t="n">
        <v>-0.001</v>
      </c>
      <c r="J37" s="52" t="n">
        <v>-0.324</v>
      </c>
      <c r="K37" s="52" t="n">
        <v>0.424</v>
      </c>
      <c r="L37" s="51" t="inlineStr">
        <is>
          <t xml:space="preserve">- </t>
        </is>
      </c>
    </row>
    <row r="38" hidden="1" s="57">
      <c r="A38" s="38" t="n"/>
      <c r="B38" s="49" t="inlineStr">
        <is>
          <t>PEAK</t>
        </is>
      </c>
      <c r="C38" s="49" t="inlineStr">
        <is>
          <t>Healthpeak Properties</t>
        </is>
      </c>
      <c r="D38" s="50" t="inlineStr">
        <is>
          <t>REIT - Healthcare Facilities</t>
        </is>
      </c>
      <c r="E38" s="51" t="n">
        <v>1.1</v>
      </c>
      <c r="F38" s="51" t="n">
        <v>1.9</v>
      </c>
      <c r="G38" s="51" t="n">
        <v>1.9</v>
      </c>
      <c r="H38" s="52" t="n">
        <v>0.5590000000000001</v>
      </c>
      <c r="I38" s="52" t="n">
        <v>0.178</v>
      </c>
      <c r="J38" s="52" t="n">
        <v>0.022</v>
      </c>
      <c r="K38" s="52" t="n">
        <v>0.424</v>
      </c>
      <c r="L38" s="52" t="n">
        <v>19.592</v>
      </c>
    </row>
    <row r="39" hidden="1" s="57">
      <c r="A39" s="38" t="n"/>
      <c r="B39" s="49" t="inlineStr">
        <is>
          <t>MSCI</t>
        </is>
      </c>
      <c r="C39" s="49" t="inlineStr">
        <is>
          <t>MSCI</t>
        </is>
      </c>
      <c r="D39" s="50" t="inlineStr">
        <is>
          <t>Financial Data &amp; Stock Exchanges</t>
        </is>
      </c>
      <c r="E39" s="51" t="inlineStr">
        <is>
          <t xml:space="preserve">- </t>
        </is>
      </c>
      <c r="F39" s="51" t="n">
        <v>2.3</v>
      </c>
      <c r="G39" s="51" t="n">
        <v>2.3</v>
      </c>
      <c r="H39" s="52" t="n">
        <v>0.8110000000000001</v>
      </c>
      <c r="I39" s="52" t="n">
        <v>0.486</v>
      </c>
      <c r="J39" s="52" t="n">
        <v>0.361</v>
      </c>
      <c r="K39" s="52" t="n">
        <v>0.423</v>
      </c>
      <c r="L39" s="52" t="n">
        <v>1.174</v>
      </c>
    </row>
    <row r="40" hidden="1" s="57">
      <c r="A40" s="38" t="n"/>
      <c r="B40" s="49" t="inlineStr">
        <is>
          <t>ADSK</t>
        </is>
      </c>
      <c r="C40" s="49" t="inlineStr">
        <is>
          <t>Autodesk</t>
        </is>
      </c>
      <c r="D40" s="50" t="inlineStr">
        <is>
          <t>Software - Application</t>
        </is>
      </c>
      <c r="E40" s="51" t="inlineStr">
        <is>
          <t xml:space="preserve">- </t>
        </is>
      </c>
      <c r="F40" s="51" t="n">
        <v>0.8</v>
      </c>
      <c r="G40" s="51" t="n">
        <v>0.8</v>
      </c>
      <c r="H40" s="52" t="n">
        <v>0.901</v>
      </c>
      <c r="I40" s="52" t="n">
        <v>0.105</v>
      </c>
      <c r="J40" s="52" t="n">
        <v>0.066</v>
      </c>
      <c r="K40" s="52" t="n">
        <v>0.417</v>
      </c>
      <c r="L40" s="52" t="n">
        <v>6.294</v>
      </c>
    </row>
    <row r="41" hidden="1" s="57">
      <c r="A41" s="38" t="n"/>
      <c r="B41" s="49" t="inlineStr">
        <is>
          <t>AVGO</t>
        </is>
      </c>
      <c r="C41" s="49" t="inlineStr">
        <is>
          <t>Broadcom</t>
        </is>
      </c>
      <c r="D41" s="50" t="inlineStr">
        <is>
          <t>Semiconductors</t>
        </is>
      </c>
      <c r="E41" s="51" t="n">
        <v>1.8</v>
      </c>
      <c r="F41" s="51" t="n">
        <v>1.6</v>
      </c>
      <c r="G41" s="51" t="n">
        <v>1.4</v>
      </c>
      <c r="H41" s="52" t="n">
        <v>0.553</v>
      </c>
      <c r="I41" s="52" t="n">
        <v>0.169</v>
      </c>
      <c r="J41" s="52" t="n">
        <v>0.116</v>
      </c>
      <c r="K41" s="52" t="n">
        <v>0.416</v>
      </c>
      <c r="L41" s="52" t="n">
        <v>3.58</v>
      </c>
    </row>
    <row r="42" hidden="1" s="57">
      <c r="A42" s="38" t="n"/>
      <c r="B42" s="49" t="inlineStr">
        <is>
          <t>PNC</t>
        </is>
      </c>
      <c r="C42" s="49" t="inlineStr">
        <is>
          <t>PNC Financial Services Gr</t>
        </is>
      </c>
      <c r="D42" s="50" t="inlineStr">
        <is>
          <t>Banks - Regional</t>
        </is>
      </c>
      <c r="E42" s="51" t="n">
        <v>1.1</v>
      </c>
      <c r="F42" s="51" t="inlineStr">
        <is>
          <t xml:space="preserve">- </t>
        </is>
      </c>
      <c r="G42" s="51" t="inlineStr">
        <is>
          <t xml:space="preserve">- </t>
        </is>
      </c>
      <c r="H42" s="52" t="n">
        <v>0</v>
      </c>
      <c r="I42" s="52" t="n">
        <v>0.407</v>
      </c>
      <c r="J42" s="52" t="n">
        <v>0.301</v>
      </c>
      <c r="K42" s="52" t="n">
        <v>0.414</v>
      </c>
      <c r="L42" s="52" t="n">
        <v>1.374</v>
      </c>
    </row>
    <row r="43" hidden="1" s="57">
      <c r="A43" s="38" t="n"/>
      <c r="B43" s="49" t="inlineStr">
        <is>
          <t>FLT</t>
        </is>
      </c>
      <c r="C43" s="49" t="inlineStr">
        <is>
          <t>Fleetcor Technologies</t>
        </is>
      </c>
      <c r="D43" s="50" t="inlineStr">
        <is>
          <t>Information Technology Services</t>
        </is>
      </c>
      <c r="E43" s="51" t="n">
        <v>1.4</v>
      </c>
      <c r="F43" s="51" t="n">
        <v>1</v>
      </c>
      <c r="G43" s="51" t="n">
        <v>1</v>
      </c>
      <c r="H43" s="52" t="n">
        <v>0.8</v>
      </c>
      <c r="I43" s="52" t="n">
        <v>0.465</v>
      </c>
      <c r="J43" s="52" t="n">
        <v>0.339</v>
      </c>
      <c r="K43" s="52" t="n">
        <v>0.41</v>
      </c>
      <c r="L43" s="52" t="n">
        <v>1.211</v>
      </c>
    </row>
    <row r="44" hidden="1" s="57">
      <c r="A44" s="38" t="n"/>
      <c r="B44" s="49" t="inlineStr">
        <is>
          <t>SBAC</t>
        </is>
      </c>
      <c r="C44" s="49" t="inlineStr">
        <is>
          <t>SBA Communications</t>
        </is>
      </c>
      <c r="D44" s="50" t="inlineStr">
        <is>
          <t>REIT - Specialty</t>
        </is>
      </c>
      <c r="E44" s="51" t="inlineStr">
        <is>
          <t xml:space="preserve">- </t>
        </is>
      </c>
      <c r="F44" s="51" t="n">
        <v>0.3</v>
      </c>
      <c r="G44" s="51" t="n">
        <v>0.3</v>
      </c>
      <c r="H44" s="52" t="n">
        <v>0.755</v>
      </c>
      <c r="I44" s="52" t="n">
        <v>0.314</v>
      </c>
      <c r="J44" s="52" t="n">
        <v>0.073</v>
      </c>
      <c r="K44" s="52" t="n">
        <v>0.405</v>
      </c>
      <c r="L44" s="52" t="n">
        <v>5.537</v>
      </c>
    </row>
    <row r="45" hidden="1" s="57">
      <c r="A45" s="38" t="n"/>
      <c r="B45" s="49" t="inlineStr">
        <is>
          <t>TXN</t>
        </is>
      </c>
      <c r="C45" s="49" t="inlineStr">
        <is>
          <t>Texas Instruments</t>
        </is>
      </c>
      <c r="D45" s="50" t="inlineStr">
        <is>
          <t>Semiconductors</t>
        </is>
      </c>
      <c r="E45" s="51" t="n">
        <v>0.7</v>
      </c>
      <c r="F45" s="51" t="n">
        <v>4.1</v>
      </c>
      <c r="G45" s="51" t="n">
        <v>3.2</v>
      </c>
      <c r="H45" s="52" t="n">
        <v>0.637</v>
      </c>
      <c r="I45" s="52" t="n">
        <v>0.416</v>
      </c>
      <c r="J45" s="52" t="n">
        <v>0.349</v>
      </c>
      <c r="K45" s="52" t="n">
        <v>0.405</v>
      </c>
      <c r="L45" s="52" t="n">
        <v>1.161</v>
      </c>
    </row>
    <row r="46" hidden="1" s="57">
      <c r="A46" s="38" t="n"/>
      <c r="B46" s="49" t="inlineStr">
        <is>
          <t>BXP</t>
        </is>
      </c>
      <c r="C46" s="49" t="inlineStr">
        <is>
          <t>Boston Properties</t>
        </is>
      </c>
      <c r="D46" s="50" t="inlineStr">
        <is>
          <t>REIT - Office</t>
        </is>
      </c>
      <c r="E46" s="51" t="n">
        <v>2.2</v>
      </c>
      <c r="F46" s="51" t="n">
        <v>3.1</v>
      </c>
      <c r="G46" s="51" t="n">
        <v>3.1</v>
      </c>
      <c r="H46" s="52" t="n">
        <v>0.63</v>
      </c>
      <c r="I46" s="52" t="n">
        <v>0.354</v>
      </c>
      <c r="J46" s="52" t="n">
        <v>0.177</v>
      </c>
      <c r="K46" s="52" t="n">
        <v>0.4</v>
      </c>
      <c r="L46" s="52" t="n">
        <v>2.267</v>
      </c>
    </row>
    <row r="47" hidden="1" s="57">
      <c r="A47" s="38" t="n"/>
      <c r="B47" s="49" t="inlineStr">
        <is>
          <t>SPGI</t>
        </is>
      </c>
      <c r="C47" s="49" t="inlineStr">
        <is>
          <t>S&amp;P Global</t>
        </is>
      </c>
      <c r="D47" s="50" t="inlineStr">
        <is>
          <t>Financial Data &amp; Stock Exchanges</t>
        </is>
      </c>
      <c r="E47" s="51" t="n">
        <v>9.800000000000001</v>
      </c>
      <c r="F47" s="51" t="n">
        <v>1.5</v>
      </c>
      <c r="G47" s="51" t="n">
        <v>1.5</v>
      </c>
      <c r="H47" s="52" t="n">
        <v>0.733</v>
      </c>
      <c r="I47" s="52" t="n">
        <v>0.475</v>
      </c>
      <c r="J47" s="52" t="n">
        <v>0.318</v>
      </c>
      <c r="K47" s="52" t="n">
        <v>0.4</v>
      </c>
      <c r="L47" s="52" t="n">
        <v>1.258</v>
      </c>
    </row>
    <row r="48" hidden="1" s="57">
      <c r="A48" s="38" t="n"/>
      <c r="B48" s="49" t="inlineStr">
        <is>
          <t>ANET</t>
        </is>
      </c>
      <c r="C48" s="49" t="inlineStr">
        <is>
          <t>Arista Networks</t>
        </is>
      </c>
      <c r="D48" s="50" t="inlineStr">
        <is>
          <t>Computer Hardware</t>
        </is>
      </c>
      <c r="E48" s="51" t="n">
        <v>0</v>
      </c>
      <c r="F48" s="51" t="n">
        <v>5.8</v>
      </c>
      <c r="G48" s="51" t="n">
        <v>5.4</v>
      </c>
      <c r="H48" s="52" t="n">
        <v>0.641</v>
      </c>
      <c r="I48" s="52" t="n">
        <v>0.334</v>
      </c>
      <c r="J48" s="52" t="n">
        <v>0.357</v>
      </c>
      <c r="K48" s="52" t="n">
        <v>0.394</v>
      </c>
      <c r="L48" s="52" t="n">
        <v>1.105</v>
      </c>
    </row>
    <row r="49" hidden="1" s="57">
      <c r="A49" s="38" t="n"/>
      <c r="B49" s="49" t="inlineStr">
        <is>
          <t>NVDA</t>
        </is>
      </c>
      <c r="C49" s="49" t="inlineStr">
        <is>
          <t>NVIDIA</t>
        </is>
      </c>
      <c r="D49" s="50" t="inlineStr">
        <is>
          <t>Semiconductors</t>
        </is>
      </c>
      <c r="E49" s="51" t="n">
        <v>0.2</v>
      </c>
      <c r="F49" s="51" t="n">
        <v>7.7</v>
      </c>
      <c r="G49" s="51" t="n">
        <v>7.1</v>
      </c>
      <c r="H49" s="52" t="n">
        <v>0.62</v>
      </c>
      <c r="I49" s="52" t="n">
        <v>0.261</v>
      </c>
      <c r="J49" s="52" t="n">
        <v>0.257</v>
      </c>
      <c r="K49" s="52" t="n">
        <v>0.392</v>
      </c>
      <c r="L49" s="52" t="n">
        <v>1.528</v>
      </c>
    </row>
    <row r="50" hidden="1" s="57">
      <c r="A50" s="38" t="n"/>
      <c r="B50" s="49" t="inlineStr">
        <is>
          <t>UDR</t>
        </is>
      </c>
      <c r="C50" s="49" t="inlineStr">
        <is>
          <t>UDR</t>
        </is>
      </c>
      <c r="D50" s="50" t="inlineStr">
        <is>
          <t>REIT - Residential</t>
        </is>
      </c>
      <c r="E50" s="51" t="n">
        <v>1.5</v>
      </c>
      <c r="F50" s="51" t="n">
        <v>0.3</v>
      </c>
      <c r="G50" s="51" t="n">
        <v>0.3</v>
      </c>
      <c r="H50" s="52" t="n">
        <v>0.6850000000000001</v>
      </c>
      <c r="I50" s="52" t="n">
        <v>0.188</v>
      </c>
      <c r="J50" s="52" t="n">
        <v>0.161</v>
      </c>
      <c r="K50" s="52" t="n">
        <v>0.388</v>
      </c>
      <c r="L50" s="52" t="n">
        <v>2.403</v>
      </c>
    </row>
    <row r="51" hidden="1" s="57">
      <c r="A51" s="38" t="n"/>
      <c r="B51" s="49" t="inlineStr">
        <is>
          <t>ABBV</t>
        </is>
      </c>
      <c r="C51" s="49" t="inlineStr">
        <is>
          <t>AbbVie</t>
        </is>
      </c>
      <c r="D51" s="50" t="inlineStr">
        <is>
          <t>Drug Manufacturers - General</t>
        </is>
      </c>
      <c r="E51" s="51" t="inlineStr">
        <is>
          <t xml:space="preserve">- </t>
        </is>
      </c>
      <c r="F51" s="51" t="n">
        <v>3.2</v>
      </c>
      <c r="G51" s="51" t="n">
        <v>3.1</v>
      </c>
      <c r="H51" s="52" t="n">
        <v>0.776</v>
      </c>
      <c r="I51" s="52" t="n">
        <v>0.402</v>
      </c>
      <c r="J51" s="52" t="n">
        <v>0.236</v>
      </c>
      <c r="K51" s="52" t="n">
        <v>0.384</v>
      </c>
      <c r="L51" s="52" t="n">
        <v>1.626</v>
      </c>
    </row>
    <row r="52" hidden="1" s="57">
      <c r="A52" s="38" t="n"/>
      <c r="B52" s="49" t="inlineStr">
        <is>
          <t>ALXN</t>
        </is>
      </c>
      <c r="C52" s="49" t="inlineStr">
        <is>
          <t>Alexion Pharmaceuticals</t>
        </is>
      </c>
      <c r="D52" s="50" t="inlineStr">
        <is>
          <t>Biotechnology</t>
        </is>
      </c>
      <c r="E52" s="51" t="n">
        <v>0.2</v>
      </c>
      <c r="F52" s="51" t="n">
        <v>4.3</v>
      </c>
      <c r="G52" s="51" t="n">
        <v>3.7</v>
      </c>
      <c r="H52" s="52" t="n">
        <v>0.921</v>
      </c>
      <c r="I52" s="52" t="n">
        <v>0.429</v>
      </c>
      <c r="J52" s="52" t="n">
        <v>0.481</v>
      </c>
      <c r="K52" s="52" t="n">
        <v>0.384</v>
      </c>
      <c r="L52" s="52" t="n">
        <v>0.798</v>
      </c>
    </row>
    <row r="53" hidden="1" s="57">
      <c r="A53" s="38" t="n"/>
      <c r="B53" s="49" t="inlineStr">
        <is>
          <t>MO</t>
        </is>
      </c>
      <c r="C53" s="49" t="inlineStr">
        <is>
          <t>Altria Group</t>
        </is>
      </c>
      <c r="D53" s="50" t="inlineStr">
        <is>
          <t>Tobacco</t>
        </is>
      </c>
      <c r="E53" s="51" t="n">
        <v>4.5</v>
      </c>
      <c r="F53" s="51" t="n">
        <v>0.6</v>
      </c>
      <c r="G53" s="51" t="n">
        <v>0.3</v>
      </c>
      <c r="H53" s="52" t="n">
        <v>0.642</v>
      </c>
      <c r="I53" s="52" t="n">
        <v>0.53</v>
      </c>
      <c r="J53" s="52" t="n">
        <v>-0.068</v>
      </c>
      <c r="K53" s="52" t="n">
        <v>0.382</v>
      </c>
      <c r="L53" s="51" t="inlineStr">
        <is>
          <t xml:space="preserve">- </t>
        </is>
      </c>
    </row>
    <row r="54" hidden="1" s="57">
      <c r="A54" s="38" t="n"/>
      <c r="B54" s="49" t="inlineStr">
        <is>
          <t>AXP</t>
        </is>
      </c>
      <c r="C54" s="49" t="inlineStr">
        <is>
          <t>American Express</t>
        </is>
      </c>
      <c r="D54" s="50" t="inlineStr">
        <is>
          <t>Credit Services</t>
        </is>
      </c>
      <c r="E54" s="51" t="n">
        <v>2.8</v>
      </c>
      <c r="F54" s="51" t="inlineStr">
        <is>
          <t xml:space="preserve">- </t>
        </is>
      </c>
      <c r="G54" s="51" t="inlineStr">
        <is>
          <t xml:space="preserve">- </t>
        </is>
      </c>
      <c r="H54" s="52" t="n">
        <v>0</v>
      </c>
      <c r="I54" s="52" t="n">
        <v>0.389</v>
      </c>
      <c r="J54" s="52" t="n">
        <v>0.219</v>
      </c>
      <c r="K54" s="52" t="n">
        <v>0.38</v>
      </c>
      <c r="L54" s="52" t="n">
        <v>1.738</v>
      </c>
    </row>
    <row r="55" hidden="1" s="57">
      <c r="A55" s="38" t="n"/>
      <c r="B55" s="49" t="inlineStr">
        <is>
          <t>NTRS</t>
        </is>
      </c>
      <c r="C55" s="49" t="inlineStr">
        <is>
          <t>Northern Trust</t>
        </is>
      </c>
      <c r="D55" s="50" t="inlineStr">
        <is>
          <t>Asset Management</t>
        </is>
      </c>
      <c r="E55" s="51" t="n">
        <v>1</v>
      </c>
      <c r="F55" s="51" t="inlineStr">
        <is>
          <t xml:space="preserve">- </t>
        </is>
      </c>
      <c r="G55" s="51" t="inlineStr">
        <is>
          <t xml:space="preserve">- </t>
        </is>
      </c>
      <c r="H55" s="52" t="n">
        <v>0</v>
      </c>
      <c r="I55" s="52" t="n">
        <v>0.364</v>
      </c>
      <c r="J55" s="52" t="n">
        <v>0.282</v>
      </c>
      <c r="K55" s="52" t="n">
        <v>0.378</v>
      </c>
      <c r="L55" s="52" t="n">
        <v>1.343</v>
      </c>
    </row>
    <row r="56" hidden="1" s="57">
      <c r="A56" s="38" t="n"/>
      <c r="B56" s="49" t="inlineStr">
        <is>
          <t>GILD</t>
        </is>
      </c>
      <c r="C56" s="49" t="inlineStr">
        <is>
          <t>Gilead Sciences</t>
        </is>
      </c>
      <c r="D56" s="50" t="inlineStr">
        <is>
          <t>Drug Manufacturers - General</t>
        </is>
      </c>
      <c r="E56" s="51" t="n">
        <v>1.1</v>
      </c>
      <c r="F56" s="51" t="n">
        <v>3.1</v>
      </c>
      <c r="G56" s="51" t="n">
        <v>3</v>
      </c>
      <c r="H56" s="52" t="n">
        <v>0.792</v>
      </c>
      <c r="I56" s="52" t="n">
        <v>0.189</v>
      </c>
      <c r="J56" s="52" t="n">
        <v>0.239</v>
      </c>
      <c r="K56" s="52" t="n">
        <v>0.372</v>
      </c>
      <c r="L56" s="52" t="n">
        <v>1.56</v>
      </c>
    </row>
    <row r="57" hidden="1" s="57">
      <c r="A57" s="38" t="n"/>
      <c r="B57" s="49" t="inlineStr">
        <is>
          <t>ADBE</t>
        </is>
      </c>
      <c r="C57" s="49" t="inlineStr">
        <is>
          <t>Adobe</t>
        </is>
      </c>
      <c r="D57" s="50" t="inlineStr">
        <is>
          <t>Software - Infrastructure</t>
        </is>
      </c>
      <c r="E57" s="51" t="n">
        <v>0.5</v>
      </c>
      <c r="F57" s="51" t="n">
        <v>1.2</v>
      </c>
      <c r="G57" s="51" t="n">
        <v>1.2</v>
      </c>
      <c r="H57" s="52" t="n">
        <v>0.852</v>
      </c>
      <c r="I57" s="52" t="n">
        <v>0.301</v>
      </c>
      <c r="J57" s="52" t="n">
        <v>0.277</v>
      </c>
      <c r="K57" s="52" t="n">
        <v>0.37</v>
      </c>
      <c r="L57" s="52" t="n">
        <v>1.334</v>
      </c>
    </row>
    <row r="58" hidden="1" s="57">
      <c r="A58" s="38" t="n"/>
      <c r="B58" s="49" t="inlineStr">
        <is>
          <t>AMGN</t>
        </is>
      </c>
      <c r="C58" s="49" t="inlineStr">
        <is>
          <t>Amgen</t>
        </is>
      </c>
      <c r="D58" s="50" t="inlineStr">
        <is>
          <t>Drug Manufacturers - General</t>
        </is>
      </c>
      <c r="E58" s="51" t="n">
        <v>3.1</v>
      </c>
      <c r="F58" s="51" t="n">
        <v>1.4</v>
      </c>
      <c r="G58" s="51" t="n">
        <v>1.2</v>
      </c>
      <c r="H58" s="52" t="n">
        <v>0.8139999999999999</v>
      </c>
      <c r="I58" s="52" t="n">
        <v>0.414</v>
      </c>
      <c r="J58" s="52" t="n">
        <v>0.335</v>
      </c>
      <c r="K58" s="52" t="n">
        <v>0.366</v>
      </c>
      <c r="L58" s="52" t="n">
        <v>1.091</v>
      </c>
    </row>
    <row r="59" hidden="1" s="57">
      <c r="A59" s="38" t="n"/>
      <c r="B59" s="49" t="inlineStr">
        <is>
          <t>AMT</t>
        </is>
      </c>
      <c r="C59" s="49" t="inlineStr">
        <is>
          <t>American Tower</t>
        </is>
      </c>
      <c r="D59" s="50" t="inlineStr">
        <is>
          <t>REIT - Specialty</t>
        </is>
      </c>
      <c r="E59" s="51" t="n">
        <v>6.1</v>
      </c>
      <c r="F59" s="51" t="n">
        <v>0.5</v>
      </c>
      <c r="G59" s="51" t="n">
        <v>0.5</v>
      </c>
      <c r="H59" s="52" t="n">
        <v>0.708</v>
      </c>
      <c r="I59" s="52" t="n">
        <v>0.355</v>
      </c>
      <c r="J59" s="52" t="n">
        <v>0.249</v>
      </c>
      <c r="K59" s="52" t="n">
        <v>0.365</v>
      </c>
      <c r="L59" s="52" t="n">
        <v>1.463</v>
      </c>
    </row>
    <row r="60" hidden="1" s="57">
      <c r="A60" s="38" t="n"/>
      <c r="B60" s="49" t="inlineStr">
        <is>
          <t>ICE</t>
        </is>
      </c>
      <c r="C60" s="49" t="inlineStr">
        <is>
          <t>Intercontinental Exchange</t>
        </is>
      </c>
      <c r="D60" s="50" t="inlineStr">
        <is>
          <t>Financial Data &amp; Stock Exchanges</t>
        </is>
      </c>
      <c r="E60" s="51" t="n">
        <v>0.5</v>
      </c>
      <c r="F60" s="51" t="n">
        <v>1</v>
      </c>
      <c r="G60" s="51" t="n">
        <v>1</v>
      </c>
      <c r="H60" s="52" t="n">
        <v>0.795</v>
      </c>
      <c r="I60" s="52" t="n">
        <v>0.409</v>
      </c>
      <c r="J60" s="52" t="n">
        <v>0.295</v>
      </c>
      <c r="K60" s="52" t="n">
        <v>0.359</v>
      </c>
      <c r="L60" s="52" t="n">
        <v>1.218</v>
      </c>
    </row>
    <row r="61" hidden="1" s="57">
      <c r="A61" s="38" t="n"/>
      <c r="B61" s="49" t="inlineStr">
        <is>
          <t>VRTX</t>
        </is>
      </c>
      <c r="C61" s="49" t="inlineStr">
        <is>
          <t>Vertex Pharmaceuticals</t>
        </is>
      </c>
      <c r="D61" s="50" t="inlineStr">
        <is>
          <t>Biotechnology</t>
        </is>
      </c>
      <c r="E61" s="51" t="n">
        <v>0.1</v>
      </c>
      <c r="F61" s="51" t="n">
        <v>3.6</v>
      </c>
      <c r="G61" s="51" t="n">
        <v>3.4</v>
      </c>
      <c r="H61" s="52" t="n">
        <v>0.868</v>
      </c>
      <c r="I61" s="52" t="n">
        <v>0.288</v>
      </c>
      <c r="J61" s="52" t="n">
        <v>0.282</v>
      </c>
      <c r="K61" s="52" t="n">
        <v>0.359</v>
      </c>
      <c r="L61" s="52" t="n">
        <v>1.271</v>
      </c>
    </row>
    <row r="62" hidden="1" s="57">
      <c r="A62" s="38" t="n"/>
      <c r="B62" s="49" t="inlineStr">
        <is>
          <t>MTB</t>
        </is>
      </c>
      <c r="C62" s="49" t="inlineStr">
        <is>
          <t>M&amp;T Bank</t>
        </is>
      </c>
      <c r="D62" s="50" t="inlineStr">
        <is>
          <t>Banks - Regional</t>
        </is>
      </c>
      <c r="E62" s="51" t="n">
        <v>0.4</v>
      </c>
      <c r="F62" s="51" t="inlineStr">
        <is>
          <t xml:space="preserve">- </t>
        </is>
      </c>
      <c r="G62" s="51" t="inlineStr">
        <is>
          <t xml:space="preserve">- </t>
        </is>
      </c>
      <c r="H62" s="52" t="n">
        <v>0</v>
      </c>
      <c r="I62" s="52" t="n">
        <v>0.44</v>
      </c>
      <c r="J62" s="52" t="n">
        <v>0.312</v>
      </c>
      <c r="K62" s="52" t="n">
        <v>0.353</v>
      </c>
      <c r="L62" s="52" t="n">
        <v>1.134</v>
      </c>
    </row>
    <row r="63" hidden="1" s="57">
      <c r="A63" s="38" t="n"/>
      <c r="B63" s="49" t="inlineStr">
        <is>
          <t>VNO</t>
        </is>
      </c>
      <c r="C63" s="49" t="inlineStr">
        <is>
          <t>Vornado Realty</t>
        </is>
      </c>
      <c r="D63" s="50" t="inlineStr">
        <is>
          <t>REIT - Office</t>
        </is>
      </c>
      <c r="E63" s="51" t="n">
        <v>1.2</v>
      </c>
      <c r="F63" s="51" t="n">
        <v>3.4</v>
      </c>
      <c r="G63" s="51" t="n">
        <v>3.4</v>
      </c>
      <c r="H63" s="52" t="n">
        <v>0.523</v>
      </c>
      <c r="I63" s="52" t="n">
        <v>0.217</v>
      </c>
      <c r="J63" s="52" t="n">
        <v>1.651</v>
      </c>
      <c r="K63" s="52" t="n">
        <v>0.347</v>
      </c>
      <c r="L63" s="52" t="n">
        <v>0.21</v>
      </c>
    </row>
    <row r="64" hidden="1" s="57">
      <c r="A64" s="38" t="n"/>
      <c r="B64" s="49" t="inlineStr">
        <is>
          <t>ADI</t>
        </is>
      </c>
      <c r="C64" s="49" t="inlineStr">
        <is>
          <t>Analog Devices</t>
        </is>
      </c>
      <c r="D64" s="50" t="inlineStr">
        <is>
          <t>Semiconductors</t>
        </is>
      </c>
      <c r="E64" s="51" t="n">
        <v>0.5</v>
      </c>
      <c r="F64" s="51" t="n">
        <v>1.1</v>
      </c>
      <c r="G64" s="51" t="n">
        <v>0.8</v>
      </c>
      <c r="H64" s="52" t="n">
        <v>0.664</v>
      </c>
      <c r="I64" s="52" t="n">
        <v>0.28</v>
      </c>
      <c r="J64" s="52" t="n">
        <v>0.21</v>
      </c>
      <c r="K64" s="52" t="n">
        <v>0.346</v>
      </c>
      <c r="L64" s="52" t="n">
        <v>1.644</v>
      </c>
    </row>
    <row r="65" hidden="1" s="57">
      <c r="A65" s="38" t="n"/>
      <c r="B65" s="49" t="inlineStr">
        <is>
          <t>MXIM</t>
        </is>
      </c>
      <c r="C65" s="49" t="inlineStr">
        <is>
          <t>Maxim Integrated Products</t>
        </is>
      </c>
      <c r="D65" s="50" t="inlineStr">
        <is>
          <t>Semiconductors</t>
        </is>
      </c>
      <c r="E65" s="51" t="n">
        <v>0.6</v>
      </c>
      <c r="F65" s="51" t="n">
        <v>6.6</v>
      </c>
      <c r="G65" s="51" t="n">
        <v>6</v>
      </c>
      <c r="H65" s="52" t="n">
        <v>0.642</v>
      </c>
      <c r="I65" s="52" t="n">
        <v>0.304</v>
      </c>
      <c r="J65" s="52" t="n">
        <v>0.361</v>
      </c>
      <c r="K65" s="52" t="n">
        <v>0.338</v>
      </c>
      <c r="L65" s="52" t="n">
        <v>0.9360000000000001</v>
      </c>
    </row>
    <row r="66" hidden="1" s="57">
      <c r="A66" s="38" t="n"/>
      <c r="B66" s="49" t="inlineStr">
        <is>
          <t>SIVB</t>
        </is>
      </c>
      <c r="C66" s="49" t="inlineStr">
        <is>
          <t>SVB Financial</t>
        </is>
      </c>
      <c r="D66" s="50" t="inlineStr">
        <is>
          <t>Banks - Regional</t>
        </is>
      </c>
      <c r="E66" s="51" t="n">
        <v>0.1</v>
      </c>
      <c r="F66" s="51" t="inlineStr">
        <is>
          <t xml:space="preserve">- </t>
        </is>
      </c>
      <c r="G66" s="51" t="inlineStr">
        <is>
          <t xml:space="preserve">- </t>
        </is>
      </c>
      <c r="H66" s="52" t="n">
        <v>0</v>
      </c>
      <c r="I66" s="52" t="n">
        <v>0.529</v>
      </c>
      <c r="J66" s="52" t="n">
        <v>0.349</v>
      </c>
      <c r="K66" s="52" t="n">
        <v>0.336</v>
      </c>
      <c r="L66" s="52" t="n">
        <v>0.964</v>
      </c>
    </row>
    <row r="67" hidden="1" s="57">
      <c r="A67" s="38" t="n"/>
      <c r="B67" s="49" t="inlineStr">
        <is>
          <t>MCO</t>
        </is>
      </c>
      <c r="C67" s="49" t="inlineStr">
        <is>
          <t>Moody's</t>
        </is>
      </c>
      <c r="D67" s="50" t="inlineStr">
        <is>
          <t>Financial Data &amp; Stock Exchanges</t>
        </is>
      </c>
      <c r="E67" s="51" t="n">
        <v>10.1</v>
      </c>
      <c r="F67" s="51" t="n">
        <v>1.9</v>
      </c>
      <c r="G67" s="51" t="n">
        <v>1.9</v>
      </c>
      <c r="H67" s="52" t="n">
        <v>0.713</v>
      </c>
      <c r="I67" s="52" t="n">
        <v>0.43</v>
      </c>
      <c r="J67" s="52" t="n">
        <v>0.294</v>
      </c>
      <c r="K67" s="52" t="n">
        <v>0.333</v>
      </c>
      <c r="L67" s="52" t="n">
        <v>1.132</v>
      </c>
    </row>
    <row r="68" hidden="1" s="57">
      <c r="A68" s="38" t="n"/>
      <c r="B68" s="49" t="inlineStr">
        <is>
          <t>FTNT</t>
        </is>
      </c>
      <c r="C68" s="49" t="inlineStr">
        <is>
          <t>Fortinet</t>
        </is>
      </c>
      <c r="D68" s="50" t="inlineStr">
        <is>
          <t>Software - Infrastructure</t>
        </is>
      </c>
      <c r="E68" s="51" t="n">
        <v>0</v>
      </c>
      <c r="F68" s="51" t="n">
        <v>1.9</v>
      </c>
      <c r="G68" s="51" t="n">
        <v>1.8</v>
      </c>
      <c r="H68" s="52" t="n">
        <v>0.765</v>
      </c>
      <c r="I68" s="52" t="n">
        <v>0.16</v>
      </c>
      <c r="J68" s="52" t="n">
        <v>0.152</v>
      </c>
      <c r="K68" s="52" t="n">
        <v>0.331</v>
      </c>
      <c r="L68" s="52" t="n">
        <v>2.184</v>
      </c>
    </row>
    <row r="69" hidden="1" s="57">
      <c r="A69" s="38" t="n"/>
      <c r="B69" s="49" t="inlineStr">
        <is>
          <t>PFG</t>
        </is>
      </c>
      <c r="C69" s="49" t="inlineStr">
        <is>
          <t>Principal Financial Group</t>
        </is>
      </c>
      <c r="D69" s="50" t="inlineStr">
        <is>
          <t>Insurance - Diversified</t>
        </is>
      </c>
      <c r="E69" s="51" t="n">
        <v>0.3</v>
      </c>
      <c r="F69" s="51" t="inlineStr">
        <is>
          <t xml:space="preserve">- </t>
        </is>
      </c>
      <c r="G69" s="51" t="inlineStr">
        <is>
          <t xml:space="preserve">- </t>
        </is>
      </c>
      <c r="H69" s="52" t="n">
        <v>0</v>
      </c>
      <c r="I69" s="52" t="n">
        <v>0</v>
      </c>
      <c r="J69" s="52" t="n">
        <v>0.08599999999999999</v>
      </c>
      <c r="K69" s="52" t="n">
        <v>0.331</v>
      </c>
      <c r="L69" s="52" t="n">
        <v>3.861</v>
      </c>
    </row>
    <row r="70" hidden="1" s="57">
      <c r="A70" s="38" t="n"/>
      <c r="B70" s="49" t="inlineStr">
        <is>
          <t>EA</t>
        </is>
      </c>
      <c r="C70" s="49" t="inlineStr">
        <is>
          <t>Electronic Arts</t>
        </is>
      </c>
      <c r="D70" s="50" t="inlineStr">
        <is>
          <t>Electronic Gaming &amp; Multimedia</t>
        </is>
      </c>
      <c r="E70" s="51" t="n">
        <v>0.2</v>
      </c>
      <c r="F70" s="51" t="n">
        <v>2.8</v>
      </c>
      <c r="G70" s="51" t="n">
        <v>2.8</v>
      </c>
      <c r="H70" s="52" t="n">
        <v>0.744</v>
      </c>
      <c r="I70" s="52" t="n">
        <v>0.234</v>
      </c>
      <c r="J70" s="52" t="n">
        <v>0.529</v>
      </c>
      <c r="K70" s="52" t="n">
        <v>0.326</v>
      </c>
      <c r="L70" s="52" t="n">
        <v>0.616</v>
      </c>
    </row>
    <row r="71" hidden="1" s="57">
      <c r="A71" s="38" t="n"/>
      <c r="B71" s="49" t="inlineStr">
        <is>
          <t>COG</t>
        </is>
      </c>
      <c r="C71" s="49" t="inlineStr">
        <is>
          <t>Cabot Oil &amp; Gas</t>
        </is>
      </c>
      <c r="D71" s="50" t="inlineStr">
        <is>
          <t>Oil &amp; Gas E&amp;P</t>
        </is>
      </c>
      <c r="E71" s="51" t="n">
        <v>0.6</v>
      </c>
      <c r="F71" s="51" t="n">
        <v>1.7</v>
      </c>
      <c r="G71" s="51" t="n">
        <v>1.5</v>
      </c>
      <c r="H71" s="52" t="n">
        <v>0.487</v>
      </c>
      <c r="I71" s="52" t="n">
        <v>0.423</v>
      </c>
      <c r="J71" s="52" t="n">
        <v>0.329</v>
      </c>
      <c r="K71" s="52" t="n">
        <v>0.314</v>
      </c>
      <c r="L71" s="52" t="n">
        <v>0.956</v>
      </c>
    </row>
    <row r="72" hidden="1" s="57">
      <c r="A72" s="38" t="n"/>
      <c r="B72" s="49" t="inlineStr">
        <is>
          <t>HBAN</t>
        </is>
      </c>
      <c r="C72" s="49" t="inlineStr">
        <is>
          <t>Huntington Bancshares</t>
        </is>
      </c>
      <c r="D72" s="50" t="inlineStr">
        <is>
          <t>Banks - Regional</t>
        </is>
      </c>
      <c r="E72" s="51" t="n">
        <v>1</v>
      </c>
      <c r="F72" s="51" t="inlineStr">
        <is>
          <t xml:space="preserve">- </t>
        </is>
      </c>
      <c r="G72" s="51" t="inlineStr">
        <is>
          <t xml:space="preserve">- </t>
        </is>
      </c>
      <c r="H72" s="52" t="n">
        <v>0</v>
      </c>
      <c r="I72" s="52" t="n">
        <v>0.417</v>
      </c>
      <c r="J72" s="52" t="n">
        <v>0.302</v>
      </c>
      <c r="K72" s="52" t="n">
        <v>0.313</v>
      </c>
      <c r="L72" s="52" t="n">
        <v>1.037</v>
      </c>
    </row>
    <row r="73" hidden="1" s="57">
      <c r="A73" s="38" t="n"/>
      <c r="B73" s="49" t="inlineStr">
        <is>
          <t>ORCL</t>
        </is>
      </c>
      <c r="C73" s="49" t="inlineStr">
        <is>
          <t>Oracle</t>
        </is>
      </c>
      <c r="D73" s="50" t="inlineStr">
        <is>
          <t>Software - Infrastructure</t>
        </is>
      </c>
      <c r="E73" s="51" t="n">
        <v>3.6</v>
      </c>
      <c r="F73" s="51" t="n">
        <v>2.1</v>
      </c>
      <c r="G73" s="51" t="n">
        <v>2.1</v>
      </c>
      <c r="H73" s="52" t="n">
        <v>0.798</v>
      </c>
      <c r="I73" s="52" t="n">
        <v>0.358</v>
      </c>
      <c r="J73" s="52" t="n">
        <v>0.271</v>
      </c>
      <c r="K73" s="52" t="n">
        <v>0.312</v>
      </c>
      <c r="L73" s="52" t="n">
        <v>1.153</v>
      </c>
    </row>
    <row r="74" hidden="1" s="57">
      <c r="A74" s="38" t="n"/>
      <c r="B74" s="49" t="inlineStr">
        <is>
          <t>PM</t>
        </is>
      </c>
      <c r="C74" s="49" t="inlineStr">
        <is>
          <t>Philip Morris Intl</t>
        </is>
      </c>
      <c r="D74" s="50" t="inlineStr">
        <is>
          <t>Tobacco</t>
        </is>
      </c>
      <c r="E74" s="51" t="inlineStr">
        <is>
          <t xml:space="preserve">- </t>
        </is>
      </c>
      <c r="F74" s="51" t="n">
        <v>1.1</v>
      </c>
      <c r="G74" s="51" t="n">
        <v>0.6</v>
      </c>
      <c r="H74" s="52" t="n">
        <v>0.647</v>
      </c>
      <c r="I74" s="52" t="n">
        <v>0.351</v>
      </c>
      <c r="J74" s="52" t="n">
        <v>0.242</v>
      </c>
      <c r="K74" s="52" t="n">
        <v>0.312</v>
      </c>
      <c r="L74" s="52" t="n">
        <v>1.291</v>
      </c>
    </row>
    <row r="75" hidden="1" s="57">
      <c r="A75" s="38" t="n"/>
      <c r="B75" s="49" t="inlineStr">
        <is>
          <t>XLNX</t>
        </is>
      </c>
      <c r="C75" s="49" t="inlineStr">
        <is>
          <t>Xilinx</t>
        </is>
      </c>
      <c r="D75" s="50" t="inlineStr">
        <is>
          <t>Semiconductors</t>
        </is>
      </c>
      <c r="E75" s="51" t="n">
        <v>0.5</v>
      </c>
      <c r="F75" s="51" t="n">
        <v>6.1</v>
      </c>
      <c r="G75" s="51" t="n">
        <v>5.4</v>
      </c>
      <c r="H75" s="52" t="n">
        <v>0.663</v>
      </c>
      <c r="I75" s="52" t="n">
        <v>0.267</v>
      </c>
      <c r="J75" s="52" t="n">
        <v>0.27</v>
      </c>
      <c r="K75" s="52" t="n">
        <v>0.312</v>
      </c>
      <c r="L75" s="52" t="n">
        <v>1.153</v>
      </c>
    </row>
    <row r="76" hidden="1" s="57">
      <c r="A76" s="38" t="n"/>
      <c r="B76" s="49" t="inlineStr">
        <is>
          <t>DRE</t>
        </is>
      </c>
      <c r="C76" s="49" t="inlineStr">
        <is>
          <t>Duke Realty</t>
        </is>
      </c>
      <c r="D76" s="50" t="inlineStr">
        <is>
          <t>REIT - Industrial</t>
        </is>
      </c>
      <c r="E76" s="51" t="n">
        <v>0.6</v>
      </c>
      <c r="F76" s="51" t="n">
        <v>4.2</v>
      </c>
      <c r="G76" s="51" t="n">
        <v>4.2</v>
      </c>
      <c r="H76" s="52" t="n">
        <v>0.676</v>
      </c>
      <c r="I76" s="52" t="n">
        <v>0.259</v>
      </c>
      <c r="J76" s="52" t="n">
        <v>0.444</v>
      </c>
      <c r="K76" s="52" t="n">
        <v>0.306</v>
      </c>
      <c r="L76" s="52" t="n">
        <v>0.6889999999999999</v>
      </c>
    </row>
    <row r="77" hidden="1" s="57">
      <c r="A77" s="38" t="n"/>
      <c r="B77" s="49" t="inlineStr">
        <is>
          <t>ABMD</t>
        </is>
      </c>
      <c r="C77" s="49" t="inlineStr">
        <is>
          <t>Abiomed</t>
        </is>
      </c>
      <c r="D77" s="50" t="inlineStr">
        <is>
          <t>Medical Devices</t>
        </is>
      </c>
      <c r="E77" s="51" t="n">
        <v>0</v>
      </c>
      <c r="F77" s="51" t="n">
        <v>5</v>
      </c>
      <c r="G77" s="51" t="n">
        <v>4.2</v>
      </c>
      <c r="H77" s="52" t="n">
        <v>0.826</v>
      </c>
      <c r="I77" s="52" t="n">
        <v>0.305</v>
      </c>
      <c r="J77" s="52" t="n">
        <v>0.291</v>
      </c>
      <c r="K77" s="52" t="n">
        <v>0.305</v>
      </c>
      <c r="L77" s="52" t="n">
        <v>1.05</v>
      </c>
    </row>
    <row r="78" hidden="1" s="57">
      <c r="A78" s="38" t="n"/>
      <c r="B78" s="49" t="inlineStr">
        <is>
          <t>SLG</t>
        </is>
      </c>
      <c r="C78" s="49" t="inlineStr">
        <is>
          <t>SL Green Realty</t>
        </is>
      </c>
      <c r="D78" s="50" t="inlineStr">
        <is>
          <t>REIT - Office</t>
        </is>
      </c>
      <c r="E78" s="51" t="n">
        <v>1</v>
      </c>
      <c r="F78" s="51" t="n">
        <v>3.7</v>
      </c>
      <c r="G78" s="51" t="n">
        <v>3.7</v>
      </c>
      <c r="H78" s="52" t="n">
        <v>0.63</v>
      </c>
      <c r="I78" s="52" t="n">
        <v>0.323</v>
      </c>
      <c r="J78" s="52" t="n">
        <v>0.228</v>
      </c>
      <c r="K78" s="52" t="n">
        <v>0.305</v>
      </c>
      <c r="L78" s="52" t="n">
        <v>1.339</v>
      </c>
    </row>
    <row r="79" hidden="1" s="57">
      <c r="A79" s="38" t="n"/>
      <c r="B79" s="49" t="inlineStr">
        <is>
          <t>PRU</t>
        </is>
      </c>
      <c r="C79" s="49" t="inlineStr">
        <is>
          <t>Prudential Financial</t>
        </is>
      </c>
      <c r="D79" s="50" t="inlineStr">
        <is>
          <t>Insurance - Life</t>
        </is>
      </c>
      <c r="E79" s="51" t="n">
        <v>0.4</v>
      </c>
      <c r="F79" s="51" t="inlineStr">
        <is>
          <t xml:space="preserve">- </t>
        </is>
      </c>
      <c r="G79" s="51" t="inlineStr">
        <is>
          <t xml:space="preserve">- </t>
        </is>
      </c>
      <c r="H79" s="52" t="n">
        <v>0</v>
      </c>
      <c r="I79" s="52" t="n">
        <v>0</v>
      </c>
      <c r="J79" s="52" t="n">
        <v>0.065</v>
      </c>
      <c r="K79" s="52" t="n">
        <v>0.304</v>
      </c>
      <c r="L79" s="52" t="n">
        <v>4.702</v>
      </c>
    </row>
    <row r="80" hidden="1" s="57">
      <c r="A80" s="38" t="n"/>
      <c r="B80" s="49" t="inlineStr">
        <is>
          <t>CMA</t>
        </is>
      </c>
      <c r="C80" s="49" t="inlineStr">
        <is>
          <t>Comerica</t>
        </is>
      </c>
      <c r="D80" s="50" t="inlineStr">
        <is>
          <t>Banks - Regional</t>
        </is>
      </c>
      <c r="E80" s="51" t="n">
        <v>1</v>
      </c>
      <c r="F80" s="51" t="inlineStr">
        <is>
          <t xml:space="preserve">- </t>
        </is>
      </c>
      <c r="G80" s="51" t="inlineStr">
        <is>
          <t xml:space="preserve">- </t>
        </is>
      </c>
      <c r="H80" s="52" t="n">
        <v>0</v>
      </c>
      <c r="I80" s="52" t="n">
        <v>0.479</v>
      </c>
      <c r="J80" s="52" t="n">
        <v>0.358</v>
      </c>
      <c r="K80" s="52" t="n">
        <v>0.303</v>
      </c>
      <c r="L80" s="52" t="n">
        <v>0.848</v>
      </c>
    </row>
    <row r="81" hidden="1" s="57">
      <c r="A81" s="38" t="n"/>
      <c r="B81" s="49" t="inlineStr">
        <is>
          <t>MSFT</t>
        </is>
      </c>
      <c r="C81" s="49" t="inlineStr">
        <is>
          <t>Microsoft</t>
        </is>
      </c>
      <c r="D81" s="50" t="inlineStr">
        <is>
          <t>Software - Infrastructure</t>
        </is>
      </c>
      <c r="E81" s="51" t="n">
        <v>0.7</v>
      </c>
      <c r="F81" s="51" t="n">
        <v>2.8</v>
      </c>
      <c r="G81" s="51" t="n">
        <v>2.8</v>
      </c>
      <c r="H81" s="52" t="n">
        <v>0.677</v>
      </c>
      <c r="I81" s="52" t="n">
        <v>0.368</v>
      </c>
      <c r="J81" s="52" t="n">
        <v>0.331</v>
      </c>
      <c r="K81" s="52" t="n">
        <v>0.302</v>
      </c>
      <c r="L81" s="52" t="n">
        <v>0.913</v>
      </c>
    </row>
    <row r="82" hidden="1" s="57">
      <c r="A82" s="38" t="n"/>
      <c r="B82" s="49" t="inlineStr">
        <is>
          <t>BKNG</t>
        </is>
      </c>
      <c r="C82" s="49" t="inlineStr">
        <is>
          <t>Booking Holdings</t>
        </is>
      </c>
      <c r="D82" s="50" t="inlineStr">
        <is>
          <t>Travel Services</t>
        </is>
      </c>
      <c r="E82" s="51" t="n">
        <v>1.5</v>
      </c>
      <c r="F82" s="51" t="n">
        <v>1.8</v>
      </c>
      <c r="G82" s="51" t="n">
        <v>1.8</v>
      </c>
      <c r="H82" s="52" t="n">
        <v>0</v>
      </c>
      <c r="I82" s="52" t="n">
        <v>0.356</v>
      </c>
      <c r="J82" s="52" t="n">
        <v>0.323</v>
      </c>
      <c r="K82" s="52" t="n">
        <v>0.301</v>
      </c>
      <c r="L82" s="52" t="n">
        <v>0.93</v>
      </c>
    </row>
    <row r="83" hidden="1" s="57">
      <c r="A83" s="38" t="n"/>
      <c r="B83" s="49" t="inlineStr">
        <is>
          <t>ANSS</t>
        </is>
      </c>
      <c r="C83" s="49" t="inlineStr">
        <is>
          <t>Ansys</t>
        </is>
      </c>
      <c r="D83" s="50" t="inlineStr">
        <is>
          <t>Software - Application</t>
        </is>
      </c>
      <c r="E83" s="51" t="n">
        <v>0.2</v>
      </c>
      <c r="F83" s="51" t="n">
        <v>2.2</v>
      </c>
      <c r="G83" s="51" t="n">
        <v>2.2</v>
      </c>
      <c r="H83" s="52" t="n">
        <v>0.89</v>
      </c>
      <c r="I83" s="52" t="n">
        <v>0.34</v>
      </c>
      <c r="J83" s="52" t="n">
        <v>0.298</v>
      </c>
      <c r="K83" s="52" t="n">
        <v>0.299</v>
      </c>
      <c r="L83" s="52" t="n">
        <v>1.003</v>
      </c>
    </row>
    <row r="84" hidden="1" s="57">
      <c r="A84" s="38" t="n"/>
      <c r="B84" s="49" t="inlineStr">
        <is>
          <t>FB</t>
        </is>
      </c>
      <c r="C84" s="49" t="inlineStr">
        <is>
          <t>Facebook</t>
        </is>
      </c>
      <c r="D84" s="50" t="inlineStr">
        <is>
          <t>Internet Content &amp; Information</t>
        </is>
      </c>
      <c r="E84" s="51" t="n">
        <v>0.1</v>
      </c>
      <c r="F84" s="51" t="n">
        <v>4.4</v>
      </c>
      <c r="G84" s="51" t="n">
        <v>4.4</v>
      </c>
      <c r="H84" s="52" t="n">
        <v>0.819</v>
      </c>
      <c r="I84" s="52" t="n">
        <v>0.34</v>
      </c>
      <c r="J84" s="52" t="n">
        <v>0.262</v>
      </c>
      <c r="K84" s="52" t="n">
        <v>0.299</v>
      </c>
      <c r="L84" s="52" t="n">
        <v>1.141</v>
      </c>
    </row>
    <row r="85" hidden="1" s="57">
      <c r="A85" s="38" t="n"/>
      <c r="B85" s="49" t="inlineStr">
        <is>
          <t>INTU</t>
        </is>
      </c>
      <c r="C85" s="49" t="inlineStr">
        <is>
          <t>Intuit</t>
        </is>
      </c>
      <c r="D85" s="50" t="inlineStr">
        <is>
          <t>Software - Application</t>
        </is>
      </c>
      <c r="E85" s="51" t="n">
        <v>0.2</v>
      </c>
      <c r="F85" s="51" t="n">
        <v>1.7</v>
      </c>
      <c r="G85" s="51" t="n">
        <v>1.7</v>
      </c>
      <c r="H85" s="52" t="n">
        <v>0.821</v>
      </c>
      <c r="I85" s="52" t="n">
        <v>0.264</v>
      </c>
      <c r="J85" s="52" t="n">
        <v>0.226</v>
      </c>
      <c r="K85" s="52" t="n">
        <v>0.299</v>
      </c>
      <c r="L85" s="52" t="n">
        <v>1.325</v>
      </c>
    </row>
    <row r="86" hidden="1" s="57">
      <c r="A86" s="38" t="n"/>
      <c r="B86" s="49" t="inlineStr">
        <is>
          <t>WELL</t>
        </is>
      </c>
      <c r="C86" s="49" t="inlineStr">
        <is>
          <t>Welltower</t>
        </is>
      </c>
      <c r="D86" s="50" t="inlineStr">
        <is>
          <t>REIT - Healthcare Facilities</t>
        </is>
      </c>
      <c r="E86" s="51" t="n">
        <v>1</v>
      </c>
      <c r="F86" s="51" t="n">
        <v>1.9</v>
      </c>
      <c r="G86" s="51" t="n">
        <v>1.9</v>
      </c>
      <c r="H86" s="52" t="n">
        <v>0.364</v>
      </c>
      <c r="I86" s="52" t="n">
        <v>0.134</v>
      </c>
      <c r="J86" s="52" t="n">
        <v>0.242</v>
      </c>
      <c r="K86" s="52" t="n">
        <v>0.299</v>
      </c>
      <c r="L86" s="52" t="n">
        <v>1.234</v>
      </c>
    </row>
    <row r="87" hidden="1" s="57">
      <c r="A87" s="38" t="n"/>
      <c r="B87" s="49" t="inlineStr">
        <is>
          <t>INCY</t>
        </is>
      </c>
      <c r="C87" s="49" t="inlineStr">
        <is>
          <t>Incyte</t>
        </is>
      </c>
      <c r="D87" s="50" t="inlineStr">
        <is>
          <t>Biotechnology</t>
        </is>
      </c>
      <c r="E87" s="51" t="n">
        <v>0</v>
      </c>
      <c r="F87" s="51" t="n">
        <v>4.8</v>
      </c>
      <c r="G87" s="51" t="n">
        <v>4.8</v>
      </c>
      <c r="H87" s="52" t="n">
        <v>0.947</v>
      </c>
      <c r="I87" s="52" t="n">
        <v>0.196</v>
      </c>
      <c r="J87" s="52" t="n">
        <v>0.207</v>
      </c>
      <c r="K87" s="52" t="n">
        <v>0.293</v>
      </c>
      <c r="L87" s="52" t="n">
        <v>1.416</v>
      </c>
    </row>
    <row r="88" hidden="1" s="57">
      <c r="A88" s="38" t="n"/>
      <c r="B88" s="49" t="inlineStr">
        <is>
          <t>GL</t>
        </is>
      </c>
      <c r="C88" s="49" t="inlineStr">
        <is>
          <t>Globe Life</t>
        </is>
      </c>
      <c r="D88" s="50" t="inlineStr">
        <is>
          <t>Insurance - Life</t>
        </is>
      </c>
      <c r="E88" s="51" t="n">
        <v>0.2</v>
      </c>
      <c r="F88" s="51" t="inlineStr">
        <is>
          <t xml:space="preserve">- </t>
        </is>
      </c>
      <c r="G88" s="51" t="inlineStr">
        <is>
          <t xml:space="preserve">- </t>
        </is>
      </c>
      <c r="H88" s="52" t="n">
        <v>0</v>
      </c>
      <c r="I88" s="52" t="n">
        <v>0</v>
      </c>
      <c r="J88" s="52" t="n">
        <v>0.168</v>
      </c>
      <c r="K88" s="52" t="n">
        <v>0.291</v>
      </c>
      <c r="L88" s="52" t="n">
        <v>1.732</v>
      </c>
    </row>
    <row r="89" hidden="1" s="57">
      <c r="A89" s="38" t="n"/>
      <c r="B89" s="49" t="inlineStr">
        <is>
          <t>CSCO</t>
        </is>
      </c>
      <c r="C89" s="49" t="inlineStr">
        <is>
          <t>Cisco Systems</t>
        </is>
      </c>
      <c r="D89" s="50" t="inlineStr">
        <is>
          <t>Communication Equipment</t>
        </is>
      </c>
      <c r="E89" s="51" t="n">
        <v>0.5</v>
      </c>
      <c r="F89" s="51" t="n">
        <v>1.8</v>
      </c>
      <c r="G89" s="51" t="n">
        <v>1.8</v>
      </c>
      <c r="H89" s="52" t="n">
        <v>0.64</v>
      </c>
      <c r="I89" s="52" t="n">
        <v>0.28</v>
      </c>
      <c r="J89" s="52" t="n">
        <v>0.214</v>
      </c>
      <c r="K89" s="52" t="n">
        <v>0.288</v>
      </c>
      <c r="L89" s="52" t="n">
        <v>1.342</v>
      </c>
    </row>
    <row r="90" hidden="1" s="57">
      <c r="A90" s="38" t="n"/>
      <c r="B90" s="49" t="inlineStr">
        <is>
          <t>QCOM</t>
        </is>
      </c>
      <c r="C90" s="49" t="inlineStr">
        <is>
          <t>Qualcomm</t>
        </is>
      </c>
      <c r="D90" s="50" t="inlineStr">
        <is>
          <t>Semiconductors</t>
        </is>
      </c>
      <c r="E90" s="51" t="n">
        <v>3.5</v>
      </c>
      <c r="F90" s="51" t="n">
        <v>1.8</v>
      </c>
      <c r="G90" s="51" t="n">
        <v>1.6</v>
      </c>
      <c r="H90" s="52" t="n">
        <v>0.653</v>
      </c>
      <c r="I90" s="52" t="n">
        <v>0.327</v>
      </c>
      <c r="J90" s="52" t="n">
        <v>0.174</v>
      </c>
      <c r="K90" s="52" t="n">
        <v>0.288</v>
      </c>
      <c r="L90" s="52" t="n">
        <v>1.659</v>
      </c>
    </row>
    <row r="91" hidden="1" s="57">
      <c r="A91" s="38" t="n"/>
      <c r="B91" s="49" t="inlineStr">
        <is>
          <t>TTWO</t>
        </is>
      </c>
      <c r="C91" s="49" t="inlineStr">
        <is>
          <t>Take-Two Interactive</t>
        </is>
      </c>
      <c r="D91" s="50" t="inlineStr">
        <is>
          <t>Electronic Gaming &amp; Multimedia</t>
        </is>
      </c>
      <c r="E91" s="51" t="n">
        <v>0.1</v>
      </c>
      <c r="F91" s="51" t="n">
        <v>1.6</v>
      </c>
      <c r="G91" s="51" t="n">
        <v>1.6</v>
      </c>
      <c r="H91" s="52" t="n">
        <v>0.51</v>
      </c>
      <c r="I91" s="52" t="n">
        <v>0.127</v>
      </c>
      <c r="J91" s="52" t="n">
        <v>0.118</v>
      </c>
      <c r="K91" s="52" t="n">
        <v>0.287</v>
      </c>
      <c r="L91" s="52" t="n">
        <v>2.429</v>
      </c>
    </row>
    <row r="92" hidden="1" s="57">
      <c r="A92" s="38" t="n"/>
      <c r="B92" s="49" t="inlineStr">
        <is>
          <t>PAYX</t>
        </is>
      </c>
      <c r="C92" s="49" t="inlineStr">
        <is>
          <t>Paychex</t>
        </is>
      </c>
      <c r="D92" s="50" t="inlineStr">
        <is>
          <t>Staffing &amp; Employment Services</t>
        </is>
      </c>
      <c r="E92" s="51" t="n">
        <v>0.4</v>
      </c>
      <c r="F92" s="51" t="n">
        <v>1.2</v>
      </c>
      <c r="G92" s="51" t="n">
        <v>1.2</v>
      </c>
      <c r="H92" s="52" t="n">
        <v>0.681</v>
      </c>
      <c r="I92" s="52" t="n">
        <v>0.359</v>
      </c>
      <c r="J92" s="52" t="n">
        <v>0.27</v>
      </c>
      <c r="K92" s="52" t="n">
        <v>0.286</v>
      </c>
      <c r="L92" s="52" t="n">
        <v>1.06</v>
      </c>
    </row>
    <row r="93" hidden="1" s="57">
      <c r="A93" s="38" t="n"/>
      <c r="B93" s="49" t="inlineStr">
        <is>
          <t>MCHP</t>
        </is>
      </c>
      <c r="C93" s="49" t="inlineStr">
        <is>
          <t>Microchip Technology</t>
        </is>
      </c>
      <c r="D93" s="50" t="inlineStr">
        <is>
          <t>Semiconductors</t>
        </is>
      </c>
      <c r="E93" s="51" t="n">
        <v>1.7</v>
      </c>
      <c r="F93" s="51" t="n">
        <v>0.9</v>
      </c>
      <c r="G93" s="51" t="n">
        <v>0.6</v>
      </c>
      <c r="H93" s="52" t="n">
        <v>0.616</v>
      </c>
      <c r="I93" s="52" t="n">
        <v>0.147</v>
      </c>
      <c r="J93" s="52" t="n">
        <v>0.122</v>
      </c>
      <c r="K93" s="52" t="n">
        <v>0.281</v>
      </c>
      <c r="L93" s="52" t="n">
        <v>2.295</v>
      </c>
    </row>
    <row r="94" hidden="1" s="57">
      <c r="A94" s="38" t="n"/>
      <c r="B94" s="49" t="inlineStr">
        <is>
          <t>VRSK</t>
        </is>
      </c>
      <c r="C94" s="49" t="inlineStr">
        <is>
          <t>Verisk Analytics</t>
        </is>
      </c>
      <c r="D94" s="50" t="inlineStr">
        <is>
          <t>Consulting Services</t>
        </is>
      </c>
      <c r="E94" s="51" t="n">
        <v>1.5</v>
      </c>
      <c r="F94" s="51" t="n">
        <v>0.5</v>
      </c>
      <c r="G94" s="51" t="n">
        <v>0.5</v>
      </c>
      <c r="H94" s="52" t="n">
        <v>0.625</v>
      </c>
      <c r="I94" s="52" t="n">
        <v>0.267</v>
      </c>
      <c r="J94" s="52" t="n">
        <v>0.172</v>
      </c>
      <c r="K94" s="52" t="n">
        <v>0.281</v>
      </c>
      <c r="L94" s="52" t="n">
        <v>1.634</v>
      </c>
    </row>
    <row r="95" hidden="1" s="57">
      <c r="A95" s="38" t="n"/>
      <c r="B95" s="49" t="inlineStr">
        <is>
          <t>CDNS</t>
        </is>
      </c>
      <c r="C95" s="49" t="inlineStr">
        <is>
          <t>Cadence Design Systems</t>
        </is>
      </c>
      <c r="D95" s="50" t="inlineStr">
        <is>
          <t>Software - Application</t>
        </is>
      </c>
      <c r="E95" s="51" t="n">
        <v>0.2</v>
      </c>
      <c r="F95" s="51" t="n">
        <v>1.7</v>
      </c>
      <c r="G95" s="51" t="n">
        <v>1.7</v>
      </c>
      <c r="H95" s="52" t="n">
        <v>0.886</v>
      </c>
      <c r="I95" s="52" t="n">
        <v>0.214</v>
      </c>
      <c r="J95" s="52" t="n">
        <v>0.426</v>
      </c>
      <c r="K95" s="52" t="n">
        <v>0.28</v>
      </c>
      <c r="L95" s="52" t="n">
        <v>0.658</v>
      </c>
    </row>
    <row r="96" hidden="1" s="57">
      <c r="A96" s="38" t="n"/>
      <c r="B96" s="49" t="inlineStr">
        <is>
          <t>DISCA</t>
        </is>
      </c>
      <c r="C96" s="49" t="inlineStr">
        <is>
          <t>Discovery</t>
        </is>
      </c>
      <c r="D96" s="50" t="inlineStr">
        <is>
          <t>Entertainment</t>
        </is>
      </c>
      <c r="E96" s="51" t="n">
        <v>1.6</v>
      </c>
      <c r="F96" s="51" t="n">
        <v>1.6</v>
      </c>
      <c r="G96" s="51" t="n">
        <v>1.6</v>
      </c>
      <c r="H96" s="52" t="n">
        <v>0.657</v>
      </c>
      <c r="I96" s="52" t="n">
        <v>0.286</v>
      </c>
      <c r="J96" s="52" t="n">
        <v>0.186</v>
      </c>
      <c r="K96" s="52" t="n">
        <v>0.28</v>
      </c>
      <c r="L96" s="52" t="n">
        <v>1.505</v>
      </c>
    </row>
    <row r="97" hidden="1" s="57">
      <c r="A97" s="38" t="n"/>
      <c r="B97" s="49" t="inlineStr">
        <is>
          <t>DISCK</t>
        </is>
      </c>
      <c r="C97" s="49" t="inlineStr">
        <is>
          <t>Discovery</t>
        </is>
      </c>
      <c r="D97" s="50" t="inlineStr">
        <is>
          <t>Entertainment</t>
        </is>
      </c>
      <c r="E97" s="51" t="n">
        <v>1.6</v>
      </c>
      <c r="F97" s="51" t="n">
        <v>1.6</v>
      </c>
      <c r="G97" s="51" t="n">
        <v>1.6</v>
      </c>
      <c r="H97" s="52" t="n">
        <v>0.657</v>
      </c>
      <c r="I97" s="52" t="n">
        <v>0.286</v>
      </c>
      <c r="J97" s="52" t="n">
        <v>0.186</v>
      </c>
      <c r="K97" s="52" t="n">
        <v>0.28</v>
      </c>
      <c r="L97" s="52" t="n">
        <v>1.505</v>
      </c>
    </row>
    <row r="98" hidden="1" s="57">
      <c r="A98" s="38" t="n"/>
      <c r="B98" s="49" t="inlineStr">
        <is>
          <t>BMY</t>
        </is>
      </c>
      <c r="C98" s="49" t="inlineStr">
        <is>
          <t>Bristol-Myers Squibb</t>
        </is>
      </c>
      <c r="D98" s="50" t="inlineStr">
        <is>
          <t>Drug Manufacturers - General</t>
        </is>
      </c>
      <c r="E98" s="51" t="n">
        <v>0.9</v>
      </c>
      <c r="F98" s="51" t="n">
        <v>1.6</v>
      </c>
      <c r="G98" s="51" t="n">
        <v>1.4</v>
      </c>
      <c r="H98" s="52" t="n">
        <v>0.6909999999999999</v>
      </c>
      <c r="I98" s="52" t="n">
        <v>0.226</v>
      </c>
      <c r="J98" s="52" t="n">
        <v>0.13</v>
      </c>
      <c r="K98" s="52" t="n">
        <v>0.277</v>
      </c>
      <c r="L98" s="52" t="n">
        <v>2.134</v>
      </c>
    </row>
    <row r="99" hidden="1" s="57">
      <c r="A99" s="38" t="n"/>
      <c r="B99" s="49" t="inlineStr">
        <is>
          <t>MCD</t>
        </is>
      </c>
      <c r="C99" s="49" t="inlineStr">
        <is>
          <t>McDonald's</t>
        </is>
      </c>
      <c r="D99" s="50" t="inlineStr">
        <is>
          <t>Restaurants</t>
        </is>
      </c>
      <c r="E99" s="51" t="inlineStr">
        <is>
          <t xml:space="preserve">- </t>
        </is>
      </c>
      <c r="F99" s="51" t="n">
        <v>1</v>
      </c>
      <c r="G99" s="51" t="n">
        <v>1</v>
      </c>
      <c r="H99" s="52" t="n">
        <v>0.528</v>
      </c>
      <c r="I99" s="52" t="n">
        <v>0.422</v>
      </c>
      <c r="J99" s="52" t="n">
        <v>0.286</v>
      </c>
      <c r="K99" s="52" t="n">
        <v>0.272</v>
      </c>
      <c r="L99" s="52" t="n">
        <v>0.949</v>
      </c>
    </row>
    <row r="100" hidden="1" s="57">
      <c r="A100" s="38" t="n"/>
      <c r="B100" s="49" t="inlineStr">
        <is>
          <t>CSX</t>
        </is>
      </c>
      <c r="C100" s="49" t="inlineStr">
        <is>
          <t>CSX</t>
        </is>
      </c>
      <c r="D100" s="50" t="inlineStr">
        <is>
          <t>Railroads</t>
        </is>
      </c>
      <c r="E100" s="51" t="n">
        <v>1.4</v>
      </c>
      <c r="F100" s="51" t="n">
        <v>1.5</v>
      </c>
      <c r="G100" s="51" t="n">
        <v>1.4</v>
      </c>
      <c r="H100" s="52" t="n">
        <v>0.408</v>
      </c>
      <c r="I100" s="52" t="n">
        <v>0.408</v>
      </c>
      <c r="J100" s="52" t="n">
        <v>0.279</v>
      </c>
      <c r="K100" s="52" t="n">
        <v>0.267</v>
      </c>
      <c r="L100" s="52" t="n">
        <v>0.958</v>
      </c>
    </row>
    <row r="101" hidden="1" s="57">
      <c r="A101" s="38" t="n"/>
      <c r="B101" s="49" t="inlineStr">
        <is>
          <t>ATVI</t>
        </is>
      </c>
      <c r="C101" s="49" t="inlineStr">
        <is>
          <t>Activision Blizzard</t>
        </is>
      </c>
      <c r="D101" s="50" t="inlineStr">
        <is>
          <t>Electronic Gaming &amp; Multimedia</t>
        </is>
      </c>
      <c r="E101" s="51" t="n">
        <v>0.2</v>
      </c>
      <c r="F101" s="51" t="n">
        <v>2.5</v>
      </c>
      <c r="G101" s="51" t="n">
        <v>2.5</v>
      </c>
      <c r="H101" s="52" t="n">
        <v>0.677</v>
      </c>
      <c r="I101" s="52" t="n">
        <v>0.267</v>
      </c>
      <c r="J101" s="52" t="n">
        <v>0.232</v>
      </c>
      <c r="K101" s="52" t="n">
        <v>0.265</v>
      </c>
      <c r="L101" s="52" t="n">
        <v>1.143</v>
      </c>
    </row>
    <row r="102" hidden="1" s="57">
      <c r="A102" s="38" t="n"/>
      <c r="B102" s="49" t="inlineStr">
        <is>
          <t>ISRG</t>
        </is>
      </c>
      <c r="C102" s="49" t="inlineStr">
        <is>
          <t>Intuitive Surgical</t>
        </is>
      </c>
      <c r="D102" s="50" t="inlineStr">
        <is>
          <t>Medical Instruments &amp; Supplies</t>
        </is>
      </c>
      <c r="E102" s="51" t="n">
        <v>0</v>
      </c>
      <c r="F102" s="51" t="n">
        <v>4.5</v>
      </c>
      <c r="G102" s="51" t="n">
        <v>4</v>
      </c>
      <c r="H102" s="52" t="n">
        <v>0.695</v>
      </c>
      <c r="I102" s="52" t="n">
        <v>0.307</v>
      </c>
      <c r="J102" s="52" t="n">
        <v>0.308</v>
      </c>
      <c r="K102" s="52" t="n">
        <v>0.262</v>
      </c>
      <c r="L102" s="52" t="n">
        <v>0.852</v>
      </c>
    </row>
    <row r="103" hidden="1" s="57">
      <c r="A103" s="38" t="n"/>
      <c r="B103" s="49" t="inlineStr">
        <is>
          <t>ROP</t>
        </is>
      </c>
      <c r="C103" s="49" t="inlineStr">
        <is>
          <t>Roper Technologies</t>
        </is>
      </c>
      <c r="D103" s="50" t="inlineStr">
        <is>
          <t>Specialty Industrial Machinery</t>
        </is>
      </c>
      <c r="E103" s="51" t="n">
        <v>0.6</v>
      </c>
      <c r="F103" s="51" t="n">
        <v>0.8</v>
      </c>
      <c r="G103" s="51" t="n">
        <v>0.8</v>
      </c>
      <c r="H103" s="52" t="n">
        <v>0.639</v>
      </c>
      <c r="I103" s="52" t="n">
        <v>0.279</v>
      </c>
      <c r="J103" s="52" t="n">
        <v>0.33</v>
      </c>
      <c r="K103" s="52" t="n">
        <v>0.261</v>
      </c>
      <c r="L103" s="52" t="n">
        <v>0.792</v>
      </c>
    </row>
    <row r="104" hidden="1" s="57">
      <c r="A104" s="38" t="n"/>
      <c r="B104" s="49" t="inlineStr">
        <is>
          <t>FFIV</t>
        </is>
      </c>
      <c r="C104" s="49" t="inlineStr">
        <is>
          <t>F5 Networks</t>
        </is>
      </c>
      <c r="D104" s="50" t="inlineStr">
        <is>
          <t>Software - Infrastructure</t>
        </is>
      </c>
      <c r="E104" s="51" t="n">
        <v>0.2</v>
      </c>
      <c r="F104" s="51" t="n">
        <v>1.5</v>
      </c>
      <c r="G104" s="51" t="n">
        <v>1.5</v>
      </c>
      <c r="H104" s="52" t="n">
        <v>0.842</v>
      </c>
      <c r="I104" s="52" t="n">
        <v>0.216</v>
      </c>
      <c r="J104" s="52" t="n">
        <v>0.174</v>
      </c>
      <c r="K104" s="52" t="n">
        <v>0.259</v>
      </c>
      <c r="L104" s="52" t="n">
        <v>1.491</v>
      </c>
    </row>
    <row r="105" hidden="1" s="57">
      <c r="A105" s="38" t="n"/>
      <c r="B105" s="49" t="inlineStr">
        <is>
          <t>NOW</t>
        </is>
      </c>
      <c r="C105" s="49" t="inlineStr">
        <is>
          <t>ServiceNow</t>
        </is>
      </c>
      <c r="D105" s="50" t="inlineStr">
        <is>
          <t>Software - Application</t>
        </is>
      </c>
      <c r="E105" s="51" t="n">
        <v>0.5</v>
      </c>
      <c r="F105" s="51" t="n">
        <v>1</v>
      </c>
      <c r="G105" s="51" t="n">
        <v>1</v>
      </c>
      <c r="H105" s="52" t="n">
        <v>0.77</v>
      </c>
      <c r="I105" s="52" t="n">
        <v>0.013</v>
      </c>
      <c r="J105" s="52" t="n">
        <v>0.183</v>
      </c>
      <c r="K105" s="52" t="n">
        <v>0.258</v>
      </c>
      <c r="L105" s="52" t="n">
        <v>1.411</v>
      </c>
    </row>
    <row r="106" hidden="1" s="57">
      <c r="A106" s="38" t="n"/>
      <c r="B106" s="49" t="inlineStr">
        <is>
          <t>REGN</t>
        </is>
      </c>
      <c r="C106" s="49" t="inlineStr">
        <is>
          <t>Regeneron Pharmaceuticals</t>
        </is>
      </c>
      <c r="D106" s="50" t="inlineStr">
        <is>
          <t>Biotechnology</t>
        </is>
      </c>
      <c r="E106" s="51" t="n">
        <v>0.1</v>
      </c>
      <c r="F106" s="51" t="n">
        <v>3.7</v>
      </c>
      <c r="G106" s="51" t="n">
        <v>3</v>
      </c>
      <c r="H106" s="52" t="n">
        <v>0.901</v>
      </c>
      <c r="I106" s="52" t="n">
        <v>0.281</v>
      </c>
      <c r="J106" s="52" t="n">
        <v>0.269</v>
      </c>
      <c r="K106" s="52" t="n">
        <v>0.252</v>
      </c>
      <c r="L106" s="52" t="n">
        <v>0.9370000000000001</v>
      </c>
    </row>
    <row r="107" hidden="1" s="57">
      <c r="A107" s="38" t="n"/>
      <c r="B107" s="49" t="inlineStr">
        <is>
          <t>ALGN</t>
        </is>
      </c>
      <c r="C107" s="49" t="inlineStr">
        <is>
          <t>Align Tech</t>
        </is>
      </c>
      <c r="D107" s="50" t="inlineStr">
        <is>
          <t>Medical Devices</t>
        </is>
      </c>
      <c r="E107" s="51" t="n">
        <v>0</v>
      </c>
      <c r="F107" s="51" t="n">
        <v>1.7</v>
      </c>
      <c r="G107" s="51" t="n">
        <v>1.6</v>
      </c>
      <c r="H107" s="52" t="n">
        <v>0.725</v>
      </c>
      <c r="I107" s="52" t="n">
        <v>0.214</v>
      </c>
      <c r="J107" s="52" t="n">
        <v>0.185</v>
      </c>
      <c r="K107" s="52" t="n">
        <v>0.249</v>
      </c>
      <c r="L107" s="52" t="n">
        <v>1.351</v>
      </c>
    </row>
    <row r="108" hidden="1" s="57">
      <c r="A108" s="38" t="n"/>
      <c r="B108" s="49" t="inlineStr">
        <is>
          <t>SWKS</t>
        </is>
      </c>
      <c r="C108" s="49" t="inlineStr">
        <is>
          <t>Skyworks Solutions</t>
        </is>
      </c>
      <c r="D108" s="50" t="inlineStr">
        <is>
          <t>Semiconductors</t>
        </is>
      </c>
      <c r="E108" s="51" t="n">
        <v>0</v>
      </c>
      <c r="F108" s="51" t="n">
        <v>7</v>
      </c>
      <c r="G108" s="51" t="n">
        <v>5.2</v>
      </c>
      <c r="H108" s="52" t="n">
        <v>0.473</v>
      </c>
      <c r="I108" s="52" t="n">
        <v>0.277</v>
      </c>
      <c r="J108" s="52" t="n">
        <v>0.25</v>
      </c>
      <c r="K108" s="52" t="n">
        <v>0.248</v>
      </c>
      <c r="L108" s="52" t="n">
        <v>0.99</v>
      </c>
    </row>
    <row r="109" hidden="1" s="57">
      <c r="A109" s="38" t="n"/>
      <c r="B109" s="49" t="inlineStr">
        <is>
          <t>NLOK</t>
        </is>
      </c>
      <c r="C109" s="49" t="inlineStr">
        <is>
          <t>NortonLifeLock</t>
        </is>
      </c>
      <c r="D109" s="50" t="inlineStr">
        <is>
          <t>Software - Infrastructure</t>
        </is>
      </c>
      <c r="E109" s="51" t="n">
        <v>0.5</v>
      </c>
      <c r="F109" s="51" t="n">
        <v>2.9</v>
      </c>
      <c r="G109" s="51" t="n">
        <v>2.7</v>
      </c>
      <c r="H109" s="52" t="n">
        <v>0.778</v>
      </c>
      <c r="I109" s="52" t="n">
        <v>0.152</v>
      </c>
      <c r="J109" s="52" t="n">
        <v>0.704</v>
      </c>
      <c r="K109" s="52" t="n">
        <v>0.246</v>
      </c>
      <c r="L109" s="52" t="n">
        <v>0.35</v>
      </c>
    </row>
    <row r="110" hidden="1" s="57">
      <c r="A110" s="38" t="n"/>
      <c r="B110" s="49" t="inlineStr">
        <is>
          <t>AFL</t>
        </is>
      </c>
      <c r="C110" s="49" t="inlineStr">
        <is>
          <t>Aflac</t>
        </is>
      </c>
      <c r="D110" s="50" t="inlineStr">
        <is>
          <t>Insurance - Life</t>
        </is>
      </c>
      <c r="E110" s="51" t="n">
        <v>0.2</v>
      </c>
      <c r="F110" s="51" t="inlineStr">
        <is>
          <t xml:space="preserve">- </t>
        </is>
      </c>
      <c r="G110" s="51" t="inlineStr">
        <is>
          <t xml:space="preserve">- </t>
        </is>
      </c>
      <c r="H110" s="52" t="n">
        <v>0</v>
      </c>
      <c r="I110" s="52" t="n">
        <v>0</v>
      </c>
      <c r="J110" s="52" t="n">
        <v>0.149</v>
      </c>
      <c r="K110" s="52" t="n">
        <v>0.245</v>
      </c>
      <c r="L110" s="52" t="n">
        <v>1.651</v>
      </c>
    </row>
    <row r="111" hidden="1" s="57">
      <c r="A111" s="38" t="n"/>
      <c r="B111" s="49" t="inlineStr">
        <is>
          <t>JNJ</t>
        </is>
      </c>
      <c r="C111" s="49" t="inlineStr">
        <is>
          <t>Johnson &amp; Johnson</t>
        </is>
      </c>
      <c r="D111" s="50" t="inlineStr">
        <is>
          <t>Drug Manufacturers - General</t>
        </is>
      </c>
      <c r="E111" s="51" t="n">
        <v>0.5</v>
      </c>
      <c r="F111" s="51" t="n">
        <v>1.3</v>
      </c>
      <c r="G111" s="51" t="n">
        <v>1</v>
      </c>
      <c r="H111" s="52" t="n">
        <v>0.664</v>
      </c>
      <c r="I111" s="52" t="n">
        <v>0.245</v>
      </c>
      <c r="J111" s="52" t="n">
        <v>0.184</v>
      </c>
      <c r="K111" s="52" t="n">
        <v>0.244</v>
      </c>
      <c r="L111" s="52" t="n">
        <v>1.323</v>
      </c>
    </row>
    <row r="112" hidden="1" s="57">
      <c r="A112" s="38" t="n"/>
      <c r="B112" s="49" t="inlineStr">
        <is>
          <t>LRCX</t>
        </is>
      </c>
      <c r="C112" s="49" t="inlineStr">
        <is>
          <t>Lam Research</t>
        </is>
      </c>
      <c r="D112" s="50" t="inlineStr">
        <is>
          <t>Semiconductor Equipment &amp; Materials</t>
        </is>
      </c>
      <c r="E112" s="51" t="n">
        <v>1</v>
      </c>
      <c r="F112" s="51" t="n">
        <v>3.3</v>
      </c>
      <c r="G112" s="51" t="n">
        <v>2.7</v>
      </c>
      <c r="H112" s="52" t="n">
        <v>0.452</v>
      </c>
      <c r="I112" s="52" t="n">
        <v>0.252</v>
      </c>
      <c r="J112" s="52" t="n">
        <v>0.217</v>
      </c>
      <c r="K112" s="52" t="n">
        <v>0.244</v>
      </c>
      <c r="L112" s="52" t="n">
        <v>1.127</v>
      </c>
    </row>
    <row r="113" hidden="1" s="57">
      <c r="A113" s="38" t="n"/>
      <c r="B113" s="49" t="inlineStr">
        <is>
          <t>QRVO</t>
        </is>
      </c>
      <c r="C113" s="49" t="inlineStr">
        <is>
          <t>Qorvo</t>
        </is>
      </c>
      <c r="D113" s="50" t="inlineStr">
        <is>
          <t>Semiconductors</t>
        </is>
      </c>
      <c r="E113" s="51" t="n">
        <v>0.4</v>
      </c>
      <c r="F113" s="51" t="n">
        <v>4.2</v>
      </c>
      <c r="G113" s="51" t="n">
        <v>3.2</v>
      </c>
      <c r="H113" s="52" t="n">
        <v>0.4</v>
      </c>
      <c r="I113" s="52" t="n">
        <v>0.123</v>
      </c>
      <c r="J113" s="52" t="n">
        <v>0.111</v>
      </c>
      <c r="K113" s="52" t="n">
        <v>0.241</v>
      </c>
      <c r="L113" s="52" t="n">
        <v>2.181</v>
      </c>
    </row>
    <row r="114" hidden="1" s="57">
      <c r="A114" s="38" t="n"/>
      <c r="B114" s="49" t="inlineStr">
        <is>
          <t>AAPL</t>
        </is>
      </c>
      <c r="C114" s="49" t="inlineStr">
        <is>
          <t>Apple</t>
        </is>
      </c>
      <c r="D114" s="50" t="inlineStr">
        <is>
          <t>Consumer Electronics</t>
        </is>
      </c>
      <c r="E114" s="51" t="n">
        <v>1.2</v>
      </c>
      <c r="F114" s="51" t="n">
        <v>1.6</v>
      </c>
      <c r="G114" s="51" t="n">
        <v>1.6</v>
      </c>
      <c r="H114" s="52" t="n">
        <v>0.38</v>
      </c>
      <c r="I114" s="52" t="n">
        <v>0.247</v>
      </c>
      <c r="J114" s="52" t="n">
        <v>0.215</v>
      </c>
      <c r="K114" s="52" t="n">
        <v>0.24</v>
      </c>
      <c r="L114" s="52" t="n">
        <v>1.115</v>
      </c>
    </row>
    <row r="115" hidden="1" s="57">
      <c r="A115" s="38" t="n"/>
      <c r="B115" s="49" t="inlineStr">
        <is>
          <t>CF</t>
        </is>
      </c>
      <c r="C115" s="49" t="inlineStr">
        <is>
          <t>CF Industries Holdings</t>
        </is>
      </c>
      <c r="D115" s="50" t="inlineStr">
        <is>
          <t>Agricultural Inputs</t>
        </is>
      </c>
      <c r="E115" s="51" t="n">
        <v>1.5</v>
      </c>
      <c r="F115" s="51" t="n">
        <v>1.5</v>
      </c>
      <c r="G115" s="51" t="n">
        <v>0.9</v>
      </c>
      <c r="H115" s="52" t="n">
        <v>0.256</v>
      </c>
      <c r="I115" s="52" t="n">
        <v>0.204</v>
      </c>
      <c r="J115" s="52" t="n">
        <v>0.108</v>
      </c>
      <c r="K115" s="52" t="n">
        <v>0.24</v>
      </c>
      <c r="L115" s="52" t="n">
        <v>2.231</v>
      </c>
    </row>
    <row r="116" hidden="1" s="57">
      <c r="A116" s="38" t="n"/>
      <c r="B116" s="49" t="inlineStr">
        <is>
          <t>MNST</t>
        </is>
      </c>
      <c r="C116" s="49" t="inlineStr">
        <is>
          <t>Monster Beverage</t>
        </is>
      </c>
      <c r="D116" s="50" t="inlineStr">
        <is>
          <t>Beverages - Non-Alcoholic</t>
        </is>
      </c>
      <c r="E116" s="51" t="n">
        <v>0</v>
      </c>
      <c r="F116" s="51" t="n">
        <v>3.5</v>
      </c>
      <c r="G116" s="51" t="n">
        <v>3</v>
      </c>
      <c r="H116" s="52" t="n">
        <v>0.6</v>
      </c>
      <c r="I116" s="52" t="n">
        <v>0.334</v>
      </c>
      <c r="J116" s="52" t="n">
        <v>0.264</v>
      </c>
      <c r="K116" s="52" t="n">
        <v>0.24</v>
      </c>
      <c r="L116" s="52" t="n">
        <v>0.911</v>
      </c>
    </row>
    <row r="117" hidden="1" s="57">
      <c r="A117" s="38" t="n"/>
      <c r="B117" s="49" t="inlineStr">
        <is>
          <t>EBAY</t>
        </is>
      </c>
      <c r="C117" s="49" t="inlineStr">
        <is>
          <t>eBay</t>
        </is>
      </c>
      <c r="D117" s="50" t="inlineStr">
        <is>
          <t>Internet Retail</t>
        </is>
      </c>
      <c r="E117" s="51" t="n">
        <v>2.9</v>
      </c>
      <c r="F117" s="51" t="n">
        <v>1.2</v>
      </c>
      <c r="G117" s="51" t="n">
        <v>1.2</v>
      </c>
      <c r="H117" s="52" t="n">
        <v>0.768</v>
      </c>
      <c r="I117" s="52" t="n">
        <v>0.215</v>
      </c>
      <c r="J117" s="52" t="n">
        <v>0.165</v>
      </c>
      <c r="K117" s="52" t="n">
        <v>0.238</v>
      </c>
      <c r="L117" s="52" t="n">
        <v>1.443</v>
      </c>
    </row>
    <row r="118" hidden="1" s="57">
      <c r="A118" s="38" t="n"/>
      <c r="B118" s="49" t="inlineStr">
        <is>
          <t>ILMN</t>
        </is>
      </c>
      <c r="C118" s="49" t="inlineStr">
        <is>
          <t>Illumina</t>
        </is>
      </c>
      <c r="D118" s="50" t="inlineStr">
        <is>
          <t>Diagnostics &amp; Research</t>
        </is>
      </c>
      <c r="E118" s="51" t="n">
        <v>0.4</v>
      </c>
      <c r="F118" s="51" t="n">
        <v>6.7</v>
      </c>
      <c r="G118" s="51" t="n">
        <v>6.1</v>
      </c>
      <c r="H118" s="52" t="n">
        <v>0.696</v>
      </c>
      <c r="I118" s="52" t="n">
        <v>0.278</v>
      </c>
      <c r="J118" s="52" t="n">
        <v>0.283</v>
      </c>
      <c r="K118" s="52" t="n">
        <v>0.238</v>
      </c>
      <c r="L118" s="52" t="n">
        <v>0.843</v>
      </c>
    </row>
    <row r="119" hidden="1" s="57">
      <c r="A119" s="38" t="n"/>
      <c r="B119" s="49" t="inlineStr">
        <is>
          <t>UNP</t>
        </is>
      </c>
      <c r="C119" s="49" t="inlineStr">
        <is>
          <t>Union Pacific</t>
        </is>
      </c>
      <c r="D119" s="50" t="inlineStr">
        <is>
          <t>Railroads</t>
        </is>
      </c>
      <c r="E119" s="51" t="n">
        <v>1.5</v>
      </c>
      <c r="F119" s="51" t="n">
        <v>0.8</v>
      </c>
      <c r="G119" s="51" t="n">
        <v>0.6</v>
      </c>
      <c r="H119" s="52" t="n">
        <v>0.443</v>
      </c>
      <c r="I119" s="52" t="n">
        <v>0.394</v>
      </c>
      <c r="J119" s="52" t="n">
        <v>0.273</v>
      </c>
      <c r="K119" s="52" t="n">
        <v>0.238</v>
      </c>
      <c r="L119" s="52" t="n">
        <v>0.871</v>
      </c>
    </row>
    <row r="120" hidden="1" s="57">
      <c r="A120" s="38" t="n"/>
      <c r="B120" s="49" t="inlineStr">
        <is>
          <t>CTXS</t>
        </is>
      </c>
      <c r="C120" s="49" t="inlineStr">
        <is>
          <t>Citrix Systems</t>
        </is>
      </c>
      <c r="D120" s="50" t="inlineStr">
        <is>
          <t>Software - Application</t>
        </is>
      </c>
      <c r="E120" s="51" t="n">
        <v>1.1</v>
      </c>
      <c r="F120" s="51" t="n">
        <v>0.8</v>
      </c>
      <c r="G120" s="51" t="n">
        <v>0.8</v>
      </c>
      <c r="H120" s="52" t="n">
        <v>0.846</v>
      </c>
      <c r="I120" s="52" t="n">
        <v>0.186</v>
      </c>
      <c r="J120" s="52" t="n">
        <v>0.227</v>
      </c>
      <c r="K120" s="52" t="n">
        <v>0.237</v>
      </c>
      <c r="L120" s="52" t="n">
        <v>1.042</v>
      </c>
    </row>
    <row r="121" hidden="1" s="57">
      <c r="A121" s="38" t="n"/>
      <c r="B121" s="49" t="inlineStr">
        <is>
          <t>FRC</t>
        </is>
      </c>
      <c r="C121" s="49" t="inlineStr">
        <is>
          <t>First Republic Bank</t>
        </is>
      </c>
      <c r="D121" s="50" t="inlineStr">
        <is>
          <t>Banks - Regional</t>
        </is>
      </c>
      <c r="E121" s="51" t="n">
        <v>1.4</v>
      </c>
      <c r="F121" s="51" t="inlineStr">
        <is>
          <t xml:space="preserve">- </t>
        </is>
      </c>
      <c r="G121" s="51" t="inlineStr">
        <is>
          <t xml:space="preserve">- </t>
        </is>
      </c>
      <c r="H121" s="52" t="n">
        <v>0</v>
      </c>
      <c r="I121" s="52" t="n">
        <v>0.367</v>
      </c>
      <c r="J121" s="52" t="n">
        <v>0.286</v>
      </c>
      <c r="K121" s="52" t="n">
        <v>0.237</v>
      </c>
      <c r="L121" s="52" t="n">
        <v>0.827</v>
      </c>
    </row>
    <row r="122" hidden="1" s="57">
      <c r="A122" s="38" t="n"/>
      <c r="B122" s="49" t="inlineStr">
        <is>
          <t>INTC</t>
        </is>
      </c>
      <c r="C122" s="49" t="inlineStr">
        <is>
          <t>Intel</t>
        </is>
      </c>
      <c r="D122" s="50" t="inlineStr">
        <is>
          <t>Semiconductors</t>
        </is>
      </c>
      <c r="E122" s="51" t="n">
        <v>0.4</v>
      </c>
      <c r="F122" s="51" t="n">
        <v>1.4</v>
      </c>
      <c r="G122" s="51" t="n">
        <v>1</v>
      </c>
      <c r="H122" s="52" t="n">
        <v>0.586</v>
      </c>
      <c r="I122" s="52" t="n">
        <v>0.312</v>
      </c>
      <c r="J122" s="52" t="n">
        <v>0.293</v>
      </c>
      <c r="K122" s="52" t="n">
        <v>0.237</v>
      </c>
      <c r="L122" s="52" t="n">
        <v>0.8080000000000001</v>
      </c>
    </row>
    <row r="123" hidden="1" s="57">
      <c r="A123" s="38" t="n"/>
      <c r="B123" s="49" t="inlineStr">
        <is>
          <t>KLAC</t>
        </is>
      </c>
      <c r="C123" s="49" t="inlineStr">
        <is>
          <t>KLA</t>
        </is>
      </c>
      <c r="D123" s="50" t="inlineStr">
        <is>
          <t>Semiconductor Equipment &amp; Materials</t>
        </is>
      </c>
      <c r="E123" s="51" t="n">
        <v>1.3</v>
      </c>
      <c r="F123" s="51" t="n">
        <v>2.6</v>
      </c>
      <c r="G123" s="51" t="n">
        <v>1.8</v>
      </c>
      <c r="H123" s="52" t="n">
        <v>0.5610000000000001</v>
      </c>
      <c r="I123" s="52" t="n">
        <v>0.263</v>
      </c>
      <c r="J123" s="52" t="n">
        <v>0.216</v>
      </c>
      <c r="K123" s="52" t="n">
        <v>0.233</v>
      </c>
      <c r="L123" s="52" t="n">
        <v>1.078</v>
      </c>
    </row>
    <row r="124" hidden="1" s="57">
      <c r="A124" s="38" t="n"/>
      <c r="B124" s="49" t="inlineStr">
        <is>
          <t>TROW</t>
        </is>
      </c>
      <c r="C124" s="49" t="inlineStr">
        <is>
          <t>T. Rowe Price Group</t>
        </is>
      </c>
      <c r="D124" s="50" t="inlineStr">
        <is>
          <t>Asset Management</t>
        </is>
      </c>
      <c r="E124" s="51" t="n">
        <v>0</v>
      </c>
      <c r="F124" s="51" t="n">
        <v>9.9</v>
      </c>
      <c r="G124" s="51" t="n">
        <v>9.9</v>
      </c>
      <c r="H124" s="52" t="n">
        <v>0.576</v>
      </c>
      <c r="I124" s="52" t="n">
        <v>0.425</v>
      </c>
      <c r="J124" s="52" t="n">
        <v>0.379</v>
      </c>
      <c r="K124" s="52" t="n">
        <v>0.233</v>
      </c>
      <c r="L124" s="52" t="n">
        <v>0.614</v>
      </c>
    </row>
    <row r="125" hidden="1" s="57">
      <c r="A125" s="38" t="n"/>
      <c r="B125" s="49" t="inlineStr">
        <is>
          <t>KO</t>
        </is>
      </c>
      <c r="C125" s="49" t="inlineStr">
        <is>
          <t>Coca-Cola</t>
        </is>
      </c>
      <c r="D125" s="50" t="inlineStr">
        <is>
          <t>Beverages - Non-Alcoholic</t>
        </is>
      </c>
      <c r="E125" s="51" t="n">
        <v>2.3</v>
      </c>
      <c r="F125" s="51" t="n">
        <v>0.8</v>
      </c>
      <c r="G125" s="51" t="n">
        <v>0.6</v>
      </c>
      <c r="H125" s="52" t="n">
        <v>0.611</v>
      </c>
      <c r="I125" s="52" t="n">
        <v>0.285</v>
      </c>
      <c r="J125" s="52" t="n">
        <v>0.244</v>
      </c>
      <c r="K125" s="52" t="n">
        <v>0.232</v>
      </c>
      <c r="L125" s="52" t="n">
        <v>0.949</v>
      </c>
    </row>
    <row r="126" hidden="1" s="57">
      <c r="A126" s="38" t="n"/>
      <c r="B126" s="49" t="inlineStr">
        <is>
          <t>VTR</t>
        </is>
      </c>
      <c r="C126" s="49" t="inlineStr">
        <is>
          <t>Ventas</t>
        </is>
      </c>
      <c r="D126" s="50" t="inlineStr">
        <is>
          <t>REIT - Healthcare Facilities</t>
        </is>
      </c>
      <c r="E126" s="51" t="n">
        <v>1.2</v>
      </c>
      <c r="F126" s="51" t="n">
        <v>0.4</v>
      </c>
      <c r="G126" s="51" t="n">
        <v>0.4</v>
      </c>
      <c r="H126" s="52" t="n">
        <v>0.531</v>
      </c>
      <c r="I126" s="52" t="n">
        <v>0.217</v>
      </c>
      <c r="J126" s="52" t="n">
        <v>0.112</v>
      </c>
      <c r="K126" s="52" t="n">
        <v>0.227</v>
      </c>
      <c r="L126" s="52" t="n">
        <v>2.025</v>
      </c>
    </row>
    <row r="127" hidden="1" s="57">
      <c r="A127" s="38" t="n"/>
      <c r="B127" s="49" t="inlineStr">
        <is>
          <t>RE</t>
        </is>
      </c>
      <c r="C127" s="49" t="inlineStr">
        <is>
          <t>Everest Re Group</t>
        </is>
      </c>
      <c r="D127" s="50" t="inlineStr">
        <is>
          <t>Insurance - Reinsurance</t>
        </is>
      </c>
      <c r="E127" s="51" t="n">
        <v>0.1</v>
      </c>
      <c r="F127" s="51" t="inlineStr">
        <is>
          <t xml:space="preserve">- </t>
        </is>
      </c>
      <c r="G127" s="51" t="inlineStr">
        <is>
          <t xml:space="preserve">- </t>
        </is>
      </c>
      <c r="H127" s="52" t="n">
        <v>0</v>
      </c>
      <c r="I127" s="52" t="n">
        <v>0</v>
      </c>
      <c r="J127" s="52" t="n">
        <v>0.123</v>
      </c>
      <c r="K127" s="52" t="n">
        <v>0.225</v>
      </c>
      <c r="L127" s="52" t="n">
        <v>1.835</v>
      </c>
    </row>
    <row r="128" hidden="1" s="57">
      <c r="A128" s="38" t="n"/>
      <c r="B128" s="49" t="inlineStr">
        <is>
          <t>CFG</t>
        </is>
      </c>
      <c r="C128" s="49" t="inlineStr">
        <is>
          <t>Citizens Financial Group</t>
        </is>
      </c>
      <c r="D128" s="50" t="inlineStr">
        <is>
          <t>Banks - Regional</t>
        </is>
      </c>
      <c r="E128" s="51" t="n">
        <v>0.6</v>
      </c>
      <c r="F128" s="51" t="inlineStr">
        <is>
          <t xml:space="preserve">- </t>
        </is>
      </c>
      <c r="G128" s="51" t="inlineStr">
        <is>
          <t xml:space="preserve">- </t>
        </is>
      </c>
      <c r="H128" s="52" t="n">
        <v>0</v>
      </c>
      <c r="I128" s="52" t="n">
        <v>0.492</v>
      </c>
      <c r="J128" s="52" t="n">
        <v>0.299</v>
      </c>
      <c r="K128" s="52" t="n">
        <v>0.222</v>
      </c>
      <c r="L128" s="52" t="n">
        <v>0.741</v>
      </c>
    </row>
    <row r="129" hidden="1" s="57">
      <c r="A129" s="38" t="n"/>
      <c r="B129" s="49" t="inlineStr">
        <is>
          <t>GPN</t>
        </is>
      </c>
      <c r="C129" s="49" t="inlineStr">
        <is>
          <t>Global Payments</t>
        </is>
      </c>
      <c r="D129" s="50" t="inlineStr">
        <is>
          <t>Specialty Business Services</t>
        </is>
      </c>
      <c r="E129" s="51" t="n">
        <v>0.4</v>
      </c>
      <c r="F129" s="51" t="n">
        <v>1.2</v>
      </c>
      <c r="G129" s="51" t="n">
        <v>1.2</v>
      </c>
      <c r="H129" s="52" t="n">
        <v>0.577</v>
      </c>
      <c r="I129" s="52" t="n">
        <v>0.161</v>
      </c>
      <c r="J129" s="52" t="n">
        <v>0.08699999999999999</v>
      </c>
      <c r="K129" s="52" t="n">
        <v>0.221</v>
      </c>
      <c r="L129" s="52" t="n">
        <v>2.527</v>
      </c>
    </row>
    <row r="130" hidden="1" s="57">
      <c r="A130" s="38" t="n"/>
      <c r="B130" s="49" t="inlineStr">
        <is>
          <t>TWTR</t>
        </is>
      </c>
      <c r="C130" s="49" t="inlineStr">
        <is>
          <t>Twitter</t>
        </is>
      </c>
      <c r="D130" s="50" t="inlineStr">
        <is>
          <t>Internet Content &amp; Information</t>
        </is>
      </c>
      <c r="E130" s="51" t="n">
        <v>0.4</v>
      </c>
      <c r="F130" s="51" t="n">
        <v>9.199999999999999</v>
      </c>
      <c r="G130" s="51" t="n">
        <v>9.1</v>
      </c>
      <c r="H130" s="52" t="n">
        <v>0.671</v>
      </c>
      <c r="I130" s="52" t="n">
        <v>0.106</v>
      </c>
      <c r="J130" s="52" t="n">
        <v>0.426</v>
      </c>
      <c r="K130" s="52" t="n">
        <v>0.219</v>
      </c>
      <c r="L130" s="52" t="n">
        <v>0.515</v>
      </c>
    </row>
    <row r="131" hidden="1" s="57">
      <c r="A131" s="38" t="n"/>
      <c r="B131" s="49" t="inlineStr">
        <is>
          <t>PYPL</t>
        </is>
      </c>
      <c r="C131" s="49" t="inlineStr">
        <is>
          <t>PayPal Holdings</t>
        </is>
      </c>
      <c r="D131" s="50" t="inlineStr">
        <is>
          <t>Credit Services</t>
        </is>
      </c>
      <c r="E131" s="51" t="n">
        <v>0.3</v>
      </c>
      <c r="F131" s="51" t="n">
        <v>1.4</v>
      </c>
      <c r="G131" s="51" t="n">
        <v>1.4</v>
      </c>
      <c r="H131" s="52" t="n">
        <v>0.449</v>
      </c>
      <c r="I131" s="52" t="n">
        <v>0.157</v>
      </c>
      <c r="J131" s="52" t="n">
        <v>0.138</v>
      </c>
      <c r="K131" s="52" t="n">
        <v>0.217</v>
      </c>
      <c r="L131" s="52" t="n">
        <v>1.573</v>
      </c>
    </row>
    <row r="132" hidden="1" s="57">
      <c r="A132" s="38" t="n"/>
      <c r="B132" s="49" t="inlineStr">
        <is>
          <t>CRM</t>
        </is>
      </c>
      <c r="C132" s="49" t="inlineStr">
        <is>
          <t>Salesforce</t>
        </is>
      </c>
      <c r="D132" s="50" t="inlineStr">
        <is>
          <t>Software - Application</t>
        </is>
      </c>
      <c r="E132" s="51" t="n">
        <v>0.2</v>
      </c>
      <c r="F132" s="51" t="n">
        <v>1.1</v>
      </c>
      <c r="G132" s="51" t="n">
        <v>1.1</v>
      </c>
      <c r="H132" s="52" t="n">
        <v>0.752</v>
      </c>
      <c r="I132" s="52" t="n">
        <v>0.027</v>
      </c>
      <c r="J132" s="52" t="n">
        <v>0.007</v>
      </c>
      <c r="K132" s="52" t="n">
        <v>0.214</v>
      </c>
      <c r="L132" s="52" t="n">
        <v>32.088</v>
      </c>
    </row>
    <row r="133" hidden="1" s="57">
      <c r="A133" s="38" t="n"/>
      <c r="B133" s="49" t="inlineStr">
        <is>
          <t>MDT</t>
        </is>
      </c>
      <c r="C133" s="49" t="inlineStr">
        <is>
          <t>Medtronic</t>
        </is>
      </c>
      <c r="D133" s="50" t="inlineStr">
        <is>
          <t>Medical Devices</t>
        </is>
      </c>
      <c r="E133" s="51" t="n">
        <v>0.5</v>
      </c>
      <c r="F133" s="51" t="n">
        <v>2.8</v>
      </c>
      <c r="G133" s="51" t="n">
        <v>2.3</v>
      </c>
      <c r="H133" s="52" t="n">
        <v>0.6899999999999999</v>
      </c>
      <c r="I133" s="52" t="n">
        <v>0.221</v>
      </c>
      <c r="J133" s="52" t="n">
        <v>0.171</v>
      </c>
      <c r="K133" s="52" t="n">
        <v>0.214</v>
      </c>
      <c r="L133" s="52" t="n">
        <v>1.251</v>
      </c>
    </row>
    <row r="134" hidden="1" s="57">
      <c r="A134" s="38" t="n"/>
      <c r="B134" s="49" t="inlineStr">
        <is>
          <t>MRK</t>
        </is>
      </c>
      <c r="C134" s="49" t="inlineStr">
        <is>
          <t>Merck &amp; Co</t>
        </is>
      </c>
      <c r="D134" s="50" t="inlineStr">
        <is>
          <t>Drug Manufacturers - General</t>
        </is>
      </c>
      <c r="E134" s="51" t="n">
        <v>1</v>
      </c>
      <c r="F134" s="51" t="n">
        <v>1.2</v>
      </c>
      <c r="G134" s="51" t="n">
        <v>1</v>
      </c>
      <c r="H134" s="52" t="n">
        <v>0.699</v>
      </c>
      <c r="I134" s="52" t="n">
        <v>0.261</v>
      </c>
      <c r="J134" s="52" t="n">
        <v>0.21</v>
      </c>
      <c r="K134" s="52" t="n">
        <v>0.214</v>
      </c>
      <c r="L134" s="52" t="n">
        <v>1.023</v>
      </c>
    </row>
    <row r="135" hidden="1" s="57">
      <c r="A135" s="38" t="n"/>
      <c r="B135" s="49" t="inlineStr">
        <is>
          <t>SNPS</t>
        </is>
      </c>
      <c r="C135" s="49" t="inlineStr">
        <is>
          <t>Synopsys</t>
        </is>
      </c>
      <c r="D135" s="50" t="inlineStr">
        <is>
          <t>Software - Infrastructure</t>
        </is>
      </c>
      <c r="E135" s="51" t="n">
        <v>0.2</v>
      </c>
      <c r="F135" s="51" t="n">
        <v>1</v>
      </c>
      <c r="G135" s="51" t="n">
        <v>0.9</v>
      </c>
      <c r="H135" s="52" t="n">
        <v>0.777</v>
      </c>
      <c r="I135" s="52" t="n">
        <v>0.153</v>
      </c>
      <c r="J135" s="52" t="n">
        <v>0.143</v>
      </c>
      <c r="K135" s="52" t="n">
        <v>0.214</v>
      </c>
      <c r="L135" s="52" t="n">
        <v>1.494</v>
      </c>
    </row>
    <row r="136" hidden="1" s="57">
      <c r="A136" s="38" t="n"/>
      <c r="B136" s="49" t="inlineStr">
        <is>
          <t>USB</t>
        </is>
      </c>
      <c r="C136" s="49" t="inlineStr">
        <is>
          <t>U.S. Bancorp</t>
        </is>
      </c>
      <c r="D136" s="50" t="inlineStr">
        <is>
          <t>Banks - Regional</t>
        </is>
      </c>
      <c r="E136" s="51" t="n">
        <v>1.2</v>
      </c>
      <c r="F136" s="51" t="inlineStr">
        <is>
          <t xml:space="preserve">- </t>
        </is>
      </c>
      <c r="G136" s="51" t="inlineStr">
        <is>
          <t xml:space="preserve">- </t>
        </is>
      </c>
      <c r="H136" s="52" t="n">
        <v>0</v>
      </c>
      <c r="I136" s="52" t="n">
        <v>0.441</v>
      </c>
      <c r="J136" s="52" t="n">
        <v>0.302</v>
      </c>
      <c r="K136" s="52" t="n">
        <v>0.213</v>
      </c>
      <c r="L136" s="52" t="n">
        <v>0.707</v>
      </c>
    </row>
    <row r="137" hidden="1" s="57">
      <c r="A137" s="38" t="n"/>
      <c r="B137" s="49" t="inlineStr">
        <is>
          <t>ZTS</t>
        </is>
      </c>
      <c r="C137" s="49" t="inlineStr">
        <is>
          <t>Zoetis</t>
        </is>
      </c>
      <c r="D137" s="50" t="inlineStr">
        <is>
          <t>Drug Manufacturers - Specialty &amp; Generic</t>
        </is>
      </c>
      <c r="E137" s="51" t="n">
        <v>2.4</v>
      </c>
      <c r="F137" s="51" t="n">
        <v>2.6</v>
      </c>
      <c r="G137" s="51" t="n">
        <v>1.9</v>
      </c>
      <c r="H137" s="52" t="n">
        <v>0.6820000000000001</v>
      </c>
      <c r="I137" s="52" t="n">
        <v>0.323</v>
      </c>
      <c r="J137" s="52" t="n">
        <v>0.24</v>
      </c>
      <c r="K137" s="52" t="n">
        <v>0.213</v>
      </c>
      <c r="L137" s="52" t="n">
        <v>0.889</v>
      </c>
    </row>
    <row r="138" hidden="1" s="57">
      <c r="A138" s="38" t="n"/>
      <c r="B138" s="49" t="inlineStr">
        <is>
          <t>EW</t>
        </is>
      </c>
      <c r="C138" s="49" t="inlineStr">
        <is>
          <t>Edwards Lifesciences</t>
        </is>
      </c>
      <c r="D138" s="50" t="inlineStr">
        <is>
          <t>Medical Devices</t>
        </is>
      </c>
      <c r="E138" s="51" t="n">
        <v>0.2</v>
      </c>
      <c r="F138" s="51" t="n">
        <v>3.3</v>
      </c>
      <c r="G138" s="51" t="n">
        <v>2.6</v>
      </c>
      <c r="H138" s="52" t="n">
        <v>0.744</v>
      </c>
      <c r="I138" s="52" t="n">
        <v>0.285</v>
      </c>
      <c r="J138" s="52" t="n">
        <v>0.241</v>
      </c>
      <c r="K138" s="52" t="n">
        <v>0.21</v>
      </c>
      <c r="L138" s="52" t="n">
        <v>0.872</v>
      </c>
    </row>
    <row r="139" hidden="1" s="57">
      <c r="A139" s="38" t="n"/>
      <c r="B139" s="49" t="inlineStr">
        <is>
          <t>ZION</t>
        </is>
      </c>
      <c r="C139" s="49" t="inlineStr">
        <is>
          <t>Zions Bancorp</t>
        </is>
      </c>
      <c r="D139" s="50" t="inlineStr">
        <is>
          <t>Banks - Regional</t>
        </is>
      </c>
      <c r="E139" s="51" t="n">
        <v>0.4</v>
      </c>
      <c r="F139" s="51" t="inlineStr">
        <is>
          <t xml:space="preserve">- </t>
        </is>
      </c>
      <c r="G139" s="51" t="inlineStr">
        <is>
          <t xml:space="preserve">- </t>
        </is>
      </c>
      <c r="H139" s="52" t="n">
        <v>0</v>
      </c>
      <c r="I139" s="52" t="n">
        <v>0.385</v>
      </c>
      <c r="J139" s="52" t="n">
        <v>0.288</v>
      </c>
      <c r="K139" s="52" t="n">
        <v>0.208</v>
      </c>
      <c r="L139" s="52" t="n">
        <v>0.723</v>
      </c>
    </row>
    <row r="140" hidden="1" s="57">
      <c r="A140" s="38" t="n"/>
      <c r="B140" s="49" t="inlineStr">
        <is>
          <t>FITB</t>
        </is>
      </c>
      <c r="C140" s="49" t="inlineStr">
        <is>
          <t>Fifth Third Bancorp</t>
        </is>
      </c>
      <c r="D140" s="50" t="inlineStr">
        <is>
          <t>Banks - Regional</t>
        </is>
      </c>
      <c r="E140" s="51" t="n">
        <v>0.7</v>
      </c>
      <c r="F140" s="51" t="inlineStr">
        <is>
          <t xml:space="preserve">- </t>
        </is>
      </c>
      <c r="G140" s="51" t="inlineStr">
        <is>
          <t xml:space="preserve">- </t>
        </is>
      </c>
      <c r="H140" s="52" t="n">
        <v>0</v>
      </c>
      <c r="I140" s="52" t="n">
        <v>0.376</v>
      </c>
      <c r="J140" s="52" t="n">
        <v>0.345</v>
      </c>
      <c r="K140" s="52" t="n">
        <v>0.205</v>
      </c>
      <c r="L140" s="52" t="n">
        <v>0.595</v>
      </c>
    </row>
    <row r="141" hidden="1" s="57">
      <c r="A141" s="38" t="n"/>
      <c r="B141" s="49" t="inlineStr">
        <is>
          <t>FISV</t>
        </is>
      </c>
      <c r="C141" s="49" t="inlineStr">
        <is>
          <t>Fiserv</t>
        </is>
      </c>
      <c r="D141" s="50" t="inlineStr">
        <is>
          <t>Information Technology Services</t>
        </is>
      </c>
      <c r="E141" s="51" t="n">
        <v>0.7</v>
      </c>
      <c r="F141" s="51" t="n">
        <v>1.1</v>
      </c>
      <c r="G141" s="51" t="n">
        <v>1.1</v>
      </c>
      <c r="H141" s="52" t="n">
        <v>0.479</v>
      </c>
      <c r="I141" s="52" t="n">
        <v>0.156</v>
      </c>
      <c r="J141" s="52" t="n">
        <v>0.08699999999999999</v>
      </c>
      <c r="K141" s="52" t="n">
        <v>0.204</v>
      </c>
      <c r="L141" s="52" t="n">
        <v>2.335</v>
      </c>
    </row>
    <row r="142" hidden="1" s="57">
      <c r="A142" s="38" t="n"/>
      <c r="B142" s="49" t="inlineStr">
        <is>
          <t>MSI</t>
        </is>
      </c>
      <c r="C142" s="49" t="inlineStr">
        <is>
          <t>Motorola Solutions</t>
        </is>
      </c>
      <c r="D142" s="50" t="inlineStr">
        <is>
          <t>Communication Equipment</t>
        </is>
      </c>
      <c r="E142" s="51" t="inlineStr">
        <is>
          <t xml:space="preserve">- </t>
        </is>
      </c>
      <c r="F142" s="51" t="n">
        <v>1.2</v>
      </c>
      <c r="G142" s="51" t="n">
        <v>1.1</v>
      </c>
      <c r="H142" s="52" t="n">
        <v>0.499</v>
      </c>
      <c r="I142" s="52" t="n">
        <v>0.217</v>
      </c>
      <c r="J142" s="52" t="n">
        <v>0.11</v>
      </c>
      <c r="K142" s="52" t="n">
        <v>0.201</v>
      </c>
      <c r="L142" s="52" t="n">
        <v>1.819</v>
      </c>
    </row>
    <row r="143" hidden="1" s="57">
      <c r="A143" s="38" t="n"/>
      <c r="B143" s="49" t="inlineStr">
        <is>
          <t>INFO</t>
        </is>
      </c>
      <c r="C143" s="49" t="inlineStr">
        <is>
          <t>IHS Markit</t>
        </is>
      </c>
      <c r="D143" s="50" t="inlineStr">
        <is>
          <t>Consulting Services</t>
        </is>
      </c>
      <c r="E143" s="51" t="n">
        <v>0.7</v>
      </c>
      <c r="F143" s="51" t="n">
        <v>0.7</v>
      </c>
      <c r="G143" s="51" t="n">
        <v>0.7</v>
      </c>
      <c r="H143" s="52" t="n">
        <v>0.624</v>
      </c>
      <c r="I143" s="52" t="n">
        <v>0.329</v>
      </c>
      <c r="J143" s="52" t="n">
        <v>0.197</v>
      </c>
      <c r="K143" s="52" t="n">
        <v>0.2</v>
      </c>
      <c r="L143" s="52" t="n">
        <v>1.014</v>
      </c>
    </row>
    <row r="144" hidden="1" s="57">
      <c r="A144" s="38" t="n"/>
      <c r="B144" s="49" t="inlineStr">
        <is>
          <t>YUM</t>
        </is>
      </c>
      <c r="C144" s="49" t="inlineStr">
        <is>
          <t>Yum Brands</t>
        </is>
      </c>
      <c r="D144" s="50" t="inlineStr">
        <is>
          <t>Restaurants</t>
        </is>
      </c>
      <c r="E144" s="51" t="inlineStr">
        <is>
          <t xml:space="preserve">- </t>
        </is>
      </c>
      <c r="F144" s="51" t="n">
        <v>1</v>
      </c>
      <c r="G144" s="51" t="n">
        <v>1</v>
      </c>
      <c r="H144" s="52" t="n">
        <v>0.779</v>
      </c>
      <c r="I144" s="52" t="n">
        <v>0.339</v>
      </c>
      <c r="J144" s="52" t="n">
        <v>0.231</v>
      </c>
      <c r="K144" s="52" t="n">
        <v>0.2</v>
      </c>
      <c r="L144" s="52" t="n">
        <v>0.864</v>
      </c>
    </row>
    <row r="145" hidden="1" s="57">
      <c r="A145" s="38" t="n"/>
      <c r="B145" s="49" t="inlineStr">
        <is>
          <t>AMAT</t>
        </is>
      </c>
      <c r="C145" s="49" t="inlineStr">
        <is>
          <t>Applied Materials</t>
        </is>
      </c>
      <c r="D145" s="50" t="inlineStr">
        <is>
          <t>Semiconductor Equipment &amp; Materials</t>
        </is>
      </c>
      <c r="E145" s="51" t="n">
        <v>0.6</v>
      </c>
      <c r="F145" s="51" t="n">
        <v>2.4</v>
      </c>
      <c r="G145" s="51" t="n">
        <v>1.6</v>
      </c>
      <c r="H145" s="52" t="n">
        <v>0.438</v>
      </c>
      <c r="I145" s="52" t="n">
        <v>0.232</v>
      </c>
      <c r="J145" s="52" t="n">
        <v>0.188</v>
      </c>
      <c r="K145" s="52" t="n">
        <v>0.199</v>
      </c>
      <c r="L145" s="52" t="n">
        <v>1.058</v>
      </c>
    </row>
    <row r="146" hidden="1" s="57">
      <c r="A146" s="38" t="n"/>
      <c r="B146" s="49" t="inlineStr">
        <is>
          <t>MET</t>
        </is>
      </c>
      <c r="C146" s="49" t="inlineStr">
        <is>
          <t>MetLife</t>
        </is>
      </c>
      <c r="D146" s="50" t="inlineStr">
        <is>
          <t>Insurance - Life</t>
        </is>
      </c>
      <c r="E146" s="51" t="n">
        <v>0.3</v>
      </c>
      <c r="F146" s="51" t="inlineStr">
        <is>
          <t xml:space="preserve">- </t>
        </is>
      </c>
      <c r="G146" s="51" t="inlineStr">
        <is>
          <t xml:space="preserve">- </t>
        </is>
      </c>
      <c r="H146" s="52" t="n">
        <v>0</v>
      </c>
      <c r="I146" s="52" t="n">
        <v>0</v>
      </c>
      <c r="J146" s="52" t="n">
        <v>0.08500000000000001</v>
      </c>
      <c r="K146" s="52" t="n">
        <v>0.199</v>
      </c>
      <c r="L146" s="52" t="n">
        <v>2.346</v>
      </c>
    </row>
    <row r="147" hidden="1" s="57">
      <c r="A147" s="38" t="n"/>
      <c r="B147" s="49" t="inlineStr">
        <is>
          <t>WAT</t>
        </is>
      </c>
      <c r="C147" s="49" t="inlineStr">
        <is>
          <t>Waters</t>
        </is>
      </c>
      <c r="D147" s="50" t="inlineStr">
        <is>
          <t>Diagnostics &amp; Research</t>
        </is>
      </c>
      <c r="E147" s="51" t="inlineStr">
        <is>
          <t xml:space="preserve">- </t>
        </is>
      </c>
      <c r="F147" s="51" t="n">
        <v>2.2</v>
      </c>
      <c r="G147" s="51" t="n">
        <v>1.7</v>
      </c>
      <c r="H147" s="52" t="n">
        <v>0.58</v>
      </c>
      <c r="I147" s="52" t="n">
        <v>0.295</v>
      </c>
      <c r="J147" s="52" t="n">
        <v>0.246</v>
      </c>
      <c r="K147" s="52" t="n">
        <v>0.198</v>
      </c>
      <c r="L147" s="52" t="n">
        <v>0.805</v>
      </c>
    </row>
    <row r="148" hidden="1" s="57">
      <c r="A148" s="38" t="n"/>
      <c r="B148" s="49" t="inlineStr">
        <is>
          <t>AME</t>
        </is>
      </c>
      <c r="C148" s="49" t="inlineStr">
        <is>
          <t>AMETEK</t>
        </is>
      </c>
      <c r="D148" s="50" t="inlineStr">
        <is>
          <t>Specialty Industrial Machinery</t>
        </is>
      </c>
      <c r="E148" s="51" t="n">
        <v>0.6</v>
      </c>
      <c r="F148" s="51" t="n">
        <v>1.4</v>
      </c>
      <c r="G148" s="51" t="n">
        <v>1</v>
      </c>
      <c r="H148" s="52" t="n">
        <v>0.347</v>
      </c>
      <c r="I148" s="52" t="n">
        <v>0.228</v>
      </c>
      <c r="J148" s="52" t="n">
        <v>0.167</v>
      </c>
      <c r="K148" s="52" t="n">
        <v>0.197</v>
      </c>
      <c r="L148" s="52" t="n">
        <v>1.178</v>
      </c>
    </row>
    <row r="149" hidden="1" s="57">
      <c r="A149" s="38" t="n"/>
      <c r="B149" s="49" t="inlineStr">
        <is>
          <t>NDAQ</t>
        </is>
      </c>
      <c r="C149" s="49" t="inlineStr">
        <is>
          <t>Nasdaq</t>
        </is>
      </c>
      <c r="D149" s="50" t="inlineStr">
        <is>
          <t>Financial Data &amp; Stock Exchanges</t>
        </is>
      </c>
      <c r="E149" s="51" t="n">
        <v>0.7</v>
      </c>
      <c r="F149" s="51" t="n">
        <v>1</v>
      </c>
      <c r="G149" s="51" t="n">
        <v>1</v>
      </c>
      <c r="H149" s="52" t="n">
        <v>0.595</v>
      </c>
      <c r="I149" s="52" t="n">
        <v>0.254</v>
      </c>
      <c r="J149" s="52" t="n">
        <v>0.181</v>
      </c>
      <c r="K149" s="52" t="n">
        <v>0.195</v>
      </c>
      <c r="L149" s="52" t="n">
        <v>1.077</v>
      </c>
    </row>
    <row r="150" hidden="1" s="57">
      <c r="A150" s="38" t="n"/>
      <c r="B150" s="49" t="inlineStr">
        <is>
          <t>PFE</t>
        </is>
      </c>
      <c r="C150" s="49" t="inlineStr">
        <is>
          <t>Pfizer</t>
        </is>
      </c>
      <c r="D150" s="50" t="inlineStr">
        <is>
          <t>Drug Manufacturers - General</t>
        </is>
      </c>
      <c r="E150" s="51" t="n">
        <v>0.8</v>
      </c>
      <c r="F150" s="51" t="n">
        <v>0.9</v>
      </c>
      <c r="G150" s="51" t="n">
        <v>0.7</v>
      </c>
      <c r="H150" s="52" t="n">
        <v>0.802</v>
      </c>
      <c r="I150" s="52" t="n">
        <v>0.268</v>
      </c>
      <c r="J150" s="52" t="n">
        <v>0.315</v>
      </c>
      <c r="K150" s="52" t="n">
        <v>0.194</v>
      </c>
      <c r="L150" s="52" t="n">
        <v>0.618</v>
      </c>
    </row>
    <row r="151" hidden="1" s="57">
      <c r="A151" s="38" t="n"/>
      <c r="B151" s="49" t="inlineStr">
        <is>
          <t>IEX</t>
        </is>
      </c>
      <c r="C151" s="49" t="inlineStr">
        <is>
          <t>IDEX</t>
        </is>
      </c>
      <c r="D151" s="50" t="inlineStr">
        <is>
          <t>Specialty Industrial Machinery</t>
        </is>
      </c>
      <c r="E151" s="51" t="n">
        <v>0.4</v>
      </c>
      <c r="F151" s="51" t="n">
        <v>3.5</v>
      </c>
      <c r="G151" s="51" t="n">
        <v>2.7</v>
      </c>
      <c r="H151" s="52" t="n">
        <v>0.451</v>
      </c>
      <c r="I151" s="52" t="n">
        <v>0.241</v>
      </c>
      <c r="J151" s="52" t="n">
        <v>0.171</v>
      </c>
      <c r="K151" s="52" t="n">
        <v>0.192</v>
      </c>
      <c r="L151" s="52" t="n">
        <v>1.126</v>
      </c>
    </row>
    <row r="152" hidden="1" s="57">
      <c r="A152" s="38" t="n"/>
      <c r="B152" s="49" t="inlineStr">
        <is>
          <t>ADS</t>
        </is>
      </c>
      <c r="C152" s="49" t="inlineStr">
        <is>
          <t>Alliance Data Systems</t>
        </is>
      </c>
      <c r="D152" s="50" t="inlineStr">
        <is>
          <t>Credit Services</t>
        </is>
      </c>
      <c r="E152" s="51" t="n">
        <v>6.6</v>
      </c>
      <c r="F152" s="51" t="n">
        <v>2</v>
      </c>
      <c r="G152" s="51" t="n">
        <v>2</v>
      </c>
      <c r="H152" s="52" t="n">
        <v>0.518</v>
      </c>
      <c r="I152" s="52" t="n">
        <v>0.247</v>
      </c>
      <c r="J152" s="52" t="n">
        <v>0.049</v>
      </c>
      <c r="K152" s="52" t="n">
        <v>0.19</v>
      </c>
      <c r="L152" s="52" t="n">
        <v>3.869</v>
      </c>
    </row>
    <row r="153" hidden="1" s="57">
      <c r="A153" s="38" t="n"/>
      <c r="B153" s="49" t="inlineStr">
        <is>
          <t>ITW</t>
        </is>
      </c>
      <c r="C153" s="49" t="inlineStr">
        <is>
          <t>Illinois Tool Works</t>
        </is>
      </c>
      <c r="D153" s="50" t="inlineStr">
        <is>
          <t>Specialty Industrial Machinery</t>
        </is>
      </c>
      <c r="E153" s="51" t="n">
        <v>2.6</v>
      </c>
      <c r="F153" s="51" t="n">
        <v>2.9</v>
      </c>
      <c r="G153" s="51" t="n">
        <v>2.4</v>
      </c>
      <c r="H153" s="52" t="n">
        <v>0.42</v>
      </c>
      <c r="I153" s="52" t="n">
        <v>0.241</v>
      </c>
      <c r="J153" s="52" t="n">
        <v>0.179</v>
      </c>
      <c r="K153" s="52" t="n">
        <v>0.19</v>
      </c>
      <c r="L153" s="52" t="n">
        <v>1.06</v>
      </c>
    </row>
    <row r="154" hidden="1" s="57">
      <c r="A154" s="38" t="n"/>
      <c r="B154" s="49" t="inlineStr">
        <is>
          <t>KEYS</t>
        </is>
      </c>
      <c r="C154" s="49" t="inlineStr">
        <is>
          <t>Keysight Technologies</t>
        </is>
      </c>
      <c r="D154" s="50" t="inlineStr">
        <is>
          <t>Scientific &amp; Technical Instruments</t>
        </is>
      </c>
      <c r="E154" s="51" t="n">
        <v>0.6</v>
      </c>
      <c r="F154" s="51" t="n">
        <v>3.4</v>
      </c>
      <c r="G154" s="51" t="n">
        <v>2.6</v>
      </c>
      <c r="H154" s="52" t="n">
        <v>0.595</v>
      </c>
      <c r="I154" s="52" t="n">
        <v>0.181</v>
      </c>
      <c r="J154" s="52" t="n">
        <v>0.153</v>
      </c>
      <c r="K154" s="52" t="n">
        <v>0.19</v>
      </c>
      <c r="L154" s="52" t="n">
        <v>1.245</v>
      </c>
    </row>
    <row r="155" hidden="1" s="57">
      <c r="A155" s="38" t="n"/>
      <c r="B155" s="49" t="inlineStr">
        <is>
          <t>KMI</t>
        </is>
      </c>
      <c r="C155" s="49" t="inlineStr">
        <is>
          <t>Kinder Morgan</t>
        </is>
      </c>
      <c r="D155" s="50" t="inlineStr">
        <is>
          <t>Oil &amp; Gas Midstream</t>
        </is>
      </c>
      <c r="E155" s="51" t="n">
        <v>1</v>
      </c>
      <c r="F155" s="51" t="n">
        <v>0.6</v>
      </c>
      <c r="G155" s="51" t="n">
        <v>0.5</v>
      </c>
      <c r="H155" s="52" t="n">
        <v>0.374</v>
      </c>
      <c r="I155" s="52" t="n">
        <v>0.298</v>
      </c>
      <c r="J155" s="52" t="n">
        <v>0.166</v>
      </c>
      <c r="K155" s="52" t="n">
        <v>0.19</v>
      </c>
      <c r="L155" s="52" t="n">
        <v>1.143</v>
      </c>
    </row>
    <row r="156" hidden="1" s="57">
      <c r="A156" s="38" t="n"/>
      <c r="B156" s="49" t="inlineStr">
        <is>
          <t>WMB</t>
        </is>
      </c>
      <c r="C156" s="49" t="inlineStr">
        <is>
          <t>Williams Companies</t>
        </is>
      </c>
      <c r="D156" s="50" t="inlineStr">
        <is>
          <t>Oil &amp; Gas Midstream</t>
        </is>
      </c>
      <c r="E156" s="51" t="n">
        <v>1.7</v>
      </c>
      <c r="F156" s="51" t="n">
        <v>0.4</v>
      </c>
      <c r="G156" s="51" t="n">
        <v>0.3</v>
      </c>
      <c r="H156" s="52" t="n">
        <v>0.539</v>
      </c>
      <c r="I156" s="52" t="n">
        <v>0.29</v>
      </c>
      <c r="J156" s="52" t="n">
        <v>0.104</v>
      </c>
      <c r="K156" s="52" t="n">
        <v>0.189</v>
      </c>
      <c r="L156" s="52" t="n">
        <v>1.817</v>
      </c>
    </row>
    <row r="157" hidden="1" s="57">
      <c r="A157" s="38" t="n"/>
      <c r="B157" s="49" t="inlineStr">
        <is>
          <t>STZ</t>
        </is>
      </c>
      <c r="C157" s="49" t="inlineStr">
        <is>
          <t>Constellation Brands</t>
        </is>
      </c>
      <c r="D157" s="50" t="inlineStr">
        <is>
          <t>Beverages - Wineries &amp; Distilleries</t>
        </is>
      </c>
      <c r="E157" s="51" t="n">
        <v>1.1</v>
      </c>
      <c r="F157" s="51" t="n">
        <v>1.4</v>
      </c>
      <c r="G157" s="51" t="n">
        <v>0.9</v>
      </c>
      <c r="H157" s="52" t="n">
        <v>0.497</v>
      </c>
      <c r="I157" s="52" t="n">
        <v>0.29</v>
      </c>
      <c r="J157" s="52" t="n">
        <v>0.098</v>
      </c>
      <c r="K157" s="52" t="n">
        <v>0.188</v>
      </c>
      <c r="L157" s="52" t="n">
        <v>1.925</v>
      </c>
    </row>
    <row r="158" hidden="1" s="57">
      <c r="A158" s="38" t="n"/>
      <c r="B158" s="49" t="inlineStr">
        <is>
          <t>CB</t>
        </is>
      </c>
      <c r="C158" s="49" t="inlineStr">
        <is>
          <t>Chubb</t>
        </is>
      </c>
      <c r="D158" s="50" t="inlineStr">
        <is>
          <t>Insurance - Property &amp; Casualty</t>
        </is>
      </c>
      <c r="E158" s="51" t="n">
        <v>0.3</v>
      </c>
      <c r="F158" s="51" t="inlineStr">
        <is>
          <t xml:space="preserve">- </t>
        </is>
      </c>
      <c r="G158" s="51" t="inlineStr">
        <is>
          <t xml:space="preserve">- </t>
        </is>
      </c>
      <c r="H158" s="52" t="n">
        <v>0</v>
      </c>
      <c r="I158" s="52" t="n">
        <v>0</v>
      </c>
      <c r="J158" s="52" t="n">
        <v>0.13</v>
      </c>
      <c r="K158" s="52" t="n">
        <v>0.186</v>
      </c>
      <c r="L158" s="52" t="n">
        <v>1.426</v>
      </c>
    </row>
    <row r="159" hidden="1" s="57">
      <c r="A159" s="38" t="n"/>
      <c r="B159" s="49" t="inlineStr">
        <is>
          <t>DHR</t>
        </is>
      </c>
      <c r="C159" s="49" t="inlineStr">
        <is>
          <t>Danaher</t>
        </is>
      </c>
      <c r="D159" s="50" t="inlineStr">
        <is>
          <t>Diagnostics &amp; Research</t>
        </is>
      </c>
      <c r="E159" s="51" t="n">
        <v>0.7</v>
      </c>
      <c r="F159" s="51" t="n">
        <v>5.2</v>
      </c>
      <c r="G159" s="51" t="n">
        <v>4.9</v>
      </c>
      <c r="H159" s="52" t="n">
        <v>0.5570000000000001</v>
      </c>
      <c r="I159" s="52" t="n">
        <v>0.183</v>
      </c>
      <c r="J159" s="52" t="n">
        <v>0.169</v>
      </c>
      <c r="K159" s="52" t="n">
        <v>0.186</v>
      </c>
      <c r="L159" s="52" t="n">
        <v>1.1</v>
      </c>
    </row>
    <row r="160" hidden="1" s="57">
      <c r="A160" s="38" t="n"/>
      <c r="B160" s="49" t="inlineStr">
        <is>
          <t>PG</t>
        </is>
      </c>
      <c r="C160" s="49" t="inlineStr">
        <is>
          <t>Procter &amp; Gamble</t>
        </is>
      </c>
      <c r="D160" s="50" t="inlineStr">
        <is>
          <t>Household &amp; Personal Products</t>
        </is>
      </c>
      <c r="E160" s="51" t="n">
        <v>0.6</v>
      </c>
      <c r="F160" s="51" t="n">
        <v>0.6</v>
      </c>
      <c r="G160" s="51" t="n">
        <v>0.4</v>
      </c>
      <c r="H160" s="52" t="n">
        <v>0.498</v>
      </c>
      <c r="I160" s="52" t="n">
        <v>0.218</v>
      </c>
      <c r="J160" s="52" t="n">
        <v>0.068</v>
      </c>
      <c r="K160" s="52" t="n">
        <v>0.186</v>
      </c>
      <c r="L160" s="52" t="n">
        <v>2.734</v>
      </c>
    </row>
    <row r="161" hidden="1" s="57">
      <c r="A161" s="38" t="n"/>
      <c r="B161" s="49" t="inlineStr">
        <is>
          <t>BLK</t>
        </is>
      </c>
      <c r="C161" s="49" t="inlineStr">
        <is>
          <t>BlackRock</t>
        </is>
      </c>
      <c r="D161" s="50" t="inlineStr">
        <is>
          <t>Asset Management</t>
        </is>
      </c>
      <c r="E161" s="51" t="n">
        <v>0.2</v>
      </c>
      <c r="F161" s="51" t="n">
        <v>6.9</v>
      </c>
      <c r="G161" s="51" t="n">
        <v>6.9</v>
      </c>
      <c r="H161" s="52" t="n">
        <v>0.51</v>
      </c>
      <c r="I161" s="52" t="n">
        <v>0.388</v>
      </c>
      <c r="J161" s="52" t="n">
        <v>0.308</v>
      </c>
      <c r="K161" s="52" t="n">
        <v>0.184</v>
      </c>
      <c r="L161" s="52" t="n">
        <v>0.597</v>
      </c>
    </row>
    <row r="162" hidden="1" s="57">
      <c r="A162" s="38" t="n"/>
      <c r="B162" s="49" t="inlineStr">
        <is>
          <t>CHD</t>
        </is>
      </c>
      <c r="C162" s="49" t="inlineStr">
        <is>
          <t>Church &amp; Dwight Co</t>
        </is>
      </c>
      <c r="D162" s="50" t="inlineStr">
        <is>
          <t>Household &amp; Personal Products</t>
        </is>
      </c>
      <c r="E162" s="51" t="n">
        <v>0.8</v>
      </c>
      <c r="F162" s="51" t="n">
        <v>0.9</v>
      </c>
      <c r="G162" s="51" t="n">
        <v>0.5</v>
      </c>
      <c r="H162" s="52" t="n">
        <v>0.455</v>
      </c>
      <c r="I162" s="52" t="n">
        <v>0.192</v>
      </c>
      <c r="J162" s="52" t="n">
        <v>0.141</v>
      </c>
      <c r="K162" s="52" t="n">
        <v>0.182</v>
      </c>
      <c r="L162" s="52" t="n">
        <v>1.291</v>
      </c>
    </row>
    <row r="163" hidden="1" s="57">
      <c r="A163" s="38" t="n"/>
      <c r="B163" s="49" t="inlineStr">
        <is>
          <t>HSY</t>
        </is>
      </c>
      <c r="C163" s="49" t="inlineStr">
        <is>
          <t>Hershey</t>
        </is>
      </c>
      <c r="D163" s="50" t="inlineStr">
        <is>
          <t>Confectioners</t>
        </is>
      </c>
      <c r="E163" s="51" t="n">
        <v>2.6</v>
      </c>
      <c r="F163" s="51" t="n">
        <v>1.1</v>
      </c>
      <c r="G163" s="51" t="n">
        <v>0.7</v>
      </c>
      <c r="H163" s="52" t="n">
        <v>0.454</v>
      </c>
      <c r="I163" s="52" t="n">
        <v>0.215</v>
      </c>
      <c r="J163" s="52" t="n">
        <v>0.144</v>
      </c>
      <c r="K163" s="52" t="n">
        <v>0.182</v>
      </c>
      <c r="L163" s="52" t="n">
        <v>1.263</v>
      </c>
    </row>
    <row r="164" hidden="1" s="57">
      <c r="A164" s="38" t="n"/>
      <c r="B164" s="49" t="inlineStr">
        <is>
          <t>KSU</t>
        </is>
      </c>
      <c r="C164" s="49" t="inlineStr">
        <is>
          <t>Kansas City Southern</t>
        </is>
      </c>
      <c r="D164" s="50" t="inlineStr">
        <is>
          <t>Railroads</t>
        </is>
      </c>
      <c r="E164" s="51" t="n">
        <v>0.8</v>
      </c>
      <c r="F164" s="51" t="n">
        <v>1.5</v>
      </c>
      <c r="G164" s="51" t="n">
        <v>1.1</v>
      </c>
      <c r="H164" s="52" t="n">
        <v>0.539</v>
      </c>
      <c r="I164" s="52" t="n">
        <v>0.399</v>
      </c>
      <c r="J164" s="52" t="n">
        <v>0.204</v>
      </c>
      <c r="K164" s="52" t="n">
        <v>0.181</v>
      </c>
      <c r="L164" s="52" t="n">
        <v>0.886</v>
      </c>
    </row>
    <row r="165" hidden="1" s="57">
      <c r="A165" s="38" t="n"/>
      <c r="B165" s="49" t="inlineStr">
        <is>
          <t>LNT</t>
        </is>
      </c>
      <c r="C165" s="49" t="inlineStr">
        <is>
          <t>Alliant Energy</t>
        </is>
      </c>
      <c r="D165" s="50" t="inlineStr">
        <is>
          <t>Utilities - Regulated Electric</t>
        </is>
      </c>
      <c r="E165" s="51" t="n">
        <v>1.3</v>
      </c>
      <c r="F165" s="51" t="n">
        <v>0.4</v>
      </c>
      <c r="G165" s="51" t="n">
        <v>0.3</v>
      </c>
      <c r="H165" s="52" t="n">
        <v>0.4</v>
      </c>
      <c r="I165" s="52" t="n">
        <v>0.214</v>
      </c>
      <c r="J165" s="52" t="n">
        <v>0.156</v>
      </c>
      <c r="K165" s="52" t="n">
        <v>0.181</v>
      </c>
      <c r="L165" s="52" t="n">
        <v>1.161</v>
      </c>
    </row>
    <row r="166" hidden="1" s="57">
      <c r="A166" s="38" t="n"/>
      <c r="B166" s="49" t="inlineStr">
        <is>
          <t>CL</t>
        </is>
      </c>
      <c r="C166" s="49" t="inlineStr">
        <is>
          <t>Colgate-Palmolive</t>
        </is>
      </c>
      <c r="D166" s="50" t="inlineStr">
        <is>
          <t>Household &amp; Personal Products</t>
        </is>
      </c>
      <c r="E166" s="51" t="n">
        <v>72.5</v>
      </c>
      <c r="F166" s="51" t="n">
        <v>1</v>
      </c>
      <c r="G166" s="51" t="n">
        <v>0.7</v>
      </c>
      <c r="H166" s="52" t="n">
        <v>0.594</v>
      </c>
      <c r="I166" s="52" t="n">
        <v>0.231</v>
      </c>
      <c r="J166" s="52" t="n">
        <v>0.151</v>
      </c>
      <c r="K166" s="52" t="n">
        <v>0.179</v>
      </c>
      <c r="L166" s="52" t="n">
        <v>1.185</v>
      </c>
    </row>
    <row r="167" hidden="1" s="57">
      <c r="A167" s="38" t="n"/>
      <c r="B167" s="49" t="inlineStr">
        <is>
          <t>TDG</t>
        </is>
      </c>
      <c r="C167" s="49" t="inlineStr">
        <is>
          <t>TransDigm Gr</t>
        </is>
      </c>
      <c r="D167" s="50" t="inlineStr">
        <is>
          <t>Aerospace &amp; Defense</t>
        </is>
      </c>
      <c r="E167" s="51" t="inlineStr">
        <is>
          <t xml:space="preserve">- </t>
        </is>
      </c>
      <c r="F167" s="51" t="n">
        <v>2</v>
      </c>
      <c r="G167" s="51" t="n">
        <v>1.6</v>
      </c>
      <c r="H167" s="52" t="n">
        <v>0.535</v>
      </c>
      <c r="I167" s="52" t="n">
        <v>0.376</v>
      </c>
      <c r="J167" s="52" t="n">
        <v>0.175</v>
      </c>
      <c r="K167" s="52" t="n">
        <v>0.179</v>
      </c>
      <c r="L167" s="52" t="n">
        <v>1.021</v>
      </c>
    </row>
    <row r="168" hidden="1" s="57">
      <c r="A168" s="38" t="n"/>
      <c r="B168" s="49" t="inlineStr">
        <is>
          <t>BF.B</t>
        </is>
      </c>
      <c r="C168" s="49" t="inlineStr">
        <is>
          <t>Brown-Forman</t>
        </is>
      </c>
      <c r="D168" s="50" t="inlineStr">
        <is>
          <t>Beverages - Wineries &amp; Distilleries</t>
        </is>
      </c>
      <c r="E168" s="51" t="n">
        <v>1.2</v>
      </c>
      <c r="F168" s="51" t="n">
        <v>4.5</v>
      </c>
      <c r="G168" s="51" t="n">
        <v>2</v>
      </c>
      <c r="H168" s="52" t="n">
        <v>0.634</v>
      </c>
      <c r="I168" s="52" t="n">
        <v>0.333</v>
      </c>
      <c r="J168" s="52" t="n">
        <v>0.253</v>
      </c>
      <c r="K168" s="52" t="n">
        <v>0.178</v>
      </c>
      <c r="L168" s="52" t="n">
        <v>0.706</v>
      </c>
    </row>
    <row r="169" hidden="1" s="57">
      <c r="A169" s="38" t="n"/>
      <c r="B169" s="49" t="inlineStr">
        <is>
          <t>GOOG</t>
        </is>
      </c>
      <c r="C169" s="49" t="inlineStr">
        <is>
          <t>Alphabet</t>
        </is>
      </c>
      <c r="D169" s="50" t="inlineStr">
        <is>
          <t>Internet Content &amp; Information</t>
        </is>
      </c>
      <c r="E169" s="51" t="n">
        <v>0.1</v>
      </c>
      <c r="F169" s="51" t="n">
        <v>3.4</v>
      </c>
      <c r="G169" s="51" t="n">
        <v>3.4</v>
      </c>
      <c r="H169" s="52" t="n">
        <v>0.556</v>
      </c>
      <c r="I169" s="52" t="n">
        <v>0.222</v>
      </c>
      <c r="J169" s="52" t="n">
        <v>0.213</v>
      </c>
      <c r="K169" s="52" t="n">
        <v>0.176</v>
      </c>
      <c r="L169" s="52" t="n">
        <v>0.826</v>
      </c>
    </row>
    <row r="170" hidden="1" s="57">
      <c r="A170" s="38" t="n"/>
      <c r="B170" s="49" t="inlineStr">
        <is>
          <t>GOOGL</t>
        </is>
      </c>
      <c r="C170" s="49" t="inlineStr">
        <is>
          <t>Alphabet</t>
        </is>
      </c>
      <c r="D170" s="50" t="inlineStr">
        <is>
          <t>Internet Content &amp; Information</t>
        </is>
      </c>
      <c r="E170" s="51" t="n">
        <v>0.1</v>
      </c>
      <c r="F170" s="51" t="n">
        <v>3.4</v>
      </c>
      <c r="G170" s="51" t="n">
        <v>3.4</v>
      </c>
      <c r="H170" s="52" t="n">
        <v>0.556</v>
      </c>
      <c r="I170" s="52" t="n">
        <v>0.222</v>
      </c>
      <c r="J170" s="52" t="n">
        <v>0.213</v>
      </c>
      <c r="K170" s="52" t="n">
        <v>0.176</v>
      </c>
      <c r="L170" s="52" t="n">
        <v>0.826</v>
      </c>
    </row>
    <row r="171" hidden="1" s="57">
      <c r="A171" s="38" t="n"/>
      <c r="B171" s="49" t="inlineStr">
        <is>
          <t>PAYC</t>
        </is>
      </c>
      <c r="C171" s="49" t="inlineStr">
        <is>
          <t>Paycom Software</t>
        </is>
      </c>
      <c r="D171" s="50" t="inlineStr">
        <is>
          <t>Software - Application</t>
        </is>
      </c>
      <c r="E171" s="51" t="n">
        <v>0.1</v>
      </c>
      <c r="F171" s="51" t="n">
        <v>1.1</v>
      </c>
      <c r="G171" s="51" t="n">
        <v>1.1</v>
      </c>
      <c r="H171" s="52" t="n">
        <v>0.851</v>
      </c>
      <c r="I171" s="52" t="n">
        <v>0.307</v>
      </c>
      <c r="J171" s="52" t="n">
        <v>0.245</v>
      </c>
      <c r="K171" s="52" t="n">
        <v>0.176</v>
      </c>
      <c r="L171" s="52" t="n">
        <v>0.72</v>
      </c>
    </row>
    <row r="172" hidden="1" s="57">
      <c r="A172" s="38" t="n"/>
      <c r="B172" s="49" t="inlineStr">
        <is>
          <t>AKAM</t>
        </is>
      </c>
      <c r="C172" s="49" t="inlineStr">
        <is>
          <t>Akamai Technologies</t>
        </is>
      </c>
      <c r="D172" s="50" t="inlineStr">
        <is>
          <t>Software - Infrastructure</t>
        </is>
      </c>
      <c r="E172" s="51" t="n">
        <v>0.7</v>
      </c>
      <c r="F172" s="51" t="n">
        <v>3.2</v>
      </c>
      <c r="G172" s="51" t="n">
        <v>3.2</v>
      </c>
      <c r="H172" s="52" t="n">
        <v>0.659</v>
      </c>
      <c r="I172" s="52" t="n">
        <v>0.2</v>
      </c>
      <c r="J172" s="52" t="n">
        <v>0.165</v>
      </c>
      <c r="K172" s="52" t="n">
        <v>0.173</v>
      </c>
      <c r="L172" s="52" t="n">
        <v>1.047</v>
      </c>
    </row>
    <row r="173" hidden="1" s="57">
      <c r="A173" s="38" t="n"/>
      <c r="B173" s="49" t="inlineStr">
        <is>
          <t>CE</t>
        </is>
      </c>
      <c r="C173" s="49" t="inlineStr">
        <is>
          <t>Celanese</t>
        </is>
      </c>
      <c r="D173" s="50" t="inlineStr">
        <is>
          <t>Chemicals</t>
        </is>
      </c>
      <c r="E173" s="51" t="n">
        <v>1.6</v>
      </c>
      <c r="F173" s="51" t="n">
        <v>1.6</v>
      </c>
      <c r="G173" s="51" t="n">
        <v>1</v>
      </c>
      <c r="H173" s="52" t="n">
        <v>0.255</v>
      </c>
      <c r="I173" s="52" t="n">
        <v>0.179</v>
      </c>
      <c r="J173" s="52" t="n">
        <v>0.135</v>
      </c>
      <c r="K173" s="52" t="n">
        <v>0.173</v>
      </c>
      <c r="L173" s="52" t="n">
        <v>1.283</v>
      </c>
    </row>
    <row r="174" hidden="1" s="57">
      <c r="A174" s="38" t="n"/>
      <c r="B174" s="49" t="inlineStr">
        <is>
          <t>FLIR</t>
        </is>
      </c>
      <c r="C174" s="49" t="inlineStr">
        <is>
          <t>FLIR Systems</t>
        </is>
      </c>
      <c r="D174" s="50" t="inlineStr">
        <is>
          <t>Scientific &amp; Technical Instruments</t>
        </is>
      </c>
      <c r="E174" s="51" t="n">
        <v>0.4</v>
      </c>
      <c r="F174" s="51" t="n">
        <v>2.7</v>
      </c>
      <c r="G174" s="51" t="n">
        <v>1.6</v>
      </c>
      <c r="H174" s="52" t="n">
        <v>0.492</v>
      </c>
      <c r="I174" s="52" t="n">
        <v>0.15</v>
      </c>
      <c r="J174" s="52" t="n">
        <v>0.09</v>
      </c>
      <c r="K174" s="52" t="n">
        <v>0.173</v>
      </c>
      <c r="L174" s="52" t="n">
        <v>1.916</v>
      </c>
    </row>
    <row r="175" hidden="1" s="57">
      <c r="A175" s="38" t="n"/>
      <c r="B175" s="49" t="inlineStr">
        <is>
          <t>JKHY</t>
        </is>
      </c>
      <c r="C175" s="49" t="inlineStr">
        <is>
          <t>Jack Henry &amp; Associates</t>
        </is>
      </c>
      <c r="D175" s="50" t="inlineStr">
        <is>
          <t>Information Technology Services</t>
        </is>
      </c>
      <c r="E175" s="51" t="n">
        <v>0</v>
      </c>
      <c r="F175" s="51" t="n">
        <v>1.3</v>
      </c>
      <c r="G175" s="51" t="n">
        <v>1.2</v>
      </c>
      <c r="H175" s="52" t="n">
        <v>0.405</v>
      </c>
      <c r="I175" s="52" t="n">
        <v>0.226</v>
      </c>
      <c r="J175" s="52" t="n">
        <v>0.173</v>
      </c>
      <c r="K175" s="52" t="n">
        <v>0.173</v>
      </c>
      <c r="L175" s="52" t="n">
        <v>0.999</v>
      </c>
    </row>
    <row r="176" hidden="1" s="57">
      <c r="A176" s="38" t="n"/>
      <c r="B176" s="49" t="inlineStr">
        <is>
          <t>AMP</t>
        </is>
      </c>
      <c r="C176" s="49" t="inlineStr">
        <is>
          <t>Ameriprise Financial</t>
        </is>
      </c>
      <c r="D176" s="50" t="inlineStr">
        <is>
          <t>Asset Management</t>
        </is>
      </c>
      <c r="E176" s="51" t="n">
        <v>0.9</v>
      </c>
      <c r="F176" s="51" t="inlineStr">
        <is>
          <t xml:space="preserve">- </t>
        </is>
      </c>
      <c r="G176" s="51" t="inlineStr">
        <is>
          <t xml:space="preserve">- </t>
        </is>
      </c>
      <c r="H176" s="52" t="n">
        <v>0</v>
      </c>
      <c r="I176" s="52" t="n">
        <v>0</v>
      </c>
      <c r="J176" s="52" t="n">
        <v>0.147</v>
      </c>
      <c r="K176" s="52" t="n">
        <v>0.172</v>
      </c>
      <c r="L176" s="52" t="n">
        <v>1.169</v>
      </c>
    </row>
    <row r="177" hidden="1" s="57">
      <c r="A177" s="38" t="n"/>
      <c r="B177" s="49" t="inlineStr">
        <is>
          <t>COO</t>
        </is>
      </c>
      <c r="C177" s="49" t="inlineStr">
        <is>
          <t>Cooper Companies</t>
        </is>
      </c>
      <c r="D177" s="50" t="inlineStr">
        <is>
          <t>Medical Instruments &amp; Supplies</t>
        </is>
      </c>
      <c r="E177" s="51" t="n">
        <v>0.6</v>
      </c>
      <c r="F177" s="51" t="n">
        <v>1.1</v>
      </c>
      <c r="G177" s="51" t="n">
        <v>0.6</v>
      </c>
      <c r="H177" s="52" t="n">
        <v>0.661</v>
      </c>
      <c r="I177" s="52" t="n">
        <v>0.198</v>
      </c>
      <c r="J177" s="52" t="n">
        <v>0.17</v>
      </c>
      <c r="K177" s="52" t="n">
        <v>0.171</v>
      </c>
      <c r="L177" s="52" t="n">
        <v>1.009</v>
      </c>
    </row>
    <row r="178" hidden="1" s="57">
      <c r="A178" s="38" t="n"/>
      <c r="B178" s="49" t="inlineStr">
        <is>
          <t>HP</t>
        </is>
      </c>
      <c r="C178" s="49" t="inlineStr">
        <is>
          <t>Helmerich &amp; Payne</t>
        </is>
      </c>
      <c r="D178" s="50" t="inlineStr">
        <is>
          <t>Oil &amp; Gas Drilling</t>
        </is>
      </c>
      <c r="E178" s="51" t="n">
        <v>0.1</v>
      </c>
      <c r="F178" s="51" t="n">
        <v>2.8</v>
      </c>
      <c r="G178" s="51" t="n">
        <v>2.4</v>
      </c>
      <c r="H178" s="52" t="n">
        <v>0.15</v>
      </c>
      <c r="I178" s="52" t="n">
        <v>0.068</v>
      </c>
      <c r="J178" s="52" t="n">
        <v>-0.008999999999999999</v>
      </c>
      <c r="K178" s="52" t="n">
        <v>0.169</v>
      </c>
      <c r="L178" s="51" t="inlineStr">
        <is>
          <t xml:space="preserve">- </t>
        </is>
      </c>
    </row>
    <row r="179" hidden="1" s="57">
      <c r="A179" s="38" t="n"/>
      <c r="B179" s="49" t="inlineStr">
        <is>
          <t>MTD</t>
        </is>
      </c>
      <c r="C179" s="49" t="inlineStr">
        <is>
          <t>Mettler-Toledo Intl</t>
        </is>
      </c>
      <c r="D179" s="50" t="inlineStr">
        <is>
          <t>Diagnostics &amp; Research</t>
        </is>
      </c>
      <c r="E179" s="51" t="n">
        <v>3.1</v>
      </c>
      <c r="F179" s="51" t="n">
        <v>1.5</v>
      </c>
      <c r="G179" s="51" t="n">
        <v>1.1</v>
      </c>
      <c r="H179" s="52" t="n">
        <v>0.579</v>
      </c>
      <c r="I179" s="52" t="n">
        <v>0.243</v>
      </c>
      <c r="J179" s="52" t="n">
        <v>0.187</v>
      </c>
      <c r="K179" s="52" t="n">
        <v>0.169</v>
      </c>
      <c r="L179" s="52" t="n">
        <v>0.904</v>
      </c>
    </row>
    <row r="180" hidden="1" s="57">
      <c r="A180" s="38" t="n"/>
      <c r="B180" s="49" t="inlineStr">
        <is>
          <t>MMM</t>
        </is>
      </c>
      <c r="C180" s="49" t="inlineStr">
        <is>
          <t>3M</t>
        </is>
      </c>
      <c r="D180" s="50" t="inlineStr">
        <is>
          <t>Specialty Industrial Machinery</t>
        </is>
      </c>
      <c r="E180" s="51" t="n">
        <v>2.1</v>
      </c>
      <c r="F180" s="51" t="n">
        <v>1.4</v>
      </c>
      <c r="G180" s="51" t="n">
        <v>1</v>
      </c>
      <c r="H180" s="52" t="n">
        <v>0.467</v>
      </c>
      <c r="I180" s="52" t="n">
        <v>0.189</v>
      </c>
      <c r="J180" s="52" t="n">
        <v>0.143</v>
      </c>
      <c r="K180" s="52" t="n">
        <v>0.168</v>
      </c>
      <c r="L180" s="52" t="n">
        <v>1.179</v>
      </c>
    </row>
    <row r="181" hidden="1" s="57">
      <c r="A181" s="38" t="n"/>
      <c r="B181" s="49" t="inlineStr">
        <is>
          <t>NTAP</t>
        </is>
      </c>
      <c r="C181" s="49" t="inlineStr">
        <is>
          <t>NetApp</t>
        </is>
      </c>
      <c r="D181" s="50" t="inlineStr">
        <is>
          <t>Computer Hardware</t>
        </is>
      </c>
      <c r="E181" s="51" t="n">
        <v>7.1</v>
      </c>
      <c r="F181" s="51" t="n">
        <v>1.2</v>
      </c>
      <c r="G181" s="51" t="n">
        <v>1.2</v>
      </c>
      <c r="H181" s="52" t="n">
        <v>0.662</v>
      </c>
      <c r="I181" s="52" t="n">
        <v>0.172</v>
      </c>
      <c r="J181" s="52" t="n">
        <v>0.181</v>
      </c>
      <c r="K181" s="52" t="n">
        <v>0.167</v>
      </c>
      <c r="L181" s="52" t="n">
        <v>0.924</v>
      </c>
    </row>
    <row r="182" hidden="1" s="57">
      <c r="A182" s="38" t="n"/>
      <c r="B182" s="49" t="inlineStr">
        <is>
          <t>HON</t>
        </is>
      </c>
      <c r="C182" s="49" t="inlineStr">
        <is>
          <t>Honeywell International</t>
        </is>
      </c>
      <c r="D182" s="50" t="inlineStr">
        <is>
          <t>Specialty Industrial Machinery</t>
        </is>
      </c>
      <c r="E182" s="51" t="n">
        <v>0.9</v>
      </c>
      <c r="F182" s="51" t="n">
        <v>1.3</v>
      </c>
      <c r="G182" s="51" t="n">
        <v>1.1</v>
      </c>
      <c r="H182" s="52" t="n">
        <v>0.337</v>
      </c>
      <c r="I182" s="52" t="n">
        <v>0.187</v>
      </c>
      <c r="J182" s="52" t="n">
        <v>0.167</v>
      </c>
      <c r="K182" s="52" t="n">
        <v>0.166</v>
      </c>
      <c r="L182" s="52" t="n">
        <v>0.989</v>
      </c>
    </row>
    <row r="183" hidden="1" s="57">
      <c r="A183" s="38" t="n"/>
      <c r="B183" s="49" t="inlineStr">
        <is>
          <t>NSC</t>
        </is>
      </c>
      <c r="C183" s="49" t="inlineStr">
        <is>
          <t>Norfolk Southern</t>
        </is>
      </c>
      <c r="D183" s="50" t="inlineStr">
        <is>
          <t>Railroads</t>
        </is>
      </c>
      <c r="E183" s="51" t="n">
        <v>0.8</v>
      </c>
      <c r="F183" s="51" t="n">
        <v>0.9</v>
      </c>
      <c r="G183" s="51" t="n">
        <v>0.8</v>
      </c>
      <c r="H183" s="52" t="n">
        <v>0.39</v>
      </c>
      <c r="I183" s="52" t="n">
        <v>0.37</v>
      </c>
      <c r="J183" s="52" t="n">
        <v>0.241</v>
      </c>
      <c r="K183" s="52" t="n">
        <v>0.166</v>
      </c>
      <c r="L183" s="52" t="n">
        <v>0.6889999999999999</v>
      </c>
    </row>
    <row r="184" hidden="1" s="57">
      <c r="A184" s="38" t="n"/>
      <c r="B184" s="49" t="inlineStr">
        <is>
          <t>TRV</t>
        </is>
      </c>
      <c r="C184" s="49" t="inlineStr">
        <is>
          <t>Travelers Companies</t>
        </is>
      </c>
      <c r="D184" s="50" t="inlineStr">
        <is>
          <t>Insurance - Property &amp; Casualty</t>
        </is>
      </c>
      <c r="E184" s="51" t="n">
        <v>0.3</v>
      </c>
      <c r="F184" s="51" t="inlineStr">
        <is>
          <t xml:space="preserve">- </t>
        </is>
      </c>
      <c r="G184" s="51" t="inlineStr">
        <is>
          <t xml:space="preserve">- </t>
        </is>
      </c>
      <c r="H184" s="52" t="n">
        <v>0</v>
      </c>
      <c r="I184" s="52" t="n">
        <v>0</v>
      </c>
      <c r="J184" s="52" t="n">
        <v>0.083</v>
      </c>
      <c r="K184" s="52" t="n">
        <v>0.166</v>
      </c>
      <c r="L184" s="52" t="n">
        <v>2.001</v>
      </c>
    </row>
    <row r="185" hidden="1" s="57">
      <c r="A185" s="38" t="n"/>
      <c r="B185" s="49" t="inlineStr">
        <is>
          <t>FOX</t>
        </is>
      </c>
      <c r="C185" s="49" t="inlineStr">
        <is>
          <t>Fox</t>
        </is>
      </c>
      <c r="D185" s="50" t="inlineStr">
        <is>
          <t>Broadcasting</t>
        </is>
      </c>
      <c r="E185" s="51" t="n">
        <v>0.7</v>
      </c>
      <c r="F185" s="51" t="n">
        <v>3.5</v>
      </c>
      <c r="G185" s="51" t="n">
        <v>2.6</v>
      </c>
      <c r="H185" s="52" t="n">
        <v>0</v>
      </c>
      <c r="I185" s="52" t="n">
        <v>0.195</v>
      </c>
      <c r="J185" s="52" t="n">
        <v>0.152</v>
      </c>
      <c r="K185" s="52" t="n">
        <v>0.165</v>
      </c>
      <c r="L185" s="52" t="n">
        <v>1.085</v>
      </c>
    </row>
    <row r="186" hidden="1" s="57">
      <c r="A186" s="38" t="n"/>
      <c r="B186" s="49" t="inlineStr">
        <is>
          <t>FOXA</t>
        </is>
      </c>
      <c r="C186" s="49" t="inlineStr">
        <is>
          <t>Fox</t>
        </is>
      </c>
      <c r="D186" s="50" t="inlineStr">
        <is>
          <t>Broadcasting</t>
        </is>
      </c>
      <c r="E186" s="51" t="n">
        <v>0.7</v>
      </c>
      <c r="F186" s="51" t="n">
        <v>3.5</v>
      </c>
      <c r="G186" s="51" t="n">
        <v>2.6</v>
      </c>
      <c r="H186" s="52" t="n">
        <v>0</v>
      </c>
      <c r="I186" s="52" t="n">
        <v>0.195</v>
      </c>
      <c r="J186" s="52" t="n">
        <v>0.152</v>
      </c>
      <c r="K186" s="52" t="n">
        <v>0.165</v>
      </c>
      <c r="L186" s="52" t="n">
        <v>1.085</v>
      </c>
    </row>
    <row r="187" hidden="1" s="57">
      <c r="A187" s="38" t="n"/>
      <c r="B187" s="49" t="inlineStr">
        <is>
          <t>IVZ</t>
        </is>
      </c>
      <c r="C187" s="49" t="inlineStr">
        <is>
          <t>Invesco</t>
        </is>
      </c>
      <c r="D187" s="50" t="inlineStr">
        <is>
          <t>Asset Management</t>
        </is>
      </c>
      <c r="E187" s="51" t="n">
        <v>0.6</v>
      </c>
      <c r="F187" s="51" t="n">
        <v>0.2</v>
      </c>
      <c r="G187" s="51" t="n">
        <v>0.2</v>
      </c>
      <c r="H187" s="52" t="n">
        <v>0.721</v>
      </c>
      <c r="I187" s="52" t="n">
        <v>0.243</v>
      </c>
      <c r="J187" s="52" t="n">
        <v>0.112</v>
      </c>
      <c r="K187" s="52" t="n">
        <v>0.165</v>
      </c>
      <c r="L187" s="52" t="n">
        <v>1.467</v>
      </c>
    </row>
    <row r="188" hidden="1" s="57">
      <c r="A188" s="38" t="n"/>
      <c r="B188" s="49" t="inlineStr">
        <is>
          <t>BDX</t>
        </is>
      </c>
      <c r="C188" s="49" t="inlineStr">
        <is>
          <t>Becton, Dickinson</t>
        </is>
      </c>
      <c r="D188" s="50" t="inlineStr">
        <is>
          <t>Medical Instruments &amp; Supplies</t>
        </is>
      </c>
      <c r="E188" s="51" t="n">
        <v>0.9</v>
      </c>
      <c r="F188" s="51" t="n">
        <v>1</v>
      </c>
      <c r="G188" s="51" t="n">
        <v>0.6</v>
      </c>
      <c r="H188" s="52" t="n">
        <v>0.478</v>
      </c>
      <c r="I188" s="52" t="n">
        <v>0.107</v>
      </c>
      <c r="J188" s="52" t="n">
        <v>0.053</v>
      </c>
      <c r="K188" s="52" t="n">
        <v>0.164</v>
      </c>
      <c r="L188" s="52" t="n">
        <v>3.085</v>
      </c>
    </row>
    <row r="189" hidden="1" s="57">
      <c r="A189" s="38" t="n"/>
      <c r="B189" s="49" t="inlineStr">
        <is>
          <t>HIG</t>
        </is>
      </c>
      <c r="C189" s="49" t="inlineStr">
        <is>
          <t>Hartford Finl Servs Gr</t>
        </is>
      </c>
      <c r="D189" s="50" t="inlineStr">
        <is>
          <t>Insurance - Diversified</t>
        </is>
      </c>
      <c r="E189" s="51" t="n">
        <v>0.3</v>
      </c>
      <c r="F189" s="51" t="inlineStr">
        <is>
          <t xml:space="preserve">- </t>
        </is>
      </c>
      <c r="G189" s="51" t="inlineStr">
        <is>
          <t xml:space="preserve">- </t>
        </is>
      </c>
      <c r="H189" s="52" t="n">
        <v>0</v>
      </c>
      <c r="I189" s="52" t="n">
        <v>0</v>
      </c>
      <c r="J189" s="52" t="n">
        <v>0.1</v>
      </c>
      <c r="K189" s="52" t="n">
        <v>0.164</v>
      </c>
      <c r="L189" s="52" t="n">
        <v>1.639</v>
      </c>
    </row>
    <row r="190" hidden="1" s="57">
      <c r="A190" s="38" t="n"/>
      <c r="B190" s="49" t="inlineStr">
        <is>
          <t>IP</t>
        </is>
      </c>
      <c r="C190" s="49" t="inlineStr">
        <is>
          <t>International Paper</t>
        </is>
      </c>
      <c r="D190" s="50" t="inlineStr">
        <is>
          <t>Packaging &amp; Containers</t>
        </is>
      </c>
      <c r="E190" s="51" t="n">
        <v>1.5</v>
      </c>
      <c r="F190" s="51" t="n">
        <v>0.8</v>
      </c>
      <c r="G190" s="51" t="n">
        <v>0.5</v>
      </c>
      <c r="H190" s="52" t="n">
        <v>0.318</v>
      </c>
      <c r="I190" s="52" t="n">
        <v>0.107</v>
      </c>
      <c r="J190" s="52" t="n">
        <v>0.055</v>
      </c>
      <c r="K190" s="52" t="n">
        <v>0.162</v>
      </c>
      <c r="L190" s="52" t="n">
        <v>2.966</v>
      </c>
    </row>
    <row r="191" hidden="1" s="57">
      <c r="A191" s="38" t="n"/>
      <c r="B191" s="49" t="inlineStr">
        <is>
          <t>T</t>
        </is>
      </c>
      <c r="C191" s="49" t="inlineStr">
        <is>
          <t>AT&amp;T</t>
        </is>
      </c>
      <c r="D191" s="50" t="inlineStr">
        <is>
          <t>Telecom Services</t>
        </is>
      </c>
      <c r="E191" s="51" t="n">
        <v>1</v>
      </c>
      <c r="F191" s="51" t="n">
        <v>0.8</v>
      </c>
      <c r="G191" s="51" t="n">
        <v>0.8</v>
      </c>
      <c r="H191" s="52" t="n">
        <v>0.536</v>
      </c>
      <c r="I191" s="52" t="n">
        <v>0.162</v>
      </c>
      <c r="J191" s="52" t="n">
        <v>0.077</v>
      </c>
      <c r="K191" s="52" t="n">
        <v>0.162</v>
      </c>
      <c r="L191" s="52" t="n">
        <v>2.111</v>
      </c>
    </row>
    <row r="192" hidden="1" s="57">
      <c r="A192" s="38" t="n"/>
      <c r="B192" s="49" t="inlineStr">
        <is>
          <t>ROK</t>
        </is>
      </c>
      <c r="C192" s="49" t="inlineStr">
        <is>
          <t>Rockwell Automation</t>
        </is>
      </c>
      <c r="D192" s="50" t="inlineStr">
        <is>
          <t>Specialty Industrial Machinery</t>
        </is>
      </c>
      <c r="E192" s="51" t="n">
        <v>3.7</v>
      </c>
      <c r="F192" s="51" t="n">
        <v>1.5</v>
      </c>
      <c r="G192" s="51" t="n">
        <v>1.2</v>
      </c>
      <c r="H192" s="52" t="n">
        <v>0.425</v>
      </c>
      <c r="I192" s="52" t="n">
        <v>0.194</v>
      </c>
      <c r="J192" s="52" t="n">
        <v>0.137</v>
      </c>
      <c r="K192" s="52" t="n">
        <v>0.16</v>
      </c>
      <c r="L192" s="52" t="n">
        <v>1.173</v>
      </c>
    </row>
    <row r="193" hidden="1" s="57">
      <c r="A193" s="38" t="n"/>
      <c r="B193" s="49" t="inlineStr">
        <is>
          <t>FTV</t>
        </is>
      </c>
      <c r="C193" s="49" t="inlineStr">
        <is>
          <t>Fortive</t>
        </is>
      </c>
      <c r="D193" s="50" t="inlineStr">
        <is>
          <t>Scientific &amp; Technical Instruments</t>
        </is>
      </c>
      <c r="E193" s="51" t="n">
        <v>0.9</v>
      </c>
      <c r="F193" s="51" t="n">
        <v>1.1</v>
      </c>
      <c r="G193" s="51" t="n">
        <v>0.9</v>
      </c>
      <c r="H193" s="52" t="n">
        <v>0.503</v>
      </c>
      <c r="I193" s="52" t="n">
        <v>0.137</v>
      </c>
      <c r="J193" s="52" t="n">
        <v>0.101</v>
      </c>
      <c r="K193" s="52" t="n">
        <v>0.159</v>
      </c>
      <c r="L193" s="52" t="n">
        <v>1.576</v>
      </c>
    </row>
    <row r="194" hidden="1" s="57">
      <c r="A194" s="38" t="n"/>
      <c r="B194" s="49" t="inlineStr">
        <is>
          <t>HOLX</t>
        </is>
      </c>
      <c r="C194" s="49" t="inlineStr">
        <is>
          <t>Hologic</t>
        </is>
      </c>
      <c r="D194" s="50" t="inlineStr">
        <is>
          <t>Medical Instruments &amp; Supplies</t>
        </is>
      </c>
      <c r="E194" s="51" t="n">
        <v>1.4</v>
      </c>
      <c r="F194" s="51" t="n">
        <v>1.6</v>
      </c>
      <c r="G194" s="51" t="n">
        <v>1.2</v>
      </c>
      <c r="H194" s="52" t="n">
        <v>0.349</v>
      </c>
      <c r="I194" s="52" t="n">
        <v>-0.003</v>
      </c>
      <c r="J194" s="52" t="n">
        <v>0.029</v>
      </c>
      <c r="K194" s="52" t="n">
        <v>0.159</v>
      </c>
      <c r="L194" s="52" t="n">
        <v>5.546</v>
      </c>
    </row>
    <row r="195" hidden="1" s="57">
      <c r="A195" s="38" t="n"/>
      <c r="B195" s="49" t="inlineStr">
        <is>
          <t>TMO</t>
        </is>
      </c>
      <c r="C195" s="49" t="inlineStr">
        <is>
          <t>Thermo Fisher Scientific</t>
        </is>
      </c>
      <c r="D195" s="50" t="inlineStr">
        <is>
          <t>Diagnostics &amp; Research</t>
        </is>
      </c>
      <c r="E195" s="51" t="n">
        <v>0.6</v>
      </c>
      <c r="F195" s="51" t="n">
        <v>1.9</v>
      </c>
      <c r="G195" s="51" t="n">
        <v>1.4</v>
      </c>
      <c r="H195" s="52" t="n">
        <v>0.444</v>
      </c>
      <c r="I195" s="52" t="n">
        <v>0.164</v>
      </c>
      <c r="J195" s="52" t="n">
        <v>0.145</v>
      </c>
      <c r="K195" s="52" t="n">
        <v>0.159</v>
      </c>
      <c r="L195" s="52" t="n">
        <v>1.1</v>
      </c>
    </row>
    <row r="196" hidden="1" s="57">
      <c r="A196" s="38" t="n"/>
      <c r="B196" s="49" t="inlineStr">
        <is>
          <t>LLY</t>
        </is>
      </c>
      <c r="C196" s="49" t="inlineStr">
        <is>
          <t>Eli Lilly</t>
        </is>
      </c>
      <c r="D196" s="50" t="inlineStr">
        <is>
          <t>Drug Manufacturers - General</t>
        </is>
      </c>
      <c r="E196" s="51" t="n">
        <v>6.1</v>
      </c>
      <c r="F196" s="51" t="n">
        <v>1.2</v>
      </c>
      <c r="G196" s="51" t="n">
        <v>0.9</v>
      </c>
      <c r="H196" s="52" t="n">
        <v>0.789</v>
      </c>
      <c r="I196" s="52" t="n">
        <v>0.269</v>
      </c>
      <c r="J196" s="52" t="n">
        <v>0.368</v>
      </c>
      <c r="K196" s="52" t="n">
        <v>0.158</v>
      </c>
      <c r="L196" s="52" t="n">
        <v>0.429</v>
      </c>
    </row>
    <row r="197" hidden="1" s="57">
      <c r="A197" s="38" t="n"/>
      <c r="B197" s="49" t="inlineStr">
        <is>
          <t>ADP</t>
        </is>
      </c>
      <c r="C197" s="49" t="inlineStr">
        <is>
          <t>Automatic Data Processing</t>
        </is>
      </c>
      <c r="D197" s="50" t="inlineStr">
        <is>
          <t>Staffing &amp; Employment Services</t>
        </is>
      </c>
      <c r="E197" s="51" t="n">
        <v>0.4</v>
      </c>
      <c r="F197" s="51" t="n">
        <v>1</v>
      </c>
      <c r="G197" s="51" t="n">
        <v>1</v>
      </c>
      <c r="H197" s="52" t="n">
        <v>0.43</v>
      </c>
      <c r="I197" s="52" t="n">
        <v>0.217</v>
      </c>
      <c r="J197" s="52" t="n">
        <v>0.169</v>
      </c>
      <c r="K197" s="52" t="n">
        <v>0.156</v>
      </c>
      <c r="L197" s="52" t="n">
        <v>0.921</v>
      </c>
    </row>
    <row r="198" hidden="1" s="57">
      <c r="A198" s="38" t="n"/>
      <c r="B198" s="49" t="inlineStr">
        <is>
          <t>FIS</t>
        </is>
      </c>
      <c r="C198" s="49" t="inlineStr">
        <is>
          <t>Fidelity National Info</t>
        </is>
      </c>
      <c r="D198" s="50" t="inlineStr">
        <is>
          <t>Information Technology Services</t>
        </is>
      </c>
      <c r="E198" s="51" t="n">
        <v>0.4</v>
      </c>
      <c r="F198" s="51" t="n">
        <v>0.8</v>
      </c>
      <c r="G198" s="51" t="n">
        <v>0.8</v>
      </c>
      <c r="H198" s="52" t="n">
        <v>0.361</v>
      </c>
      <c r="I198" s="52" t="n">
        <v>0.102</v>
      </c>
      <c r="J198" s="52" t="n">
        <v>0.029</v>
      </c>
      <c r="K198" s="52" t="n">
        <v>0.154</v>
      </c>
      <c r="L198" s="52" t="n">
        <v>5.405</v>
      </c>
    </row>
    <row r="199" hidden="1" s="57">
      <c r="A199" s="38" t="n"/>
      <c r="B199" s="49" t="inlineStr">
        <is>
          <t>GRMN</t>
        </is>
      </c>
      <c r="C199" s="49" t="inlineStr">
        <is>
          <t>Garmin</t>
        </is>
      </c>
      <c r="D199" s="50" t="inlineStr">
        <is>
          <t>Scientific &amp; Technical Instruments</t>
        </is>
      </c>
      <c r="E199" s="51" t="n">
        <v>0</v>
      </c>
      <c r="F199" s="51" t="n">
        <v>3</v>
      </c>
      <c r="G199" s="51" t="n">
        <v>2.2</v>
      </c>
      <c r="H199" s="52" t="n">
        <v>0.595</v>
      </c>
      <c r="I199" s="52" t="n">
        <v>0.252</v>
      </c>
      <c r="J199" s="52" t="n">
        <v>0.254</v>
      </c>
      <c r="K199" s="52" t="n">
        <v>0.154</v>
      </c>
      <c r="L199" s="52" t="n">
        <v>0.605</v>
      </c>
    </row>
    <row r="200" hidden="1" s="57">
      <c r="A200" s="38" t="n"/>
      <c r="B200" s="49" t="inlineStr">
        <is>
          <t>IBM</t>
        </is>
      </c>
      <c r="C200" s="49" t="inlineStr">
        <is>
          <t>IBM</t>
        </is>
      </c>
      <c r="D200" s="50" t="inlineStr">
        <is>
          <t>Information Technology Services</t>
        </is>
      </c>
      <c r="E200" s="51" t="n">
        <v>3.3</v>
      </c>
      <c r="F200" s="51" t="n">
        <v>1</v>
      </c>
      <c r="G200" s="51" t="n">
        <v>1</v>
      </c>
      <c r="H200" s="52" t="n">
        <v>0.473</v>
      </c>
      <c r="I200" s="52" t="n">
        <v>0.138</v>
      </c>
      <c r="J200" s="52" t="n">
        <v>0.123</v>
      </c>
      <c r="K200" s="52" t="n">
        <v>0.153</v>
      </c>
      <c r="L200" s="52" t="n">
        <v>1.248</v>
      </c>
    </row>
    <row r="201" hidden="1" s="57">
      <c r="A201" s="38" t="n"/>
      <c r="B201" s="49" t="inlineStr">
        <is>
          <t>PGR</t>
        </is>
      </c>
      <c r="C201" s="49" t="inlineStr">
        <is>
          <t>Progressive</t>
        </is>
      </c>
      <c r="D201" s="50" t="inlineStr">
        <is>
          <t>Insurance - Property &amp; Casualty</t>
        </is>
      </c>
      <c r="E201" s="51" t="n">
        <v>0.3</v>
      </c>
      <c r="F201" s="51" t="inlineStr">
        <is>
          <t xml:space="preserve">- </t>
        </is>
      </c>
      <c r="G201" s="51" t="inlineStr">
        <is>
          <t xml:space="preserve">- </t>
        </is>
      </c>
      <c r="H201" s="52" t="n">
        <v>0</v>
      </c>
      <c r="I201" s="52" t="n">
        <v>0</v>
      </c>
      <c r="J201" s="52" t="n">
        <v>0.102</v>
      </c>
      <c r="K201" s="52" t="n">
        <v>0.151</v>
      </c>
      <c r="L201" s="52" t="n">
        <v>1.483</v>
      </c>
    </row>
    <row r="202" hidden="1" s="57">
      <c r="A202" s="38" t="n"/>
      <c r="B202" s="49" t="inlineStr">
        <is>
          <t>ALLE</t>
        </is>
      </c>
      <c r="C202" s="49" t="inlineStr">
        <is>
          <t>Allegion</t>
        </is>
      </c>
      <c r="D202" s="50" t="inlineStr">
        <is>
          <t>Security &amp; Protection Services</t>
        </is>
      </c>
      <c r="E202" s="51" t="n">
        <v>1.9</v>
      </c>
      <c r="F202" s="51" t="n">
        <v>2</v>
      </c>
      <c r="G202" s="51" t="n">
        <v>1.4</v>
      </c>
      <c r="H202" s="52" t="n">
        <v>0.439</v>
      </c>
      <c r="I202" s="52" t="n">
        <v>0.198</v>
      </c>
      <c r="J202" s="52" t="n">
        <v>0.141</v>
      </c>
      <c r="K202" s="52" t="n">
        <v>0.15</v>
      </c>
      <c r="L202" s="52" t="n">
        <v>1.064</v>
      </c>
    </row>
    <row r="203" hidden="1" s="57">
      <c r="A203" s="38" t="n"/>
      <c r="B203" s="49" t="inlineStr">
        <is>
          <t>CINF</t>
        </is>
      </c>
      <c r="C203" s="49" t="inlineStr">
        <is>
          <t>Cincinnati Financial</t>
        </is>
      </c>
      <c r="D203" s="50" t="inlineStr">
        <is>
          <t>Insurance - Property &amp; Casualty</t>
        </is>
      </c>
      <c r="E203" s="51" t="n">
        <v>0.1</v>
      </c>
      <c r="F203" s="51" t="inlineStr">
        <is>
          <t xml:space="preserve">- </t>
        </is>
      </c>
      <c r="G203" s="51" t="inlineStr">
        <is>
          <t xml:space="preserve">- </t>
        </is>
      </c>
      <c r="H203" s="52" t="n">
        <v>0</v>
      </c>
      <c r="I203" s="52" t="n">
        <v>0</v>
      </c>
      <c r="J203" s="52" t="n">
        <v>0.251</v>
      </c>
      <c r="K203" s="52" t="n">
        <v>0.15</v>
      </c>
      <c r="L203" s="52" t="n">
        <v>0.598</v>
      </c>
    </row>
    <row r="204" hidden="1" s="57">
      <c r="A204" s="38" t="n"/>
      <c r="B204" s="49" t="inlineStr">
        <is>
          <t>RMD</t>
        </is>
      </c>
      <c r="C204" s="49" t="inlineStr">
        <is>
          <t>ResMed</t>
        </is>
      </c>
      <c r="D204" s="50" t="inlineStr">
        <is>
          <t>Medical Instruments &amp; Supplies</t>
        </is>
      </c>
      <c r="E204" s="51" t="n">
        <v>0.6</v>
      </c>
      <c r="F204" s="51" t="n">
        <v>2.6</v>
      </c>
      <c r="G204" s="51" t="n">
        <v>1.9</v>
      </c>
      <c r="H204" s="52" t="n">
        <v>0.59</v>
      </c>
      <c r="I204" s="52" t="n">
        <v>0.251</v>
      </c>
      <c r="J204" s="52" t="n">
        <v>0.163</v>
      </c>
      <c r="K204" s="52" t="n">
        <v>0.15</v>
      </c>
      <c r="L204" s="52" t="n">
        <v>0.92</v>
      </c>
    </row>
    <row r="205" hidden="1" s="57">
      <c r="A205" s="38" t="n"/>
      <c r="B205" s="49" t="inlineStr">
        <is>
          <t>GIS</t>
        </is>
      </c>
      <c r="C205" s="49" t="inlineStr">
        <is>
          <t>General Mills</t>
        </is>
      </c>
      <c r="D205" s="50" t="inlineStr">
        <is>
          <t>Packaged Foods</t>
        </is>
      </c>
      <c r="E205" s="51" t="n">
        <v>1.8</v>
      </c>
      <c r="F205" s="51" t="n">
        <v>0.6</v>
      </c>
      <c r="G205" s="51" t="n">
        <v>0.4</v>
      </c>
      <c r="H205" s="52" t="n">
        <v>0.347</v>
      </c>
      <c r="I205" s="52" t="n">
        <v>0.17</v>
      </c>
      <c r="J205" s="52" t="n">
        <v>0.127</v>
      </c>
      <c r="K205" s="52" t="n">
        <v>0.149</v>
      </c>
      <c r="L205" s="52" t="n">
        <v>1.176</v>
      </c>
    </row>
    <row r="206" hidden="1" s="57">
      <c r="A206" s="38" t="n"/>
      <c r="B206" s="49" t="inlineStr">
        <is>
          <t>WU</t>
        </is>
      </c>
      <c r="C206" s="49" t="inlineStr">
        <is>
          <t>The Western Union</t>
        </is>
      </c>
      <c r="D206" s="50" t="inlineStr">
        <is>
          <t>Credit Services</t>
        </is>
      </c>
      <c r="E206" s="51" t="inlineStr">
        <is>
          <t xml:space="preserve">- </t>
        </is>
      </c>
      <c r="F206" s="51" t="n">
        <v>1</v>
      </c>
      <c r="G206" s="51" t="n">
        <v>1</v>
      </c>
      <c r="H206" s="52" t="n">
        <v>0.417</v>
      </c>
      <c r="I206" s="52" t="n">
        <v>0.176</v>
      </c>
      <c r="J206" s="52" t="n">
        <v>0.201</v>
      </c>
      <c r="K206" s="52" t="n">
        <v>0.149</v>
      </c>
      <c r="L206" s="52" t="n">
        <v>0.741</v>
      </c>
    </row>
    <row r="207" hidden="1" s="57">
      <c r="A207" s="38" t="n"/>
      <c r="B207" s="49" t="inlineStr">
        <is>
          <t>AON</t>
        </is>
      </c>
      <c r="C207" s="49" t="inlineStr">
        <is>
          <t>Aon</t>
        </is>
      </c>
      <c r="D207" s="50" t="inlineStr">
        <is>
          <t>Insurance Brokers</t>
        </is>
      </c>
      <c r="E207" s="51" t="n">
        <v>2.5</v>
      </c>
      <c r="F207" s="51" t="n">
        <v>1.1</v>
      </c>
      <c r="G207" s="51" t="n">
        <v>1.1</v>
      </c>
      <c r="H207" s="52" t="n">
        <v>0.45</v>
      </c>
      <c r="I207" s="52" t="n">
        <v>0.196</v>
      </c>
      <c r="J207" s="52" t="n">
        <v>0.138</v>
      </c>
      <c r="K207" s="52" t="n">
        <v>0.148</v>
      </c>
      <c r="L207" s="52" t="n">
        <v>1.071</v>
      </c>
    </row>
    <row r="208" hidden="1" s="57">
      <c r="A208" s="38" t="n"/>
      <c r="B208" s="49" t="inlineStr">
        <is>
          <t>CTAS</t>
        </is>
      </c>
      <c r="C208" s="49" t="inlineStr">
        <is>
          <t>Cintas</t>
        </is>
      </c>
      <c r="D208" s="50" t="inlineStr">
        <is>
          <t>Specialty Business Services</t>
        </is>
      </c>
      <c r="E208" s="51" t="n">
        <v>0.9</v>
      </c>
      <c r="F208" s="51" t="n">
        <v>2.3</v>
      </c>
      <c r="G208" s="51" t="n">
        <v>2</v>
      </c>
      <c r="H208" s="52" t="n">
        <v>0.461</v>
      </c>
      <c r="I208" s="52" t="n">
        <v>0.175</v>
      </c>
      <c r="J208" s="52" t="n">
        <v>0.132</v>
      </c>
      <c r="K208" s="52" t="n">
        <v>0.148</v>
      </c>
      <c r="L208" s="52" t="n">
        <v>1.121</v>
      </c>
    </row>
    <row r="209" hidden="1" s="57">
      <c r="A209" s="38" t="n"/>
      <c r="B209" s="49" t="inlineStr">
        <is>
          <t>APH</t>
        </is>
      </c>
      <c r="C209" s="49" t="inlineStr">
        <is>
          <t>Amphenol</t>
        </is>
      </c>
      <c r="D209" s="50" t="inlineStr">
        <is>
          <t>Electronic Components</t>
        </is>
      </c>
      <c r="E209" s="51" t="n">
        <v>0.8</v>
      </c>
      <c r="F209" s="51" t="n">
        <v>2</v>
      </c>
      <c r="G209" s="51" t="n">
        <v>1.3</v>
      </c>
      <c r="H209" s="52" t="n">
        <v>0.318</v>
      </c>
      <c r="I209" s="52" t="n">
        <v>0.2</v>
      </c>
      <c r="J209" s="52" t="n">
        <v>0.14</v>
      </c>
      <c r="K209" s="52" t="n">
        <v>0.147</v>
      </c>
      <c r="L209" s="52" t="n">
        <v>1.046</v>
      </c>
    </row>
    <row r="210" hidden="1" s="57">
      <c r="A210" s="38" t="n"/>
      <c r="B210" s="49" t="inlineStr">
        <is>
          <t>IPGP</t>
        </is>
      </c>
      <c r="C210" s="49" t="inlineStr">
        <is>
          <t>IPG Photonics</t>
        </is>
      </c>
      <c r="D210" s="50" t="inlineStr">
        <is>
          <t>Semiconductor Equipment &amp; Materials</t>
        </is>
      </c>
      <c r="E210" s="51" t="n">
        <v>0</v>
      </c>
      <c r="F210" s="51" t="n">
        <v>9.9</v>
      </c>
      <c r="G210" s="51" t="n">
        <v>7.9</v>
      </c>
      <c r="H210" s="52" t="n">
        <v>0.461</v>
      </c>
      <c r="I210" s="52" t="n">
        <v>0.221</v>
      </c>
      <c r="J210" s="52" t="n">
        <v>0.137</v>
      </c>
      <c r="K210" s="52" t="n">
        <v>0.146</v>
      </c>
      <c r="L210" s="52" t="n">
        <v>1.066</v>
      </c>
    </row>
    <row r="211" hidden="1" s="57">
      <c r="A211" s="38" t="n"/>
      <c r="B211" s="49" t="inlineStr">
        <is>
          <t>NEM</t>
        </is>
      </c>
      <c r="C211" s="49" t="inlineStr">
        <is>
          <t>Newmont</t>
        </is>
      </c>
      <c r="D211" s="50" t="inlineStr">
        <is>
          <t>Gold</t>
        </is>
      </c>
      <c r="E211" s="51" t="n">
        <v>0.3</v>
      </c>
      <c r="F211" s="51" t="n">
        <v>2.6</v>
      </c>
      <c r="G211" s="51" t="n">
        <v>2.2</v>
      </c>
      <c r="H211" s="52" t="n">
        <v>0.265</v>
      </c>
      <c r="I211" s="52" t="n">
        <v>0.158</v>
      </c>
      <c r="J211" s="52" t="n">
        <v>0.29</v>
      </c>
      <c r="K211" s="52" t="n">
        <v>0.144</v>
      </c>
      <c r="L211" s="52" t="n">
        <v>0.495</v>
      </c>
    </row>
    <row r="212" hidden="1" s="57">
      <c r="A212" s="38" t="n"/>
      <c r="B212" s="49" t="inlineStr">
        <is>
          <t>ABT</t>
        </is>
      </c>
      <c r="C212" s="49" t="inlineStr">
        <is>
          <t>Abbott Laboratories</t>
        </is>
      </c>
      <c r="D212" s="50" t="inlineStr">
        <is>
          <t>Medical Devices</t>
        </is>
      </c>
      <c r="E212" s="51" t="n">
        <v>0.6</v>
      </c>
      <c r="F212" s="51" t="n">
        <v>1.4</v>
      </c>
      <c r="G212" s="51" t="n">
        <v>1</v>
      </c>
      <c r="H212" s="52" t="n">
        <v>0.585</v>
      </c>
      <c r="I212" s="52" t="n">
        <v>0.143</v>
      </c>
      <c r="J212" s="52" t="n">
        <v>0.116</v>
      </c>
      <c r="K212" s="52" t="n">
        <v>0.142</v>
      </c>
      <c r="L212" s="52" t="n">
        <v>1.225</v>
      </c>
    </row>
    <row r="213" hidden="1" s="57">
      <c r="A213" s="38" t="n"/>
      <c r="B213" s="49" t="inlineStr">
        <is>
          <t>SNA</t>
        </is>
      </c>
      <c r="C213" s="49" t="inlineStr">
        <is>
          <t>Snap-on</t>
        </is>
      </c>
      <c r="D213" s="50" t="inlineStr">
        <is>
          <t>Tools &amp; Accessories</t>
        </is>
      </c>
      <c r="E213" s="51" t="n">
        <v>0.4</v>
      </c>
      <c r="F213" s="51" t="n">
        <v>2.5</v>
      </c>
      <c r="G213" s="51" t="n">
        <v>1.7</v>
      </c>
      <c r="H213" s="52" t="n">
        <v>0.514</v>
      </c>
      <c r="I213" s="52" t="n">
        <v>0.236</v>
      </c>
      <c r="J213" s="52" t="n">
        <v>0.17</v>
      </c>
      <c r="K213" s="52" t="n">
        <v>0.141</v>
      </c>
      <c r="L213" s="52" t="n">
        <v>0.827</v>
      </c>
    </row>
    <row r="214" hidden="1" s="57">
      <c r="A214" s="38" t="n"/>
      <c r="B214" s="49" t="inlineStr">
        <is>
          <t>AJG</t>
        </is>
      </c>
      <c r="C214" s="49" t="inlineStr">
        <is>
          <t>Arthur J. Gallagher</t>
        </is>
      </c>
      <c r="D214" s="50" t="inlineStr">
        <is>
          <t>Insurance Brokers</t>
        </is>
      </c>
      <c r="E214" s="51" t="n">
        <v>1</v>
      </c>
      <c r="F214" s="51" t="n">
        <v>1</v>
      </c>
      <c r="G214" s="51" t="n">
        <v>1</v>
      </c>
      <c r="H214" s="52" t="n">
        <v>0.321</v>
      </c>
      <c r="I214" s="52" t="n">
        <v>0.104</v>
      </c>
      <c r="J214" s="52" t="n">
        <v>0.093</v>
      </c>
      <c r="K214" s="52" t="n">
        <v>0.14</v>
      </c>
      <c r="L214" s="52" t="n">
        <v>1.508</v>
      </c>
    </row>
    <row r="215" hidden="1" s="57">
      <c r="A215" s="38" t="n"/>
      <c r="B215" s="49" t="inlineStr">
        <is>
          <t>EMR</t>
        </is>
      </c>
      <c r="C215" s="49" t="inlineStr">
        <is>
          <t>Emerson Electric</t>
        </is>
      </c>
      <c r="D215" s="50" t="inlineStr">
        <is>
          <t>Specialty Industrial Machinery</t>
        </is>
      </c>
      <c r="E215" s="51" t="n">
        <v>0.7</v>
      </c>
      <c r="F215" s="51" t="n">
        <v>1.1</v>
      </c>
      <c r="G215" s="51" t="n">
        <v>0.8</v>
      </c>
      <c r="H215" s="52" t="n">
        <v>0.425</v>
      </c>
      <c r="I215" s="52" t="n">
        <v>0.167</v>
      </c>
      <c r="J215" s="52" t="n">
        <v>0.118</v>
      </c>
      <c r="K215" s="52" t="n">
        <v>0.14</v>
      </c>
      <c r="L215" s="52" t="n">
        <v>1.183</v>
      </c>
    </row>
    <row r="216" hidden="1" s="57">
      <c r="A216" s="38" t="n"/>
      <c r="B216" s="49" t="inlineStr">
        <is>
          <t>ROL</t>
        </is>
      </c>
      <c r="C216" s="49" t="inlineStr">
        <is>
          <t>Rollins</t>
        </is>
      </c>
      <c r="D216" s="50" t="inlineStr">
        <is>
          <t>Personal Services</t>
        </is>
      </c>
      <c r="E216" s="51" t="n">
        <v>0.6</v>
      </c>
      <c r="F216" s="51" t="n">
        <v>0.8</v>
      </c>
      <c r="G216" s="51" t="n">
        <v>0.7</v>
      </c>
      <c r="H216" s="52" t="n">
        <v>0.507</v>
      </c>
      <c r="I216" s="52" t="n">
        <v>0.158</v>
      </c>
      <c r="J216" s="52" t="n">
        <v>0.101</v>
      </c>
      <c r="K216" s="52" t="n">
        <v>0.14</v>
      </c>
      <c r="L216" s="52" t="n">
        <v>1.389</v>
      </c>
    </row>
    <row r="217" hidden="1" s="57">
      <c r="A217" s="38" t="n"/>
      <c r="B217" s="49" t="inlineStr">
        <is>
          <t>XRX</t>
        </is>
      </c>
      <c r="C217" s="49" t="inlineStr">
        <is>
          <t>Xerox Holdings</t>
        </is>
      </c>
      <c r="D217" s="50" t="inlineStr">
        <is>
          <t>Information Technology Services</t>
        </is>
      </c>
      <c r="E217" s="51" t="n">
        <v>0.8</v>
      </c>
      <c r="F217" s="51" t="n">
        <v>1.8</v>
      </c>
      <c r="G217" s="51" t="n">
        <v>1.6</v>
      </c>
      <c r="H217" s="52" t="n">
        <v>0.403</v>
      </c>
      <c r="I217" s="52" t="n">
        <v>0.125</v>
      </c>
      <c r="J217" s="52" t="n">
        <v>0.15</v>
      </c>
      <c r="K217" s="52" t="n">
        <v>0.14</v>
      </c>
      <c r="L217" s="52" t="n">
        <v>0.9340000000000001</v>
      </c>
    </row>
    <row r="218" hidden="1" s="57">
      <c r="A218" s="38" t="n"/>
      <c r="B218" s="49" t="inlineStr">
        <is>
          <t>ZBRA</t>
        </is>
      </c>
      <c r="C218" s="49" t="inlineStr">
        <is>
          <t>Zebra Technologies</t>
        </is>
      </c>
      <c r="D218" s="50" t="inlineStr">
        <is>
          <t>Communication Equipment</t>
        </is>
      </c>
      <c r="E218" s="51" t="n">
        <v>0.8</v>
      </c>
      <c r="F218" s="51" t="n">
        <v>0.9</v>
      </c>
      <c r="G218" s="51" t="n">
        <v>0.5</v>
      </c>
      <c r="H218" s="52" t="n">
        <v>0.468</v>
      </c>
      <c r="I218" s="52" t="n">
        <v>0.162</v>
      </c>
      <c r="J218" s="52" t="n">
        <v>0.121</v>
      </c>
      <c r="K218" s="52" t="n">
        <v>0.14</v>
      </c>
      <c r="L218" s="52" t="n">
        <v>1.156</v>
      </c>
    </row>
    <row r="219" hidden="1" s="57">
      <c r="A219" s="38" t="n"/>
      <c r="B219" s="49" t="inlineStr">
        <is>
          <t>TEL</t>
        </is>
      </c>
      <c r="C219" s="49" t="inlineStr">
        <is>
          <t>TE Connectivity</t>
        </is>
      </c>
      <c r="D219" s="50" t="inlineStr">
        <is>
          <t>Electronic Components</t>
        </is>
      </c>
      <c r="E219" s="51" t="n">
        <v>0.4</v>
      </c>
      <c r="F219" s="51" t="n">
        <v>1.6</v>
      </c>
      <c r="G219" s="51" t="n">
        <v>0.9</v>
      </c>
      <c r="H219" s="52" t="n">
        <v>0.325</v>
      </c>
      <c r="I219" s="52" t="n">
        <v>0.166</v>
      </c>
      <c r="J219" s="52" t="n">
        <v>0.12</v>
      </c>
      <c r="K219" s="52" t="n">
        <v>0.138</v>
      </c>
      <c r="L219" s="52" t="n">
        <v>1.146</v>
      </c>
    </row>
    <row r="220" hidden="1" s="57">
      <c r="A220" s="38" t="n"/>
      <c r="B220" s="49" t="inlineStr">
        <is>
          <t>WRB</t>
        </is>
      </c>
      <c r="C220" s="49" t="inlineStr">
        <is>
          <t>WR Berkley</t>
        </is>
      </c>
      <c r="D220" s="50" t="inlineStr">
        <is>
          <t>Insurance - Property &amp; Casualty</t>
        </is>
      </c>
      <c r="E220" s="51" t="n">
        <v>0.4</v>
      </c>
      <c r="F220" s="51" t="inlineStr">
        <is>
          <t xml:space="preserve">- </t>
        </is>
      </c>
      <c r="G220" s="51" t="inlineStr">
        <is>
          <t xml:space="preserve">- </t>
        </is>
      </c>
      <c r="H220" s="52" t="n">
        <v>0</v>
      </c>
      <c r="I220" s="52" t="n">
        <v>0</v>
      </c>
      <c r="J220" s="52" t="n">
        <v>0.08599999999999999</v>
      </c>
      <c r="K220" s="52" t="n">
        <v>0.138</v>
      </c>
      <c r="L220" s="52" t="n">
        <v>1.602</v>
      </c>
    </row>
    <row r="221" hidden="1" s="57">
      <c r="A221" s="38" t="n"/>
      <c r="B221" s="49" t="inlineStr">
        <is>
          <t>COP</t>
        </is>
      </c>
      <c r="C221" s="49" t="inlineStr">
        <is>
          <t>ConocoPhillips</t>
        </is>
      </c>
      <c r="D221" s="50" t="inlineStr">
        <is>
          <t>Oil &amp; Gas E&amp;P</t>
        </is>
      </c>
      <c r="E221" s="51" t="n">
        <v>0.4</v>
      </c>
      <c r="F221" s="51" t="n">
        <v>2.4</v>
      </c>
      <c r="G221" s="51" t="n">
        <v>2.3</v>
      </c>
      <c r="H221" s="52" t="n">
        <v>0.286</v>
      </c>
      <c r="I221" s="52" t="n">
        <v>0.223</v>
      </c>
      <c r="J221" s="52" t="n">
        <v>0.221</v>
      </c>
      <c r="K221" s="52" t="n">
        <v>0.137</v>
      </c>
      <c r="L221" s="52" t="n">
        <v>0.621</v>
      </c>
    </row>
    <row r="222" hidden="1" s="57">
      <c r="A222" s="38" t="n"/>
      <c r="B222" s="49" t="inlineStr">
        <is>
          <t>CTL</t>
        </is>
      </c>
      <c r="C222" s="49" t="inlineStr">
        <is>
          <t>CenturyLink</t>
        </is>
      </c>
      <c r="D222" s="50" t="inlineStr">
        <is>
          <t>Telecom Services</t>
        </is>
      </c>
      <c r="E222" s="51" t="n">
        <v>2.7</v>
      </c>
      <c r="F222" s="51" t="n">
        <v>0.7</v>
      </c>
      <c r="G222" s="51" t="n">
        <v>0.6</v>
      </c>
      <c r="H222" s="52" t="n">
        <v>0.55</v>
      </c>
      <c r="I222" s="52" t="n">
        <v>0.169</v>
      </c>
      <c r="J222" s="52" t="n">
        <v>-0.226</v>
      </c>
      <c r="K222" s="52" t="n">
        <v>0.137</v>
      </c>
      <c r="L222" s="51" t="inlineStr">
        <is>
          <t xml:space="preserve">- </t>
        </is>
      </c>
    </row>
    <row r="223" hidden="1" s="57">
      <c r="A223" s="38" t="n"/>
      <c r="B223" s="49" t="inlineStr">
        <is>
          <t>ETN</t>
        </is>
      </c>
      <c r="C223" s="49" t="inlineStr">
        <is>
          <t>Eaton Corp</t>
        </is>
      </c>
      <c r="D223" s="50" t="inlineStr">
        <is>
          <t>Specialty Industrial Machinery</t>
        </is>
      </c>
      <c r="E223" s="51" t="n">
        <v>0.5</v>
      </c>
      <c r="F223" s="51" t="n">
        <v>1.7</v>
      </c>
      <c r="G223" s="51" t="n">
        <v>1.2</v>
      </c>
      <c r="H223" s="52" t="n">
        <v>0.33</v>
      </c>
      <c r="I223" s="52" t="n">
        <v>0.134</v>
      </c>
      <c r="J223" s="52" t="n">
        <v>0.103</v>
      </c>
      <c r="K223" s="52" t="n">
        <v>0.135</v>
      </c>
      <c r="L223" s="52" t="n">
        <v>1.301</v>
      </c>
    </row>
    <row r="224" hidden="1" s="57">
      <c r="A224" s="38" t="n"/>
      <c r="B224" s="49" t="inlineStr">
        <is>
          <t>ACN</t>
        </is>
      </c>
      <c r="C224" s="49" t="inlineStr">
        <is>
          <t>Accenture</t>
        </is>
      </c>
      <c r="D224" s="50" t="inlineStr">
        <is>
          <t>Information Technology Services</t>
        </is>
      </c>
      <c r="E224" s="51" t="n">
        <v>0.2</v>
      </c>
      <c r="F224" s="51" t="n">
        <v>1.4</v>
      </c>
      <c r="G224" s="51" t="n">
        <v>1.4</v>
      </c>
      <c r="H224" s="52" t="n">
        <v>0.313</v>
      </c>
      <c r="I224" s="52" t="n">
        <v>0.147</v>
      </c>
      <c r="J224" s="52" t="n">
        <v>0.111</v>
      </c>
      <c r="K224" s="52" t="n">
        <v>0.133</v>
      </c>
      <c r="L224" s="52" t="n">
        <v>1.19</v>
      </c>
    </row>
    <row r="225" hidden="1" s="57">
      <c r="A225" s="38" t="n"/>
      <c r="B225" s="49" t="inlineStr">
        <is>
          <t>CLX</t>
        </is>
      </c>
      <c r="C225" s="49" t="inlineStr">
        <is>
          <t>Clorox</t>
        </is>
      </c>
      <c r="D225" s="50" t="inlineStr">
        <is>
          <t>Household &amp; Personal Products</t>
        </is>
      </c>
      <c r="E225" s="51" t="n">
        <v>5.7</v>
      </c>
      <c r="F225" s="51" t="n">
        <v>0.9</v>
      </c>
      <c r="G225" s="51" t="n">
        <v>0.5</v>
      </c>
      <c r="H225" s="52" t="n">
        <v>0.442</v>
      </c>
      <c r="I225" s="52" t="n">
        <v>0.179</v>
      </c>
      <c r="J225" s="52" t="n">
        <v>0.133</v>
      </c>
      <c r="K225" s="52" t="n">
        <v>0.133</v>
      </c>
      <c r="L225" s="52" t="n">
        <v>0.997</v>
      </c>
    </row>
    <row r="226" hidden="1" s="57">
      <c r="A226" s="38" t="n"/>
      <c r="B226" s="49" t="inlineStr">
        <is>
          <t>WM</t>
        </is>
      </c>
      <c r="C226" s="49" t="inlineStr">
        <is>
          <t>Waste Management</t>
        </is>
      </c>
      <c r="D226" s="50" t="inlineStr">
        <is>
          <t>Waste Management</t>
        </is>
      </c>
      <c r="E226" s="51" t="n">
        <v>1.9</v>
      </c>
      <c r="F226" s="51" t="n">
        <v>2</v>
      </c>
      <c r="G226" s="51" t="n">
        <v>1.9</v>
      </c>
      <c r="H226" s="52" t="n">
        <v>0.386</v>
      </c>
      <c r="I226" s="52" t="n">
        <v>0.178</v>
      </c>
      <c r="J226" s="52" t="n">
        <v>0.108</v>
      </c>
      <c r="K226" s="52" t="n">
        <v>0.133</v>
      </c>
      <c r="L226" s="52" t="n">
        <v>1.231</v>
      </c>
    </row>
    <row r="227" hidden="1" s="57">
      <c r="A227" s="38" t="n"/>
      <c r="B227" s="49" t="inlineStr">
        <is>
          <t>AOS</t>
        </is>
      </c>
      <c r="C227" s="49" t="inlineStr">
        <is>
          <t>A.O. Smith</t>
        </is>
      </c>
      <c r="D227" s="50" t="inlineStr">
        <is>
          <t>Specialty Industrial Machinery</t>
        </is>
      </c>
      <c r="E227" s="51" t="n">
        <v>0.2</v>
      </c>
      <c r="F227" s="51" t="n">
        <v>2</v>
      </c>
      <c r="G227" s="51" t="n">
        <v>1.6</v>
      </c>
      <c r="H227" s="52" t="n">
        <v>0.395</v>
      </c>
      <c r="I227" s="52" t="n">
        <v>0.156</v>
      </c>
      <c r="J227" s="52" t="n">
        <v>0.124</v>
      </c>
      <c r="K227" s="52" t="n">
        <v>0.132</v>
      </c>
      <c r="L227" s="52" t="n">
        <v>1.07</v>
      </c>
    </row>
    <row r="228" hidden="1" s="57">
      <c r="A228" s="38" t="n"/>
      <c r="B228" s="49" t="inlineStr">
        <is>
          <t>IPG</t>
        </is>
      </c>
      <c r="C228" s="49" t="inlineStr">
        <is>
          <t>Interpublic Gr of Cos</t>
        </is>
      </c>
      <c r="D228" s="50" t="inlineStr">
        <is>
          <t>Advertising Agencies</t>
        </is>
      </c>
      <c r="E228" s="51" t="n">
        <v>1.8</v>
      </c>
      <c r="F228" s="51" t="n">
        <v>0.9</v>
      </c>
      <c r="G228" s="51" t="n">
        <v>0.9</v>
      </c>
      <c r="H228" s="52" t="n">
        <v>0.147</v>
      </c>
      <c r="I228" s="52" t="n">
        <v>0.11</v>
      </c>
      <c r="J228" s="52" t="n">
        <v>0.065</v>
      </c>
      <c r="K228" s="52" t="n">
        <v>0.132</v>
      </c>
      <c r="L228" s="52" t="n">
        <v>2.036</v>
      </c>
    </row>
    <row r="229" hidden="1" s="57">
      <c r="A229" s="38" t="n"/>
      <c r="B229" s="49" t="inlineStr">
        <is>
          <t>LUV</t>
        </is>
      </c>
      <c r="C229" s="49" t="inlineStr">
        <is>
          <t>Southwest Airlines</t>
        </is>
      </c>
      <c r="D229" s="50" t="inlineStr">
        <is>
          <t>Airlines</t>
        </is>
      </c>
      <c r="E229" s="51" t="n">
        <v>0.4</v>
      </c>
      <c r="F229" s="51" t="n">
        <v>0.7</v>
      </c>
      <c r="G229" s="51" t="n">
        <v>0.6</v>
      </c>
      <c r="H229" s="52" t="n">
        <v>0.267</v>
      </c>
      <c r="I229" s="52" t="n">
        <v>0.132</v>
      </c>
      <c r="J229" s="52" t="n">
        <v>0.103</v>
      </c>
      <c r="K229" s="52" t="n">
        <v>0.132</v>
      </c>
      <c r="L229" s="52" t="n">
        <v>1.278</v>
      </c>
    </row>
    <row r="230" hidden="1" s="57">
      <c r="A230" s="38" t="n"/>
      <c r="B230" s="49" t="inlineStr">
        <is>
          <t>MKC</t>
        </is>
      </c>
      <c r="C230" s="49" t="inlineStr">
        <is>
          <t>McCormick &amp; Co</t>
        </is>
      </c>
      <c r="D230" s="50" t="inlineStr">
        <is>
          <t>Packaged Foods</t>
        </is>
      </c>
      <c r="E230" s="51" t="n">
        <v>1.3</v>
      </c>
      <c r="F230" s="51" t="n">
        <v>0.7</v>
      </c>
      <c r="G230" s="51" t="n">
        <v>0.3</v>
      </c>
      <c r="H230" s="52" t="n">
        <v>0.403</v>
      </c>
      <c r="I230" s="52" t="n">
        <v>0.183</v>
      </c>
      <c r="J230" s="52" t="n">
        <v>0.131</v>
      </c>
      <c r="K230" s="52" t="n">
        <v>0.132</v>
      </c>
      <c r="L230" s="52" t="n">
        <v>1.003</v>
      </c>
    </row>
    <row r="231" hidden="1" s="57">
      <c r="A231" s="38" t="n"/>
      <c r="B231" s="49" t="inlineStr">
        <is>
          <t>UNM</t>
        </is>
      </c>
      <c r="C231" s="49" t="inlineStr">
        <is>
          <t>Unum</t>
        </is>
      </c>
      <c r="D231" s="50" t="inlineStr">
        <is>
          <t>Insurance - Life</t>
        </is>
      </c>
      <c r="E231" s="51" t="n">
        <v>0.3</v>
      </c>
      <c r="F231" s="51" t="inlineStr">
        <is>
          <t xml:space="preserve">- </t>
        </is>
      </c>
      <c r="G231" s="51" t="inlineStr">
        <is>
          <t xml:space="preserve">- </t>
        </is>
      </c>
      <c r="H231" s="52" t="n">
        <v>0</v>
      </c>
      <c r="I231" s="52" t="n">
        <v>0</v>
      </c>
      <c r="J231" s="52" t="n">
        <v>0.092</v>
      </c>
      <c r="K231" s="52" t="n">
        <v>0.132</v>
      </c>
      <c r="L231" s="52" t="n">
        <v>1.442</v>
      </c>
    </row>
    <row r="232" hidden="1" s="57">
      <c r="A232" s="38" t="n"/>
      <c r="B232" s="49" t="inlineStr">
        <is>
          <t>TFX</t>
        </is>
      </c>
      <c r="C232" s="49" t="inlineStr">
        <is>
          <t>Teleflex</t>
        </is>
      </c>
      <c r="D232" s="50" t="inlineStr">
        <is>
          <t>Medical Instruments &amp; Supplies</t>
        </is>
      </c>
      <c r="E232" s="51" t="n">
        <v>0.7</v>
      </c>
      <c r="F232" s="51" t="n">
        <v>2.3</v>
      </c>
      <c r="G232" s="51" t="n">
        <v>1.5</v>
      </c>
      <c r="H232" s="52" t="n">
        <v>0.575</v>
      </c>
      <c r="I232" s="52" t="n">
        <v>0.171</v>
      </c>
      <c r="J232" s="52" t="n">
        <v>0.179</v>
      </c>
      <c r="K232" s="52" t="n">
        <v>0.131</v>
      </c>
      <c r="L232" s="52" t="n">
        <v>0.729</v>
      </c>
    </row>
    <row r="233" hidden="1" s="57">
      <c r="A233" s="38" t="n"/>
      <c r="B233" s="49" t="inlineStr">
        <is>
          <t>AIZ</t>
        </is>
      </c>
      <c r="C233" s="49" t="inlineStr">
        <is>
          <t>Assurant</t>
        </is>
      </c>
      <c r="D233" s="50" t="inlineStr">
        <is>
          <t>Insurance - Specialty</t>
        </is>
      </c>
      <c r="E233" s="51" t="n">
        <v>0.4</v>
      </c>
      <c r="F233" s="51" t="inlineStr">
        <is>
          <t xml:space="preserve">- </t>
        </is>
      </c>
      <c r="G233" s="51" t="inlineStr">
        <is>
          <t xml:space="preserve">- </t>
        </is>
      </c>
      <c r="H233" s="52" t="n">
        <v>0</v>
      </c>
      <c r="I233" s="52" t="n">
        <v>0</v>
      </c>
      <c r="J233" s="52" t="n">
        <v>0.038</v>
      </c>
      <c r="K233" s="52" t="n">
        <v>0.13</v>
      </c>
      <c r="L233" s="52" t="n">
        <v>3.447</v>
      </c>
    </row>
    <row r="234" hidden="1" s="57">
      <c r="A234" s="38" t="n"/>
      <c r="B234" s="49" t="inlineStr">
        <is>
          <t>HOG</t>
        </is>
      </c>
      <c r="C234" s="49" t="inlineStr">
        <is>
          <t>Harley-Davidson</t>
        </is>
      </c>
      <c r="D234" s="50" t="inlineStr">
        <is>
          <t>Recreational Vehicles</t>
        </is>
      </c>
      <c r="E234" s="51" t="n">
        <v>4.2</v>
      </c>
      <c r="F234" s="51" t="n">
        <v>1.3</v>
      </c>
      <c r="G234" s="51" t="n">
        <v>1.1</v>
      </c>
      <c r="H234" s="52" t="n">
        <v>0.359</v>
      </c>
      <c r="I234" s="52" t="n">
        <v>0.109</v>
      </c>
      <c r="J234" s="52" t="n">
        <v>0.079</v>
      </c>
      <c r="K234" s="52" t="n">
        <v>0.13</v>
      </c>
      <c r="L234" s="52" t="n">
        <v>1.643</v>
      </c>
    </row>
    <row r="235" hidden="1" s="57">
      <c r="A235" s="38" t="n"/>
      <c r="B235" s="49" t="inlineStr">
        <is>
          <t>VZ</t>
        </is>
      </c>
      <c r="C235" s="49" t="inlineStr">
        <is>
          <t>Verizon Communications</t>
        </is>
      </c>
      <c r="D235" s="50" t="inlineStr">
        <is>
          <t>Telecom Services</t>
        </is>
      </c>
      <c r="E235" s="51" t="n">
        <v>2.2</v>
      </c>
      <c r="F235" s="51" t="n">
        <v>0.8</v>
      </c>
      <c r="G235" s="51" t="n">
        <v>0.8</v>
      </c>
      <c r="H235" s="52" t="n">
        <v>0.585</v>
      </c>
      <c r="I235" s="52" t="n">
        <v>0.231</v>
      </c>
      <c r="J235" s="52" t="n">
        <v>0.146</v>
      </c>
      <c r="K235" s="52" t="n">
        <v>0.129</v>
      </c>
      <c r="L235" s="52" t="n">
        <v>0.882</v>
      </c>
    </row>
    <row r="236" hidden="1" s="57">
      <c r="A236" s="38" t="n"/>
      <c r="B236" s="49" t="inlineStr">
        <is>
          <t>BSX</t>
        </is>
      </c>
      <c r="C236" s="49" t="inlineStr">
        <is>
          <t>Boston Scientific</t>
        </is>
      </c>
      <c r="D236" s="50" t="inlineStr">
        <is>
          <t>Medical Devices</t>
        </is>
      </c>
      <c r="E236" s="51" t="n">
        <v>0.7</v>
      </c>
      <c r="F236" s="51" t="n">
        <v>1</v>
      </c>
      <c r="G236" s="51" t="n">
        <v>0.6</v>
      </c>
      <c r="H236" s="52" t="n">
        <v>0.71</v>
      </c>
      <c r="I236" s="52" t="n">
        <v>0.162</v>
      </c>
      <c r="J236" s="52" t="n">
        <v>0.441</v>
      </c>
      <c r="K236" s="52" t="n">
        <v>0.128</v>
      </c>
      <c r="L236" s="52" t="n">
        <v>0.291</v>
      </c>
    </row>
    <row r="237" hidden="1" s="57">
      <c r="A237" s="38" t="n"/>
      <c r="B237" s="49" t="inlineStr">
        <is>
          <t>EXPE</t>
        </is>
      </c>
      <c r="C237" s="49" t="inlineStr">
        <is>
          <t>Expedia Group</t>
        </is>
      </c>
      <c r="D237" s="50" t="inlineStr">
        <is>
          <t>Travel Services</t>
        </is>
      </c>
      <c r="E237" s="51" t="n">
        <v>1.4</v>
      </c>
      <c r="F237" s="51" t="n">
        <v>0.7</v>
      </c>
      <c r="G237" s="51" t="n">
        <v>0.7</v>
      </c>
      <c r="H237" s="52" t="n">
        <v>0.821</v>
      </c>
      <c r="I237" s="52" t="n">
        <v>0.078</v>
      </c>
      <c r="J237" s="52" t="n">
        <v>0.048</v>
      </c>
      <c r="K237" s="52" t="n">
        <v>0.128</v>
      </c>
      <c r="L237" s="52" t="n">
        <v>2.677</v>
      </c>
    </row>
    <row r="238" hidden="1" s="57">
      <c r="A238" s="38" t="n"/>
      <c r="B238" s="49" t="inlineStr">
        <is>
          <t>IDXX</t>
        </is>
      </c>
      <c r="C238" s="49" t="inlineStr">
        <is>
          <t>IDEXX Laboratories</t>
        </is>
      </c>
      <c r="D238" s="50" t="inlineStr">
        <is>
          <t>Diagnostics &amp; Research</t>
        </is>
      </c>
      <c r="E238" s="51" t="n">
        <v>6</v>
      </c>
      <c r="F238" s="51" t="n">
        <v>0.9</v>
      </c>
      <c r="G238" s="51" t="n">
        <v>0.7</v>
      </c>
      <c r="H238" s="52" t="n">
        <v>0.5669999999999999</v>
      </c>
      <c r="I238" s="52" t="n">
        <v>0.23</v>
      </c>
      <c r="J238" s="52" t="n">
        <v>0.178</v>
      </c>
      <c r="K238" s="52" t="n">
        <v>0.128</v>
      </c>
      <c r="L238" s="52" t="n">
        <v>0.719</v>
      </c>
    </row>
    <row r="239" hidden="1" s="57">
      <c r="A239" s="38" t="n"/>
      <c r="B239" s="49" t="inlineStr">
        <is>
          <t>LVS</t>
        </is>
      </c>
      <c r="C239" s="49" t="inlineStr">
        <is>
          <t>Las Vegas Sands</t>
        </is>
      </c>
      <c r="D239" s="50" t="inlineStr">
        <is>
          <t>Resorts &amp; Casinos</t>
        </is>
      </c>
      <c r="E239" s="51" t="n">
        <v>2.4</v>
      </c>
      <c r="F239" s="51" t="n">
        <v>1.7</v>
      </c>
      <c r="G239" s="51" t="n">
        <v>1.6</v>
      </c>
      <c r="H239" s="52" t="n">
        <v>0.503</v>
      </c>
      <c r="I239" s="52" t="n">
        <v>0.276</v>
      </c>
      <c r="J239" s="52" t="n">
        <v>0.197</v>
      </c>
      <c r="K239" s="52" t="n">
        <v>0.128</v>
      </c>
      <c r="L239" s="52" t="n">
        <v>0.652</v>
      </c>
    </row>
    <row r="240" hidden="1" s="57">
      <c r="A240" s="38" t="n"/>
      <c r="B240" s="49" t="inlineStr">
        <is>
          <t>XRAY</t>
        </is>
      </c>
      <c r="C240" s="49" t="inlineStr">
        <is>
          <t>Dentsply Sirona</t>
        </is>
      </c>
      <c r="D240" s="50" t="inlineStr">
        <is>
          <t>Medical Instruments &amp; Supplies</t>
        </is>
      </c>
      <c r="E240" s="51" t="n">
        <v>0.3</v>
      </c>
      <c r="F240" s="51" t="n">
        <v>2</v>
      </c>
      <c r="G240" s="51" t="n">
        <v>1.4</v>
      </c>
      <c r="H240" s="52" t="n">
        <v>0.537</v>
      </c>
      <c r="I240" s="52" t="n">
        <v>0.11</v>
      </c>
      <c r="J240" s="52" t="n">
        <v>0.066</v>
      </c>
      <c r="K240" s="52" t="n">
        <v>0.128</v>
      </c>
      <c r="L240" s="52" t="n">
        <v>1.953</v>
      </c>
    </row>
    <row r="241" hidden="1" s="57">
      <c r="A241" s="38" t="n"/>
      <c r="B241" s="49" t="inlineStr">
        <is>
          <t>CTSH</t>
        </is>
      </c>
      <c r="C241" s="49" t="inlineStr">
        <is>
          <t>Cognizant Tech Solns</t>
        </is>
      </c>
      <c r="D241" s="50" t="inlineStr">
        <is>
          <t>Information Technology Services</t>
        </is>
      </c>
      <c r="E241" s="51" t="n">
        <v>0.2</v>
      </c>
      <c r="F241" s="51" t="n">
        <v>2.6</v>
      </c>
      <c r="G241" s="51" t="n">
        <v>2.6</v>
      </c>
      <c r="H241" s="52" t="n">
        <v>0.366</v>
      </c>
      <c r="I241" s="52" t="n">
        <v>0.159</v>
      </c>
      <c r="J241" s="52" t="n">
        <v>0.11</v>
      </c>
      <c r="K241" s="52" t="n">
        <v>0.127</v>
      </c>
      <c r="L241" s="52" t="n">
        <v>1.152</v>
      </c>
    </row>
    <row r="242" hidden="1" s="57">
      <c r="A242" s="38" t="n"/>
      <c r="B242" s="49" t="inlineStr">
        <is>
          <t>HST</t>
        </is>
      </c>
      <c r="C242" s="49" t="inlineStr">
        <is>
          <t>Host Hotels &amp; Resorts</t>
        </is>
      </c>
      <c r="D242" s="50" t="inlineStr">
        <is>
          <t>REIT - Hotel &amp; Motel</t>
        </is>
      </c>
      <c r="E242" s="51" t="n">
        <v>0.6</v>
      </c>
      <c r="F242" s="51" t="n">
        <v>6.9</v>
      </c>
      <c r="G242" s="51" t="n">
        <v>6.9</v>
      </c>
      <c r="H242" s="52" t="n">
        <v>0.332</v>
      </c>
      <c r="I242" s="52" t="n">
        <v>0.145</v>
      </c>
      <c r="J242" s="52" t="n">
        <v>0.169</v>
      </c>
      <c r="K242" s="52" t="n">
        <v>0.127</v>
      </c>
      <c r="L242" s="52" t="n">
        <v>0.754</v>
      </c>
    </row>
    <row r="243" hidden="1" s="57">
      <c r="A243" s="38" t="n"/>
      <c r="B243" s="49" t="inlineStr">
        <is>
          <t>PH</t>
        </is>
      </c>
      <c r="C243" s="49" t="inlineStr">
        <is>
          <t>Parker Hannifin</t>
        </is>
      </c>
      <c r="D243" s="50" t="inlineStr">
        <is>
          <t>Specialty Industrial Machinery</t>
        </is>
      </c>
      <c r="E243" s="51" t="n">
        <v>1.5</v>
      </c>
      <c r="F243" s="51" t="n">
        <v>1.4</v>
      </c>
      <c r="G243" s="51" t="n">
        <v>0.9</v>
      </c>
      <c r="H243" s="52" t="n">
        <v>0.249</v>
      </c>
      <c r="I243" s="52" t="n">
        <v>0.133</v>
      </c>
      <c r="J243" s="52" t="n">
        <v>0.096</v>
      </c>
      <c r="K243" s="52" t="n">
        <v>0.126</v>
      </c>
      <c r="L243" s="52" t="n">
        <v>1.314</v>
      </c>
    </row>
    <row r="244" hidden="1" s="57">
      <c r="A244" s="38" t="n"/>
      <c r="B244" s="49" t="inlineStr">
        <is>
          <t>SJM</t>
        </is>
      </c>
      <c r="C244" s="49" t="inlineStr">
        <is>
          <t>JM Smucker</t>
        </is>
      </c>
      <c r="D244" s="50" t="inlineStr">
        <is>
          <t>Packaged Foods</t>
        </is>
      </c>
      <c r="E244" s="51" t="n">
        <v>0.7</v>
      </c>
      <c r="F244" s="51" t="n">
        <v>0.8</v>
      </c>
      <c r="G244" s="51" t="n">
        <v>0.3</v>
      </c>
      <c r="H244" s="52" t="n">
        <v>0.382</v>
      </c>
      <c r="I244" s="52" t="n">
        <v>0.158</v>
      </c>
      <c r="J244" s="52" t="n">
        <v>0.082</v>
      </c>
      <c r="K244" s="52" t="n">
        <v>0.126</v>
      </c>
      <c r="L244" s="52" t="n">
        <v>1.526</v>
      </c>
    </row>
    <row r="245" hidden="1" s="57">
      <c r="A245" s="38" t="n"/>
      <c r="B245" s="49" t="inlineStr">
        <is>
          <t>TAP</t>
        </is>
      </c>
      <c r="C245" s="49" t="inlineStr">
        <is>
          <t>Molson Coors Beverage</t>
        </is>
      </c>
      <c r="D245" s="50" t="inlineStr">
        <is>
          <t>Beverages - Brewers</t>
        </is>
      </c>
      <c r="E245" s="51" t="n">
        <v>0.7</v>
      </c>
      <c r="F245" s="51" t="n">
        <v>0.6</v>
      </c>
      <c r="G245" s="51" t="n">
        <v>0.4</v>
      </c>
      <c r="H245" s="52" t="n">
        <v>0.397</v>
      </c>
      <c r="I245" s="52" t="n">
        <v>0.14</v>
      </c>
      <c r="J245" s="52" t="n">
        <v>0.022</v>
      </c>
      <c r="K245" s="52" t="n">
        <v>0.126</v>
      </c>
      <c r="L245" s="52" t="n">
        <v>5.601</v>
      </c>
    </row>
    <row r="246" hidden="1" s="57">
      <c r="A246" s="38" t="n"/>
      <c r="B246" s="49" t="inlineStr">
        <is>
          <t>TFC</t>
        </is>
      </c>
      <c r="C246" s="49" t="inlineStr">
        <is>
          <t>Truist Financial</t>
        </is>
      </c>
      <c r="D246" s="50" t="inlineStr">
        <is>
          <t>Banks - Regional</t>
        </is>
      </c>
      <c r="E246" s="51" t="n">
        <v>0.8</v>
      </c>
      <c r="F246" s="51" t="inlineStr">
        <is>
          <t xml:space="preserve">- </t>
        </is>
      </c>
      <c r="G246" s="51" t="inlineStr">
        <is>
          <t xml:space="preserve">- </t>
        </is>
      </c>
      <c r="H246" s="52" t="n">
        <v>0</v>
      </c>
      <c r="I246" s="52" t="n">
        <v>0.401</v>
      </c>
      <c r="J246" s="52" t="n">
        <v>0.259</v>
      </c>
      <c r="K246" s="52" t="n">
        <v>0.126</v>
      </c>
      <c r="L246" s="52" t="n">
        <v>0.487</v>
      </c>
    </row>
    <row r="247" hidden="1" s="57">
      <c r="A247" s="38" t="n"/>
      <c r="B247" s="49" t="inlineStr">
        <is>
          <t>BAX</t>
        </is>
      </c>
      <c r="C247" s="49" t="inlineStr">
        <is>
          <t>Baxter International</t>
        </is>
      </c>
      <c r="D247" s="50" t="inlineStr">
        <is>
          <t>Medical Instruments &amp; Supplies</t>
        </is>
      </c>
      <c r="E247" s="51" t="n">
        <v>0.8</v>
      </c>
      <c r="F247" s="51" t="n">
        <v>2.3</v>
      </c>
      <c r="G247" s="51" t="n">
        <v>1.8</v>
      </c>
      <c r="H247" s="52" t="n">
        <v>0.42</v>
      </c>
      <c r="I247" s="52" t="n">
        <v>0.082</v>
      </c>
      <c r="J247" s="52" t="n">
        <v>0.091</v>
      </c>
      <c r="K247" s="52" t="n">
        <v>0.125</v>
      </c>
      <c r="L247" s="52" t="n">
        <v>1.382</v>
      </c>
    </row>
    <row r="248">
      <c r="A248" s="38" t="n"/>
      <c r="B248" s="49" t="inlineStr">
        <is>
          <t>HLT</t>
        </is>
      </c>
      <c r="C248" s="49" t="inlineStr">
        <is>
          <t>Hilton Worldwide Holdings</t>
        </is>
      </c>
      <c r="D248" s="50" t="inlineStr">
        <is>
          <t>Lodging</t>
        </is>
      </c>
      <c r="E248" s="51" t="inlineStr">
        <is>
          <t xml:space="preserve">- </t>
        </is>
      </c>
      <c r="F248" s="51" t="n">
        <v>0.7</v>
      </c>
      <c r="G248" s="51" t="n">
        <v>0.7</v>
      </c>
      <c r="H248" s="52" t="n">
        <v>0.867</v>
      </c>
      <c r="I248" s="52" t="n">
        <v>0.167</v>
      </c>
      <c r="J248" s="52" t="n">
        <v>0.093</v>
      </c>
      <c r="K248" s="52" t="n">
        <v>0.125</v>
      </c>
      <c r="L248" s="52" t="n">
        <v>1.333</v>
      </c>
    </row>
    <row r="249" hidden="1" s="57">
      <c r="A249" s="38" t="n"/>
      <c r="B249" s="49" t="inlineStr">
        <is>
          <t>IR</t>
        </is>
      </c>
      <c r="C249" s="49" t="inlineStr">
        <is>
          <t>Ingersoll Rand</t>
        </is>
      </c>
      <c r="D249" s="50" t="inlineStr">
        <is>
          <t>Specialty Industrial Machinery</t>
        </is>
      </c>
      <c r="E249" s="51" t="n">
        <v>0.9</v>
      </c>
      <c r="F249" s="51" t="n">
        <v>2.7</v>
      </c>
      <c r="G249" s="51" t="n">
        <v>1.8</v>
      </c>
      <c r="H249" s="52" t="n">
        <v>0.372</v>
      </c>
      <c r="I249" s="52" t="n">
        <v>0.142</v>
      </c>
      <c r="J249" s="52" t="n">
        <v>0.065</v>
      </c>
      <c r="K249" s="52" t="n">
        <v>0.123</v>
      </c>
      <c r="L249" s="52" t="n">
        <v>1.897</v>
      </c>
    </row>
    <row r="250" hidden="1" s="57">
      <c r="A250" s="38" t="n"/>
      <c r="B250" s="49" t="inlineStr">
        <is>
          <t>MYL</t>
        </is>
      </c>
      <c r="C250" s="49" t="inlineStr">
        <is>
          <t>Mylan</t>
        </is>
      </c>
      <c r="D250" s="50" t="inlineStr">
        <is>
          <t>Drug Manufacturers - Specialty &amp; Generic</t>
        </is>
      </c>
      <c r="E250" s="51" t="n">
        <v>1</v>
      </c>
      <c r="F250" s="51" t="n">
        <v>1.2</v>
      </c>
      <c r="G250" s="51" t="n">
        <v>0.7</v>
      </c>
      <c r="H250" s="52" t="n">
        <v>0.339</v>
      </c>
      <c r="I250" s="52" t="n">
        <v>0.061</v>
      </c>
      <c r="J250" s="52" t="n">
        <v>0.002</v>
      </c>
      <c r="K250" s="52" t="n">
        <v>0.123</v>
      </c>
      <c r="L250" s="52" t="n">
        <v>78.354</v>
      </c>
    </row>
    <row r="251" hidden="1" s="57">
      <c r="A251" s="38" t="n"/>
      <c r="B251" s="49" t="inlineStr">
        <is>
          <t>NRG</t>
        </is>
      </c>
      <c r="C251" s="49" t="inlineStr">
        <is>
          <t>NRG Energy</t>
        </is>
      </c>
      <c r="D251" s="50" t="inlineStr">
        <is>
          <t>Utilities - Independent Power Producers</t>
        </is>
      </c>
      <c r="E251" s="51" t="n">
        <v>3.9</v>
      </c>
      <c r="F251" s="51" t="n">
        <v>1.3</v>
      </c>
      <c r="G251" s="51" t="n">
        <v>1.2</v>
      </c>
      <c r="H251" s="52" t="n">
        <v>0.257</v>
      </c>
      <c r="I251" s="52" t="n">
        <v>0.134</v>
      </c>
      <c r="J251" s="52" t="n">
        <v>0.454</v>
      </c>
      <c r="K251" s="52" t="n">
        <v>0.123</v>
      </c>
      <c r="L251" s="52" t="n">
        <v>0.27</v>
      </c>
    </row>
    <row r="252" hidden="1" s="57">
      <c r="A252" s="38" t="n"/>
      <c r="B252" s="49" t="inlineStr">
        <is>
          <t>ODFL</t>
        </is>
      </c>
      <c r="C252" s="49" t="inlineStr">
        <is>
          <t>Old Dominion Freight</t>
        </is>
      </c>
      <c r="D252" s="50" t="inlineStr">
        <is>
          <t>Trucking</t>
        </is>
      </c>
      <c r="E252" s="51" t="n">
        <v>0</v>
      </c>
      <c r="F252" s="51" t="n">
        <v>2.4</v>
      </c>
      <c r="G252" s="51" t="n">
        <v>2.4</v>
      </c>
      <c r="H252" s="52" t="n">
        <v>0.4</v>
      </c>
      <c r="I252" s="52" t="n">
        <v>0.199</v>
      </c>
      <c r="J252" s="52" t="n">
        <v>0.15</v>
      </c>
      <c r="K252" s="52" t="n">
        <v>0.123</v>
      </c>
      <c r="L252" s="52" t="n">
        <v>0.8179999999999999</v>
      </c>
    </row>
    <row r="253" hidden="1" s="57">
      <c r="A253" s="38" t="n"/>
      <c r="B253" s="49" t="inlineStr">
        <is>
          <t>VMC</t>
        </is>
      </c>
      <c r="C253" s="49" t="inlineStr">
        <is>
          <t>Vulcan Materials</t>
        </is>
      </c>
      <c r="D253" s="50" t="inlineStr">
        <is>
          <t>Building Materials</t>
        </is>
      </c>
      <c r="E253" s="51" t="n">
        <v>0.6</v>
      </c>
      <c r="F253" s="51" t="n">
        <v>2.6</v>
      </c>
      <c r="G253" s="51" t="n">
        <v>1.7</v>
      </c>
      <c r="H253" s="52" t="n">
        <v>0.255</v>
      </c>
      <c r="I253" s="52" t="n">
        <v>0.174</v>
      </c>
      <c r="J253" s="52" t="n">
        <v>0.126</v>
      </c>
      <c r="K253" s="52" t="n">
        <v>0.123</v>
      </c>
      <c r="L253" s="52" t="n">
        <v>0.976</v>
      </c>
    </row>
    <row r="254" hidden="1" s="57">
      <c r="A254" s="38" t="n"/>
      <c r="B254" s="49" t="inlineStr">
        <is>
          <t>AZO</t>
        </is>
      </c>
      <c r="C254" s="49" t="inlineStr">
        <is>
          <t>AutoZone</t>
        </is>
      </c>
      <c r="D254" s="50" t="inlineStr">
        <is>
          <t>Specialty Retail</t>
        </is>
      </c>
      <c r="E254" s="51" t="inlineStr">
        <is>
          <t xml:space="preserve">- </t>
        </is>
      </c>
      <c r="F254" s="51" t="n">
        <v>0.9</v>
      </c>
      <c r="G254" s="51" t="n">
        <v>0.1</v>
      </c>
      <c r="H254" s="52" t="n">
        <v>0.537</v>
      </c>
      <c r="I254" s="52" t="n">
        <v>0.185</v>
      </c>
      <c r="J254" s="52" t="n">
        <v>0.134</v>
      </c>
      <c r="K254" s="52" t="n">
        <v>0.122</v>
      </c>
      <c r="L254" s="52" t="n">
        <v>0.908</v>
      </c>
    </row>
    <row r="255" hidden="1" s="57">
      <c r="A255" s="38" t="n"/>
      <c r="B255" s="49" t="inlineStr">
        <is>
          <t>MLM</t>
        </is>
      </c>
      <c r="C255" s="49" t="inlineStr">
        <is>
          <t>Martin Marietta Materials</t>
        </is>
      </c>
      <c r="D255" s="50" t="inlineStr">
        <is>
          <t>Building Materials</t>
        </is>
      </c>
      <c r="E255" s="51" t="n">
        <v>0.6</v>
      </c>
      <c r="F255" s="51" t="n">
        <v>1.7</v>
      </c>
      <c r="G255" s="51" t="n">
        <v>0.9</v>
      </c>
      <c r="H255" s="52" t="n">
        <v>0.25</v>
      </c>
      <c r="I255" s="52" t="n">
        <v>0.188</v>
      </c>
      <c r="J255" s="52" t="n">
        <v>0.13</v>
      </c>
      <c r="K255" s="52" t="n">
        <v>0.122</v>
      </c>
      <c r="L255" s="52" t="n">
        <v>0.9399999999999999</v>
      </c>
    </row>
    <row r="256" hidden="1" s="57">
      <c r="A256" s="38" t="n"/>
      <c r="B256" s="49" t="inlineStr">
        <is>
          <t>CMCSA</t>
        </is>
      </c>
      <c r="C256" s="49" t="inlineStr">
        <is>
          <t>Comcast</t>
        </is>
      </c>
      <c r="D256" s="50" t="inlineStr">
        <is>
          <t>Entertainment</t>
        </is>
      </c>
      <c r="E256" s="51" t="n">
        <v>1.2</v>
      </c>
      <c r="F256" s="51" t="n">
        <v>0.8</v>
      </c>
      <c r="G256" s="51" t="n">
        <v>0.8</v>
      </c>
      <c r="H256" s="52" t="n">
        <v>0.6840000000000001</v>
      </c>
      <c r="I256" s="52" t="n">
        <v>0.194</v>
      </c>
      <c r="J256" s="52" t="n">
        <v>0.12</v>
      </c>
      <c r="K256" s="52" t="n">
        <v>0.121</v>
      </c>
      <c r="L256" s="52" t="n">
        <v>1.013</v>
      </c>
    </row>
    <row r="257" hidden="1" s="57">
      <c r="A257" s="38" t="n"/>
      <c r="B257" s="49" t="inlineStr">
        <is>
          <t>OMC</t>
        </is>
      </c>
      <c r="C257" s="49" t="inlineStr">
        <is>
          <t>Omnicom Group</t>
        </is>
      </c>
      <c r="D257" s="50" t="inlineStr">
        <is>
          <t>Advertising Agencies</t>
        </is>
      </c>
      <c r="E257" s="51" t="n">
        <v>2.3</v>
      </c>
      <c r="F257" s="51" t="n">
        <v>0.9</v>
      </c>
      <c r="G257" s="51" t="n">
        <v>0.8</v>
      </c>
      <c r="H257" s="52" t="n">
        <v>0.185</v>
      </c>
      <c r="I257" s="52" t="n">
        <v>0.142</v>
      </c>
      <c r="J257" s="52" t="n">
        <v>0.09</v>
      </c>
      <c r="K257" s="52" t="n">
        <v>0.12</v>
      </c>
      <c r="L257" s="52" t="n">
        <v>1.335</v>
      </c>
    </row>
    <row r="258" hidden="1" s="57">
      <c r="A258" s="38" t="n"/>
      <c r="B258" s="49" t="inlineStr">
        <is>
          <t>MDLZ</t>
        </is>
      </c>
      <c r="C258" s="49" t="inlineStr">
        <is>
          <t>Mondelez International</t>
        </is>
      </c>
      <c r="D258" s="50" t="inlineStr">
        <is>
          <t>Confectioners</t>
        </is>
      </c>
      <c r="E258" s="51" t="n">
        <v>0.7</v>
      </c>
      <c r="F258" s="51" t="n">
        <v>0.5</v>
      </c>
      <c r="G258" s="51" t="n">
        <v>0.3</v>
      </c>
      <c r="H258" s="52" t="n">
        <v>0.4</v>
      </c>
      <c r="I258" s="52" t="n">
        <v>0.156</v>
      </c>
      <c r="J258" s="52" t="n">
        <v>0.15</v>
      </c>
      <c r="K258" s="52" t="n">
        <v>0.119</v>
      </c>
      <c r="L258" s="52" t="n">
        <v>0.792</v>
      </c>
    </row>
    <row r="259" hidden="1" s="57">
      <c r="A259" s="38" t="n"/>
      <c r="B259" s="49" t="inlineStr">
        <is>
          <t>MMC</t>
        </is>
      </c>
      <c r="C259" s="49" t="inlineStr">
        <is>
          <t>Marsh &amp; McLennan</t>
        </is>
      </c>
      <c r="D259" s="50" t="inlineStr">
        <is>
          <t>Insurance Brokers</t>
        </is>
      </c>
      <c r="E259" s="51" t="n">
        <v>1.8</v>
      </c>
      <c r="F259" s="51" t="n">
        <v>1.1</v>
      </c>
      <c r="G259" s="51" t="n">
        <v>1.1</v>
      </c>
      <c r="H259" s="52" t="n">
        <v>0</v>
      </c>
      <c r="I259" s="52" t="n">
        <v>0.16</v>
      </c>
      <c r="J259" s="52" t="n">
        <v>0.104</v>
      </c>
      <c r="K259" s="52" t="n">
        <v>0.119</v>
      </c>
      <c r="L259" s="52" t="n">
        <v>1.143</v>
      </c>
    </row>
    <row r="260" hidden="1" s="57">
      <c r="A260" s="38" t="n"/>
      <c r="B260" s="49" t="inlineStr">
        <is>
          <t>STX</t>
        </is>
      </c>
      <c r="C260" s="49" t="inlineStr">
        <is>
          <t>Seagate Technology</t>
        </is>
      </c>
      <c r="D260" s="50" t="inlineStr">
        <is>
          <t>Computer Hardware</t>
        </is>
      </c>
      <c r="E260" s="51" t="n">
        <v>2.3</v>
      </c>
      <c r="F260" s="51" t="n">
        <v>1.5</v>
      </c>
      <c r="G260" s="51" t="n">
        <v>1.1</v>
      </c>
      <c r="H260" s="52" t="n">
        <v>0.267</v>
      </c>
      <c r="I260" s="52" t="n">
        <v>0.12</v>
      </c>
      <c r="J260" s="52" t="n">
        <v>0.171</v>
      </c>
      <c r="K260" s="52" t="n">
        <v>0.119</v>
      </c>
      <c r="L260" s="52" t="n">
        <v>0.694</v>
      </c>
    </row>
    <row r="261" hidden="1" s="57">
      <c r="A261" s="38" t="n"/>
      <c r="B261" s="49" t="inlineStr">
        <is>
          <t>EMN</t>
        </is>
      </c>
      <c r="C261" s="49" t="inlineStr">
        <is>
          <t>Eastman Chemical</t>
        </is>
      </c>
      <c r="D261" s="50" t="inlineStr">
        <is>
          <t>Chemicals</t>
        </is>
      </c>
      <c r="E261" s="51" t="n">
        <v>1</v>
      </c>
      <c r="F261" s="51" t="n">
        <v>1.9</v>
      </c>
      <c r="G261" s="51" t="n">
        <v>0.9</v>
      </c>
      <c r="H261" s="52" t="n">
        <v>0.241</v>
      </c>
      <c r="I261" s="52" t="n">
        <v>0.141</v>
      </c>
      <c r="J261" s="52" t="n">
        <v>0.082</v>
      </c>
      <c r="K261" s="52" t="n">
        <v>0.118</v>
      </c>
      <c r="L261" s="52" t="n">
        <v>1.446</v>
      </c>
    </row>
    <row r="262" hidden="1" s="57">
      <c r="A262" s="38" t="n"/>
      <c r="B262" s="49" t="inlineStr">
        <is>
          <t>XYL</t>
        </is>
      </c>
      <c r="C262" s="49" t="inlineStr">
        <is>
          <t>Xylem</t>
        </is>
      </c>
      <c r="D262" s="50" t="inlineStr">
        <is>
          <t>Specialty Industrial Machinery</t>
        </is>
      </c>
      <c r="E262" s="51" t="n">
        <v>0.8</v>
      </c>
      <c r="F262" s="51" t="n">
        <v>1.6</v>
      </c>
      <c r="G262" s="51" t="n">
        <v>1.3</v>
      </c>
      <c r="H262" s="52" t="n">
        <v>0.39</v>
      </c>
      <c r="I262" s="52" t="n">
        <v>0.133</v>
      </c>
      <c r="J262" s="52" t="n">
        <v>0.077</v>
      </c>
      <c r="K262" s="52" t="n">
        <v>0.118</v>
      </c>
      <c r="L262" s="52" t="n">
        <v>1.541</v>
      </c>
    </row>
    <row r="263" hidden="1" s="57">
      <c r="A263" s="38" t="n"/>
      <c r="B263" s="49" t="inlineStr">
        <is>
          <t>ALK</t>
        </is>
      </c>
      <c r="C263" s="49" t="inlineStr">
        <is>
          <t>Alaska Air Group</t>
        </is>
      </c>
      <c r="D263" s="50" t="inlineStr">
        <is>
          <t>Airlines</t>
        </is>
      </c>
      <c r="E263" s="51" t="n">
        <v>0.7</v>
      </c>
      <c r="F263" s="51" t="n">
        <v>0.6</v>
      </c>
      <c r="G263" s="51" t="n">
        <v>0.6</v>
      </c>
      <c r="H263" s="52" t="n">
        <v>0.226</v>
      </c>
      <c r="I263" s="52" t="n">
        <v>0.127</v>
      </c>
      <c r="J263" s="52" t="n">
        <v>0.08799999999999999</v>
      </c>
      <c r="K263" s="52" t="n">
        <v>0.116</v>
      </c>
      <c r="L263" s="52" t="n">
        <v>1.314</v>
      </c>
    </row>
    <row r="264" hidden="1" s="57">
      <c r="A264" s="38" t="n"/>
      <c r="B264" s="49" t="inlineStr">
        <is>
          <t>DVA</t>
        </is>
      </c>
      <c r="C264" s="49" t="inlineStr">
        <is>
          <t>DaVita</t>
        </is>
      </c>
      <c r="D264" s="50" t="inlineStr">
        <is>
          <t>Medical Care Facilities</t>
        </is>
      </c>
      <c r="E264" s="51" t="n">
        <v>5.2</v>
      </c>
      <c r="F264" s="51" t="n">
        <v>1.6</v>
      </c>
      <c r="G264" s="51" t="n">
        <v>1.5</v>
      </c>
      <c r="H264" s="52" t="n">
        <v>0.305</v>
      </c>
      <c r="I264" s="52" t="n">
        <v>0.154</v>
      </c>
      <c r="J264" s="52" t="n">
        <v>0.07099999999999999</v>
      </c>
      <c r="K264" s="52" t="n">
        <v>0.116</v>
      </c>
      <c r="L264" s="52" t="n">
        <v>1.626</v>
      </c>
    </row>
    <row r="265" hidden="1" s="57">
      <c r="A265" s="38" t="n"/>
      <c r="B265" s="49" t="inlineStr">
        <is>
          <t>PKG</t>
        </is>
      </c>
      <c r="C265" s="49" t="inlineStr">
        <is>
          <t>Packaging Corp of America</t>
        </is>
      </c>
      <c r="D265" s="50" t="inlineStr">
        <is>
          <t>Packaging &amp; Containers</t>
        </is>
      </c>
      <c r="E265" s="51" t="n">
        <v>0.9</v>
      </c>
      <c r="F265" s="51" t="n">
        <v>3.4</v>
      </c>
      <c r="G265" s="51" t="n">
        <v>2.3</v>
      </c>
      <c r="H265" s="52" t="n">
        <v>0.236</v>
      </c>
      <c r="I265" s="52" t="n">
        <v>0.156</v>
      </c>
      <c r="J265" s="52" t="n">
        <v>0.1</v>
      </c>
      <c r="K265" s="52" t="n">
        <v>0.116</v>
      </c>
      <c r="L265" s="52" t="n">
        <v>1.164</v>
      </c>
    </row>
    <row r="266" hidden="1" s="57">
      <c r="A266" s="38" t="n"/>
      <c r="B266" s="49" t="inlineStr">
        <is>
          <t>CPB</t>
        </is>
      </c>
      <c r="C266" s="49" t="inlineStr">
        <is>
          <t>Campbell Soup</t>
        </is>
      </c>
      <c r="D266" s="50" t="inlineStr">
        <is>
          <t>Packaged Foods</t>
        </is>
      </c>
      <c r="E266" s="51" t="n">
        <v>2.3</v>
      </c>
      <c r="F266" s="51" t="n">
        <v>0.6</v>
      </c>
      <c r="G266" s="51" t="n">
        <v>0.3</v>
      </c>
      <c r="H266" s="52" t="n">
        <v>0.34</v>
      </c>
      <c r="I266" s="52" t="n">
        <v>0.141</v>
      </c>
      <c r="J266" s="52" t="n">
        <v>0.195</v>
      </c>
      <c r="K266" s="52" t="n">
        <v>0.115</v>
      </c>
      <c r="L266" s="52" t="n">
        <v>0.591</v>
      </c>
    </row>
    <row r="267" hidden="1" s="57">
      <c r="A267" s="38" t="n"/>
      <c r="B267" s="49" t="inlineStr">
        <is>
          <t>LW</t>
        </is>
      </c>
      <c r="C267" s="49" t="inlineStr">
        <is>
          <t>Lamb Weston Holdings</t>
        </is>
      </c>
      <c r="D267" s="50" t="inlineStr">
        <is>
          <t>Packaged Foods</t>
        </is>
      </c>
      <c r="E267" s="51" t="n">
        <v>8.4</v>
      </c>
      <c r="F267" s="51" t="n">
        <v>1.9</v>
      </c>
      <c r="G267" s="51" t="n">
        <v>0.8</v>
      </c>
      <c r="H267" s="52" t="n">
        <v>0.262</v>
      </c>
      <c r="I267" s="52" t="n">
        <v>0.171</v>
      </c>
      <c r="J267" s="52" t="n">
        <v>0.121</v>
      </c>
      <c r="K267" s="52" t="n">
        <v>0.115</v>
      </c>
      <c r="L267" s="52" t="n">
        <v>0.951</v>
      </c>
    </row>
    <row r="268" hidden="1" s="57">
      <c r="A268" s="38" t="n"/>
      <c r="B268" s="49" t="inlineStr">
        <is>
          <t>A</t>
        </is>
      </c>
      <c r="C268" s="49" t="inlineStr">
        <is>
          <t>Agilent Technologies</t>
        </is>
      </c>
      <c r="D268" s="50" t="inlineStr">
        <is>
          <t>Diagnostics &amp; Research</t>
        </is>
      </c>
      <c r="E268" s="51" t="n">
        <v>0.5</v>
      </c>
      <c r="F268" s="51" t="n">
        <v>1.6</v>
      </c>
      <c r="G268" s="51" t="n">
        <v>1.3</v>
      </c>
      <c r="H268" s="52" t="n">
        <v>0.539</v>
      </c>
      <c r="I268" s="52" t="n">
        <v>0.173</v>
      </c>
      <c r="J268" s="52" t="n">
        <v>0.146</v>
      </c>
      <c r="K268" s="52" t="n">
        <v>0.114</v>
      </c>
      <c r="L268" s="52" t="n">
        <v>0.78</v>
      </c>
    </row>
    <row r="269" hidden="1" s="57">
      <c r="A269" s="38" t="n"/>
      <c r="B269" s="49" t="inlineStr">
        <is>
          <t>NVR</t>
        </is>
      </c>
      <c r="C269" s="49" t="inlineStr">
        <is>
          <t>NVR</t>
        </is>
      </c>
      <c r="D269" s="50" t="inlineStr">
        <is>
          <t>Residential Construction</t>
        </is>
      </c>
      <c r="E269" s="51" t="n">
        <v>0.3</v>
      </c>
      <c r="F269" s="51" t="n">
        <v>4.5</v>
      </c>
      <c r="G269" s="51" t="n">
        <v>2.4</v>
      </c>
      <c r="H269" s="52" t="n">
        <v>0.209</v>
      </c>
      <c r="I269" s="52" t="n">
        <v>0.142</v>
      </c>
      <c r="J269" s="52" t="n">
        <v>0.119</v>
      </c>
      <c r="K269" s="52" t="n">
        <v>0.114</v>
      </c>
      <c r="L269" s="52" t="n">
        <v>0.958</v>
      </c>
    </row>
    <row r="270" hidden="1" s="57">
      <c r="A270" s="38" t="n"/>
      <c r="B270" s="49" t="inlineStr">
        <is>
          <t>SLB</t>
        </is>
      </c>
      <c r="C270" s="49" t="inlineStr">
        <is>
          <t>Schlumberger</t>
        </is>
      </c>
      <c r="D270" s="50" t="inlineStr">
        <is>
          <t>Oil &amp; Gas Equipment &amp; Services</t>
        </is>
      </c>
      <c r="E270" s="51" t="n">
        <v>0.6</v>
      </c>
      <c r="F270" s="51" t="n">
        <v>1.2</v>
      </c>
      <c r="G270" s="51" t="n">
        <v>0.9</v>
      </c>
      <c r="H270" s="52" t="n">
        <v>0.128</v>
      </c>
      <c r="I270" s="52" t="n">
        <v>0.092</v>
      </c>
      <c r="J270" s="52" t="n">
        <v>-0.312</v>
      </c>
      <c r="K270" s="52" t="n">
        <v>0.114</v>
      </c>
      <c r="L270" s="51" t="inlineStr">
        <is>
          <t xml:space="preserve">- </t>
        </is>
      </c>
    </row>
    <row r="271" hidden="1" s="57">
      <c r="A271" s="38" t="n"/>
      <c r="B271" s="49" t="inlineStr">
        <is>
          <t>STE</t>
        </is>
      </c>
      <c r="C271" s="49" t="inlineStr">
        <is>
          <t>Steris</t>
        </is>
      </c>
      <c r="D271" s="50" t="inlineStr">
        <is>
          <t>Medical Instruments &amp; Supplies</t>
        </is>
      </c>
      <c r="E271" s="51" t="n">
        <v>0.4</v>
      </c>
      <c r="F271" s="51" t="n">
        <v>2.3</v>
      </c>
      <c r="G271" s="51" t="n">
        <v>1.8</v>
      </c>
      <c r="H271" s="52" t="n">
        <v>0.434</v>
      </c>
      <c r="I271" s="52" t="n">
        <v>0.177</v>
      </c>
      <c r="J271" s="52" t="n">
        <v>0.132</v>
      </c>
      <c r="K271" s="52" t="n">
        <v>0.114</v>
      </c>
      <c r="L271" s="52" t="n">
        <v>0.864</v>
      </c>
    </row>
    <row r="272" hidden="1" s="57">
      <c r="A272" s="38" t="n"/>
      <c r="B272" s="49" t="inlineStr">
        <is>
          <t>KHC</t>
        </is>
      </c>
      <c r="C272" s="49" t="inlineStr">
        <is>
          <t>Kraft Heinz</t>
        </is>
      </c>
      <c r="D272" s="50" t="inlineStr">
        <is>
          <t>Packaged Foods</t>
        </is>
      </c>
      <c r="E272" s="51" t="n">
        <v>0.6</v>
      </c>
      <c r="F272" s="51" t="n">
        <v>1</v>
      </c>
      <c r="G272" s="51" t="n">
        <v>0.7</v>
      </c>
      <c r="H272" s="52" t="n">
        <v>0.326</v>
      </c>
      <c r="I272" s="52" t="n">
        <v>0.199</v>
      </c>
      <c r="J272" s="52" t="n">
        <v>0.078</v>
      </c>
      <c r="K272" s="52" t="n">
        <v>0.113</v>
      </c>
      <c r="L272" s="52" t="n">
        <v>1.451</v>
      </c>
    </row>
    <row r="273" hidden="1" s="57">
      <c r="A273" s="38" t="n"/>
      <c r="B273" s="49" t="inlineStr">
        <is>
          <t>SHW</t>
        </is>
      </c>
      <c r="C273" s="49" t="inlineStr">
        <is>
          <t>Sherwin-Williams</t>
        </is>
      </c>
      <c r="D273" s="50" t="inlineStr">
        <is>
          <t>Specialty Chemicals</t>
        </is>
      </c>
      <c r="E273" s="51" t="n">
        <v>2.5</v>
      </c>
      <c r="F273" s="51" t="n">
        <v>1</v>
      </c>
      <c r="G273" s="51" t="n">
        <v>0.6</v>
      </c>
      <c r="H273" s="52" t="n">
        <v>0.449</v>
      </c>
      <c r="I273" s="52" t="n">
        <v>0.136</v>
      </c>
      <c r="J273" s="52" t="n">
        <v>0.08599999999999999</v>
      </c>
      <c r="K273" s="52" t="n">
        <v>0.113</v>
      </c>
      <c r="L273" s="52" t="n">
        <v>1.304</v>
      </c>
    </row>
    <row r="274" hidden="1" s="57">
      <c r="A274" s="38" t="n"/>
      <c r="B274" s="49" t="inlineStr">
        <is>
          <t>CCI</t>
        </is>
      </c>
      <c r="C274" s="49" t="inlineStr">
        <is>
          <t>Crown Castle Intl</t>
        </is>
      </c>
      <c r="D274" s="50" t="inlineStr">
        <is>
          <t>REIT - Specialty</t>
        </is>
      </c>
      <c r="E274" s="51" t="n">
        <v>1.4</v>
      </c>
      <c r="F274" s="51" t="n">
        <v>0.9</v>
      </c>
      <c r="G274" s="51" t="n">
        <v>0.9</v>
      </c>
      <c r="H274" s="52" t="n">
        <v>0.655</v>
      </c>
      <c r="I274" s="52" t="n">
        <v>0.276</v>
      </c>
      <c r="J274" s="52" t="n">
        <v>0.149</v>
      </c>
      <c r="K274" s="52" t="n">
        <v>0.112</v>
      </c>
      <c r="L274" s="52" t="n">
        <v>0.753</v>
      </c>
    </row>
    <row r="275" hidden="1" s="57">
      <c r="A275" s="38" t="n"/>
      <c r="B275" s="49" t="inlineStr">
        <is>
          <t>FAST</t>
        </is>
      </c>
      <c r="C275" s="49" t="inlineStr">
        <is>
          <t>Fastenal</t>
        </is>
      </c>
      <c r="D275" s="50" t="inlineStr">
        <is>
          <t>Industrial Distribution</t>
        </is>
      </c>
      <c r="E275" s="51" t="n">
        <v>0.2</v>
      </c>
      <c r="F275" s="51" t="n">
        <v>4.5</v>
      </c>
      <c r="G275" s="51" t="n">
        <v>2</v>
      </c>
      <c r="H275" s="52" t="n">
        <v>0.472</v>
      </c>
      <c r="I275" s="52" t="n">
        <v>0.198</v>
      </c>
      <c r="J275" s="52" t="n">
        <v>0.148</v>
      </c>
      <c r="K275" s="52" t="n">
        <v>0.112</v>
      </c>
      <c r="L275" s="52" t="n">
        <v>0.754</v>
      </c>
    </row>
    <row r="276" hidden="1" s="57">
      <c r="A276" s="38" t="n"/>
      <c r="B276" s="49" t="inlineStr">
        <is>
          <t>LEG</t>
        </is>
      </c>
      <c r="C276" s="49" t="inlineStr">
        <is>
          <t>Leggett &amp; Platt</t>
        </is>
      </c>
      <c r="D276" s="50" t="inlineStr">
        <is>
          <t>Furnishings, Fixtures &amp; Appliances</t>
        </is>
      </c>
      <c r="E276" s="51" t="n">
        <v>1.7</v>
      </c>
      <c r="F276" s="51" t="n">
        <v>1.7</v>
      </c>
      <c r="G276" s="51" t="n">
        <v>1</v>
      </c>
      <c r="H276" s="52" t="n">
        <v>0.221</v>
      </c>
      <c r="I276" s="52" t="n">
        <v>0.109</v>
      </c>
      <c r="J276" s="52" t="n">
        <v>0.07000000000000001</v>
      </c>
      <c r="K276" s="52" t="n">
        <v>0.112</v>
      </c>
      <c r="L276" s="52" t="n">
        <v>1.585</v>
      </c>
    </row>
    <row r="277" hidden="1" s="57">
      <c r="A277" s="38" t="n"/>
      <c r="B277" s="49" t="inlineStr">
        <is>
          <t>PPG</t>
        </is>
      </c>
      <c r="C277" s="49" t="inlineStr">
        <is>
          <t>PPG Industries</t>
        </is>
      </c>
      <c r="D277" s="50" t="inlineStr">
        <is>
          <t>Specialty Chemicals</t>
        </is>
      </c>
      <c r="E277" s="51" t="n">
        <v>1.1</v>
      </c>
      <c r="F277" s="51" t="n">
        <v>1.4</v>
      </c>
      <c r="G277" s="51" t="n">
        <v>1</v>
      </c>
      <c r="H277" s="52" t="n">
        <v>0.429</v>
      </c>
      <c r="I277" s="52" t="n">
        <v>0.129</v>
      </c>
      <c r="J277" s="52" t="n">
        <v>0.082</v>
      </c>
      <c r="K277" s="52" t="n">
        <v>0.112</v>
      </c>
      <c r="L277" s="52" t="n">
        <v>1.36</v>
      </c>
    </row>
    <row r="278" hidden="1" s="57">
      <c r="A278" s="38" t="n"/>
      <c r="B278" s="49" t="inlineStr">
        <is>
          <t>EL</t>
        </is>
      </c>
      <c r="C278" s="49" t="inlineStr">
        <is>
          <t>Estee Lauder Cos</t>
        </is>
      </c>
      <c r="D278" s="50" t="inlineStr">
        <is>
          <t>Household &amp; Personal Products</t>
        </is>
      </c>
      <c r="E278" s="51" t="n">
        <v>1.7</v>
      </c>
      <c r="F278" s="51" t="n">
        <v>1.7</v>
      </c>
      <c r="G278" s="51" t="n">
        <v>1.3</v>
      </c>
      <c r="H278" s="52" t="n">
        <v>0.773</v>
      </c>
      <c r="I278" s="52" t="n">
        <v>0.185</v>
      </c>
      <c r="J278" s="52" t="n">
        <v>0.117</v>
      </c>
      <c r="K278" s="52" t="n">
        <v>0.111</v>
      </c>
      <c r="L278" s="52" t="n">
        <v>0.947</v>
      </c>
    </row>
    <row r="279" hidden="1" s="57">
      <c r="A279" s="38" t="n"/>
      <c r="B279" s="49" t="inlineStr">
        <is>
          <t>RSG</t>
        </is>
      </c>
      <c r="C279" s="49" t="inlineStr">
        <is>
          <t>Republic Services</t>
        </is>
      </c>
      <c r="D279" s="50" t="inlineStr">
        <is>
          <t>Waste Management</t>
        </is>
      </c>
      <c r="E279" s="51" t="n">
        <v>1.1</v>
      </c>
      <c r="F279" s="51" t="n">
        <v>0.5</v>
      </c>
      <c r="G279" s="51" t="n">
        <v>0.5</v>
      </c>
      <c r="H279" s="52" t="n">
        <v>0.388</v>
      </c>
      <c r="I279" s="52" t="n">
        <v>0.175</v>
      </c>
      <c r="J279" s="52" t="n">
        <v>0.104</v>
      </c>
      <c r="K279" s="52" t="n">
        <v>0.111</v>
      </c>
      <c r="L279" s="52" t="n">
        <v>1.067</v>
      </c>
    </row>
    <row r="280" hidden="1" s="57">
      <c r="A280" s="38" t="n"/>
      <c r="B280" s="49" t="inlineStr">
        <is>
          <t>HRB</t>
        </is>
      </c>
      <c r="C280" s="49" t="inlineStr">
        <is>
          <t>H&amp;R Block</t>
        </is>
      </c>
      <c r="D280" s="50" t="inlineStr">
        <is>
          <t>Personal Services</t>
        </is>
      </c>
      <c r="E280" s="51" t="inlineStr">
        <is>
          <t xml:space="preserve">- </t>
        </is>
      </c>
      <c r="F280" s="51" t="n">
        <v>1</v>
      </c>
      <c r="G280" s="51" t="n">
        <v>1</v>
      </c>
      <c r="H280" s="52" t="n">
        <v>0.423</v>
      </c>
      <c r="I280" s="52" t="n">
        <v>0.169</v>
      </c>
      <c r="J280" s="52" t="n">
        <v>0.124</v>
      </c>
      <c r="K280" s="52" t="n">
        <v>0.11</v>
      </c>
      <c r="L280" s="52" t="n">
        <v>0.893</v>
      </c>
    </row>
    <row r="281" hidden="1" s="57">
      <c r="A281" s="38" t="n"/>
      <c r="B281" s="49" t="inlineStr">
        <is>
          <t>DGX</t>
        </is>
      </c>
      <c r="C281" s="49" t="inlineStr">
        <is>
          <t>Quest Diagnostics</t>
        </is>
      </c>
      <c r="D281" s="50" t="inlineStr">
        <is>
          <t>Diagnostics &amp; Research</t>
        </is>
      </c>
      <c r="E281" s="51" t="n">
        <v>1</v>
      </c>
      <c r="F281" s="51" t="n">
        <v>1.3</v>
      </c>
      <c r="G281" s="51" t="n">
        <v>1.2</v>
      </c>
      <c r="H281" s="52" t="n">
        <v>0.348</v>
      </c>
      <c r="I281" s="52" t="n">
        <v>0.16</v>
      </c>
      <c r="J281" s="52" t="n">
        <v>0.111</v>
      </c>
      <c r="K281" s="52" t="n">
        <v>0.109</v>
      </c>
      <c r="L281" s="52" t="n">
        <v>0.979</v>
      </c>
    </row>
    <row r="282" hidden="1" s="57">
      <c r="A282" s="38" t="n"/>
      <c r="B282" s="49" t="inlineStr">
        <is>
          <t>ECL</t>
        </is>
      </c>
      <c r="C282" s="49" t="inlineStr">
        <is>
          <t>Ecolab</t>
        </is>
      </c>
      <c r="D282" s="50" t="inlineStr">
        <is>
          <t>Specialty Chemicals</t>
        </is>
      </c>
      <c r="E282" s="51" t="n">
        <v>0.8</v>
      </c>
      <c r="F282" s="51" t="n">
        <v>1.3</v>
      </c>
      <c r="G282" s="51" t="n">
        <v>0.9</v>
      </c>
      <c r="H282" s="52" t="n">
        <v>0.414</v>
      </c>
      <c r="I282" s="52" t="n">
        <v>0.15</v>
      </c>
      <c r="J282" s="52" t="n">
        <v>0.105</v>
      </c>
      <c r="K282" s="52" t="n">
        <v>0.109</v>
      </c>
      <c r="L282" s="52" t="n">
        <v>1.043</v>
      </c>
    </row>
    <row r="283" hidden="1" s="57">
      <c r="A283" s="38" t="n"/>
      <c r="B283" s="49" t="inlineStr">
        <is>
          <t>HAS</t>
        </is>
      </c>
      <c r="C283" s="49" t="inlineStr">
        <is>
          <t>Hasbro</t>
        </is>
      </c>
      <c r="D283" s="50" t="inlineStr">
        <is>
          <t>Leisure</t>
        </is>
      </c>
      <c r="E283" s="51" t="n">
        <v>1.4</v>
      </c>
      <c r="F283" s="51" t="n">
        <v>5.4</v>
      </c>
      <c r="G283" s="51" t="n">
        <v>5</v>
      </c>
      <c r="H283" s="52" t="n">
        <v>0.529</v>
      </c>
      <c r="I283" s="52" t="n">
        <v>0.139</v>
      </c>
      <c r="J283" s="52" t="n">
        <v>0.111</v>
      </c>
      <c r="K283" s="52" t="n">
        <v>0.109</v>
      </c>
      <c r="L283" s="52" t="n">
        <v>0.98</v>
      </c>
    </row>
    <row r="284" hidden="1" s="57">
      <c r="A284" s="38" t="n"/>
      <c r="B284" s="49" t="inlineStr">
        <is>
          <t>ULTA</t>
        </is>
      </c>
      <c r="C284" s="49" t="inlineStr">
        <is>
          <t>Ulta Beauty</t>
        </is>
      </c>
      <c r="D284" s="50" t="inlineStr">
        <is>
          <t>Specialty Retail</t>
        </is>
      </c>
      <c r="E284" s="51" t="n">
        <v>1</v>
      </c>
      <c r="F284" s="51" t="n">
        <v>1.8</v>
      </c>
      <c r="G284" s="51" t="n">
        <v>0.7</v>
      </c>
      <c r="H284" s="52" t="n">
        <v>0.362</v>
      </c>
      <c r="I284" s="52" t="n">
        <v>0.122</v>
      </c>
      <c r="J284" s="52" t="n">
        <v>0.095</v>
      </c>
      <c r="K284" s="52" t="n">
        <v>0.109</v>
      </c>
      <c r="L284" s="52" t="n">
        <v>1.138</v>
      </c>
    </row>
    <row r="285" hidden="1" s="57">
      <c r="A285" s="38" t="n"/>
      <c r="B285" s="49" t="inlineStr">
        <is>
          <t>ZBH</t>
        </is>
      </c>
      <c r="C285" s="49" t="inlineStr">
        <is>
          <t>Zimmer Biomet Holdings</t>
        </is>
      </c>
      <c r="D285" s="50" t="inlineStr">
        <is>
          <t>Medical Devices</t>
        </is>
      </c>
      <c r="E285" s="51" t="n">
        <v>0.7</v>
      </c>
      <c r="F285" s="51" t="n">
        <v>1.4</v>
      </c>
      <c r="G285" s="51" t="n">
        <v>0.7</v>
      </c>
      <c r="H285" s="52" t="n">
        <v>0.718</v>
      </c>
      <c r="I285" s="52" t="n">
        <v>0.159</v>
      </c>
      <c r="J285" s="52" t="n">
        <v>0.142</v>
      </c>
      <c r="K285" s="52" t="n">
        <v>0.109</v>
      </c>
      <c r="L285" s="52" t="n">
        <v>0.765</v>
      </c>
    </row>
    <row r="286" hidden="1" s="57">
      <c r="A286" s="38" t="n"/>
      <c r="B286" s="49" t="inlineStr">
        <is>
          <t>DOV</t>
        </is>
      </c>
      <c r="C286" s="49" t="inlineStr">
        <is>
          <t>Dover</t>
        </is>
      </c>
      <c r="D286" s="50" t="inlineStr">
        <is>
          <t>Specialty Industrial Machinery</t>
        </is>
      </c>
      <c r="E286" s="51" t="n">
        <v>1.1</v>
      </c>
      <c r="F286" s="51" t="n">
        <v>1.3</v>
      </c>
      <c r="G286" s="51" t="n">
        <v>0.9</v>
      </c>
      <c r="H286" s="52" t="n">
        <v>0.367</v>
      </c>
      <c r="I286" s="52" t="n">
        <v>0.143</v>
      </c>
      <c r="J286" s="52" t="n">
        <v>0.095</v>
      </c>
      <c r="K286" s="52" t="n">
        <v>0.108</v>
      </c>
      <c r="L286" s="52" t="n">
        <v>1.127</v>
      </c>
    </row>
    <row r="287" hidden="1" s="57">
      <c r="A287" s="38" t="n"/>
      <c r="B287" s="49" t="inlineStr">
        <is>
          <t>APD</t>
        </is>
      </c>
      <c r="C287" s="49" t="inlineStr">
        <is>
          <t>Air Products &amp; Chemicals</t>
        </is>
      </c>
      <c r="D287" s="50" t="inlineStr">
        <is>
          <t>Chemicals</t>
        </is>
      </c>
      <c r="E287" s="51" t="n">
        <v>0.3</v>
      </c>
      <c r="F287" s="51" t="n">
        <v>2.6</v>
      </c>
      <c r="G287" s="51" t="n">
        <v>2.4</v>
      </c>
      <c r="H287" s="52" t="n">
        <v>0.339</v>
      </c>
      <c r="I287" s="52" t="n">
        <v>0.251</v>
      </c>
      <c r="J287" s="52" t="n">
        <v>0.211</v>
      </c>
      <c r="K287" s="52" t="n">
        <v>0.107</v>
      </c>
      <c r="L287" s="52" t="n">
        <v>0.505</v>
      </c>
    </row>
    <row r="288" hidden="1" s="57">
      <c r="A288" s="38" t="n"/>
      <c r="B288" s="49" t="inlineStr">
        <is>
          <t>ALL</t>
        </is>
      </c>
      <c r="C288" s="49" t="inlineStr">
        <is>
          <t>Allstate</t>
        </is>
      </c>
      <c r="D288" s="50" t="inlineStr">
        <is>
          <t>Insurance - Property &amp; Casualty</t>
        </is>
      </c>
      <c r="E288" s="51" t="n">
        <v>0.3</v>
      </c>
      <c r="F288" s="51" t="inlineStr">
        <is>
          <t xml:space="preserve">- </t>
        </is>
      </c>
      <c r="G288" s="51" t="inlineStr">
        <is>
          <t xml:space="preserve">- </t>
        </is>
      </c>
      <c r="H288" s="52" t="n">
        <v>0</v>
      </c>
      <c r="I288" s="52" t="n">
        <v>0</v>
      </c>
      <c r="J288" s="52" t="n">
        <v>0.108</v>
      </c>
      <c r="K288" s="52" t="n">
        <v>0.106</v>
      </c>
      <c r="L288" s="52" t="n">
        <v>0.975</v>
      </c>
    </row>
    <row r="289" hidden="1" s="57">
      <c r="A289" s="38" t="n"/>
      <c r="B289" s="49" t="inlineStr">
        <is>
          <t>BR</t>
        </is>
      </c>
      <c r="C289" s="49" t="inlineStr">
        <is>
          <t>Broadridge Financial Soln</t>
        </is>
      </c>
      <c r="D289" s="50" t="inlineStr">
        <is>
          <t>Information Technology Services</t>
        </is>
      </c>
      <c r="E289" s="51" t="n">
        <v>1.9</v>
      </c>
      <c r="F289" s="51" t="n">
        <v>0.9</v>
      </c>
      <c r="G289" s="51" t="n">
        <v>0.9</v>
      </c>
      <c r="H289" s="52" t="n">
        <v>0.272</v>
      </c>
      <c r="I289" s="52" t="n">
        <v>0.131</v>
      </c>
      <c r="J289" s="52" t="n">
        <v>0.096</v>
      </c>
      <c r="K289" s="52" t="n">
        <v>0.106</v>
      </c>
      <c r="L289" s="52" t="n">
        <v>1.101</v>
      </c>
    </row>
    <row r="290" hidden="1" s="57">
      <c r="A290" s="38" t="n"/>
      <c r="B290" s="49" t="inlineStr">
        <is>
          <t>ORLY</t>
        </is>
      </c>
      <c r="C290" s="49" t="inlineStr">
        <is>
          <t>O'Reilly Automotive</t>
        </is>
      </c>
      <c r="D290" s="50" t="inlineStr">
        <is>
          <t>Specialty Retail</t>
        </is>
      </c>
      <c r="E290" s="51" t="n">
        <v>14.8</v>
      </c>
      <c r="F290" s="51" t="n">
        <v>0.9</v>
      </c>
      <c r="G290" s="51" t="n">
        <v>0.1</v>
      </c>
      <c r="H290" s="52" t="n">
        <v>0.532</v>
      </c>
      <c r="I290" s="52" t="n">
        <v>0.189</v>
      </c>
      <c r="J290" s="52" t="n">
        <v>0.137</v>
      </c>
      <c r="K290" s="52" t="n">
        <v>0.106</v>
      </c>
      <c r="L290" s="52" t="n">
        <v>0.776</v>
      </c>
    </row>
    <row r="291" hidden="1" s="57">
      <c r="A291" s="38" t="n"/>
      <c r="B291" s="49" t="inlineStr">
        <is>
          <t>PNR</t>
        </is>
      </c>
      <c r="C291" s="49" t="inlineStr">
        <is>
          <t>Pentair</t>
        </is>
      </c>
      <c r="D291" s="50" t="inlineStr">
        <is>
          <t>Specialty Industrial Machinery</t>
        </is>
      </c>
      <c r="E291" s="51" t="n">
        <v>0.6</v>
      </c>
      <c r="F291" s="51" t="n">
        <v>1.4</v>
      </c>
      <c r="G291" s="51" t="n">
        <v>0.9</v>
      </c>
      <c r="H291" s="52" t="n">
        <v>0.356</v>
      </c>
      <c r="I291" s="52" t="n">
        <v>0.147</v>
      </c>
      <c r="J291" s="52" t="n">
        <v>0.121</v>
      </c>
      <c r="K291" s="52" t="n">
        <v>0.105</v>
      </c>
      <c r="L291" s="52" t="n">
        <v>0.867</v>
      </c>
    </row>
    <row r="292" hidden="1" s="57">
      <c r="A292" s="38" t="n"/>
      <c r="B292" s="49" t="inlineStr">
        <is>
          <t>EOG</t>
        </is>
      </c>
      <c r="C292" s="49" t="inlineStr">
        <is>
          <t>EOG Resources</t>
        </is>
      </c>
      <c r="D292" s="50" t="inlineStr">
        <is>
          <t>Oil &amp; Gas E&amp;P</t>
        </is>
      </c>
      <c r="E292" s="51" t="n">
        <v>0.3</v>
      </c>
      <c r="F292" s="51" t="n">
        <v>1.2</v>
      </c>
      <c r="G292" s="51" t="n">
        <v>1</v>
      </c>
      <c r="H292" s="52" t="n">
        <v>0.673</v>
      </c>
      <c r="I292" s="52" t="n">
        <v>0.239</v>
      </c>
      <c r="J292" s="52" t="n">
        <v>0.16</v>
      </c>
      <c r="K292" s="52" t="n">
        <v>0.104</v>
      </c>
      <c r="L292" s="52" t="n">
        <v>0.649</v>
      </c>
    </row>
    <row r="293" hidden="1" s="57">
      <c r="A293" s="38" t="n"/>
      <c r="B293" s="49" t="inlineStr">
        <is>
          <t>SYK</t>
        </is>
      </c>
      <c r="C293" s="49" t="inlineStr">
        <is>
          <t>Stryker</t>
        </is>
      </c>
      <c r="D293" s="50" t="inlineStr">
        <is>
          <t>Medical Devices</t>
        </is>
      </c>
      <c r="E293" s="51" t="n">
        <v>0.9</v>
      </c>
      <c r="F293" s="51" t="n">
        <v>2.6</v>
      </c>
      <c r="G293" s="51" t="n">
        <v>1.8</v>
      </c>
      <c r="H293" s="52" t="n">
        <v>0.652</v>
      </c>
      <c r="I293" s="52" t="n">
        <v>0.196</v>
      </c>
      <c r="J293" s="52" t="n">
        <v>0.14</v>
      </c>
      <c r="K293" s="52" t="n">
        <v>0.104</v>
      </c>
      <c r="L293" s="52" t="n">
        <v>0.743</v>
      </c>
    </row>
    <row r="294" hidden="1" s="57">
      <c r="A294" s="38" t="n"/>
      <c r="B294" s="49" t="inlineStr">
        <is>
          <t>CMI</t>
        </is>
      </c>
      <c r="C294" s="49" t="inlineStr">
        <is>
          <t>Cummins</t>
        </is>
      </c>
      <c r="D294" s="50" t="inlineStr">
        <is>
          <t>Specialty Industrial Machinery</t>
        </is>
      </c>
      <c r="E294" s="51" t="n">
        <v>0.4</v>
      </c>
      <c r="F294" s="51" t="n">
        <v>1.5</v>
      </c>
      <c r="G294" s="51" t="n">
        <v>0.9</v>
      </c>
      <c r="H294" s="52" t="n">
        <v>0.254</v>
      </c>
      <c r="I294" s="52" t="n">
        <v>0.107</v>
      </c>
      <c r="J294" s="52" t="n">
        <v>0.096</v>
      </c>
      <c r="K294" s="52" t="n">
        <v>0.103</v>
      </c>
      <c r="L294" s="52" t="n">
        <v>1.073</v>
      </c>
    </row>
    <row r="295" hidden="1" s="57">
      <c r="A295" s="38" t="n"/>
      <c r="B295" s="49" t="inlineStr">
        <is>
          <t>HBI</t>
        </is>
      </c>
      <c r="C295" s="49" t="inlineStr">
        <is>
          <t>Hanesbrands</t>
        </is>
      </c>
      <c r="D295" s="50" t="inlineStr">
        <is>
          <t>Apparel Manufacturing</t>
        </is>
      </c>
      <c r="E295" s="51" t="n">
        <v>3.2</v>
      </c>
      <c r="F295" s="51" t="n">
        <v>1.8</v>
      </c>
      <c r="G295" s="51" t="n">
        <v>0.7</v>
      </c>
      <c r="H295" s="52" t="n">
        <v>0.39</v>
      </c>
      <c r="I295" s="52" t="n">
        <v>0.128</v>
      </c>
      <c r="J295" s="52" t="n">
        <v>0.08699999999999999</v>
      </c>
      <c r="K295" s="52" t="n">
        <v>0.103</v>
      </c>
      <c r="L295" s="52" t="n">
        <v>1.192</v>
      </c>
    </row>
    <row r="296" hidden="1" s="57">
      <c r="A296" s="38" t="n"/>
      <c r="B296" s="49" t="inlineStr">
        <is>
          <t>SBUX</t>
        </is>
      </c>
      <c r="C296" s="49" t="inlineStr">
        <is>
          <t>Starbucks</t>
        </is>
      </c>
      <c r="D296" s="50" t="inlineStr">
        <is>
          <t>Restaurants</t>
        </is>
      </c>
      <c r="E296" s="51" t="inlineStr">
        <is>
          <t xml:space="preserve">- </t>
        </is>
      </c>
      <c r="F296" s="51" t="n">
        <v>0.7</v>
      </c>
      <c r="G296" s="51" t="n">
        <v>0.5</v>
      </c>
      <c r="H296" s="52" t="n">
        <v>0.284</v>
      </c>
      <c r="I296" s="52" t="n">
        <v>0.151</v>
      </c>
      <c r="J296" s="52" t="n">
        <v>0.138</v>
      </c>
      <c r="K296" s="52" t="n">
        <v>0.103</v>
      </c>
      <c r="L296" s="52" t="n">
        <v>0.74</v>
      </c>
    </row>
    <row r="297" hidden="1" s="57">
      <c r="A297" s="38" t="n"/>
      <c r="B297" s="49" t="inlineStr">
        <is>
          <t>TT</t>
        </is>
      </c>
      <c r="C297" s="49" t="inlineStr">
        <is>
          <t>Trane Technologies</t>
        </is>
      </c>
      <c r="D297" s="50" t="inlineStr">
        <is>
          <t>Specialty Industrial Machinery</t>
        </is>
      </c>
      <c r="E297" s="51" t="n">
        <v>0.8</v>
      </c>
      <c r="F297" s="51" t="n">
        <v>1.3</v>
      </c>
      <c r="G297" s="51" t="n">
        <v>0.9</v>
      </c>
      <c r="H297" s="52" t="n">
        <v>0.31</v>
      </c>
      <c r="I297" s="52" t="n">
        <v>0.122</v>
      </c>
      <c r="J297" s="52" t="n">
        <v>0.08500000000000001</v>
      </c>
      <c r="K297" s="52" t="n">
        <v>0.102</v>
      </c>
      <c r="L297" s="52" t="n">
        <v>1.191</v>
      </c>
    </row>
    <row r="298" hidden="1" s="57">
      <c r="A298" s="38" t="n"/>
      <c r="B298" s="49" t="inlineStr">
        <is>
          <t>WAB</t>
        </is>
      </c>
      <c r="C298" s="49" t="inlineStr">
        <is>
          <t>Westinghouse Air Brake</t>
        </is>
      </c>
      <c r="D298" s="50" t="inlineStr">
        <is>
          <t>Railroads</t>
        </is>
      </c>
      <c r="E298" s="51" t="n">
        <v>0.4</v>
      </c>
      <c r="F298" s="51" t="n">
        <v>1.3</v>
      </c>
      <c r="G298" s="51" t="n">
        <v>0.7</v>
      </c>
      <c r="H298" s="52" t="n">
        <v>0.278</v>
      </c>
      <c r="I298" s="52" t="n">
        <v>0.081</v>
      </c>
      <c r="J298" s="52" t="n">
        <v>0.04</v>
      </c>
      <c r="K298" s="52" t="n">
        <v>0.102</v>
      </c>
      <c r="L298" s="52" t="n">
        <v>2.541</v>
      </c>
    </row>
    <row r="299" hidden="1" s="57">
      <c r="A299" s="38" t="n"/>
      <c r="B299" s="49" t="inlineStr">
        <is>
          <t>CHTR</t>
        </is>
      </c>
      <c r="C299" s="49" t="inlineStr">
        <is>
          <t>Charter Communications</t>
        </is>
      </c>
      <c r="D299" s="50" t="inlineStr">
        <is>
          <t>Entertainment</t>
        </is>
      </c>
      <c r="E299" s="51" t="n">
        <v>2.6</v>
      </c>
      <c r="F299" s="51" t="n">
        <v>0.5</v>
      </c>
      <c r="G299" s="51" t="n">
        <v>0.5</v>
      </c>
      <c r="H299" s="52" t="n">
        <v>0.362</v>
      </c>
      <c r="I299" s="52" t="n">
        <v>0.145</v>
      </c>
      <c r="J299" s="52" t="n">
        <v>0.037</v>
      </c>
      <c r="K299" s="52" t="n">
        <v>0.101</v>
      </c>
      <c r="L299" s="52" t="n">
        <v>2.764</v>
      </c>
    </row>
    <row r="300" hidden="1" s="57">
      <c r="A300" s="38" t="n"/>
      <c r="B300" s="49" t="inlineStr">
        <is>
          <t>LEN</t>
        </is>
      </c>
      <c r="C300" s="49" t="inlineStr">
        <is>
          <t>Lennar</t>
        </is>
      </c>
      <c r="D300" s="50" t="inlineStr">
        <is>
          <t>Residential Construction</t>
        </is>
      </c>
      <c r="E300" s="51" t="n">
        <v>0.6</v>
      </c>
      <c r="F300" s="51" t="n">
        <v>14.2</v>
      </c>
      <c r="G300" s="51" t="n">
        <v>1.8</v>
      </c>
      <c r="H300" s="52" t="n">
        <v>0.127</v>
      </c>
      <c r="I300" s="52" t="n">
        <v>0.112</v>
      </c>
      <c r="J300" s="52" t="n">
        <v>0.08799999999999999</v>
      </c>
      <c r="K300" s="52" t="n">
        <v>0.101</v>
      </c>
      <c r="L300" s="52" t="n">
        <v>1.152</v>
      </c>
    </row>
    <row r="301" hidden="1" s="57">
      <c r="A301" s="38" t="n"/>
      <c r="B301" s="49" t="inlineStr">
        <is>
          <t>OTIS</t>
        </is>
      </c>
      <c r="C301" s="49" t="inlineStr">
        <is>
          <t>Otis Worldwide</t>
        </is>
      </c>
      <c r="D301" s="50" t="inlineStr">
        <is>
          <t>Specialty Industrial Machinery</t>
        </is>
      </c>
      <c r="E301" s="51" t="n">
        <v>0.3</v>
      </c>
      <c r="F301" s="51" t="n">
        <v>1.1</v>
      </c>
      <c r="G301" s="51" t="n">
        <v>1</v>
      </c>
      <c r="H301" s="52" t="n">
        <v>0.292</v>
      </c>
      <c r="I301" s="52" t="n">
        <v>0.141</v>
      </c>
      <c r="J301" s="52" t="n">
        <v>0.08500000000000001</v>
      </c>
      <c r="K301" s="52" t="n">
        <v>0.101</v>
      </c>
      <c r="L301" s="52" t="n">
        <v>1.186</v>
      </c>
    </row>
    <row r="302" hidden="1" s="57">
      <c r="A302" s="38" t="n"/>
      <c r="B302" s="49" t="inlineStr">
        <is>
          <t>ROST</t>
        </is>
      </c>
      <c r="C302" s="49" t="inlineStr">
        <is>
          <t>Ross Stores</t>
        </is>
      </c>
      <c r="D302" s="50" t="inlineStr">
        <is>
          <t>Apparel Retail</t>
        </is>
      </c>
      <c r="E302" s="51" t="n">
        <v>1</v>
      </c>
      <c r="F302" s="51" t="n">
        <v>1.3</v>
      </c>
      <c r="G302" s="51" t="n">
        <v>0.6</v>
      </c>
      <c r="H302" s="52" t="n">
        <v>0.281</v>
      </c>
      <c r="I302" s="52" t="n">
        <v>0.134</v>
      </c>
      <c r="J302" s="52" t="n">
        <v>0.104</v>
      </c>
      <c r="K302" s="52" t="n">
        <v>0.101</v>
      </c>
      <c r="L302" s="52" t="n">
        <v>0.973</v>
      </c>
    </row>
    <row r="303" hidden="1" s="57">
      <c r="A303" s="38" t="n"/>
      <c r="B303" s="49" t="inlineStr">
        <is>
          <t>HD</t>
        </is>
      </c>
      <c r="C303" s="49" t="inlineStr">
        <is>
          <t>Home Depot</t>
        </is>
      </c>
      <c r="D303" s="50" t="inlineStr">
        <is>
          <t>Home Improvement Retail</t>
        </is>
      </c>
      <c r="E303" s="51" t="inlineStr">
        <is>
          <t xml:space="preserve">- </t>
        </is>
      </c>
      <c r="F303" s="51" t="n">
        <v>1.1</v>
      </c>
      <c r="G303" s="51" t="n">
        <v>0.3</v>
      </c>
      <c r="H303" s="52" t="n">
        <v>0.341</v>
      </c>
      <c r="I303" s="52" t="n">
        <v>0.144</v>
      </c>
      <c r="J303" s="52" t="n">
        <v>0.102</v>
      </c>
      <c r="K303" s="52" t="n">
        <v>0.1</v>
      </c>
      <c r="L303" s="52" t="n">
        <v>0.978</v>
      </c>
    </row>
    <row r="304" hidden="1" s="57">
      <c r="A304" s="38" t="n"/>
      <c r="B304" s="49" t="inlineStr">
        <is>
          <t>PHM</t>
        </is>
      </c>
      <c r="C304" s="49" t="inlineStr">
        <is>
          <t>PulteGroup</t>
        </is>
      </c>
      <c r="D304" s="50" t="inlineStr">
        <is>
          <t>Residential Construction</t>
        </is>
      </c>
      <c r="E304" s="51" t="n">
        <v>0.6</v>
      </c>
      <c r="F304" s="51" t="n">
        <v>6.7</v>
      </c>
      <c r="G304" s="51" t="n">
        <v>1.6</v>
      </c>
      <c r="H304" s="52" t="n">
        <v>0.235</v>
      </c>
      <c r="I304" s="52" t="n">
        <v>0.131</v>
      </c>
      <c r="J304" s="52" t="n">
        <v>0.1</v>
      </c>
      <c r="K304" s="52" t="n">
        <v>0.1</v>
      </c>
      <c r="L304" s="52" t="n">
        <v>1.004</v>
      </c>
    </row>
    <row r="305" hidden="1" s="57">
      <c r="A305" s="38" t="n"/>
      <c r="B305" s="49" t="inlineStr">
        <is>
          <t>RJF</t>
        </is>
      </c>
      <c r="C305" s="49" t="inlineStr">
        <is>
          <t>Raymond James Financial</t>
        </is>
      </c>
      <c r="D305" s="50" t="inlineStr">
        <is>
          <t>Capital Markets</t>
        </is>
      </c>
      <c r="E305" s="51" t="n">
        <v>0.4</v>
      </c>
      <c r="F305" s="51" t="inlineStr">
        <is>
          <t xml:space="preserve">- </t>
        </is>
      </c>
      <c r="G305" s="51" t="inlineStr">
        <is>
          <t xml:space="preserve">- </t>
        </is>
      </c>
      <c r="H305" s="52" t="n">
        <v>0</v>
      </c>
      <c r="I305" s="52" t="n">
        <v>0.182</v>
      </c>
      <c r="J305" s="52" t="n">
        <v>0.136</v>
      </c>
      <c r="K305" s="52" t="n">
        <v>0.1</v>
      </c>
      <c r="L305" s="52" t="n">
        <v>0.732</v>
      </c>
    </row>
    <row r="306" hidden="1" s="57">
      <c r="A306" s="38" t="n"/>
      <c r="B306" s="49" t="inlineStr">
        <is>
          <t>IT</t>
        </is>
      </c>
      <c r="C306" s="49" t="inlineStr">
        <is>
          <t>Gartner</t>
        </is>
      </c>
      <c r="D306" s="50" t="inlineStr">
        <is>
          <t>Information Technology Services</t>
        </is>
      </c>
      <c r="E306" s="51" t="n">
        <v>3.3</v>
      </c>
      <c r="F306" s="51" t="n">
        <v>0.7</v>
      </c>
      <c r="G306" s="51" t="n">
        <v>0.7</v>
      </c>
      <c r="H306" s="52" t="n">
        <v>0.635</v>
      </c>
      <c r="I306" s="52" t="n">
        <v>0.09</v>
      </c>
      <c r="J306" s="52" t="n">
        <v>0.055</v>
      </c>
      <c r="K306" s="52" t="n">
        <v>0.099</v>
      </c>
      <c r="L306" s="52" t="n">
        <v>1.789</v>
      </c>
    </row>
    <row r="307" hidden="1" s="57">
      <c r="A307" s="38" t="n"/>
      <c r="B307" s="49" t="inlineStr">
        <is>
          <t>PKI</t>
        </is>
      </c>
      <c r="C307" s="49" t="inlineStr">
        <is>
          <t>PerkinElmer</t>
        </is>
      </c>
      <c r="D307" s="50" t="inlineStr">
        <is>
          <t>Diagnostics &amp; Research</t>
        </is>
      </c>
      <c r="E307" s="51" t="n">
        <v>0.8</v>
      </c>
      <c r="F307" s="51" t="n">
        <v>1.8</v>
      </c>
      <c r="G307" s="51" t="n">
        <v>1.3</v>
      </c>
      <c r="H307" s="52" t="n">
        <v>0.484</v>
      </c>
      <c r="I307" s="52" t="n">
        <v>0.136</v>
      </c>
      <c r="J307" s="52" t="n">
        <v>0.079</v>
      </c>
      <c r="K307" s="52" t="n">
        <v>0.099</v>
      </c>
      <c r="L307" s="52" t="n">
        <v>1.254</v>
      </c>
    </row>
    <row r="308" hidden="1" s="57">
      <c r="A308" s="38" t="n"/>
      <c r="B308" s="49" t="inlineStr">
        <is>
          <t>LHX</t>
        </is>
      </c>
      <c r="C308" s="49" t="inlineStr">
        <is>
          <t>L3Harris Technologies</t>
        </is>
      </c>
      <c r="D308" s="50" t="inlineStr">
        <is>
          <t>Aerospace &amp; Defense</t>
        </is>
      </c>
      <c r="E308" s="51" t="n">
        <v>0.3</v>
      </c>
      <c r="F308" s="51" t="n">
        <v>1.5</v>
      </c>
      <c r="G308" s="51" t="n">
        <v>1.2</v>
      </c>
      <c r="H308" s="52" t="n">
        <v>0.309</v>
      </c>
      <c r="I308" s="52" t="n">
        <v>0.106</v>
      </c>
      <c r="J308" s="52" t="n">
        <v>0.12</v>
      </c>
      <c r="K308" s="52" t="n">
        <v>0.097</v>
      </c>
      <c r="L308" s="52" t="n">
        <v>0.803</v>
      </c>
    </row>
    <row r="309" hidden="1" s="57">
      <c r="A309" s="38" t="n"/>
      <c r="B309" s="49" t="inlineStr">
        <is>
          <t>LMT</t>
        </is>
      </c>
      <c r="C309" s="49" t="inlineStr">
        <is>
          <t>Lockheed Martin</t>
        </is>
      </c>
      <c r="D309" s="50" t="inlineStr">
        <is>
          <t>Aerospace &amp; Defense</t>
        </is>
      </c>
      <c r="E309" s="51" t="n">
        <v>4.1</v>
      </c>
      <c r="F309" s="51" t="n">
        <v>1.2</v>
      </c>
      <c r="G309" s="51" t="n">
        <v>1</v>
      </c>
      <c r="H309" s="52" t="n">
        <v>0.14</v>
      </c>
      <c r="I309" s="52" t="n">
        <v>0.143</v>
      </c>
      <c r="J309" s="52" t="n">
        <v>0.104</v>
      </c>
      <c r="K309" s="52" t="n">
        <v>0.097</v>
      </c>
      <c r="L309" s="52" t="n">
        <v>0.9370000000000001</v>
      </c>
    </row>
    <row r="310" hidden="1" s="57">
      <c r="A310" s="38" t="n"/>
      <c r="B310" s="49" t="inlineStr">
        <is>
          <t>MAS</t>
        </is>
      </c>
      <c r="C310" s="49" t="inlineStr">
        <is>
          <t>Masco</t>
        </is>
      </c>
      <c r="D310" s="50" t="inlineStr">
        <is>
          <t>Building Products &amp; Equipment</t>
        </is>
      </c>
      <c r="E310" s="51" t="inlineStr">
        <is>
          <t xml:space="preserve">- </t>
        </is>
      </c>
      <c r="F310" s="51" t="n">
        <v>1.8</v>
      </c>
      <c r="G310" s="51" t="n">
        <v>1.3</v>
      </c>
      <c r="H310" s="52" t="n">
        <v>0.347</v>
      </c>
      <c r="I310" s="52" t="n">
        <v>0.157</v>
      </c>
      <c r="J310" s="52" t="n">
        <v>0.134</v>
      </c>
      <c r="K310" s="52" t="n">
        <v>0.097</v>
      </c>
      <c r="L310" s="52" t="n">
        <v>0.73</v>
      </c>
    </row>
    <row r="311" hidden="1" s="57">
      <c r="A311" s="38" t="n"/>
      <c r="B311" s="49" t="inlineStr">
        <is>
          <t>DXC</t>
        </is>
      </c>
      <c r="C311" s="49" t="inlineStr">
        <is>
          <t>DXC Technology</t>
        </is>
      </c>
      <c r="D311" s="50" t="inlineStr">
        <is>
          <t>Information Technology Services</t>
        </is>
      </c>
      <c r="E311" s="51" t="n">
        <v>1.2</v>
      </c>
      <c r="F311" s="51" t="n">
        <v>0.9</v>
      </c>
      <c r="G311" s="51" t="n">
        <v>0.9</v>
      </c>
      <c r="H311" s="52" t="n">
        <v>0.253</v>
      </c>
      <c r="I311" s="52" t="n">
        <v>0.059</v>
      </c>
      <c r="J311" s="52" t="n">
        <v>-0.081</v>
      </c>
      <c r="K311" s="52" t="n">
        <v>0.096</v>
      </c>
      <c r="L311" s="51" t="inlineStr">
        <is>
          <t xml:space="preserve">- </t>
        </is>
      </c>
    </row>
    <row r="312" hidden="1" s="57">
      <c r="A312" s="38" t="n"/>
      <c r="B312" s="49" t="inlineStr">
        <is>
          <t>PBCT</t>
        </is>
      </c>
      <c r="C312" s="49" t="inlineStr">
        <is>
          <t>People's United Finl</t>
        </is>
      </c>
      <c r="D312" s="50" t="inlineStr">
        <is>
          <t>Banks - Regional</t>
        </is>
      </c>
      <c r="E312" s="51" t="n">
        <v>0.6</v>
      </c>
      <c r="F312" s="51" t="inlineStr">
        <is>
          <t xml:space="preserve">- </t>
        </is>
      </c>
      <c r="G312" s="51" t="inlineStr">
        <is>
          <t xml:space="preserve">- </t>
        </is>
      </c>
      <c r="H312" s="52" t="n">
        <v>0</v>
      </c>
      <c r="I312" s="52" t="n">
        <v>0.369</v>
      </c>
      <c r="J312" s="52" t="n">
        <v>0.282</v>
      </c>
      <c r="K312" s="52" t="n">
        <v>0.096</v>
      </c>
      <c r="L312" s="52" t="n">
        <v>0.338</v>
      </c>
    </row>
    <row r="313" hidden="1" s="57">
      <c r="A313" s="38" t="n"/>
      <c r="B313" s="49" t="inlineStr">
        <is>
          <t>CARR</t>
        </is>
      </c>
      <c r="C313" s="49" t="inlineStr">
        <is>
          <t>Carrier Global</t>
        </is>
      </c>
      <c r="D313" s="50" t="inlineStr">
        <is>
          <t>Building Products &amp; Equipment</t>
        </is>
      </c>
      <c r="E313" s="51" t="n">
        <v>0.1</v>
      </c>
      <c r="F313" s="51" t="n">
        <v>1.3</v>
      </c>
      <c r="G313" s="51" t="n">
        <v>1</v>
      </c>
      <c r="H313" s="52" t="n">
        <v>0.291</v>
      </c>
      <c r="I313" s="52" t="n">
        <v>0.121</v>
      </c>
      <c r="J313" s="52" t="n">
        <v>0.114</v>
      </c>
      <c r="K313" s="52" t="n">
        <v>0.095</v>
      </c>
      <c r="L313" s="52" t="n">
        <v>0.831</v>
      </c>
    </row>
    <row r="314" hidden="1" s="57">
      <c r="A314" s="38" t="n"/>
      <c r="B314" s="49" t="inlineStr">
        <is>
          <t>CVX</t>
        </is>
      </c>
      <c r="C314" s="49" t="inlineStr">
        <is>
          <t>Chevron</t>
        </is>
      </c>
      <c r="D314" s="50" t="inlineStr">
        <is>
          <t>Oil &amp; Gas Integrated</t>
        </is>
      </c>
      <c r="E314" s="51" t="n">
        <v>0.2</v>
      </c>
      <c r="F314" s="51" t="n">
        <v>1.1</v>
      </c>
      <c r="G314" s="51" t="n">
        <v>0.9</v>
      </c>
      <c r="H314" s="52" t="n">
        <v>0.217</v>
      </c>
      <c r="I314" s="52" t="n">
        <v>0</v>
      </c>
      <c r="J314" s="52" t="n">
        <v>0.02</v>
      </c>
      <c r="K314" s="52" t="n">
        <v>0.095</v>
      </c>
      <c r="L314" s="52" t="n">
        <v>4.668</v>
      </c>
    </row>
    <row r="315" hidden="1" s="57">
      <c r="A315" s="38" t="n"/>
      <c r="B315" s="49" t="inlineStr">
        <is>
          <t>CERN</t>
        </is>
      </c>
      <c r="C315" s="49" t="inlineStr">
        <is>
          <t>Cerner</t>
        </is>
      </c>
      <c r="D315" s="50" t="inlineStr">
        <is>
          <t>Health Information Services</t>
        </is>
      </c>
      <c r="E315" s="51" t="n">
        <v>0.2</v>
      </c>
      <c r="F315" s="51" t="n">
        <v>2</v>
      </c>
      <c r="G315" s="51" t="n">
        <v>2</v>
      </c>
      <c r="H315" s="52" t="n">
        <v>0.8120000000000001</v>
      </c>
      <c r="I315" s="52" t="n">
        <v>0.105</v>
      </c>
      <c r="J315" s="52" t="n">
        <v>0.093</v>
      </c>
      <c r="K315" s="52" t="n">
        <v>0.094</v>
      </c>
      <c r="L315" s="52" t="n">
        <v>1.01</v>
      </c>
    </row>
    <row r="316" hidden="1" s="57">
      <c r="A316" s="38" t="n"/>
      <c r="B316" s="49" t="inlineStr">
        <is>
          <t>JNPR</t>
        </is>
      </c>
      <c r="C316" s="49" t="inlineStr">
        <is>
          <t>Juniper Networks</t>
        </is>
      </c>
      <c r="D316" s="50" t="inlineStr">
        <is>
          <t>Communication Equipment</t>
        </is>
      </c>
      <c r="E316" s="51" t="n">
        <v>0.4</v>
      </c>
      <c r="F316" s="51" t="n">
        <v>2.1</v>
      </c>
      <c r="G316" s="51" t="n">
        <v>2</v>
      </c>
      <c r="H316" s="52" t="n">
        <v>0.589</v>
      </c>
      <c r="I316" s="52" t="n">
        <v>0.108</v>
      </c>
      <c r="J316" s="52" t="n">
        <v>0.078</v>
      </c>
      <c r="K316" s="52" t="n">
        <v>0.094</v>
      </c>
      <c r="L316" s="52" t="n">
        <v>1.203</v>
      </c>
    </row>
    <row r="317" hidden="1" s="57">
      <c r="A317" s="38" t="n"/>
      <c r="B317" s="49" t="inlineStr">
        <is>
          <t>NOC</t>
        </is>
      </c>
      <c r="C317" s="49" t="inlineStr">
        <is>
          <t>Northrop Grumman</t>
        </is>
      </c>
      <c r="D317" s="50" t="inlineStr">
        <is>
          <t>Aerospace &amp; Defense</t>
        </is>
      </c>
      <c r="E317" s="51" t="n">
        <v>1.6</v>
      </c>
      <c r="F317" s="51" t="n">
        <v>1.1</v>
      </c>
      <c r="G317" s="51" t="n">
        <v>1.1</v>
      </c>
      <c r="H317" s="52" t="n">
        <v>0.215</v>
      </c>
      <c r="I317" s="52" t="n">
        <v>0.117</v>
      </c>
      <c r="J317" s="52" t="n">
        <v>0.066</v>
      </c>
      <c r="K317" s="52" t="n">
        <v>0.092</v>
      </c>
      <c r="L317" s="52" t="n">
        <v>1.396</v>
      </c>
    </row>
    <row r="318" hidden="1" s="57">
      <c r="A318" s="38" t="n"/>
      <c r="B318" s="49" t="inlineStr">
        <is>
          <t>RL</t>
        </is>
      </c>
      <c r="C318" s="49" t="inlineStr">
        <is>
          <t>Ralph Lauren</t>
        </is>
      </c>
      <c r="D318" s="50" t="inlineStr">
        <is>
          <t>Apparel Manufacturing</t>
        </is>
      </c>
      <c r="E318" s="51" t="n">
        <v>0.9</v>
      </c>
      <c r="F318" s="51" t="n">
        <v>1.9</v>
      </c>
      <c r="G318" s="51" t="n">
        <v>1.4</v>
      </c>
      <c r="H318" s="52" t="n">
        <v>0.62</v>
      </c>
      <c r="I318" s="52" t="n">
        <v>0.12</v>
      </c>
      <c r="J318" s="52" t="n">
        <v>0.105</v>
      </c>
      <c r="K318" s="52" t="n">
        <v>0.092</v>
      </c>
      <c r="L318" s="52" t="n">
        <v>0.877</v>
      </c>
    </row>
    <row r="319" hidden="1" s="57">
      <c r="A319" s="38" t="n"/>
      <c r="B319" s="49" t="inlineStr">
        <is>
          <t>DISH</t>
        </is>
      </c>
      <c r="C319" s="49" t="inlineStr">
        <is>
          <t>DISH Network</t>
        </is>
      </c>
      <c r="D319" s="50" t="inlineStr">
        <is>
          <t>Entertainment</t>
        </is>
      </c>
      <c r="E319" s="51" t="n">
        <v>1.2</v>
      </c>
      <c r="F319" s="51" t="n">
        <v>0.9</v>
      </c>
      <c r="G319" s="51" t="n">
        <v>0.8</v>
      </c>
      <c r="H319" s="52" t="n">
        <v>0.258</v>
      </c>
      <c r="I319" s="52" t="n">
        <v>0.147</v>
      </c>
      <c r="J319" s="52" t="n">
        <v>0.109</v>
      </c>
      <c r="K319" s="52" t="n">
        <v>0.091</v>
      </c>
      <c r="L319" s="52" t="n">
        <v>0.833</v>
      </c>
    </row>
    <row r="320" hidden="1" s="57">
      <c r="A320" s="38" t="n"/>
      <c r="B320" s="49" t="inlineStr">
        <is>
          <t>LH</t>
        </is>
      </c>
      <c r="C320" s="49" t="inlineStr">
        <is>
          <t>Laboratory Corp</t>
        </is>
      </c>
      <c r="D320" s="50" t="inlineStr">
        <is>
          <t>Diagnostics &amp; Research</t>
        </is>
      </c>
      <c r="E320" s="51" t="n">
        <v>0.9</v>
      </c>
      <c r="F320" s="51" t="n">
        <v>1.1</v>
      </c>
      <c r="G320" s="51" t="n">
        <v>1</v>
      </c>
      <c r="H320" s="52" t="n">
        <v>0.282</v>
      </c>
      <c r="I320" s="52" t="n">
        <v>0.12</v>
      </c>
      <c r="J320" s="52" t="n">
        <v>0.07099999999999999</v>
      </c>
      <c r="K320" s="52" t="n">
        <v>0.091</v>
      </c>
      <c r="L320" s="52" t="n">
        <v>1.277</v>
      </c>
    </row>
    <row r="321" hidden="1" s="57">
      <c r="A321" s="38" t="n"/>
      <c r="B321" s="49" t="inlineStr">
        <is>
          <t>FBHS</t>
        </is>
      </c>
      <c r="C321" s="49" t="inlineStr">
        <is>
          <t>Fortune Brands Home</t>
        </is>
      </c>
      <c r="D321" s="50" t="inlineStr">
        <is>
          <t>Furnishings, Fixtures &amp; Appliances</t>
        </is>
      </c>
      <c r="E321" s="51" t="n">
        <v>1</v>
      </c>
      <c r="F321" s="51" t="n">
        <v>1.4</v>
      </c>
      <c r="G321" s="51" t="n">
        <v>0.8</v>
      </c>
      <c r="H321" s="52" t="n">
        <v>0.356</v>
      </c>
      <c r="I321" s="52" t="n">
        <v>0.126</v>
      </c>
      <c r="J321" s="52" t="n">
        <v>0.075</v>
      </c>
      <c r="K321" s="52" t="n">
        <v>0.09</v>
      </c>
      <c r="L321" s="52" t="n">
        <v>1.192</v>
      </c>
    </row>
    <row r="322" hidden="1" s="57">
      <c r="A322" s="38" t="n"/>
      <c r="B322" s="49" t="inlineStr">
        <is>
          <t>IFF</t>
        </is>
      </c>
      <c r="C322" s="49" t="inlineStr">
        <is>
          <t>Intl Flavors &amp; Fragrances</t>
        </is>
      </c>
      <c r="D322" s="50" t="inlineStr">
        <is>
          <t>Specialty Chemicals</t>
        </is>
      </c>
      <c r="E322" s="51" t="n">
        <v>0.7</v>
      </c>
      <c r="F322" s="51" t="n">
        <v>1.9</v>
      </c>
      <c r="G322" s="51" t="n">
        <v>1.2</v>
      </c>
      <c r="H322" s="52" t="n">
        <v>0.411</v>
      </c>
      <c r="I322" s="52" t="n">
        <v>0.136</v>
      </c>
      <c r="J322" s="52" t="n">
        <v>0.089</v>
      </c>
      <c r="K322" s="52" t="n">
        <v>0.09</v>
      </c>
      <c r="L322" s="52" t="n">
        <v>1.014</v>
      </c>
    </row>
    <row r="323" hidden="1" s="57">
      <c r="A323" s="38" t="n"/>
      <c r="B323" s="49" t="inlineStr">
        <is>
          <t>WY</t>
        </is>
      </c>
      <c r="C323" s="49" t="inlineStr">
        <is>
          <t>Weyerhaeuser</t>
        </is>
      </c>
      <c r="D323" s="50" t="inlineStr">
        <is>
          <t>REIT - Specialty</t>
        </is>
      </c>
      <c r="E323" s="51" t="n">
        <v>0.8</v>
      </c>
      <c r="F323" s="51" t="n">
        <v>1.6</v>
      </c>
      <c r="G323" s="51" t="n">
        <v>1.2</v>
      </c>
      <c r="H323" s="52" t="n">
        <v>0.174</v>
      </c>
      <c r="I323" s="52" t="n">
        <v>0.103</v>
      </c>
      <c r="J323" s="52" t="n">
        <v>-0.01</v>
      </c>
      <c r="K323" s="52" t="n">
        <v>0.09</v>
      </c>
      <c r="L323" s="51" t="inlineStr">
        <is>
          <t xml:space="preserve">- </t>
        </is>
      </c>
    </row>
    <row r="324" hidden="1" s="57">
      <c r="A324" s="38" t="n"/>
      <c r="B324" s="49" t="inlineStr">
        <is>
          <t>FMC</t>
        </is>
      </c>
      <c r="C324" s="49" t="inlineStr">
        <is>
          <t>FMC</t>
        </is>
      </c>
      <c r="D324" s="50" t="inlineStr">
        <is>
          <t>Agricultural Inputs</t>
        </is>
      </c>
      <c r="E324" s="51" t="n">
        <v>1.4</v>
      </c>
      <c r="F324" s="51" t="n">
        <v>1.5</v>
      </c>
      <c r="G324" s="51" t="n">
        <v>1.1</v>
      </c>
      <c r="H324" s="52" t="n">
        <v>0.452</v>
      </c>
      <c r="I324" s="52" t="n">
        <v>0.215</v>
      </c>
      <c r="J324" s="52" t="n">
        <v>0.103</v>
      </c>
      <c r="K324" s="52" t="n">
        <v>0.089</v>
      </c>
      <c r="L324" s="52" t="n">
        <v>0.871</v>
      </c>
    </row>
    <row r="325" hidden="1" s="57">
      <c r="A325" s="38" t="n"/>
      <c r="B325" s="49" t="inlineStr">
        <is>
          <t>LIN</t>
        </is>
      </c>
      <c r="C325" s="49" t="inlineStr">
        <is>
          <t>Linde</t>
        </is>
      </c>
      <c r="D325" s="50" t="inlineStr">
        <is>
          <t>Specialty Chemicals</t>
        </is>
      </c>
      <c r="E325" s="51" t="n">
        <v>0.3</v>
      </c>
      <c r="F325" s="51" t="n">
        <v>0.9</v>
      </c>
      <c r="G325" s="51" t="n">
        <v>0.7</v>
      </c>
      <c r="H325" s="52" t="n">
        <v>0.41</v>
      </c>
      <c r="I325" s="52" t="n">
        <v>0.099</v>
      </c>
      <c r="J325" s="52" t="n">
        <v>0.081</v>
      </c>
      <c r="K325" s="52" t="n">
        <v>0.089</v>
      </c>
      <c r="L325" s="52" t="n">
        <v>1.102</v>
      </c>
    </row>
    <row r="326" hidden="1" s="57">
      <c r="A326" s="38" t="n"/>
      <c r="B326" s="49" t="inlineStr">
        <is>
          <t>EXPD</t>
        </is>
      </c>
      <c r="C326" s="49" t="inlineStr">
        <is>
          <t>Expeditors International</t>
        </is>
      </c>
      <c r="D326" s="50" t="inlineStr">
        <is>
          <t>Integrated Freight &amp; Logistics</t>
        </is>
      </c>
      <c r="E326" s="51" t="n">
        <v>0.2</v>
      </c>
      <c r="F326" s="51" t="n">
        <v>2.4</v>
      </c>
      <c r="G326" s="51" t="n">
        <v>2.4</v>
      </c>
      <c r="H326" s="52" t="n">
        <v>0.122</v>
      </c>
      <c r="I326" s="52" t="n">
        <v>0.094</v>
      </c>
      <c r="J326" s="52" t="n">
        <v>0.07199999999999999</v>
      </c>
      <c r="K326" s="52" t="n">
        <v>0.08799999999999999</v>
      </c>
      <c r="L326" s="52" t="n">
        <v>1.22</v>
      </c>
    </row>
    <row r="327" hidden="1" s="57">
      <c r="A327" s="38" t="n"/>
      <c r="B327" s="49" t="inlineStr">
        <is>
          <t>MHK</t>
        </is>
      </c>
      <c r="C327" s="49" t="inlineStr">
        <is>
          <t>Mohawk Industries</t>
        </is>
      </c>
      <c r="D327" s="50" t="inlineStr">
        <is>
          <t>Furnishings, Fixtures &amp; Appliances</t>
        </is>
      </c>
      <c r="E327" s="51" t="n">
        <v>0.4</v>
      </c>
      <c r="F327" s="51" t="n">
        <v>1.6</v>
      </c>
      <c r="G327" s="51" t="n">
        <v>0.8</v>
      </c>
      <c r="H327" s="52" t="n">
        <v>0.269</v>
      </c>
      <c r="I327" s="52" t="n">
        <v>0.083</v>
      </c>
      <c r="J327" s="52" t="n">
        <v>0.075</v>
      </c>
      <c r="K327" s="52" t="n">
        <v>0.08799999999999999</v>
      </c>
      <c r="L327" s="52" t="n">
        <v>1.18</v>
      </c>
    </row>
    <row r="328" hidden="1" s="57">
      <c r="A328" s="38" t="n"/>
      <c r="B328" s="49" t="inlineStr">
        <is>
          <t>DOW</t>
        </is>
      </c>
      <c r="C328" s="49" t="inlineStr">
        <is>
          <t>Dow</t>
        </is>
      </c>
      <c r="D328" s="50" t="inlineStr">
        <is>
          <t>Chemicals</t>
        </is>
      </c>
      <c r="E328" s="51" t="n">
        <v>1.4</v>
      </c>
      <c r="F328" s="51" t="n">
        <v>1.6</v>
      </c>
      <c r="G328" s="51" t="n">
        <v>1</v>
      </c>
      <c r="H328" s="52" t="n">
        <v>0.161</v>
      </c>
      <c r="I328" s="52" t="n">
        <v>0.09</v>
      </c>
      <c r="J328" s="52" t="n">
        <v>-0.031</v>
      </c>
      <c r="K328" s="52" t="n">
        <v>0.08699999999999999</v>
      </c>
      <c r="L328" s="51" t="inlineStr">
        <is>
          <t xml:space="preserve">- </t>
        </is>
      </c>
    </row>
    <row r="329" hidden="1" s="57">
      <c r="A329" s="38" t="n"/>
      <c r="B329" s="49" t="inlineStr">
        <is>
          <t>DRI</t>
        </is>
      </c>
      <c r="C329" s="49" t="inlineStr">
        <is>
          <t>Darden Restaurants</t>
        </is>
      </c>
      <c r="D329" s="50" t="inlineStr">
        <is>
          <t>Restaurants</t>
        </is>
      </c>
      <c r="E329" s="51" t="n">
        <v>2.2</v>
      </c>
      <c r="F329" s="51" t="n">
        <v>0.4</v>
      </c>
      <c r="G329" s="51" t="n">
        <v>0.3</v>
      </c>
      <c r="H329" s="52" t="n">
        <v>0.217</v>
      </c>
      <c r="I329" s="52" t="n">
        <v>0.101</v>
      </c>
      <c r="J329" s="52" t="n">
        <v>0.073</v>
      </c>
      <c r="K329" s="52" t="n">
        <v>0.08699999999999999</v>
      </c>
      <c r="L329" s="52" t="n">
        <v>1.2</v>
      </c>
    </row>
    <row r="330" hidden="1" s="57">
      <c r="A330" s="38" t="n"/>
      <c r="B330" s="49" t="inlineStr">
        <is>
          <t>WLTW</t>
        </is>
      </c>
      <c r="C330" s="49" t="inlineStr">
        <is>
          <t>Willis Towers Watson</t>
        </is>
      </c>
      <c r="D330" s="50" t="inlineStr">
        <is>
          <t>Insurance Brokers</t>
        </is>
      </c>
      <c r="E330" s="51" t="n">
        <v>0.7</v>
      </c>
      <c r="F330" s="51" t="n">
        <v>1.1</v>
      </c>
      <c r="G330" s="51" t="n">
        <v>1.1</v>
      </c>
      <c r="H330" s="52" t="n">
        <v>0.419</v>
      </c>
      <c r="I330" s="52" t="n">
        <v>0.175</v>
      </c>
      <c r="J330" s="52" t="n">
        <v>0.115</v>
      </c>
      <c r="K330" s="52" t="n">
        <v>0.08699999999999999</v>
      </c>
      <c r="L330" s="52" t="n">
        <v>0.758</v>
      </c>
    </row>
    <row r="331" hidden="1" s="57">
      <c r="A331" s="38" t="n"/>
      <c r="B331" s="49" t="inlineStr">
        <is>
          <t>CAG</t>
        </is>
      </c>
      <c r="C331" s="49" t="inlineStr">
        <is>
          <t>Conagra Brands</t>
        </is>
      </c>
      <c r="D331" s="50" t="inlineStr">
        <is>
          <t>Packaged Foods</t>
        </is>
      </c>
      <c r="E331" s="51" t="n">
        <v>1.3</v>
      </c>
      <c r="F331" s="51" t="n">
        <v>0.9</v>
      </c>
      <c r="G331" s="51" t="n">
        <v>0.3</v>
      </c>
      <c r="H331" s="52" t="n">
        <v>0.275</v>
      </c>
      <c r="I331" s="52" t="n">
        <v>0.132</v>
      </c>
      <c r="J331" s="52" t="n">
        <v>0.074</v>
      </c>
      <c r="K331" s="52" t="n">
        <v>0.08599999999999999</v>
      </c>
      <c r="L331" s="52" t="n">
        <v>1.168</v>
      </c>
    </row>
    <row r="332" hidden="1" s="57">
      <c r="A332" s="38" t="n"/>
      <c r="B332" s="49" t="inlineStr">
        <is>
          <t>NLSN</t>
        </is>
      </c>
      <c r="C332" s="49" t="inlineStr">
        <is>
          <t>Nielsen Holdings</t>
        </is>
      </c>
      <c r="D332" s="50" t="inlineStr">
        <is>
          <t>Consulting Services</t>
        </is>
      </c>
      <c r="E332" s="51" t="n">
        <v>4</v>
      </c>
      <c r="F332" s="51" t="n">
        <v>0.8</v>
      </c>
      <c r="G332" s="51" t="n">
        <v>0.8</v>
      </c>
      <c r="H332" s="52" t="n">
        <v>0.5659999999999999</v>
      </c>
      <c r="I332" s="52" t="n">
        <v>0.153</v>
      </c>
      <c r="J332" s="52" t="n">
        <v>-0.065</v>
      </c>
      <c r="K332" s="52" t="n">
        <v>0.08599999999999999</v>
      </c>
      <c r="L332" s="51" t="inlineStr">
        <is>
          <t xml:space="preserve">- </t>
        </is>
      </c>
    </row>
    <row r="333" hidden="1" s="57">
      <c r="A333" s="38" t="n"/>
      <c r="B333" s="49" t="inlineStr">
        <is>
          <t>NWL</t>
        </is>
      </c>
      <c r="C333" s="49" t="inlineStr">
        <is>
          <t>Newell Brands</t>
        </is>
      </c>
      <c r="D333" s="50" t="inlineStr">
        <is>
          <t>Household &amp; Personal Products</t>
        </is>
      </c>
      <c r="E333" s="51" t="n">
        <v>1.3</v>
      </c>
      <c r="F333" s="51" t="n">
        <v>1.4</v>
      </c>
      <c r="G333" s="51" t="n">
        <v>0.8</v>
      </c>
      <c r="H333" s="52" t="n">
        <v>0.331</v>
      </c>
      <c r="I333" s="52" t="n">
        <v>0.073</v>
      </c>
      <c r="J333" s="52" t="n">
        <v>0.012</v>
      </c>
      <c r="K333" s="52" t="n">
        <v>0.08599999999999999</v>
      </c>
      <c r="L333" s="52" t="n">
        <v>6.98</v>
      </c>
    </row>
    <row r="334" hidden="1" s="57">
      <c r="A334" s="38" t="n"/>
      <c r="B334" s="49" t="inlineStr">
        <is>
          <t>BLL</t>
        </is>
      </c>
      <c r="C334" s="49" t="inlineStr">
        <is>
          <t>Ball</t>
        </is>
      </c>
      <c r="D334" s="50" t="inlineStr">
        <is>
          <t>Packaging &amp; Containers</t>
        </is>
      </c>
      <c r="E334" s="51" t="n">
        <v>2.7</v>
      </c>
      <c r="F334" s="51" t="n">
        <v>0.9</v>
      </c>
      <c r="G334" s="51" t="n">
        <v>0.7</v>
      </c>
      <c r="H334" s="52" t="n">
        <v>0.198</v>
      </c>
      <c r="I334" s="52" t="n">
        <v>0.103</v>
      </c>
      <c r="J334" s="52" t="n">
        <v>0.049</v>
      </c>
      <c r="K334" s="52" t="n">
        <v>0.08500000000000001</v>
      </c>
      <c r="L334" s="52" t="n">
        <v>1.716</v>
      </c>
    </row>
    <row r="335" hidden="1" s="57">
      <c r="A335" s="38" t="n"/>
      <c r="B335" s="49" t="inlineStr">
        <is>
          <t>VAR</t>
        </is>
      </c>
      <c r="C335" s="49" t="inlineStr">
        <is>
          <t>Varian Medical Systems</t>
        </is>
      </c>
      <c r="D335" s="50" t="inlineStr">
        <is>
          <t>Medical Instruments &amp; Supplies</t>
        </is>
      </c>
      <c r="E335" s="51" t="n">
        <v>0.3</v>
      </c>
      <c r="F335" s="51" t="n">
        <v>1.3</v>
      </c>
      <c r="G335" s="51" t="n">
        <v>1</v>
      </c>
      <c r="H335" s="52" t="n">
        <v>0.429</v>
      </c>
      <c r="I335" s="52" t="n">
        <v>0.153</v>
      </c>
      <c r="J335" s="52" t="n">
        <v>0.083</v>
      </c>
      <c r="K335" s="52" t="n">
        <v>0.08500000000000001</v>
      </c>
      <c r="L335" s="52" t="n">
        <v>1.018</v>
      </c>
    </row>
    <row r="336" hidden="1" s="57">
      <c r="A336" s="38" t="n"/>
      <c r="B336" s="49" t="inlineStr">
        <is>
          <t>JPM</t>
        </is>
      </c>
      <c r="C336" s="49" t="inlineStr">
        <is>
          <t>JPMorgan Chase</t>
        </is>
      </c>
      <c r="D336" s="50" t="inlineStr">
        <is>
          <t>Banks - Diversified</t>
        </is>
      </c>
      <c r="E336" s="51" t="n">
        <v>1.3</v>
      </c>
      <c r="F336" s="51" t="inlineStr">
        <is>
          <t xml:space="preserve">- </t>
        </is>
      </c>
      <c r="G336" s="51" t="inlineStr">
        <is>
          <t xml:space="preserve">- </t>
        </is>
      </c>
      <c r="H336" s="52" t="n">
        <v>0</v>
      </c>
      <c r="I336" s="52" t="n">
        <v>0.434</v>
      </c>
      <c r="J336" s="52" t="n">
        <v>0.315</v>
      </c>
      <c r="K336" s="52" t="n">
        <v>0.08400000000000001</v>
      </c>
      <c r="L336" s="52" t="n">
        <v>0.267</v>
      </c>
    </row>
    <row r="337" hidden="1" s="57">
      <c r="A337" s="38" t="n"/>
      <c r="B337" s="49" t="inlineStr">
        <is>
          <t>KMB</t>
        </is>
      </c>
      <c r="C337" s="49" t="inlineStr">
        <is>
          <t>Kimberly-Clark</t>
        </is>
      </c>
      <c r="D337" s="50" t="inlineStr">
        <is>
          <t>Household &amp; Personal Products</t>
        </is>
      </c>
      <c r="E337" s="51" t="inlineStr">
        <is>
          <t xml:space="preserve">- </t>
        </is>
      </c>
      <c r="F337" s="51" t="n">
        <v>0.7</v>
      </c>
      <c r="G337" s="51" t="n">
        <v>0.5</v>
      </c>
      <c r="H337" s="52" t="n">
        <v>0.327</v>
      </c>
      <c r="I337" s="52" t="n">
        <v>0.162</v>
      </c>
      <c r="J337" s="52" t="n">
        <v>0.117</v>
      </c>
      <c r="K337" s="52" t="n">
        <v>0.08400000000000001</v>
      </c>
      <c r="L337" s="52" t="n">
        <v>0.715</v>
      </c>
    </row>
    <row r="338" hidden="1" s="57">
      <c r="A338" s="38" t="n"/>
      <c r="B338" s="49" t="inlineStr">
        <is>
          <t>MGM</t>
        </is>
      </c>
      <c r="C338" s="49" t="inlineStr">
        <is>
          <t>MGM Resorts Intl</t>
        </is>
      </c>
      <c r="D338" s="50" t="inlineStr">
        <is>
          <t>Resorts &amp; Casinos</t>
        </is>
      </c>
      <c r="E338" s="51" t="n">
        <v>2</v>
      </c>
      <c r="F338" s="51" t="n">
        <v>1.3</v>
      </c>
      <c r="G338" s="51" t="n">
        <v>1.1</v>
      </c>
      <c r="H338" s="52" t="n">
        <v>0.411</v>
      </c>
      <c r="I338" s="52" t="n">
        <v>0.32</v>
      </c>
      <c r="J338" s="52" t="n">
        <v>0.161</v>
      </c>
      <c r="K338" s="52" t="n">
        <v>0.083</v>
      </c>
      <c r="L338" s="52" t="n">
        <v>0.519</v>
      </c>
    </row>
    <row r="339" hidden="1" s="57">
      <c r="A339" s="38" t="n"/>
      <c r="B339" s="49" t="inlineStr">
        <is>
          <t>NKE</t>
        </is>
      </c>
      <c r="C339" s="49" t="inlineStr">
        <is>
          <t>Nike</t>
        </is>
      </c>
      <c r="D339" s="50" t="inlineStr">
        <is>
          <t>Footwear &amp; Accessories</t>
        </is>
      </c>
      <c r="E339" s="51" t="n">
        <v>0.7</v>
      </c>
      <c r="F339" s="51" t="n">
        <v>1.9</v>
      </c>
      <c r="G339" s="51" t="n">
        <v>1.2</v>
      </c>
      <c r="H339" s="52" t="n">
        <v>0.449</v>
      </c>
      <c r="I339" s="52" t="n">
        <v>0.126</v>
      </c>
      <c r="J339" s="52" t="n">
        <v>0.105</v>
      </c>
      <c r="K339" s="52" t="n">
        <v>0.083</v>
      </c>
      <c r="L339" s="52" t="n">
        <v>0.793</v>
      </c>
    </row>
    <row r="340" hidden="1" s="57">
      <c r="A340" s="38" t="n"/>
      <c r="B340" s="49" t="inlineStr">
        <is>
          <t>CPRI</t>
        </is>
      </c>
      <c r="C340" s="49" t="inlineStr">
        <is>
          <t>Capri Holdings</t>
        </is>
      </c>
      <c r="D340" s="50" t="inlineStr">
        <is>
          <t>Apparel Manufacturing</t>
        </is>
      </c>
      <c r="E340" s="51" t="n">
        <v>1.6</v>
      </c>
      <c r="F340" s="51" t="n">
        <v>0.8</v>
      </c>
      <c r="G340" s="51" t="n">
        <v>0.4</v>
      </c>
      <c r="H340" s="52" t="n">
        <v>0.602</v>
      </c>
      <c r="I340" s="52" t="n">
        <v>0.127</v>
      </c>
      <c r="J340" s="52" t="n">
        <v>0.061</v>
      </c>
      <c r="K340" s="52" t="n">
        <v>0.082</v>
      </c>
      <c r="L340" s="52" t="n">
        <v>1.342</v>
      </c>
    </row>
    <row r="341" hidden="1" s="57">
      <c r="A341" s="38" t="n"/>
      <c r="B341" s="49" t="inlineStr">
        <is>
          <t>PEP</t>
        </is>
      </c>
      <c r="C341" s="49" t="inlineStr">
        <is>
          <t>PepsiCo</t>
        </is>
      </c>
      <c r="D341" s="50" t="inlineStr">
        <is>
          <t>Beverages - Non-Alcoholic</t>
        </is>
      </c>
      <c r="E341" s="51" t="n">
        <v>2.2</v>
      </c>
      <c r="F341" s="51" t="n">
        <v>0.9</v>
      </c>
      <c r="G341" s="51" t="n">
        <v>0.7</v>
      </c>
      <c r="H341" s="52" t="n">
        <v>0.551</v>
      </c>
      <c r="I341" s="52" t="n">
        <v>0.153</v>
      </c>
      <c r="J341" s="52" t="n">
        <v>0.109</v>
      </c>
      <c r="K341" s="52" t="n">
        <v>0.082</v>
      </c>
      <c r="L341" s="52" t="n">
        <v>0.752</v>
      </c>
    </row>
    <row r="342" hidden="1" s="57">
      <c r="A342" s="38" t="n"/>
      <c r="B342" s="49" t="inlineStr">
        <is>
          <t>RTX</t>
        </is>
      </c>
      <c r="C342" s="49" t="inlineStr">
        <is>
          <t>United Technologies</t>
        </is>
      </c>
      <c r="D342" s="50" t="inlineStr">
        <is>
          <t>Aerospace &amp; Defense</t>
        </is>
      </c>
      <c r="E342" s="51" t="n">
        <v>1.1</v>
      </c>
      <c r="F342" s="51" t="n">
        <v>1.1</v>
      </c>
      <c r="G342" s="51" t="n">
        <v>0.8</v>
      </c>
      <c r="H342" s="52" t="n">
        <v>0.259</v>
      </c>
      <c r="I342" s="52" t="n">
        <v>0.116</v>
      </c>
      <c r="J342" s="52" t="n">
        <v>0.07199999999999999</v>
      </c>
      <c r="K342" s="52" t="n">
        <v>0.082</v>
      </c>
      <c r="L342" s="52" t="n">
        <v>1.137</v>
      </c>
    </row>
    <row r="343" hidden="1" s="57">
      <c r="A343" s="38" t="n"/>
      <c r="B343" s="49" t="inlineStr">
        <is>
          <t>TIF</t>
        </is>
      </c>
      <c r="C343" s="49" t="inlineStr">
        <is>
          <t>Tiffany</t>
        </is>
      </c>
      <c r="D343" s="50" t="inlineStr">
        <is>
          <t>Luxury Goods</t>
        </is>
      </c>
      <c r="E343" s="51" t="n">
        <v>0.7</v>
      </c>
      <c r="F343" s="51" t="n">
        <v>4</v>
      </c>
      <c r="G343" s="51" t="n">
        <v>1.4</v>
      </c>
      <c r="H343" s="52" t="n">
        <v>0.624</v>
      </c>
      <c r="I343" s="52" t="n">
        <v>0.166</v>
      </c>
      <c r="J343" s="52" t="n">
        <v>0.122</v>
      </c>
      <c r="K343" s="52" t="n">
        <v>0.08</v>
      </c>
      <c r="L343" s="52" t="n">
        <v>0.654</v>
      </c>
    </row>
    <row r="344" hidden="1" s="57">
      <c r="A344" s="38" t="n"/>
      <c r="B344" s="49" t="inlineStr">
        <is>
          <t>TPR</t>
        </is>
      </c>
      <c r="C344" s="49" t="inlineStr">
        <is>
          <t>Tapestry</t>
        </is>
      </c>
      <c r="D344" s="50" t="inlineStr">
        <is>
          <t>Luxury Goods</t>
        </is>
      </c>
      <c r="E344" s="51" t="n">
        <v>1.2</v>
      </c>
      <c r="F344" s="51" t="n">
        <v>2</v>
      </c>
      <c r="G344" s="51" t="n">
        <v>1.4</v>
      </c>
      <c r="H344" s="52" t="n">
        <v>0.671</v>
      </c>
      <c r="I344" s="52" t="n">
        <v>0.115</v>
      </c>
      <c r="J344" s="52" t="n">
        <v>0.097</v>
      </c>
      <c r="K344" s="52" t="n">
        <v>0.08</v>
      </c>
      <c r="L344" s="52" t="n">
        <v>0.822</v>
      </c>
    </row>
    <row r="345" hidden="1" s="57">
      <c r="A345" s="38" t="n"/>
      <c r="B345" s="49" t="inlineStr">
        <is>
          <t>CAT</t>
        </is>
      </c>
      <c r="C345" s="49" t="inlineStr">
        <is>
          <t>Caterpillar</t>
        </is>
      </c>
      <c r="D345" s="50" t="inlineStr">
        <is>
          <t>Farm &amp; Heavy Construction Machinery</t>
        </is>
      </c>
      <c r="E345" s="51" t="n">
        <v>2.6</v>
      </c>
      <c r="F345" s="51" t="n">
        <v>1.5</v>
      </c>
      <c r="G345" s="51" t="n">
        <v>1.1</v>
      </c>
      <c r="H345" s="52" t="n">
        <v>0.305</v>
      </c>
      <c r="I345" s="52" t="n">
        <v>0.154</v>
      </c>
      <c r="J345" s="52" t="n">
        <v>0.113</v>
      </c>
      <c r="K345" s="52" t="n">
        <v>0.079</v>
      </c>
      <c r="L345" s="52" t="n">
        <v>0.702</v>
      </c>
    </row>
    <row r="346" hidden="1" s="57">
      <c r="A346" s="38" t="n"/>
      <c r="B346" s="49" t="inlineStr">
        <is>
          <t>WFC</t>
        </is>
      </c>
      <c r="C346" s="49" t="inlineStr">
        <is>
          <t>Wells Fargo</t>
        </is>
      </c>
      <c r="D346" s="50" t="inlineStr">
        <is>
          <t>Banks - Diversified</t>
        </is>
      </c>
      <c r="E346" s="51" t="n">
        <v>1.3</v>
      </c>
      <c r="F346" s="51" t="inlineStr">
        <is>
          <t xml:space="preserve">- </t>
        </is>
      </c>
      <c r="G346" s="51" t="inlineStr">
        <is>
          <t xml:space="preserve">- </t>
        </is>
      </c>
      <c r="H346" s="52" t="n">
        <v>0</v>
      </c>
      <c r="I346" s="52" t="n">
        <v>0.384</v>
      </c>
      <c r="J346" s="52" t="n">
        <v>0.238</v>
      </c>
      <c r="K346" s="52" t="n">
        <v>0.079</v>
      </c>
      <c r="L346" s="52" t="n">
        <v>0.331</v>
      </c>
    </row>
    <row r="347" hidden="1" s="57">
      <c r="A347" s="38" t="n"/>
      <c r="B347" s="49" t="inlineStr">
        <is>
          <t>AMZN</t>
        </is>
      </c>
      <c r="C347" s="49" t="inlineStr">
        <is>
          <t>Amazon</t>
        </is>
      </c>
      <c r="D347" s="50" t="inlineStr">
        <is>
          <t>Internet Retail</t>
        </is>
      </c>
      <c r="E347" s="51" t="n">
        <v>1</v>
      </c>
      <c r="F347" s="51" t="n">
        <v>1.1</v>
      </c>
      <c r="G347" s="51" t="n">
        <v>0.9</v>
      </c>
      <c r="H347" s="52" t="n">
        <v>0.266</v>
      </c>
      <c r="I347" s="52" t="n">
        <v>0.052</v>
      </c>
      <c r="J347" s="52" t="n">
        <v>0.041</v>
      </c>
      <c r="K347" s="52" t="n">
        <v>0.078</v>
      </c>
      <c r="L347" s="52" t="n">
        <v>1.9</v>
      </c>
    </row>
    <row r="348" hidden="1" s="57">
      <c r="A348" s="38" t="n"/>
      <c r="B348" s="49" t="inlineStr">
        <is>
          <t>LDOS</t>
        </is>
      </c>
      <c r="C348" s="49" t="inlineStr">
        <is>
          <t>Leidos Holdings</t>
        </is>
      </c>
      <c r="D348" s="50" t="inlineStr">
        <is>
          <t>Information Technology Services</t>
        </is>
      </c>
      <c r="E348" s="51" t="n">
        <v>1</v>
      </c>
      <c r="F348" s="51" t="n">
        <v>1.2</v>
      </c>
      <c r="G348" s="51" t="n">
        <v>1.2</v>
      </c>
      <c r="H348" s="52" t="n">
        <v>0.14</v>
      </c>
      <c r="I348" s="52" t="n">
        <v>0.078</v>
      </c>
      <c r="J348" s="52" t="n">
        <v>0.06</v>
      </c>
      <c r="K348" s="52" t="n">
        <v>0.078</v>
      </c>
      <c r="L348" s="52" t="n">
        <v>1.305</v>
      </c>
    </row>
    <row r="349" hidden="1" s="57">
      <c r="A349" s="38" t="n"/>
      <c r="B349" s="49" t="inlineStr">
        <is>
          <t>SWK</t>
        </is>
      </c>
      <c r="C349" s="49" t="inlineStr">
        <is>
          <t>Stanley Black &amp; Decker</t>
        </is>
      </c>
      <c r="D349" s="50" t="inlineStr">
        <is>
          <t>Tools &amp; Accessories</t>
        </is>
      </c>
      <c r="E349" s="51" t="n">
        <v>0.4</v>
      </c>
      <c r="F349" s="51" t="n">
        <v>1</v>
      </c>
      <c r="G349" s="51" t="n">
        <v>0.5</v>
      </c>
      <c r="H349" s="52" t="n">
        <v>0.333</v>
      </c>
      <c r="I349" s="52" t="n">
        <v>0.122</v>
      </c>
      <c r="J349" s="52" t="n">
        <v>0.066</v>
      </c>
      <c r="K349" s="52" t="n">
        <v>0.077</v>
      </c>
      <c r="L349" s="52" t="n">
        <v>1.164</v>
      </c>
    </row>
    <row r="350" hidden="1" s="57">
      <c r="A350" s="38" t="n"/>
      <c r="B350" s="49" t="inlineStr">
        <is>
          <t>IQV</t>
        </is>
      </c>
      <c r="C350" s="49" t="inlineStr">
        <is>
          <t>IQVIA Holdings</t>
        </is>
      </c>
      <c r="D350" s="50" t="inlineStr">
        <is>
          <t>Diagnostics &amp; Research</t>
        </is>
      </c>
      <c r="E350" s="51" t="n">
        <v>2</v>
      </c>
      <c r="F350" s="51" t="n">
        <v>1.1</v>
      </c>
      <c r="G350" s="51" t="n">
        <v>1.1</v>
      </c>
      <c r="H350" s="52" t="n">
        <v>0.342</v>
      </c>
      <c r="I350" s="52" t="n">
        <v>0.077</v>
      </c>
      <c r="J350" s="52" t="n">
        <v>0.017</v>
      </c>
      <c r="K350" s="52" t="n">
        <v>0.076</v>
      </c>
      <c r="L350" s="52" t="n">
        <v>4.437</v>
      </c>
    </row>
    <row r="351" hidden="1" s="57">
      <c r="A351" s="38" t="n"/>
      <c r="B351" s="49" t="inlineStr">
        <is>
          <t>RHI</t>
        </is>
      </c>
      <c r="C351" s="49" t="inlineStr">
        <is>
          <t>Robert Half International</t>
        </is>
      </c>
      <c r="D351" s="50" t="inlineStr">
        <is>
          <t>Staffing &amp; Employment Services</t>
        </is>
      </c>
      <c r="E351" s="51" t="n">
        <v>0.2</v>
      </c>
      <c r="F351" s="51" t="n">
        <v>1.7</v>
      </c>
      <c r="G351" s="51" t="n">
        <v>1.7</v>
      </c>
      <c r="H351" s="52" t="n">
        <v>0.417</v>
      </c>
      <c r="I351" s="52" t="n">
        <v>0.102</v>
      </c>
      <c r="J351" s="52" t="n">
        <v>0.075</v>
      </c>
      <c r="K351" s="52" t="n">
        <v>0.076</v>
      </c>
      <c r="L351" s="52" t="n">
        <v>1.012</v>
      </c>
    </row>
    <row r="352" hidden="1" s="57">
      <c r="A352" s="38" t="n"/>
      <c r="B352" s="49" t="inlineStr">
        <is>
          <t>HPQ</t>
        </is>
      </c>
      <c r="C352" s="49" t="inlineStr">
        <is>
          <t>HP</t>
        </is>
      </c>
      <c r="D352" s="50" t="inlineStr">
        <is>
          <t>Computer Hardware</t>
        </is>
      </c>
      <c r="E352" s="51" t="inlineStr">
        <is>
          <t xml:space="preserve">- </t>
        </is>
      </c>
      <c r="F352" s="51" t="n">
        <v>0.7</v>
      </c>
      <c r="G352" s="51" t="n">
        <v>0.5</v>
      </c>
      <c r="H352" s="52" t="n">
        <v>0.195</v>
      </c>
      <c r="I352" s="52" t="n">
        <v>0.074</v>
      </c>
      <c r="J352" s="52" t="n">
        <v>0.052</v>
      </c>
      <c r="K352" s="52" t="n">
        <v>0.075</v>
      </c>
      <c r="L352" s="52" t="n">
        <v>1.457</v>
      </c>
    </row>
    <row r="353" hidden="1" s="57">
      <c r="A353" s="38" t="n"/>
      <c r="B353" s="49" t="inlineStr">
        <is>
          <t>DAL</t>
        </is>
      </c>
      <c r="C353" s="49" t="inlineStr">
        <is>
          <t>Delta Air Lines</t>
        </is>
      </c>
      <c r="D353" s="50" t="inlineStr">
        <is>
          <t>Airlines</t>
        </is>
      </c>
      <c r="E353" s="51" t="n">
        <v>1.1</v>
      </c>
      <c r="F353" s="51" t="n">
        <v>0.4</v>
      </c>
      <c r="G353" s="51" t="n">
        <v>0.4</v>
      </c>
      <c r="H353" s="52" t="n">
        <v>0.221</v>
      </c>
      <c r="I353" s="52" t="n">
        <v>0.141</v>
      </c>
      <c r="J353" s="52" t="n">
        <v>0.102</v>
      </c>
      <c r="K353" s="52" t="n">
        <v>0.074</v>
      </c>
      <c r="L353" s="52" t="n">
        <v>0.732</v>
      </c>
    </row>
    <row r="354" hidden="1" s="57">
      <c r="A354" s="38" t="n"/>
      <c r="B354" s="49" t="inlineStr">
        <is>
          <t>GWW</t>
        </is>
      </c>
      <c r="C354" s="49" t="inlineStr">
        <is>
          <t>W.W. Grainger</t>
        </is>
      </c>
      <c r="D354" s="50" t="inlineStr">
        <is>
          <t>Industrial Distribution</t>
        </is>
      </c>
      <c r="E354" s="51" t="n">
        <v>1.2</v>
      </c>
      <c r="F354" s="51" t="n">
        <v>2.1</v>
      </c>
      <c r="G354" s="51" t="n">
        <v>1.1</v>
      </c>
      <c r="H354" s="52" t="n">
        <v>0.383</v>
      </c>
      <c r="I354" s="52" t="n">
        <v>0.11</v>
      </c>
      <c r="J354" s="52" t="n">
        <v>0.074</v>
      </c>
      <c r="K354" s="52" t="n">
        <v>0.07199999999999999</v>
      </c>
      <c r="L354" s="52" t="n">
        <v>0.976</v>
      </c>
    </row>
    <row r="355" hidden="1" s="57">
      <c r="A355" s="38" t="n"/>
      <c r="B355" s="49" t="inlineStr">
        <is>
          <t>HFC</t>
        </is>
      </c>
      <c r="C355" s="49" t="inlineStr">
        <is>
          <t>HollyFrontier</t>
        </is>
      </c>
      <c r="D355" s="50" t="inlineStr">
        <is>
          <t>Oil &amp; Gas Refining &amp; Marketing</t>
        </is>
      </c>
      <c r="E355" s="51" t="n">
        <v>0.5</v>
      </c>
      <c r="F355" s="51" t="n">
        <v>2</v>
      </c>
      <c r="G355" s="51" t="n">
        <v>1.1</v>
      </c>
      <c r="H355" s="52" t="n">
        <v>0.175</v>
      </c>
      <c r="I355" s="52" t="n">
        <v>0.075</v>
      </c>
      <c r="J355" s="52" t="n">
        <v>0.044</v>
      </c>
      <c r="K355" s="52" t="n">
        <v>0.07199999999999999</v>
      </c>
      <c r="L355" s="52" t="n">
        <v>1.64</v>
      </c>
    </row>
    <row r="356" hidden="1" s="57">
      <c r="A356" s="38" t="n"/>
      <c r="B356" s="49" t="inlineStr">
        <is>
          <t>TSCO</t>
        </is>
      </c>
      <c r="C356" s="49" t="inlineStr">
        <is>
          <t>Tractor Supply</t>
        </is>
      </c>
      <c r="D356" s="50" t="inlineStr">
        <is>
          <t>Specialty Retail</t>
        </is>
      </c>
      <c r="E356" s="51" t="n">
        <v>1.7</v>
      </c>
      <c r="F356" s="51" t="n">
        <v>1.4</v>
      </c>
      <c r="G356" s="51" t="n">
        <v>0.2</v>
      </c>
      <c r="H356" s="52" t="n">
        <v>0.344</v>
      </c>
      <c r="I356" s="52" t="n">
        <v>0.089</v>
      </c>
      <c r="J356" s="52" t="n">
        <v>0.068</v>
      </c>
      <c r="K356" s="52" t="n">
        <v>0.07199999999999999</v>
      </c>
      <c r="L356" s="52" t="n">
        <v>1.066</v>
      </c>
    </row>
    <row r="357" hidden="1" s="57">
      <c r="A357" s="38" t="n"/>
      <c r="B357" s="49" t="inlineStr">
        <is>
          <t>UA</t>
        </is>
      </c>
      <c r="C357" s="49" t="inlineStr">
        <is>
          <t>Under Armour</t>
        </is>
      </c>
      <c r="D357" s="50" t="inlineStr">
        <is>
          <t>Apparel Manufacturing</t>
        </is>
      </c>
      <c r="E357" s="51" t="n">
        <v>0.6</v>
      </c>
      <c r="F357" s="51" t="n">
        <v>1.9</v>
      </c>
      <c r="G357" s="51" t="n">
        <v>1.3</v>
      </c>
      <c r="H357" s="52" t="n">
        <v>0.469</v>
      </c>
      <c r="I357" s="52" t="n">
        <v>0.045</v>
      </c>
      <c r="J357" s="52" t="n">
        <v>0.018</v>
      </c>
      <c r="K357" s="52" t="n">
        <v>0.07099999999999999</v>
      </c>
      <c r="L357" s="52" t="n">
        <v>4.046</v>
      </c>
    </row>
    <row r="358" hidden="1" s="57">
      <c r="A358" s="38" t="n"/>
      <c r="B358" s="49" t="inlineStr">
        <is>
          <t>UAA</t>
        </is>
      </c>
      <c r="C358" s="49" t="inlineStr">
        <is>
          <t>Under Armour</t>
        </is>
      </c>
      <c r="D358" s="50" t="inlineStr">
        <is>
          <t>Apparel Manufacturing</t>
        </is>
      </c>
      <c r="E358" s="51" t="n">
        <v>0.6</v>
      </c>
      <c r="F358" s="51" t="n">
        <v>1.9</v>
      </c>
      <c r="G358" s="51" t="n">
        <v>1.3</v>
      </c>
      <c r="H358" s="52" t="n">
        <v>0.469</v>
      </c>
      <c r="I358" s="52" t="n">
        <v>0.045</v>
      </c>
      <c r="J358" s="52" t="n">
        <v>0.018</v>
      </c>
      <c r="K358" s="52" t="n">
        <v>0.07099999999999999</v>
      </c>
      <c r="L358" s="52" t="n">
        <v>4.046</v>
      </c>
    </row>
    <row r="359" hidden="1" s="57">
      <c r="A359" s="38" t="n"/>
      <c r="B359" s="49" t="inlineStr">
        <is>
          <t>URI</t>
        </is>
      </c>
      <c r="C359" s="49" t="inlineStr">
        <is>
          <t>United Rentals</t>
        </is>
      </c>
      <c r="D359" s="50" t="inlineStr">
        <is>
          <t>Rental &amp; Leasing Services</t>
        </is>
      </c>
      <c r="E359" s="51" t="n">
        <v>3.2</v>
      </c>
      <c r="F359" s="51" t="n">
        <v>0.8</v>
      </c>
      <c r="G359" s="51" t="n">
        <v>0.7</v>
      </c>
      <c r="H359" s="52" t="n">
        <v>0.393</v>
      </c>
      <c r="I359" s="52" t="n">
        <v>0.233</v>
      </c>
      <c r="J359" s="52" t="n">
        <v>0.126</v>
      </c>
      <c r="K359" s="52" t="n">
        <v>0.07099999999999999</v>
      </c>
      <c r="L359" s="52" t="n">
        <v>0.5639999999999999</v>
      </c>
    </row>
    <row r="360" hidden="1" s="57">
      <c r="A360" s="38" t="n"/>
      <c r="B360" s="49" t="inlineStr">
        <is>
          <t>AVY</t>
        </is>
      </c>
      <c r="C360" s="49" t="inlineStr">
        <is>
          <t>Avery Dennison</t>
        </is>
      </c>
      <c r="D360" s="50" t="inlineStr">
        <is>
          <t>Business Equipment &amp; Supplies</t>
        </is>
      </c>
      <c r="E360" s="51" t="n">
        <v>1.6</v>
      </c>
      <c r="F360" s="51" t="n">
        <v>1</v>
      </c>
      <c r="G360" s="51" t="n">
        <v>0.7</v>
      </c>
      <c r="H360" s="52" t="n">
        <v>0.269</v>
      </c>
      <c r="I360" s="52" t="n">
        <v>0.117</v>
      </c>
      <c r="J360" s="52" t="n">
        <v>0.044</v>
      </c>
      <c r="K360" s="52" t="n">
        <v>0.07000000000000001</v>
      </c>
      <c r="L360" s="52" t="n">
        <v>1.58</v>
      </c>
    </row>
    <row r="361" hidden="1" s="57">
      <c r="A361" s="38" t="n"/>
      <c r="B361" s="49" t="inlineStr">
        <is>
          <t>BRK.B</t>
        </is>
      </c>
      <c r="C361" s="49" t="inlineStr">
        <is>
          <t>Berkshire Hathaway</t>
        </is>
      </c>
      <c r="D361" s="50" t="inlineStr">
        <is>
          <t>Insurance - Diversified</t>
        </is>
      </c>
      <c r="E361" s="51" t="n">
        <v>0.2</v>
      </c>
      <c r="F361" s="51" t="inlineStr">
        <is>
          <t xml:space="preserve">- </t>
        </is>
      </c>
      <c r="G361" s="51" t="inlineStr">
        <is>
          <t xml:space="preserve">- </t>
        </is>
      </c>
      <c r="H361" s="52" t="n">
        <v>0</v>
      </c>
      <c r="I361" s="52" t="n">
        <v>0</v>
      </c>
      <c r="J361" s="52" t="n">
        <v>0.249</v>
      </c>
      <c r="K361" s="52" t="n">
        <v>0.07000000000000001</v>
      </c>
      <c r="L361" s="52" t="n">
        <v>0.28</v>
      </c>
    </row>
    <row r="362" hidden="1" s="57">
      <c r="A362" s="38" t="n"/>
      <c r="B362" s="49" t="inlineStr">
        <is>
          <t>HUM</t>
        </is>
      </c>
      <c r="C362" s="49" t="inlineStr">
        <is>
          <t>Humana</t>
        </is>
      </c>
      <c r="D362" s="50" t="inlineStr">
        <is>
          <t>Healthcare Plans</t>
        </is>
      </c>
      <c r="E362" s="51" t="n">
        <v>0.5</v>
      </c>
      <c r="F362" s="51" t="inlineStr">
        <is>
          <t xml:space="preserve">- </t>
        </is>
      </c>
      <c r="G362" s="51" t="inlineStr">
        <is>
          <t xml:space="preserve">- </t>
        </is>
      </c>
      <c r="H362" s="52" t="n">
        <v>0</v>
      </c>
      <c r="I362" s="52" t="n">
        <v>0</v>
      </c>
      <c r="J362" s="52" t="n">
        <v>0.042</v>
      </c>
      <c r="K362" s="52" t="n">
        <v>0.07000000000000001</v>
      </c>
      <c r="L362" s="52" t="n">
        <v>1.683</v>
      </c>
    </row>
    <row r="363" hidden="1" s="57">
      <c r="A363" s="38" t="n"/>
      <c r="B363" s="49" t="inlineStr">
        <is>
          <t>UHS</t>
        </is>
      </c>
      <c r="C363" s="49" t="inlineStr">
        <is>
          <t>Universal Health Services</t>
        </is>
      </c>
      <c r="D363" s="50" t="inlineStr">
        <is>
          <t>Medical Care Facilities</t>
        </is>
      </c>
      <c r="E363" s="51" t="n">
        <v>0.8</v>
      </c>
      <c r="F363" s="51" t="n">
        <v>1.2</v>
      </c>
      <c r="G363" s="51" t="n">
        <v>1.1</v>
      </c>
      <c r="H363" s="52" t="n">
        <v>0.399</v>
      </c>
      <c r="I363" s="52" t="n">
        <v>0.107</v>
      </c>
      <c r="J363" s="52" t="n">
        <v>0.07199999999999999</v>
      </c>
      <c r="K363" s="52" t="n">
        <v>0.07000000000000001</v>
      </c>
      <c r="L363" s="52" t="n">
        <v>0.978</v>
      </c>
    </row>
    <row r="364" hidden="1" s="57">
      <c r="A364" s="38" t="n"/>
      <c r="B364" s="49" t="inlineStr">
        <is>
          <t>CMG</t>
        </is>
      </c>
      <c r="C364" s="49" t="inlineStr">
        <is>
          <t>Chipotle Mexican Grill</t>
        </is>
      </c>
      <c r="D364" s="50" t="inlineStr">
        <is>
          <t>Restaurants</t>
        </is>
      </c>
      <c r="E364" s="51" t="n">
        <v>1.7</v>
      </c>
      <c r="F364" s="51" t="n">
        <v>1.6</v>
      </c>
      <c r="G364" s="51" t="n">
        <v>1.5</v>
      </c>
      <c r="H364" s="52" t="n">
        <v>0.205</v>
      </c>
      <c r="I364" s="52" t="n">
        <v>0.08400000000000001</v>
      </c>
      <c r="J364" s="52" t="n">
        <v>0.063</v>
      </c>
      <c r="K364" s="52" t="n">
        <v>0.06900000000000001</v>
      </c>
      <c r="L364" s="52" t="n">
        <v>1.105</v>
      </c>
    </row>
    <row r="365" hidden="1" s="57">
      <c r="A365" s="38" t="n"/>
      <c r="B365" s="49" t="inlineStr">
        <is>
          <t>PVH</t>
        </is>
      </c>
      <c r="C365" s="49" t="inlineStr">
        <is>
          <t>PVH</t>
        </is>
      </c>
      <c r="D365" s="50" t="inlineStr">
        <is>
          <t>Apparel Manufacturing</t>
        </is>
      </c>
      <c r="E365" s="51" t="n">
        <v>0.8</v>
      </c>
      <c r="F365" s="51" t="n">
        <v>1.4</v>
      </c>
      <c r="G365" s="51" t="n">
        <v>0.8</v>
      </c>
      <c r="H365" s="52" t="n">
        <v>0.544</v>
      </c>
      <c r="I365" s="52" t="n">
        <v>0.059</v>
      </c>
      <c r="J365" s="52" t="n">
        <v>0.042</v>
      </c>
      <c r="K365" s="52" t="n">
        <v>0.06900000000000001</v>
      </c>
      <c r="L365" s="52" t="n">
        <v>1.64</v>
      </c>
    </row>
    <row r="366" hidden="1" s="57">
      <c r="A366" s="38" t="n"/>
      <c r="B366" s="49" t="inlineStr">
        <is>
          <t>TJX</t>
        </is>
      </c>
      <c r="C366" s="49" t="inlineStr">
        <is>
          <t>TJX Companies</t>
        </is>
      </c>
      <c r="D366" s="50" t="inlineStr">
        <is>
          <t>Apparel Retail</t>
        </is>
      </c>
      <c r="E366" s="51" t="n">
        <v>1.9</v>
      </c>
      <c r="F366" s="51" t="n">
        <v>1.2</v>
      </c>
      <c r="G366" s="51" t="n">
        <v>0.6</v>
      </c>
      <c r="H366" s="52" t="n">
        <v>0.285</v>
      </c>
      <c r="I366" s="52" t="n">
        <v>0.106</v>
      </c>
      <c r="J366" s="52" t="n">
        <v>0.079</v>
      </c>
      <c r="K366" s="52" t="n">
        <v>0.06900000000000001</v>
      </c>
      <c r="L366" s="52" t="n">
        <v>0.877</v>
      </c>
    </row>
    <row r="367" hidden="1" s="57">
      <c r="A367" s="38" t="n"/>
      <c r="B367" s="49" t="inlineStr">
        <is>
          <t>UNH</t>
        </is>
      </c>
      <c r="C367" s="49" t="inlineStr">
        <is>
          <t>UnitedHealth Group</t>
        </is>
      </c>
      <c r="D367" s="50" t="inlineStr">
        <is>
          <t>Healthcare Plans</t>
        </is>
      </c>
      <c r="E367" s="51" t="n">
        <v>0.7</v>
      </c>
      <c r="F367" s="51" t="n">
        <v>0.7</v>
      </c>
      <c r="G367" s="51" t="n">
        <v>0.7</v>
      </c>
      <c r="H367" s="52" t="n">
        <v>0.232</v>
      </c>
      <c r="I367" s="52" t="n">
        <v>0.074</v>
      </c>
      <c r="J367" s="52" t="n">
        <v>0.058</v>
      </c>
      <c r="K367" s="52" t="n">
        <v>0.06900000000000001</v>
      </c>
      <c r="L367" s="52" t="n">
        <v>1.189</v>
      </c>
    </row>
    <row r="368" hidden="1" s="57">
      <c r="A368" s="38" t="n"/>
      <c r="B368" s="49" t="inlineStr">
        <is>
          <t>HCA</t>
        </is>
      </c>
      <c r="C368" s="49" t="inlineStr">
        <is>
          <t>HCA Healthcare</t>
        </is>
      </c>
      <c r="D368" s="50" t="inlineStr">
        <is>
          <t>Medical Care Facilities</t>
        </is>
      </c>
      <c r="E368" s="51" t="inlineStr">
        <is>
          <t xml:space="preserve">- </t>
        </is>
      </c>
      <c r="F368" s="51" t="n">
        <v>1.4</v>
      </c>
      <c r="G368" s="51" t="n">
        <v>1.2</v>
      </c>
      <c r="H368" s="52" t="n">
        <v>0.376</v>
      </c>
      <c r="I368" s="52" t="n">
        <v>0.141</v>
      </c>
      <c r="J368" s="52" t="n">
        <v>0.068</v>
      </c>
      <c r="K368" s="52" t="n">
        <v>0.068</v>
      </c>
      <c r="L368" s="52" t="n">
        <v>0.993</v>
      </c>
    </row>
    <row r="369" hidden="1" s="57">
      <c r="A369" s="38" t="n"/>
      <c r="B369" s="49" t="inlineStr">
        <is>
          <t>SEE</t>
        </is>
      </c>
      <c r="C369" s="49" t="inlineStr">
        <is>
          <t>Sealed Air</t>
        </is>
      </c>
      <c r="D369" s="50" t="inlineStr">
        <is>
          <t>Packaging &amp; Containers</t>
        </is>
      </c>
      <c r="E369" s="51" t="inlineStr">
        <is>
          <t xml:space="preserve">- </t>
        </is>
      </c>
      <c r="F369" s="51" t="n">
        <v>1.1</v>
      </c>
      <c r="G369" s="51" t="n">
        <v>0.7</v>
      </c>
      <c r="H369" s="52" t="n">
        <v>0.327</v>
      </c>
      <c r="I369" s="52" t="n">
        <v>0.129</v>
      </c>
      <c r="J369" s="52" t="n">
        <v>0.055</v>
      </c>
      <c r="K369" s="52" t="n">
        <v>0.068</v>
      </c>
      <c r="L369" s="52" t="n">
        <v>1.231</v>
      </c>
    </row>
    <row r="370" hidden="1" s="57">
      <c r="A370" s="38" t="n"/>
      <c r="B370" s="49" t="inlineStr">
        <is>
          <t>CPRT</t>
        </is>
      </c>
      <c r="C370" s="49" t="inlineStr">
        <is>
          <t>Copart</t>
        </is>
      </c>
      <c r="D370" s="50" t="inlineStr">
        <is>
          <t>Specialty Business Services</t>
        </is>
      </c>
      <c r="E370" s="51" t="n">
        <v>0.2</v>
      </c>
      <c r="F370" s="51" t="n">
        <v>2.1</v>
      </c>
      <c r="G370" s="51" t="n">
        <v>2.1</v>
      </c>
      <c r="H370" s="52" t="n">
        <v>0.453</v>
      </c>
      <c r="I370" s="52" t="n">
        <v>0.366</v>
      </c>
      <c r="J370" s="52" t="n">
        <v>0.329</v>
      </c>
      <c r="K370" s="52" t="n">
        <v>0.067</v>
      </c>
      <c r="L370" s="52" t="n">
        <v>0.202</v>
      </c>
    </row>
    <row r="371" hidden="1" s="57">
      <c r="A371" s="38" t="n"/>
      <c r="B371" s="49" t="inlineStr">
        <is>
          <t>COTY</t>
        </is>
      </c>
      <c r="C371" s="49" t="inlineStr">
        <is>
          <t>Coty</t>
        </is>
      </c>
      <c r="D371" s="50" t="inlineStr">
        <is>
          <t>Household &amp; Personal Products</t>
        </is>
      </c>
      <c r="E371" s="51" t="n">
        <v>1.8</v>
      </c>
      <c r="F371" s="51" t="n">
        <v>0.9</v>
      </c>
      <c r="G371" s="51" t="n">
        <v>0.6</v>
      </c>
      <c r="H371" s="52" t="n">
        <v>0.626</v>
      </c>
      <c r="I371" s="52" t="n">
        <v>0.058</v>
      </c>
      <c r="J371" s="52" t="n">
        <v>-0.335</v>
      </c>
      <c r="K371" s="52" t="n">
        <v>0.066</v>
      </c>
      <c r="L371" s="51" t="inlineStr">
        <is>
          <t xml:space="preserve">- </t>
        </is>
      </c>
    </row>
    <row r="372" hidden="1" s="57">
      <c r="A372" s="38" t="n"/>
      <c r="B372" s="49" t="inlineStr">
        <is>
          <t>LYB</t>
        </is>
      </c>
      <c r="C372" s="49" t="inlineStr">
        <is>
          <t>LyondellBasell Industries</t>
        </is>
      </c>
      <c r="D372" s="50" t="inlineStr">
        <is>
          <t>Specialty Chemicals</t>
        </is>
      </c>
      <c r="E372" s="51" t="n">
        <v>1.7</v>
      </c>
      <c r="F372" s="51" t="n">
        <v>1.8</v>
      </c>
      <c r="G372" s="51" t="n">
        <v>0.9</v>
      </c>
      <c r="H372" s="52" t="n">
        <v>0.156</v>
      </c>
      <c r="I372" s="52" t="n">
        <v>0.119</v>
      </c>
      <c r="J372" s="52" t="n">
        <v>0.098</v>
      </c>
      <c r="K372" s="52" t="n">
        <v>0.066</v>
      </c>
      <c r="L372" s="52" t="n">
        <v>0.674</v>
      </c>
    </row>
    <row r="373" hidden="1" s="57">
      <c r="A373" s="38" t="n"/>
      <c r="B373" s="49" t="inlineStr">
        <is>
          <t>F</t>
        </is>
      </c>
      <c r="C373" s="49" t="inlineStr">
        <is>
          <t>Ford Motor</t>
        </is>
      </c>
      <c r="D373" s="50" t="inlineStr">
        <is>
          <t>Auto Manufacturers</t>
        </is>
      </c>
      <c r="E373" s="51" t="n">
        <v>4.7</v>
      </c>
      <c r="F373" s="51" t="n">
        <v>1.2</v>
      </c>
      <c r="G373" s="51" t="n">
        <v>1.1</v>
      </c>
      <c r="H373" s="52" t="n">
        <v>0.136</v>
      </c>
      <c r="I373" s="52" t="n">
        <v>0.003</v>
      </c>
      <c r="J373" s="52" t="n">
        <v>0</v>
      </c>
      <c r="K373" s="52" t="n">
        <v>0.064</v>
      </c>
      <c r="L373" s="51" t="inlineStr">
        <is>
          <t xml:space="preserve">- </t>
        </is>
      </c>
    </row>
    <row r="374" hidden="1" s="57">
      <c r="A374" s="38" t="n"/>
      <c r="B374" s="49" t="inlineStr">
        <is>
          <t>HRL</t>
        </is>
      </c>
      <c r="C374" s="49" t="inlineStr">
        <is>
          <t>Hormel Foods</t>
        </is>
      </c>
      <c r="D374" s="50" t="inlineStr">
        <is>
          <t>Packaged Foods</t>
        </is>
      </c>
      <c r="E374" s="51" t="n">
        <v>0.1</v>
      </c>
      <c r="F374" s="51" t="n">
        <v>2.3</v>
      </c>
      <c r="G374" s="51" t="n">
        <v>1.3</v>
      </c>
      <c r="H374" s="52" t="n">
        <v>0.196</v>
      </c>
      <c r="I374" s="52" t="n">
        <v>0.119</v>
      </c>
      <c r="J374" s="52" t="n">
        <v>0.103</v>
      </c>
      <c r="K374" s="52" t="n">
        <v>0.064</v>
      </c>
      <c r="L374" s="52" t="n">
        <v>0.625</v>
      </c>
    </row>
    <row r="375" hidden="1" s="57">
      <c r="A375" s="38" t="n"/>
      <c r="B375" s="49" t="inlineStr">
        <is>
          <t>LKQ</t>
        </is>
      </c>
      <c r="C375" s="49" t="inlineStr">
        <is>
          <t>LKQ</t>
        </is>
      </c>
      <c r="D375" s="50" t="inlineStr">
        <is>
          <t>Auto Parts</t>
        </is>
      </c>
      <c r="E375" s="51" t="n">
        <v>1.1</v>
      </c>
      <c r="F375" s="51" t="n">
        <v>2.2</v>
      </c>
      <c r="G375" s="51" t="n">
        <v>0.9</v>
      </c>
      <c r="H375" s="52" t="n">
        <v>0.388</v>
      </c>
      <c r="I375" s="52" t="n">
        <v>0.078</v>
      </c>
      <c r="J375" s="52" t="n">
        <v>0.043</v>
      </c>
      <c r="K375" s="52" t="n">
        <v>0.064</v>
      </c>
      <c r="L375" s="52" t="n">
        <v>1.477</v>
      </c>
    </row>
    <row r="376" hidden="1" s="57">
      <c r="A376" s="38" t="n"/>
      <c r="B376" s="49" t="inlineStr">
        <is>
          <t>VFC</t>
        </is>
      </c>
      <c r="C376" s="49" t="inlineStr">
        <is>
          <t>VF</t>
        </is>
      </c>
      <c r="D376" s="50" t="inlineStr">
        <is>
          <t>Apparel Manufacturing</t>
        </is>
      </c>
      <c r="E376" s="51" t="n">
        <v>0.7</v>
      </c>
      <c r="F376" s="51" t="n">
        <v>2.1</v>
      </c>
      <c r="G376" s="51" t="n">
        <v>1.3</v>
      </c>
      <c r="H376" s="52" t="n">
        <v>0.533</v>
      </c>
      <c r="I376" s="52" t="n">
        <v>0.122</v>
      </c>
      <c r="J376" s="52" t="n">
        <v>0.106</v>
      </c>
      <c r="K376" s="52" t="n">
        <v>0.064</v>
      </c>
      <c r="L376" s="52" t="n">
        <v>0.598</v>
      </c>
    </row>
    <row r="377" hidden="1" s="57">
      <c r="A377" s="38" t="n"/>
      <c r="B377" s="49" t="inlineStr">
        <is>
          <t>FLS</t>
        </is>
      </c>
      <c r="C377" s="49" t="inlineStr">
        <is>
          <t>Flowserve</t>
        </is>
      </c>
      <c r="D377" s="50" t="inlineStr">
        <is>
          <t>Specialty Industrial Machinery</t>
        </is>
      </c>
      <c r="E377" s="51" t="n">
        <v>0.9</v>
      </c>
      <c r="F377" s="51" t="n">
        <v>2.3</v>
      </c>
      <c r="G377" s="51" t="n">
        <v>1.7</v>
      </c>
      <c r="H377" s="52" t="n">
        <v>0.328</v>
      </c>
      <c r="I377" s="52" t="n">
        <v>0.1</v>
      </c>
      <c r="J377" s="52" t="n">
        <v>0.064</v>
      </c>
      <c r="K377" s="52" t="n">
        <v>0.063</v>
      </c>
      <c r="L377" s="52" t="n">
        <v>0.977</v>
      </c>
    </row>
    <row r="378" hidden="1" s="57">
      <c r="A378" s="38" t="n"/>
      <c r="B378" s="49" t="inlineStr">
        <is>
          <t>LB</t>
        </is>
      </c>
      <c r="C378" s="49" t="inlineStr">
        <is>
          <t>L Brands</t>
        </is>
      </c>
      <c r="D378" s="50" t="inlineStr">
        <is>
          <t>Apparel Retail</t>
        </is>
      </c>
      <c r="E378" s="51" t="inlineStr">
        <is>
          <t xml:space="preserve">- </t>
        </is>
      </c>
      <c r="F378" s="51" t="n">
        <v>1.4</v>
      </c>
      <c r="G378" s="51" t="n">
        <v>0.8</v>
      </c>
      <c r="H378" s="52" t="n">
        <v>0.345</v>
      </c>
      <c r="I378" s="52" t="n">
        <v>0.076</v>
      </c>
      <c r="J378" s="52" t="n">
        <v>-0.029</v>
      </c>
      <c r="K378" s="52" t="n">
        <v>0.061</v>
      </c>
      <c r="L378" s="51" t="inlineStr">
        <is>
          <t xml:space="preserve">- </t>
        </is>
      </c>
    </row>
    <row r="379" hidden="1" s="57">
      <c r="A379" s="38" t="n"/>
      <c r="B379" s="49" t="inlineStr">
        <is>
          <t>RCL</t>
        </is>
      </c>
      <c r="C379" s="49" t="inlineStr">
        <is>
          <t>Royal Caribbean Cruises</t>
        </is>
      </c>
      <c r="D379" s="50" t="inlineStr">
        <is>
          <t>Travel Services</t>
        </is>
      </c>
      <c r="E379" s="51" t="n">
        <v>1</v>
      </c>
      <c r="F379" s="51" t="n">
        <v>0.2</v>
      </c>
      <c r="G379" s="51" t="n">
        <v>0.1</v>
      </c>
      <c r="H379" s="52" t="n">
        <v>0.447</v>
      </c>
      <c r="I379" s="52" t="n">
        <v>0.191</v>
      </c>
      <c r="J379" s="52" t="n">
        <v>0.172</v>
      </c>
      <c r="K379" s="52" t="n">
        <v>0.061</v>
      </c>
      <c r="L379" s="52" t="n">
        <v>0.356</v>
      </c>
    </row>
    <row r="380" hidden="1" s="57">
      <c r="A380" s="38" t="n"/>
      <c r="B380" s="49" t="inlineStr">
        <is>
          <t>APTV</t>
        </is>
      </c>
      <c r="C380" s="49" t="inlineStr">
        <is>
          <t>Aptiv</t>
        </is>
      </c>
      <c r="D380" s="50" t="inlineStr">
        <is>
          <t>Auto Parts</t>
        </is>
      </c>
      <c r="E380" s="51" t="n">
        <v>1.3</v>
      </c>
      <c r="F380" s="51" t="n">
        <v>1.3</v>
      </c>
      <c r="G380" s="51" t="n">
        <v>1</v>
      </c>
      <c r="H380" s="52" t="n">
        <v>0.184</v>
      </c>
      <c r="I380" s="52" t="n">
        <v>0.099</v>
      </c>
      <c r="J380" s="52" t="n">
        <v>0.06900000000000001</v>
      </c>
      <c r="K380" s="52" t="n">
        <v>0.06</v>
      </c>
      <c r="L380" s="52" t="n">
        <v>0.868</v>
      </c>
    </row>
    <row r="381" hidden="1" s="57">
      <c r="A381" s="38" t="n"/>
      <c r="B381" s="49" t="inlineStr">
        <is>
          <t>HSIC</t>
        </is>
      </c>
      <c r="C381" s="49" t="inlineStr">
        <is>
          <t>Henry Schein</t>
        </is>
      </c>
      <c r="D381" s="50" t="inlineStr">
        <is>
          <t>Medical Distribution</t>
        </is>
      </c>
      <c r="E381" s="51" t="n">
        <v>0.3</v>
      </c>
      <c r="F381" s="51" t="n">
        <v>1.6</v>
      </c>
      <c r="G381" s="51" t="n">
        <v>0.9</v>
      </c>
      <c r="H381" s="52" t="n">
        <v>0.309</v>
      </c>
      <c r="I381" s="52" t="n">
        <v>0.073</v>
      </c>
      <c r="J381" s="52" t="n">
        <v>0.07000000000000001</v>
      </c>
      <c r="K381" s="52" t="n">
        <v>0.059</v>
      </c>
      <c r="L381" s="52" t="n">
        <v>0.841</v>
      </c>
    </row>
    <row r="382" hidden="1" s="57">
      <c r="A382" s="38" t="n"/>
      <c r="B382" s="49" t="inlineStr">
        <is>
          <t>NUE</t>
        </is>
      </c>
      <c r="C382" s="49" t="inlineStr">
        <is>
          <t>Nucor</t>
        </is>
      </c>
      <c r="D382" s="50" t="inlineStr">
        <is>
          <t>Steel</t>
        </is>
      </c>
      <c r="E382" s="51" t="n">
        <v>0.4</v>
      </c>
      <c r="F382" s="51" t="n">
        <v>3.3</v>
      </c>
      <c r="G382" s="51" t="n">
        <v>1.8</v>
      </c>
      <c r="H382" s="52" t="n">
        <v>0.118</v>
      </c>
      <c r="I382" s="52" t="n">
        <v>0.08699999999999999</v>
      </c>
      <c r="J382" s="52" t="n">
        <v>0.056</v>
      </c>
      <c r="K382" s="52" t="n">
        <v>0.059</v>
      </c>
      <c r="L382" s="52" t="n">
        <v>1.054</v>
      </c>
    </row>
    <row r="383" hidden="1" s="57">
      <c r="A383" s="38" t="n"/>
      <c r="B383" s="49" t="inlineStr">
        <is>
          <t>NOV</t>
        </is>
      </c>
      <c r="C383" s="49" t="inlineStr">
        <is>
          <t>National Oilwell Varco</t>
        </is>
      </c>
      <c r="D383" s="50" t="inlineStr">
        <is>
          <t>Oil &amp; Gas Equipment &amp; Services</t>
        </is>
      </c>
      <c r="E383" s="51" t="n">
        <v>0.4</v>
      </c>
      <c r="F383" s="51" t="n">
        <v>2.7</v>
      </c>
      <c r="G383" s="51" t="n">
        <v>1.7</v>
      </c>
      <c r="H383" s="52" t="n">
        <v>0.099</v>
      </c>
      <c r="I383" s="52" t="n">
        <v>-0.054</v>
      </c>
      <c r="J383" s="52" t="n">
        <v>-0.726</v>
      </c>
      <c r="K383" s="52" t="n">
        <v>0.058</v>
      </c>
      <c r="L383" s="51" t="inlineStr">
        <is>
          <t xml:space="preserve">- </t>
        </is>
      </c>
    </row>
    <row r="384" hidden="1" s="57">
      <c r="A384" s="38" t="n"/>
      <c r="B384" s="49" t="inlineStr">
        <is>
          <t>DHI</t>
        </is>
      </c>
      <c r="C384" s="49" t="inlineStr">
        <is>
          <t>D.R. Horton</t>
        </is>
      </c>
      <c r="D384" s="50" t="inlineStr">
        <is>
          <t>Residential Construction</t>
        </is>
      </c>
      <c r="E384" s="51" t="n">
        <v>0.4</v>
      </c>
      <c r="F384" s="51" t="n">
        <v>10.1</v>
      </c>
      <c r="G384" s="51" t="n">
        <v>1.2</v>
      </c>
      <c r="H384" s="52" t="n">
        <v>0.223</v>
      </c>
      <c r="I384" s="52" t="n">
        <v>0.121</v>
      </c>
      <c r="J384" s="52" t="n">
        <v>0.098</v>
      </c>
      <c r="K384" s="52" t="n">
        <v>0.057</v>
      </c>
      <c r="L384" s="52" t="n">
        <v>0.589</v>
      </c>
    </row>
    <row r="385" hidden="1" s="57">
      <c r="A385" s="38" t="n"/>
      <c r="B385" s="49" t="inlineStr">
        <is>
          <t>WRK</t>
        </is>
      </c>
      <c r="C385" s="49" t="inlineStr">
        <is>
          <t>WestRock</t>
        </is>
      </c>
      <c r="D385" s="50" t="inlineStr">
        <is>
          <t>Packaging &amp; Containers</t>
        </is>
      </c>
      <c r="E385" s="51" t="n">
        <v>0.9</v>
      </c>
      <c r="F385" s="51" t="n">
        <v>1.4</v>
      </c>
      <c r="G385" s="51" t="n">
        <v>0.8</v>
      </c>
      <c r="H385" s="52" t="n">
        <v>0.206</v>
      </c>
      <c r="I385" s="52" t="n">
        <v>0.089</v>
      </c>
      <c r="J385" s="52" t="n">
        <v>0.047</v>
      </c>
      <c r="K385" s="52" t="n">
        <v>0.056</v>
      </c>
      <c r="L385" s="52" t="n">
        <v>1.185</v>
      </c>
    </row>
    <row r="386" hidden="1" s="57">
      <c r="A386" s="38" t="n"/>
      <c r="B386" s="49" t="inlineStr">
        <is>
          <t>CI</t>
        </is>
      </c>
      <c r="C386" s="49" t="inlineStr">
        <is>
          <t>Cigna</t>
        </is>
      </c>
      <c r="D386" s="50" t="inlineStr">
        <is>
          <t>Healthcare Plans</t>
        </is>
      </c>
      <c r="E386" s="51" t="n">
        <v>0.8</v>
      </c>
      <c r="F386" s="51" t="inlineStr">
        <is>
          <t xml:space="preserve">- </t>
        </is>
      </c>
      <c r="G386" s="51" t="inlineStr">
        <is>
          <t xml:space="preserve">- </t>
        </is>
      </c>
      <c r="H386" s="52" t="n">
        <v>0</v>
      </c>
      <c r="I386" s="52" t="n">
        <v>0</v>
      </c>
      <c r="J386" s="52" t="n">
        <v>0.033</v>
      </c>
      <c r="K386" s="52" t="n">
        <v>0.055</v>
      </c>
      <c r="L386" s="52" t="n">
        <v>1.646</v>
      </c>
    </row>
    <row r="387" hidden="1" s="57">
      <c r="A387" s="38" t="n"/>
      <c r="B387" s="49" t="inlineStr">
        <is>
          <t>FRT</t>
        </is>
      </c>
      <c r="C387" s="49" t="inlineStr">
        <is>
          <t>Federal Realty Investment</t>
        </is>
      </c>
      <c r="D387" s="50" t="inlineStr">
        <is>
          <t>REIT - Retail</t>
        </is>
      </c>
      <c r="E387" s="51" t="n">
        <v>1.4</v>
      </c>
      <c r="F387" s="51" t="n">
        <v>1.5</v>
      </c>
      <c r="G387" s="51" t="n">
        <v>1.5</v>
      </c>
      <c r="H387" s="52" t="n">
        <v>0.681</v>
      </c>
      <c r="I387" s="52" t="n">
        <v>0.379</v>
      </c>
      <c r="J387" s="52" t="n">
        <v>0.38</v>
      </c>
      <c r="K387" s="52" t="n">
        <v>0.055</v>
      </c>
      <c r="L387" s="52" t="n">
        <v>0.145</v>
      </c>
    </row>
    <row r="388" hidden="1" s="57">
      <c r="A388" s="38" t="n"/>
      <c r="B388" s="49" t="inlineStr">
        <is>
          <t>UAL</t>
        </is>
      </c>
      <c r="C388" s="49" t="inlineStr">
        <is>
          <t>United Airlines Holdings</t>
        </is>
      </c>
      <c r="D388" s="50" t="inlineStr">
        <is>
          <t>Airlines</t>
        </is>
      </c>
      <c r="E388" s="51" t="n">
        <v>1.8</v>
      </c>
      <c r="F388" s="51" t="n">
        <v>0.6</v>
      </c>
      <c r="G388" s="51" t="n">
        <v>0.5</v>
      </c>
      <c r="H388" s="52" t="n">
        <v>0.289</v>
      </c>
      <c r="I388" s="52" t="n">
        <v>0.106</v>
      </c>
      <c r="J388" s="52" t="n">
        <v>0.07000000000000001</v>
      </c>
      <c r="K388" s="52" t="n">
        <v>0.055</v>
      </c>
      <c r="L388" s="52" t="n">
        <v>0.79</v>
      </c>
    </row>
    <row r="389" hidden="1" s="57">
      <c r="A389" s="38" t="n"/>
      <c r="B389" s="49" t="inlineStr">
        <is>
          <t>BWA</t>
        </is>
      </c>
      <c r="C389" s="49" t="inlineStr">
        <is>
          <t>BorgWarner</t>
        </is>
      </c>
      <c r="D389" s="50" t="inlineStr">
        <is>
          <t>Auto Parts</t>
        </is>
      </c>
      <c r="E389" s="51" t="n">
        <v>0.4</v>
      </c>
      <c r="F389" s="51" t="n">
        <v>1.7</v>
      </c>
      <c r="G389" s="51" t="n">
        <v>1.2</v>
      </c>
      <c r="H389" s="52" t="n">
        <v>0.207</v>
      </c>
      <c r="I389" s="52" t="n">
        <v>0.121</v>
      </c>
      <c r="J389" s="52" t="n">
        <v>0.074</v>
      </c>
      <c r="K389" s="52" t="n">
        <v>0.053</v>
      </c>
      <c r="L389" s="52" t="n">
        <v>0.718</v>
      </c>
    </row>
    <row r="390" hidden="1" s="57">
      <c r="A390" s="38" t="n"/>
      <c r="B390" s="49" t="inlineStr">
        <is>
          <t>IRM</t>
        </is>
      </c>
      <c r="C390" s="49" t="inlineStr">
        <is>
          <t>Iron Mountain</t>
        </is>
      </c>
      <c r="D390" s="50" t="inlineStr">
        <is>
          <t>REIT - Specialty</t>
        </is>
      </c>
      <c r="E390" s="51" t="n">
        <v>6.1</v>
      </c>
      <c r="F390" s="51" t="n">
        <v>0.6</v>
      </c>
      <c r="G390" s="51" t="n">
        <v>0.6</v>
      </c>
      <c r="H390" s="52" t="n">
        <v>0.57</v>
      </c>
      <c r="I390" s="52" t="n">
        <v>0.188</v>
      </c>
      <c r="J390" s="52" t="n">
        <v>0.063</v>
      </c>
      <c r="K390" s="52" t="n">
        <v>0.053</v>
      </c>
      <c r="L390" s="52" t="n">
        <v>0.836</v>
      </c>
    </row>
    <row r="391" hidden="1" s="57">
      <c r="A391" s="38" t="n"/>
      <c r="B391" s="49" t="inlineStr">
        <is>
          <t>TGT</t>
        </is>
      </c>
      <c r="C391" s="49" t="inlineStr">
        <is>
          <t>Target</t>
        </is>
      </c>
      <c r="D391" s="50" t="inlineStr">
        <is>
          <t>Discount Stores</t>
        </is>
      </c>
      <c r="E391" s="51" t="n">
        <v>1.2</v>
      </c>
      <c r="F391" s="51" t="n">
        <v>0.9</v>
      </c>
      <c r="G391" s="51" t="n">
        <v>0.3</v>
      </c>
      <c r="H391" s="52" t="n">
        <v>0.298</v>
      </c>
      <c r="I391" s="52" t="n">
        <v>0.06</v>
      </c>
      <c r="J391" s="52" t="n">
        <v>0.042</v>
      </c>
      <c r="K391" s="52" t="n">
        <v>0.053</v>
      </c>
      <c r="L391" s="52" t="n">
        <v>1.26</v>
      </c>
    </row>
    <row r="392" hidden="1" s="57">
      <c r="A392" s="38" t="n"/>
      <c r="B392" s="49" t="inlineStr">
        <is>
          <t>DG</t>
        </is>
      </c>
      <c r="C392" s="49" t="inlineStr">
        <is>
          <t>Dollar General</t>
        </is>
      </c>
      <c r="D392" s="50" t="inlineStr">
        <is>
          <t>Discount Stores</t>
        </is>
      </c>
      <c r="E392" s="51" t="n">
        <v>1.8</v>
      </c>
      <c r="F392" s="51" t="n">
        <v>1.1</v>
      </c>
      <c r="G392" s="51" t="n">
        <v>0.1</v>
      </c>
      <c r="H392" s="52" t="n">
        <v>0.306</v>
      </c>
      <c r="I392" s="52" t="n">
        <v>0.083</v>
      </c>
      <c r="J392" s="52" t="n">
        <v>0.062</v>
      </c>
      <c r="K392" s="52" t="n">
        <v>0.052</v>
      </c>
      <c r="L392" s="52" t="n">
        <v>0.847</v>
      </c>
    </row>
    <row r="393" hidden="1" s="57">
      <c r="A393" s="38" t="n"/>
      <c r="B393" s="49" t="inlineStr">
        <is>
          <t>GD</t>
        </is>
      </c>
      <c r="C393" s="49" t="inlineStr">
        <is>
          <t>General Dynamics</t>
        </is>
      </c>
      <c r="D393" s="50" t="inlineStr">
        <is>
          <t>Aerospace &amp; Defense</t>
        </is>
      </c>
      <c r="E393" s="51" t="n">
        <v>1</v>
      </c>
      <c r="F393" s="51" t="n">
        <v>1.2</v>
      </c>
      <c r="G393" s="51" t="n">
        <v>0.8</v>
      </c>
      <c r="H393" s="52" t="n">
        <v>0.179</v>
      </c>
      <c r="I393" s="52" t="n">
        <v>0.118</v>
      </c>
      <c r="J393" s="52" t="n">
        <v>0.089</v>
      </c>
      <c r="K393" s="52" t="n">
        <v>0.052</v>
      </c>
      <c r="L393" s="52" t="n">
        <v>0.59</v>
      </c>
    </row>
    <row r="394" hidden="1" s="57">
      <c r="A394" s="38" t="n"/>
      <c r="B394" s="49" t="inlineStr">
        <is>
          <t>PRGO</t>
        </is>
      </c>
      <c r="C394" s="49" t="inlineStr">
        <is>
          <t>Perrigo</t>
        </is>
      </c>
      <c r="D394" s="50" t="inlineStr">
        <is>
          <t>Drug Manufacturers - Specialty &amp; Generic</t>
        </is>
      </c>
      <c r="E394" s="51" t="n">
        <v>0.6</v>
      </c>
      <c r="F394" s="51" t="n">
        <v>2.1</v>
      </c>
      <c r="G394" s="51" t="n">
        <v>1.3</v>
      </c>
      <c r="H394" s="52" t="n">
        <v>0.366</v>
      </c>
      <c r="I394" s="52" t="n">
        <v>0.08599999999999999</v>
      </c>
      <c r="J394" s="52" t="n">
        <v>0.03</v>
      </c>
      <c r="K394" s="52" t="n">
        <v>0.052</v>
      </c>
      <c r="L394" s="52" t="n">
        <v>1.723</v>
      </c>
    </row>
    <row r="395" hidden="1" s="57">
      <c r="A395" s="38" t="n"/>
      <c r="B395" s="49" t="inlineStr">
        <is>
          <t>TXT</t>
        </is>
      </c>
      <c r="C395" s="49" t="inlineStr">
        <is>
          <t>Textron</t>
        </is>
      </c>
      <c r="D395" s="50" t="inlineStr">
        <is>
          <t>Aerospace &amp; Defense</t>
        </is>
      </c>
      <c r="E395" s="51" t="n">
        <v>0.7</v>
      </c>
      <c r="F395" s="51" t="n">
        <v>2.1</v>
      </c>
      <c r="G395" s="51" t="n">
        <v>1</v>
      </c>
      <c r="H395" s="52" t="n">
        <v>0.163</v>
      </c>
      <c r="I395" s="52" t="n">
        <v>0.079</v>
      </c>
      <c r="J395" s="52" t="n">
        <v>0.06</v>
      </c>
      <c r="K395" s="52" t="n">
        <v>0.051</v>
      </c>
      <c r="L395" s="52" t="n">
        <v>0.851</v>
      </c>
    </row>
    <row r="396" hidden="1" s="57">
      <c r="A396" s="38" t="n"/>
      <c r="B396" s="49" t="inlineStr">
        <is>
          <t>CHRW</t>
        </is>
      </c>
      <c r="C396" s="49" t="inlineStr">
        <is>
          <t>C.H. Robinson Worldwide</t>
        </is>
      </c>
      <c r="D396" s="50" t="inlineStr">
        <is>
          <t>Integrated Freight &amp; Logistics</t>
        </is>
      </c>
      <c r="E396" s="51" t="n">
        <v>0.9</v>
      </c>
      <c r="F396" s="51" t="n">
        <v>1.7</v>
      </c>
      <c r="G396" s="51" t="n">
        <v>1.7</v>
      </c>
      <c r="H396" s="52" t="n">
        <v>0.08400000000000001</v>
      </c>
      <c r="I396" s="52" t="n">
        <v>0.052</v>
      </c>
      <c r="J396" s="52" t="n">
        <v>0.038</v>
      </c>
      <c r="K396" s="52" t="n">
        <v>0.05</v>
      </c>
      <c r="L396" s="52" t="n">
        <v>1.324</v>
      </c>
    </row>
    <row r="397" hidden="1" s="57">
      <c r="A397" s="38" t="n"/>
      <c r="B397" s="49" t="inlineStr">
        <is>
          <t>MAR</t>
        </is>
      </c>
      <c r="C397" s="49" t="inlineStr">
        <is>
          <t>Marriott Intl</t>
        </is>
      </c>
      <c r="D397" s="50" t="inlineStr">
        <is>
          <t>Lodging</t>
        </is>
      </c>
      <c r="E397" s="51" t="n">
        <v>16.8</v>
      </c>
      <c r="F397" s="51" t="n">
        <v>0.5</v>
      </c>
      <c r="G397" s="51" t="n">
        <v>0.5</v>
      </c>
      <c r="H397" s="52" t="n">
        <v>0.153</v>
      </c>
      <c r="I397" s="52" t="n">
        <v>0.092</v>
      </c>
      <c r="J397" s="52" t="n">
        <v>0.061</v>
      </c>
      <c r="K397" s="52" t="n">
        <v>0.05</v>
      </c>
      <c r="L397" s="52" t="n">
        <v>0.8179999999999999</v>
      </c>
    </row>
    <row r="398" hidden="1" s="57">
      <c r="A398" s="38" t="n"/>
      <c r="B398" s="49" t="inlineStr">
        <is>
          <t>ANTM</t>
        </is>
      </c>
      <c r="C398" s="49" t="inlineStr">
        <is>
          <t>Anthem</t>
        </is>
      </c>
      <c r="D398" s="50" t="inlineStr">
        <is>
          <t>Healthcare Plans</t>
        </is>
      </c>
      <c r="E398" s="51" t="n">
        <v>0.6</v>
      </c>
      <c r="F398" s="51" t="inlineStr">
        <is>
          <t xml:space="preserve">- </t>
        </is>
      </c>
      <c r="G398" s="51" t="inlineStr">
        <is>
          <t xml:space="preserve">- </t>
        </is>
      </c>
      <c r="H398" s="52" t="n">
        <v>0</v>
      </c>
      <c r="I398" s="52" t="n">
        <v>0</v>
      </c>
      <c r="J398" s="52" t="n">
        <v>0.046</v>
      </c>
      <c r="K398" s="52" t="n">
        <v>0.048</v>
      </c>
      <c r="L398" s="52" t="n">
        <v>1.039</v>
      </c>
    </row>
    <row r="399" hidden="1" s="57">
      <c r="A399" s="38" t="n"/>
      <c r="B399" s="49" t="inlineStr">
        <is>
          <t>L</t>
        </is>
      </c>
      <c r="C399" s="49" t="inlineStr">
        <is>
          <t>Loews</t>
        </is>
      </c>
      <c r="D399" s="50" t="inlineStr">
        <is>
          <t>Insurance - Property &amp; Casualty</t>
        </is>
      </c>
      <c r="E399" s="51" t="n">
        <v>0.6</v>
      </c>
      <c r="F399" s="51" t="inlineStr">
        <is>
          <t xml:space="preserve">- </t>
        </is>
      </c>
      <c r="G399" s="51" t="inlineStr">
        <is>
          <t xml:space="preserve">- </t>
        </is>
      </c>
      <c r="H399" s="52" t="n">
        <v>0</v>
      </c>
      <c r="I399" s="52" t="n">
        <v>0</v>
      </c>
      <c r="J399" s="52" t="n">
        <v>0.062</v>
      </c>
      <c r="K399" s="52" t="n">
        <v>0.048</v>
      </c>
      <c r="L399" s="52" t="n">
        <v>0.772</v>
      </c>
    </row>
    <row r="400" hidden="1" s="57">
      <c r="A400" s="38" t="n"/>
      <c r="B400" s="49" t="inlineStr">
        <is>
          <t>CDW</t>
        </is>
      </c>
      <c r="C400" s="49" t="inlineStr">
        <is>
          <t>CDW</t>
        </is>
      </c>
      <c r="D400" s="50" t="inlineStr">
        <is>
          <t>Information Technology Services</t>
        </is>
      </c>
      <c r="E400" s="51" t="n">
        <v>3.6</v>
      </c>
      <c r="F400" s="51" t="n">
        <v>1.2</v>
      </c>
      <c r="G400" s="51" t="n">
        <v>1.1</v>
      </c>
      <c r="H400" s="52" t="n">
        <v>0.169</v>
      </c>
      <c r="I400" s="52" t="n">
        <v>0.063</v>
      </c>
      <c r="J400" s="52" t="n">
        <v>0.041</v>
      </c>
      <c r="K400" s="52" t="n">
        <v>0.044</v>
      </c>
      <c r="L400" s="52" t="n">
        <v>1.069</v>
      </c>
    </row>
    <row r="401" hidden="1" s="57">
      <c r="A401" s="38" t="n"/>
      <c r="B401" s="49" t="inlineStr">
        <is>
          <t>EVRG</t>
        </is>
      </c>
      <c r="C401" s="49" t="inlineStr">
        <is>
          <t>Evergy</t>
        </is>
      </c>
      <c r="D401" s="50" t="inlineStr">
        <is>
          <t>Utilities - Regulated Electric</t>
        </is>
      </c>
      <c r="E401" s="51" t="n">
        <v>1.2</v>
      </c>
      <c r="F401" s="51" t="n">
        <v>0.6</v>
      </c>
      <c r="G401" s="51" t="n">
        <v>0.4</v>
      </c>
      <c r="H401" s="52" t="n">
        <v>0.469</v>
      </c>
      <c r="I401" s="52" t="n">
        <v>0.231</v>
      </c>
      <c r="J401" s="52" t="n">
        <v>0.131</v>
      </c>
      <c r="K401" s="52" t="n">
        <v>0.044</v>
      </c>
      <c r="L401" s="52" t="n">
        <v>0.337</v>
      </c>
    </row>
    <row r="402" hidden="1" s="57">
      <c r="A402" s="38" t="n"/>
      <c r="B402" s="49" t="inlineStr">
        <is>
          <t>K</t>
        </is>
      </c>
      <c r="C402" s="49" t="inlineStr">
        <is>
          <t>Kellogg</t>
        </is>
      </c>
      <c r="D402" s="50" t="inlineStr">
        <is>
          <t>Packaged Foods</t>
        </is>
      </c>
      <c r="E402" s="51" t="n">
        <v>3.1</v>
      </c>
      <c r="F402" s="51" t="n">
        <v>0.7</v>
      </c>
      <c r="G402" s="51" t="n">
        <v>0.5</v>
      </c>
      <c r="H402" s="52" t="n">
        <v>0.323</v>
      </c>
      <c r="I402" s="52" t="n">
        <v>0.103</v>
      </c>
      <c r="J402" s="52" t="n">
        <v>0.07099999999999999</v>
      </c>
      <c r="K402" s="52" t="n">
        <v>0.044</v>
      </c>
      <c r="L402" s="52" t="n">
        <v>0.626</v>
      </c>
    </row>
    <row r="403" hidden="1" s="57">
      <c r="A403" s="38" t="n"/>
      <c r="B403" s="49" t="inlineStr">
        <is>
          <t>AMD</t>
        </is>
      </c>
      <c r="C403" s="49" t="inlineStr">
        <is>
          <t>Advanced Micro Devices</t>
        </is>
      </c>
      <c r="D403" s="50" t="inlineStr">
        <is>
          <t>Semiconductors</t>
        </is>
      </c>
      <c r="E403" s="51" t="n">
        <v>0.3</v>
      </c>
      <c r="F403" s="51" t="n">
        <v>2</v>
      </c>
      <c r="G403" s="51" t="n">
        <v>1.5</v>
      </c>
      <c r="H403" s="52" t="n">
        <v>0.426</v>
      </c>
      <c r="I403" s="52" t="n">
        <v>0.094</v>
      </c>
      <c r="J403" s="52" t="n">
        <v>0.051</v>
      </c>
      <c r="K403" s="52" t="n">
        <v>0.043</v>
      </c>
      <c r="L403" s="52" t="n">
        <v>0.847</v>
      </c>
    </row>
    <row r="404" hidden="1" s="57">
      <c r="A404" s="38" t="n"/>
      <c r="B404" s="49" t="inlineStr">
        <is>
          <t>BBY</t>
        </is>
      </c>
      <c r="C404" s="49" t="inlineStr">
        <is>
          <t>Best Buy Co</t>
        </is>
      </c>
      <c r="D404" s="50" t="inlineStr">
        <is>
          <t>Specialty Retail</t>
        </is>
      </c>
      <c r="E404" s="51" t="n">
        <v>1.2</v>
      </c>
      <c r="F404" s="51" t="n">
        <v>1.1</v>
      </c>
      <c r="G404" s="51" t="n">
        <v>0.5</v>
      </c>
      <c r="H404" s="52" t="n">
        <v>0.23</v>
      </c>
      <c r="I404" s="52" t="n">
        <v>0.047</v>
      </c>
      <c r="J404" s="52" t="n">
        <v>0.035</v>
      </c>
      <c r="K404" s="52" t="n">
        <v>0.042</v>
      </c>
      <c r="L404" s="52" t="n">
        <v>1.193</v>
      </c>
    </row>
    <row r="405" hidden="1" s="57">
      <c r="A405" s="38" t="n"/>
      <c r="B405" s="49" t="inlineStr">
        <is>
          <t>HAL</t>
        </is>
      </c>
      <c r="C405" s="49" t="inlineStr">
        <is>
          <t>Halliburton</t>
        </is>
      </c>
      <c r="D405" s="50" t="inlineStr">
        <is>
          <t>Oil &amp; Gas Equipment &amp; Services</t>
        </is>
      </c>
      <c r="E405" s="51" t="n">
        <v>1.4</v>
      </c>
      <c r="F405" s="51" t="n">
        <v>2.3</v>
      </c>
      <c r="G405" s="51" t="n">
        <v>1.7</v>
      </c>
      <c r="H405" s="52" t="n">
        <v>0.102</v>
      </c>
      <c r="I405" s="52" t="n">
        <v>0.092</v>
      </c>
      <c r="J405" s="52" t="n">
        <v>-0.051</v>
      </c>
      <c r="K405" s="52" t="n">
        <v>0.042</v>
      </c>
      <c r="L405" s="51" t="inlineStr">
        <is>
          <t xml:space="preserve">- </t>
        </is>
      </c>
    </row>
    <row r="406" hidden="1" s="57">
      <c r="A406" s="38" t="n"/>
      <c r="B406" s="49" t="inlineStr">
        <is>
          <t>HII</t>
        </is>
      </c>
      <c r="C406" s="49" t="inlineStr">
        <is>
          <t>Huntington Ingalls Indus</t>
        </is>
      </c>
      <c r="D406" s="50" t="inlineStr">
        <is>
          <t>Aerospace &amp; Defense</t>
        </is>
      </c>
      <c r="E406" s="51" t="n">
        <v>0.9</v>
      </c>
      <c r="F406" s="51" t="n">
        <v>0.9</v>
      </c>
      <c r="G406" s="51" t="n">
        <v>0.8</v>
      </c>
      <c r="H406" s="52" t="n">
        <v>0.172</v>
      </c>
      <c r="I406" s="52" t="n">
        <v>0.08400000000000001</v>
      </c>
      <c r="J406" s="52" t="n">
        <v>0.062</v>
      </c>
      <c r="K406" s="52" t="n">
        <v>0.042</v>
      </c>
      <c r="L406" s="52" t="n">
        <v>0.681</v>
      </c>
    </row>
    <row r="407" hidden="1" s="57">
      <c r="A407" s="38" t="n"/>
      <c r="B407" s="49" t="inlineStr">
        <is>
          <t>AAP</t>
        </is>
      </c>
      <c r="C407" s="49" t="inlineStr">
        <is>
          <t>Advance Auto Parts</t>
        </is>
      </c>
      <c r="D407" s="50" t="inlineStr">
        <is>
          <t>Specialty Retail</t>
        </is>
      </c>
      <c r="E407" s="51" t="n">
        <v>0.8</v>
      </c>
      <c r="F407" s="51" t="n">
        <v>1.3</v>
      </c>
      <c r="G407" s="51" t="n">
        <v>0.3</v>
      </c>
      <c r="H407" s="52" t="n">
        <v>0.438</v>
      </c>
      <c r="I407" s="52" t="n">
        <v>0.07000000000000001</v>
      </c>
      <c r="J407" s="52" t="n">
        <v>0.05</v>
      </c>
      <c r="K407" s="52" t="n">
        <v>0.041</v>
      </c>
      <c r="L407" s="52" t="n">
        <v>0.8120000000000001</v>
      </c>
    </row>
    <row r="408" hidden="1" s="57">
      <c r="A408" s="38" t="n"/>
      <c r="B408" s="49" t="inlineStr">
        <is>
          <t>CVS</t>
        </is>
      </c>
      <c r="C408" s="49" t="inlineStr">
        <is>
          <t>CVS Health</t>
        </is>
      </c>
      <c r="D408" s="50" t="inlineStr">
        <is>
          <t>Healthcare Plans</t>
        </is>
      </c>
      <c r="E408" s="51" t="n">
        <v>1.4</v>
      </c>
      <c r="F408" s="51" t="n">
        <v>0.9</v>
      </c>
      <c r="G408" s="51" t="n">
        <v>0.6</v>
      </c>
      <c r="H408" s="52" t="n">
        <v>0.179</v>
      </c>
      <c r="I408" s="52" t="n">
        <v>0.049</v>
      </c>
      <c r="J408" s="52" t="n">
        <v>0.026</v>
      </c>
      <c r="K408" s="52" t="n">
        <v>0.041</v>
      </c>
      <c r="L408" s="52" t="n">
        <v>1.573</v>
      </c>
    </row>
    <row r="409" hidden="1" s="57">
      <c r="A409" s="38" t="n"/>
      <c r="B409" s="49" t="inlineStr">
        <is>
          <t>KSS</t>
        </is>
      </c>
      <c r="C409" s="49" t="inlineStr">
        <is>
          <t>Kohl's</t>
        </is>
      </c>
      <c r="D409" s="50" t="inlineStr">
        <is>
          <t>Department Stores</t>
        </is>
      </c>
      <c r="E409" s="51" t="n">
        <v>1.1</v>
      </c>
      <c r="F409" s="51" t="n">
        <v>1.7</v>
      </c>
      <c r="G409" s="51" t="n">
        <v>0.4</v>
      </c>
      <c r="H409" s="52" t="n">
        <v>0.392</v>
      </c>
      <c r="I409" s="52" t="n">
        <v>0.061</v>
      </c>
      <c r="J409" s="52" t="n">
        <v>0.035</v>
      </c>
      <c r="K409" s="52" t="n">
        <v>0.041</v>
      </c>
      <c r="L409" s="52" t="n">
        <v>1.169</v>
      </c>
    </row>
    <row r="410" hidden="1" s="57">
      <c r="A410" s="38" t="n"/>
      <c r="B410" s="49" t="inlineStr">
        <is>
          <t>MRO</t>
        </is>
      </c>
      <c r="C410" s="49" t="inlineStr">
        <is>
          <t>Marathon Oil</t>
        </is>
      </c>
      <c r="D410" s="50" t="inlineStr">
        <is>
          <t>Oil &amp; Gas E&amp;P</t>
        </is>
      </c>
      <c r="E410" s="51" t="n">
        <v>0.5</v>
      </c>
      <c r="F410" s="51" t="n">
        <v>1.2</v>
      </c>
      <c r="G410" s="51" t="n">
        <v>1.2</v>
      </c>
      <c r="H410" s="52" t="n">
        <v>0.257</v>
      </c>
      <c r="I410" s="52" t="n">
        <v>0.106</v>
      </c>
      <c r="J410" s="52" t="n">
        <v>0.096</v>
      </c>
      <c r="K410" s="52" t="n">
        <v>0.041</v>
      </c>
      <c r="L410" s="52" t="n">
        <v>0.431</v>
      </c>
    </row>
    <row r="411" hidden="1" s="57">
      <c r="A411" s="38" t="n"/>
      <c r="B411" s="49" t="inlineStr">
        <is>
          <t>CBRE</t>
        </is>
      </c>
      <c r="C411" s="49" t="inlineStr">
        <is>
          <t>CBRE Group</t>
        </is>
      </c>
      <c r="D411" s="50" t="inlineStr">
        <is>
          <t>Real Estate Services</t>
        </is>
      </c>
      <c r="E411" s="51" t="n">
        <v>0.6</v>
      </c>
      <c r="F411" s="51" t="n">
        <v>1.2</v>
      </c>
      <c r="G411" s="51" t="n">
        <v>1.2</v>
      </c>
      <c r="H411" s="52" t="n">
        <v>0.218</v>
      </c>
      <c r="I411" s="52" t="n">
        <v>0.056</v>
      </c>
      <c r="J411" s="52" t="n">
        <v>0.054</v>
      </c>
      <c r="K411" s="52" t="n">
        <v>0.04</v>
      </c>
      <c r="L411" s="52" t="n">
        <v>0.745</v>
      </c>
    </row>
    <row r="412" hidden="1" s="57">
      <c r="A412" s="38" t="n"/>
      <c r="B412" s="49" t="inlineStr">
        <is>
          <t>BKR</t>
        </is>
      </c>
      <c r="C412" s="49" t="inlineStr">
        <is>
          <t>Baker Hughes</t>
        </is>
      </c>
      <c r="D412" s="50" t="inlineStr">
        <is>
          <t>Oil &amp; Gas Equipment &amp; Services</t>
        </is>
      </c>
      <c r="E412" s="51" t="n">
        <v>0.3</v>
      </c>
      <c r="F412" s="51" t="n">
        <v>1.5</v>
      </c>
      <c r="G412" s="51" t="n">
        <v>1.1</v>
      </c>
      <c r="H412" s="52" t="n">
        <v>0.186</v>
      </c>
      <c r="I412" s="52" t="n">
        <v>0.067</v>
      </c>
      <c r="J412" s="52" t="n">
        <v>0.005</v>
      </c>
      <c r="K412" s="52" t="n">
        <v>0.038</v>
      </c>
      <c r="L412" s="52" t="n">
        <v>7.165</v>
      </c>
    </row>
    <row r="413" hidden="1" s="57">
      <c r="A413" s="38" t="n"/>
      <c r="B413" s="49" t="inlineStr">
        <is>
          <t>LOW</t>
        </is>
      </c>
      <c r="C413" s="49" t="inlineStr">
        <is>
          <t>Lowe's Companies</t>
        </is>
      </c>
      <c r="D413" s="50" t="inlineStr">
        <is>
          <t>Home Improvement Retail</t>
        </is>
      </c>
      <c r="E413" s="51" t="n">
        <v>12</v>
      </c>
      <c r="F413" s="51" t="n">
        <v>1</v>
      </c>
      <c r="G413" s="51" t="n">
        <v>0.1</v>
      </c>
      <c r="H413" s="52" t="n">
        <v>0.318</v>
      </c>
      <c r="I413" s="52" t="n">
        <v>0.08799999999999999</v>
      </c>
      <c r="J413" s="52" t="n">
        <v>0.059</v>
      </c>
      <c r="K413" s="52" t="n">
        <v>0.038</v>
      </c>
      <c r="L413" s="52" t="n">
        <v>0.647</v>
      </c>
    </row>
    <row r="414" hidden="1" s="57">
      <c r="A414" s="38" t="n"/>
      <c r="B414" s="49" t="inlineStr">
        <is>
          <t>WBA</t>
        </is>
      </c>
      <c r="C414" s="49" t="inlineStr">
        <is>
          <t>Walgreens Boots Alliance</t>
        </is>
      </c>
      <c r="D414" s="50" t="inlineStr">
        <is>
          <t>Pharmaceutical Retailers</t>
        </is>
      </c>
      <c r="E414" s="51" t="n">
        <v>1.7</v>
      </c>
      <c r="F414" s="51" t="n">
        <v>0.7</v>
      </c>
      <c r="G414" s="51" t="n">
        <v>0.3</v>
      </c>
      <c r="H414" s="52" t="n">
        <v>0.212</v>
      </c>
      <c r="I414" s="52" t="n">
        <v>0.031</v>
      </c>
      <c r="J414" s="52" t="n">
        <v>0.025</v>
      </c>
      <c r="K414" s="52" t="n">
        <v>0.038</v>
      </c>
      <c r="L414" s="52" t="n">
        <v>1.508</v>
      </c>
    </row>
    <row r="415" hidden="1" s="57">
      <c r="A415" s="38" t="n"/>
      <c r="B415" s="49" t="inlineStr">
        <is>
          <t>OXY</t>
        </is>
      </c>
      <c r="C415" s="49" t="inlineStr">
        <is>
          <t>Occidental Petroleum</t>
        </is>
      </c>
      <c r="D415" s="50" t="inlineStr">
        <is>
          <t>Oil &amp; Gas E&amp;P</t>
        </is>
      </c>
      <c r="E415" s="51" t="n">
        <v>1.2</v>
      </c>
      <c r="F415" s="51" t="n">
        <v>1.3</v>
      </c>
      <c r="G415" s="51" t="n">
        <v>1.2</v>
      </c>
      <c r="H415" s="52" t="n">
        <v>0.325</v>
      </c>
      <c r="I415" s="52" t="n">
        <v>0.138</v>
      </c>
      <c r="J415" s="52" t="n">
        <v>-0.034</v>
      </c>
      <c r="K415" s="52" t="n">
        <v>0.037</v>
      </c>
      <c r="L415" s="51" t="inlineStr">
        <is>
          <t xml:space="preserve">- </t>
        </is>
      </c>
    </row>
    <row r="416" hidden="1" s="57">
      <c r="A416" s="38" t="n"/>
      <c r="B416" s="49" t="inlineStr">
        <is>
          <t>WHR</t>
        </is>
      </c>
      <c r="C416" s="49" t="inlineStr">
        <is>
          <t>Whirlpool</t>
        </is>
      </c>
      <c r="D416" s="50" t="inlineStr">
        <is>
          <t>Furnishings, Fixtures &amp; Appliances</t>
        </is>
      </c>
      <c r="E416" s="51" t="n">
        <v>1.8</v>
      </c>
      <c r="F416" s="51" t="n">
        <v>0.9</v>
      </c>
      <c r="G416" s="51" t="n">
        <v>0.6</v>
      </c>
      <c r="H416" s="52" t="n">
        <v>0.173</v>
      </c>
      <c r="I416" s="52" t="n">
        <v>0.065</v>
      </c>
      <c r="J416" s="52" t="n">
        <v>0.058</v>
      </c>
      <c r="K416" s="52" t="n">
        <v>0.037</v>
      </c>
      <c r="L416" s="52" t="n">
        <v>0.637</v>
      </c>
    </row>
    <row r="417" hidden="1" s="57">
      <c r="A417" s="38" t="n"/>
      <c r="B417" s="49" t="inlineStr">
        <is>
          <t>DLTR</t>
        </is>
      </c>
      <c r="C417" s="49" t="inlineStr">
        <is>
          <t>Dollar Tree</t>
        </is>
      </c>
      <c r="D417" s="50" t="inlineStr">
        <is>
          <t>Discount Stores</t>
        </is>
      </c>
      <c r="E417" s="51" t="n">
        <v>1.7</v>
      </c>
      <c r="F417" s="51" t="n">
        <v>1.2</v>
      </c>
      <c r="G417" s="51" t="n">
        <v>0.2</v>
      </c>
      <c r="H417" s="52" t="n">
        <v>0.298</v>
      </c>
      <c r="I417" s="52" t="n">
        <v>0.067</v>
      </c>
      <c r="J417" s="52" t="n">
        <v>0.035</v>
      </c>
      <c r="K417" s="52" t="n">
        <v>0.035</v>
      </c>
      <c r="L417" s="52" t="n">
        <v>1.002</v>
      </c>
    </row>
    <row r="418" hidden="1" s="57">
      <c r="A418" s="38" t="n"/>
      <c r="B418" s="49" t="inlineStr">
        <is>
          <t>JCI</t>
        </is>
      </c>
      <c r="C418" s="49" t="inlineStr">
        <is>
          <t>Johnson Controls Intl</t>
        </is>
      </c>
      <c r="D418" s="50" t="inlineStr">
        <is>
          <t>Engineering &amp; Construction</t>
        </is>
      </c>
      <c r="E418" s="51" t="n">
        <v>0.4</v>
      </c>
      <c r="F418" s="51" t="n">
        <v>1.2</v>
      </c>
      <c r="G418" s="51" t="n">
        <v>1</v>
      </c>
      <c r="H418" s="52" t="n">
        <v>0.323</v>
      </c>
      <c r="I418" s="52" t="n">
        <v>0.064</v>
      </c>
      <c r="J418" s="52" t="n">
        <v>0.229</v>
      </c>
      <c r="K418" s="52" t="n">
        <v>0.035</v>
      </c>
      <c r="L418" s="52" t="n">
        <v>0.152</v>
      </c>
    </row>
    <row r="419" hidden="1" s="57">
      <c r="A419" s="38" t="n"/>
      <c r="B419" s="49" t="inlineStr">
        <is>
          <t>PCAR</t>
        </is>
      </c>
      <c r="C419" s="49" t="inlineStr">
        <is>
          <t>PACCAR</t>
        </is>
      </c>
      <c r="D419" s="50" t="inlineStr">
        <is>
          <t>Farm &amp; Heavy Construction Machinery</t>
        </is>
      </c>
      <c r="E419" s="51" t="n">
        <v>1.2</v>
      </c>
      <c r="F419" s="51" t="n">
        <v>2.4</v>
      </c>
      <c r="G419" s="51" t="n">
        <v>2.3</v>
      </c>
      <c r="H419" s="52" t="n">
        <v>0.157</v>
      </c>
      <c r="I419" s="52" t="n">
        <v>0.116</v>
      </c>
      <c r="J419" s="52" t="n">
        <v>0.093</v>
      </c>
      <c r="K419" s="52" t="n">
        <v>0.035</v>
      </c>
      <c r="L419" s="52" t="n">
        <v>0.377</v>
      </c>
    </row>
    <row r="420" hidden="1" s="57">
      <c r="A420" s="38" t="n"/>
      <c r="B420" s="49" t="inlineStr">
        <is>
          <t>MPC</t>
        </is>
      </c>
      <c r="C420" s="49" t="inlineStr">
        <is>
          <t>Marathon Petroleum</t>
        </is>
      </c>
      <c r="D420" s="50" t="inlineStr">
        <is>
          <t>Oil &amp; Gas Refining &amp; Marketing</t>
        </is>
      </c>
      <c r="E420" s="51" t="n">
        <v>0.9</v>
      </c>
      <c r="F420" s="51" t="n">
        <v>1.3</v>
      </c>
      <c r="G420" s="51" t="n">
        <v>0.6</v>
      </c>
      <c r="H420" s="52" t="n">
        <v>0.111</v>
      </c>
      <c r="I420" s="52" t="n">
        <v>0.049</v>
      </c>
      <c r="J420" s="52" t="n">
        <v>0.022</v>
      </c>
      <c r="K420" s="52" t="n">
        <v>0.033</v>
      </c>
      <c r="L420" s="52" t="n">
        <v>1.536</v>
      </c>
    </row>
    <row r="421" hidden="1" s="57">
      <c r="A421" s="38" t="n"/>
      <c r="B421" s="49" t="inlineStr">
        <is>
          <t>VLO</t>
        </is>
      </c>
      <c r="C421" s="49" t="inlineStr">
        <is>
          <t>Valero Energy</t>
        </is>
      </c>
      <c r="D421" s="50" t="inlineStr">
        <is>
          <t>Oil &amp; Gas Refining &amp; Marketing</t>
        </is>
      </c>
      <c r="E421" s="51" t="n">
        <v>0.5</v>
      </c>
      <c r="F421" s="51" t="n">
        <v>1.4</v>
      </c>
      <c r="G421" s="51" t="n">
        <v>0.9</v>
      </c>
      <c r="H421" s="52" t="n">
        <v>0.044</v>
      </c>
      <c r="I421" s="52" t="n">
        <v>0.036</v>
      </c>
      <c r="J421" s="52" t="n">
        <v>0.023</v>
      </c>
      <c r="K421" s="52" t="n">
        <v>0.033</v>
      </c>
      <c r="L421" s="52" t="n">
        <v>1.457</v>
      </c>
    </row>
    <row r="422" hidden="1" s="57">
      <c r="A422" s="38" t="n"/>
      <c r="B422" s="49" t="inlineStr">
        <is>
          <t>CCL</t>
        </is>
      </c>
      <c r="C422" s="49" t="inlineStr">
        <is>
          <t>Carnival</t>
        </is>
      </c>
      <c r="D422" s="50" t="inlineStr">
        <is>
          <t>Travel Services</t>
        </is>
      </c>
      <c r="E422" s="51" t="n">
        <v>0.6</v>
      </c>
      <c r="F422" s="51" t="n">
        <v>0.3</v>
      </c>
      <c r="G422" s="51" t="n">
        <v>0.2</v>
      </c>
      <c r="H422" s="52" t="n">
        <v>0.365</v>
      </c>
      <c r="I422" s="52" t="n">
        <v>0.139</v>
      </c>
      <c r="J422" s="52" t="n">
        <v>0.089</v>
      </c>
      <c r="K422" s="52" t="n">
        <v>0.031</v>
      </c>
      <c r="L422" s="52" t="n">
        <v>0.347</v>
      </c>
    </row>
    <row r="423" hidden="1" s="57">
      <c r="A423" s="38" t="n"/>
      <c r="B423" s="49" t="inlineStr">
        <is>
          <t>GPC</t>
        </is>
      </c>
      <c r="C423" s="49" t="inlineStr">
        <is>
          <t>Genuine Parts</t>
        </is>
      </c>
      <c r="D423" s="50" t="inlineStr">
        <is>
          <t>Specialty Retail</t>
        </is>
      </c>
      <c r="E423" s="51" t="n">
        <v>1.2</v>
      </c>
      <c r="F423" s="51" t="n">
        <v>1.2</v>
      </c>
      <c r="G423" s="51" t="n">
        <v>0.6</v>
      </c>
      <c r="H423" s="52" t="n">
        <v>0.326</v>
      </c>
      <c r="I423" s="52" t="n">
        <v>0.057</v>
      </c>
      <c r="J423" s="52" t="n">
        <v>0.032</v>
      </c>
      <c r="K423" s="52" t="n">
        <v>0.031</v>
      </c>
      <c r="L423" s="52" t="n">
        <v>0.966</v>
      </c>
    </row>
    <row r="424" hidden="1" s="57">
      <c r="A424" s="38" t="n"/>
      <c r="B424" s="49" t="inlineStr">
        <is>
          <t>TSN</t>
        </is>
      </c>
      <c r="C424" s="49" t="inlineStr">
        <is>
          <t>Tyson Foods</t>
        </is>
      </c>
      <c r="D424" s="50" t="inlineStr">
        <is>
          <t>Farm Products</t>
        </is>
      </c>
      <c r="E424" s="51" t="n">
        <v>0.8</v>
      </c>
      <c r="F424" s="51" t="n">
        <v>1.3</v>
      </c>
      <c r="G424" s="51" t="n">
        <v>0.5</v>
      </c>
      <c r="H424" s="52" t="n">
        <v>0.119</v>
      </c>
      <c r="I424" s="52" t="n">
        <v>0.066</v>
      </c>
      <c r="J424" s="52" t="n">
        <v>0.047</v>
      </c>
      <c r="K424" s="52" t="n">
        <v>0.031</v>
      </c>
      <c r="L424" s="52" t="n">
        <v>0.646</v>
      </c>
    </row>
    <row r="425" hidden="1" s="57">
      <c r="A425" s="38" t="n"/>
      <c r="B425" s="49" t="inlineStr">
        <is>
          <t>VIAC</t>
        </is>
      </c>
      <c r="C425" s="49" t="inlineStr">
        <is>
          <t>ViacomCBS</t>
        </is>
      </c>
      <c r="D425" s="50" t="inlineStr">
        <is>
          <t>Entertainment</t>
        </is>
      </c>
      <c r="E425" s="51" t="n">
        <v>1.6</v>
      </c>
      <c r="F425" s="51" t="n">
        <v>1.3</v>
      </c>
      <c r="G425" s="51" t="n">
        <v>1</v>
      </c>
      <c r="H425" s="52" t="n">
        <v>0.381</v>
      </c>
      <c r="I425" s="52" t="n">
        <v>0.162</v>
      </c>
      <c r="J425" s="52" t="n">
        <v>0.117</v>
      </c>
      <c r="K425" s="52" t="n">
        <v>0.031</v>
      </c>
      <c r="L425" s="52" t="n">
        <v>0.265</v>
      </c>
    </row>
    <row r="426" hidden="1" s="57">
      <c r="A426" s="38" t="n"/>
      <c r="B426" s="49" t="inlineStr">
        <is>
          <t>FTI</t>
        </is>
      </c>
      <c r="C426" s="49" t="inlineStr">
        <is>
          <t>TechnipFMC</t>
        </is>
      </c>
      <c r="D426" s="50" t="inlineStr">
        <is>
          <t>Oil &amp; Gas Equipment &amp; Services</t>
        </is>
      </c>
      <c r="E426" s="51" t="n">
        <v>0.7</v>
      </c>
      <c r="F426" s="51" t="n">
        <v>1.2</v>
      </c>
      <c r="G426" s="51" t="n">
        <v>1</v>
      </c>
      <c r="H426" s="52" t="n">
        <v>0.183</v>
      </c>
      <c r="I426" s="52" t="n">
        <v>0.08</v>
      </c>
      <c r="J426" s="52" t="n">
        <v>-0.182</v>
      </c>
      <c r="K426" s="52" t="n">
        <v>0.03</v>
      </c>
      <c r="L426" s="51" t="inlineStr">
        <is>
          <t xml:space="preserve">- </t>
        </is>
      </c>
    </row>
    <row r="427" hidden="1" s="57">
      <c r="A427" s="38" t="n"/>
      <c r="B427" s="49" t="inlineStr">
        <is>
          <t>HPE</t>
        </is>
      </c>
      <c r="C427" s="49" t="inlineStr">
        <is>
          <t>Hewlett Packard</t>
        </is>
      </c>
      <c r="D427" s="50" t="inlineStr">
        <is>
          <t>Communication Equipment</t>
        </is>
      </c>
      <c r="E427" s="51" t="n">
        <v>0.8</v>
      </c>
      <c r="F427" s="51" t="n">
        <v>0.8</v>
      </c>
      <c r="G427" s="51" t="n">
        <v>0.7</v>
      </c>
      <c r="H427" s="52" t="n">
        <v>0.331</v>
      </c>
      <c r="I427" s="52" t="n">
        <v>0.08599999999999999</v>
      </c>
      <c r="J427" s="52" t="n">
        <v>0.042</v>
      </c>
      <c r="K427" s="52" t="n">
        <v>0.03</v>
      </c>
      <c r="L427" s="52" t="n">
        <v>0.701</v>
      </c>
    </row>
    <row r="428" hidden="1" s="57">
      <c r="A428" s="38" t="n"/>
      <c r="B428" s="49" t="inlineStr">
        <is>
          <t>UPS</t>
        </is>
      </c>
      <c r="C428" s="49" t="inlineStr">
        <is>
          <t>United Parcel Service</t>
        </is>
      </c>
      <c r="D428" s="50" t="inlineStr">
        <is>
          <t>Integrated Freight &amp; Logistics</t>
        </is>
      </c>
      <c r="E428" s="51" t="n">
        <v>8.6</v>
      </c>
      <c r="F428" s="51" t="n">
        <v>1.1</v>
      </c>
      <c r="G428" s="51" t="n">
        <v>1.1</v>
      </c>
      <c r="H428" s="52" t="n">
        <v>0.185</v>
      </c>
      <c r="I428" s="52" t="n">
        <v>0.106</v>
      </c>
      <c r="J428" s="52" t="n">
        <v>0.06</v>
      </c>
      <c r="K428" s="52" t="n">
        <v>0.03</v>
      </c>
      <c r="L428" s="52" t="n">
        <v>0.507</v>
      </c>
    </row>
    <row r="429" hidden="1" s="57">
      <c r="A429" s="38" t="n"/>
      <c r="B429" s="49" t="inlineStr">
        <is>
          <t>WMT</t>
        </is>
      </c>
      <c r="C429" s="49" t="inlineStr">
        <is>
          <t>Walmart</t>
        </is>
      </c>
      <c r="D429" s="50" t="inlineStr">
        <is>
          <t>Discount Stores</t>
        </is>
      </c>
      <c r="E429" s="51" t="n">
        <v>1</v>
      </c>
      <c r="F429" s="51" t="n">
        <v>0.8</v>
      </c>
      <c r="G429" s="51" t="n">
        <v>0.2</v>
      </c>
      <c r="H429" s="52" t="n">
        <v>0.247</v>
      </c>
      <c r="I429" s="52" t="n">
        <v>0.039</v>
      </c>
      <c r="J429" s="52" t="n">
        <v>0.028</v>
      </c>
      <c r="K429" s="52" t="n">
        <v>0.028</v>
      </c>
      <c r="L429" s="52" t="n">
        <v>0.983</v>
      </c>
    </row>
    <row r="430" hidden="1" s="57">
      <c r="A430" s="38" t="n"/>
      <c r="B430" s="49" t="inlineStr">
        <is>
          <t>JBHT</t>
        </is>
      </c>
      <c r="C430" s="49" t="inlineStr">
        <is>
          <t>JB Hunt Transport Servs</t>
        </is>
      </c>
      <c r="D430" s="50" t="inlineStr">
        <is>
          <t>Integrated Freight &amp; Logistics</t>
        </is>
      </c>
      <c r="E430" s="51" t="n">
        <v>0.6</v>
      </c>
      <c r="F430" s="51" t="n">
        <v>1.4</v>
      </c>
      <c r="G430" s="51" t="n">
        <v>1.4</v>
      </c>
      <c r="H430" s="52" t="n">
        <v>0.179</v>
      </c>
      <c r="I430" s="52" t="n">
        <v>0.08</v>
      </c>
      <c r="J430" s="52" t="n">
        <v>0.056</v>
      </c>
      <c r="K430" s="52" t="n">
        <v>0.027</v>
      </c>
      <c r="L430" s="52" t="n">
        <v>0.479</v>
      </c>
    </row>
    <row r="431" hidden="1" s="57">
      <c r="A431" s="38" t="n"/>
      <c r="B431" s="49" t="inlineStr">
        <is>
          <t>MU</t>
        </is>
      </c>
      <c r="C431" s="49" t="inlineStr">
        <is>
          <t>Micron Technology</t>
        </is>
      </c>
      <c r="D431" s="50" t="inlineStr">
        <is>
          <t>Semiconductors</t>
        </is>
      </c>
      <c r="E431" s="51" t="n">
        <v>0.2</v>
      </c>
      <c r="F431" s="51" t="n">
        <v>2.7</v>
      </c>
      <c r="G431" s="51" t="n">
        <v>1.9</v>
      </c>
      <c r="H431" s="52" t="n">
        <v>0.303</v>
      </c>
      <c r="I431" s="52" t="n">
        <v>0.135</v>
      </c>
      <c r="J431" s="52" t="n">
        <v>0.117</v>
      </c>
      <c r="K431" s="52" t="n">
        <v>0.027</v>
      </c>
      <c r="L431" s="52" t="n">
        <v>0.229</v>
      </c>
    </row>
    <row r="432" hidden="1" s="57">
      <c r="A432" s="38" t="n"/>
      <c r="B432" s="49" t="inlineStr">
        <is>
          <t>NCLH</t>
        </is>
      </c>
      <c r="C432" s="49" t="inlineStr">
        <is>
          <t>Norwegian Cruise Line</t>
        </is>
      </c>
      <c r="D432" s="50" t="inlineStr">
        <is>
          <t>Travel Services</t>
        </is>
      </c>
      <c r="E432" s="51" t="n">
        <v>1</v>
      </c>
      <c r="F432" s="51" t="n">
        <v>0.2</v>
      </c>
      <c r="G432" s="51" t="n">
        <v>0.2</v>
      </c>
      <c r="H432" s="52" t="n">
        <v>0.433</v>
      </c>
      <c r="I432" s="52" t="n">
        <v>0.183</v>
      </c>
      <c r="J432" s="52" t="n">
        <v>0.145</v>
      </c>
      <c r="K432" s="52" t="n">
        <v>0.027</v>
      </c>
      <c r="L432" s="52" t="n">
        <v>0.185</v>
      </c>
    </row>
    <row r="433" hidden="1" s="57">
      <c r="A433" s="38" t="n"/>
      <c r="B433" s="49" t="inlineStr">
        <is>
          <t>COST</t>
        </is>
      </c>
      <c r="C433" s="49" t="inlineStr">
        <is>
          <t>Costco Wholesale</t>
        </is>
      </c>
      <c r="D433" s="50" t="inlineStr">
        <is>
          <t>Discount Stores</t>
        </is>
      </c>
      <c r="E433" s="51" t="n">
        <v>0.5</v>
      </c>
      <c r="F433" s="51" t="n">
        <v>1</v>
      </c>
      <c r="G433" s="51" t="n">
        <v>0.5</v>
      </c>
      <c r="H433" s="52" t="n">
        <v>0.13</v>
      </c>
      <c r="I433" s="52" t="n">
        <v>0.031</v>
      </c>
      <c r="J433" s="52" t="n">
        <v>0.024</v>
      </c>
      <c r="K433" s="52" t="n">
        <v>0.026</v>
      </c>
      <c r="L433" s="52" t="n">
        <v>1.106</v>
      </c>
    </row>
    <row r="434" hidden="1" s="57">
      <c r="A434" s="38" t="n"/>
      <c r="B434" s="49" t="inlineStr">
        <is>
          <t>DE</t>
        </is>
      </c>
      <c r="C434" s="49" t="inlineStr">
        <is>
          <t>Deere</t>
        </is>
      </c>
      <c r="D434" s="50" t="inlineStr">
        <is>
          <t>Farm &amp; Heavy Construction Machinery</t>
        </is>
      </c>
      <c r="E434" s="51" t="n">
        <v>3.8</v>
      </c>
      <c r="F434" s="51" t="n">
        <v>2.1</v>
      </c>
      <c r="G434" s="51" t="n">
        <v>1.8</v>
      </c>
      <c r="H434" s="52" t="n">
        <v>0.271</v>
      </c>
      <c r="I434" s="52" t="n">
        <v>0.102</v>
      </c>
      <c r="J434" s="52" t="n">
        <v>0.08500000000000001</v>
      </c>
      <c r="K434" s="52" t="n">
        <v>0.026</v>
      </c>
      <c r="L434" s="52" t="n">
        <v>0.308</v>
      </c>
    </row>
    <row r="435" hidden="1" s="57">
      <c r="A435" s="38" t="n"/>
      <c r="B435" s="49" t="inlineStr">
        <is>
          <t>GE</t>
        </is>
      </c>
      <c r="C435" s="49" t="inlineStr">
        <is>
          <t>General Electric</t>
        </is>
      </c>
      <c r="D435" s="50" t="inlineStr">
        <is>
          <t>Specialty Industrial Machinery</t>
        </is>
      </c>
      <c r="E435" s="51" t="n">
        <v>3.3</v>
      </c>
      <c r="F435" s="51" t="n">
        <v>1.8</v>
      </c>
      <c r="G435" s="51" t="n">
        <v>1.6</v>
      </c>
      <c r="H435" s="52" t="n">
        <v>0.233</v>
      </c>
      <c r="I435" s="52" t="n">
        <v>0.055</v>
      </c>
      <c r="J435" s="52" t="n">
        <v>-0.049</v>
      </c>
      <c r="K435" s="52" t="n">
        <v>0.026</v>
      </c>
      <c r="L435" s="51" t="inlineStr">
        <is>
          <t xml:space="preserve">- </t>
        </is>
      </c>
    </row>
    <row r="436" hidden="1" s="57">
      <c r="A436" s="38" t="n"/>
      <c r="B436" s="49" t="inlineStr">
        <is>
          <t>GPS</t>
        </is>
      </c>
      <c r="C436" s="49" t="inlineStr">
        <is>
          <t>Gap</t>
        </is>
      </c>
      <c r="D436" s="50" t="inlineStr">
        <is>
          <t>Apparel Retail</t>
        </is>
      </c>
      <c r="E436" s="51" t="n">
        <v>2.3</v>
      </c>
      <c r="F436" s="51" t="n">
        <v>1.4</v>
      </c>
      <c r="G436" s="51" t="n">
        <v>0.7</v>
      </c>
      <c r="H436" s="52" t="n">
        <v>0.374</v>
      </c>
      <c r="I436" s="52" t="n">
        <v>0.035</v>
      </c>
      <c r="J436" s="52" t="n">
        <v>0.021</v>
      </c>
      <c r="K436" s="52" t="n">
        <v>0.024</v>
      </c>
      <c r="L436" s="52" t="n">
        <v>1.111</v>
      </c>
    </row>
    <row r="437" hidden="1" s="57">
      <c r="A437" s="38" t="n"/>
      <c r="B437" s="49" t="inlineStr">
        <is>
          <t>PWR</t>
        </is>
      </c>
      <c r="C437" s="49" t="inlineStr">
        <is>
          <t>Quanta Services</t>
        </is>
      </c>
      <c r="D437" s="50" t="inlineStr">
        <is>
          <t>Engineering &amp; Construction</t>
        </is>
      </c>
      <c r="E437" s="51" t="n">
        <v>0.4</v>
      </c>
      <c r="F437" s="51" t="n">
        <v>1.7</v>
      </c>
      <c r="G437" s="51" t="n">
        <v>1.7</v>
      </c>
      <c r="H437" s="52" t="n">
        <v>0.132</v>
      </c>
      <c r="I437" s="52" t="n">
        <v>0.048</v>
      </c>
      <c r="J437" s="52" t="n">
        <v>0.033</v>
      </c>
      <c r="K437" s="52" t="n">
        <v>0.023</v>
      </c>
      <c r="L437" s="52" t="n">
        <v>0.6830000000000001</v>
      </c>
    </row>
    <row r="438" hidden="1" s="57">
      <c r="A438" s="38" t="n"/>
      <c r="B438" s="49" t="inlineStr">
        <is>
          <t>SYY</t>
        </is>
      </c>
      <c r="C438" s="49" t="inlineStr">
        <is>
          <t>Sysco</t>
        </is>
      </c>
      <c r="D438" s="50" t="inlineStr">
        <is>
          <t>Food Distribution</t>
        </is>
      </c>
      <c r="E438" s="51" t="n">
        <v>3.8</v>
      </c>
      <c r="F438" s="51" t="n">
        <v>1.3</v>
      </c>
      <c r="G438" s="51" t="n">
        <v>0.7</v>
      </c>
      <c r="H438" s="52" t="n">
        <v>0.19</v>
      </c>
      <c r="I438" s="52" t="n">
        <v>0.041</v>
      </c>
      <c r="J438" s="52" t="n">
        <v>0.03</v>
      </c>
      <c r="K438" s="52" t="n">
        <v>0.023</v>
      </c>
      <c r="L438" s="52" t="n">
        <v>0.766</v>
      </c>
    </row>
    <row r="439" hidden="1" s="57">
      <c r="A439" s="38" t="n"/>
      <c r="B439" s="49" t="inlineStr">
        <is>
          <t>AMCR</t>
        </is>
      </c>
      <c r="C439" s="49" t="inlineStr">
        <is>
          <t>Amcor</t>
        </is>
      </c>
      <c r="D439" s="50" t="inlineStr">
        <is>
          <t>Packaging &amp; Containers</t>
        </is>
      </c>
      <c r="E439" s="51" t="n">
        <v>1.3</v>
      </c>
      <c r="F439" s="51" t="n">
        <v>1.2</v>
      </c>
      <c r="G439" s="51" t="n">
        <v>0.7</v>
      </c>
      <c r="H439" s="52" t="n">
        <v>0.188</v>
      </c>
      <c r="I439" s="52" t="n">
        <v>0.074</v>
      </c>
      <c r="J439" s="52" t="n">
        <v>0.041</v>
      </c>
      <c r="K439" s="52" t="n">
        <v>0.022</v>
      </c>
      <c r="L439" s="52" t="n">
        <v>0.538</v>
      </c>
    </row>
    <row r="440" hidden="1" s="57">
      <c r="A440" s="38" t="n"/>
      <c r="B440" s="49" t="inlineStr">
        <is>
          <t>NWSA</t>
        </is>
      </c>
      <c r="C440" s="49" t="inlineStr">
        <is>
          <t>News</t>
        </is>
      </c>
      <c r="D440" s="50" t="inlineStr">
        <is>
          <t>Broadcasting</t>
        </is>
      </c>
      <c r="E440" s="51" t="n">
        <v>0.3</v>
      </c>
      <c r="F440" s="51" t="n">
        <v>1.4</v>
      </c>
      <c r="G440" s="51" t="n">
        <v>1.2</v>
      </c>
      <c r="H440" s="52" t="n">
        <v>0</v>
      </c>
      <c r="I440" s="52" t="n">
        <v>0.045</v>
      </c>
      <c r="J440" s="52" t="n">
        <v>-0.019</v>
      </c>
      <c r="K440" s="52" t="n">
        <v>0.022</v>
      </c>
      <c r="L440" s="51" t="inlineStr">
        <is>
          <t xml:space="preserve">- </t>
        </is>
      </c>
    </row>
    <row r="441" hidden="1" s="57">
      <c r="A441" s="38" t="n"/>
      <c r="B441" s="49" t="inlineStr">
        <is>
          <t>XOM</t>
        </is>
      </c>
      <c r="C441" s="49" t="inlineStr">
        <is>
          <t>Exxon Mobil</t>
        </is>
      </c>
      <c r="D441" s="50" t="inlineStr">
        <is>
          <t>Oil &amp; Gas Integrated</t>
        </is>
      </c>
      <c r="E441" s="51" t="n">
        <v>0.2</v>
      </c>
      <c r="F441" s="51" t="n">
        <v>0.8</v>
      </c>
      <c r="G441" s="51" t="n">
        <v>0.5</v>
      </c>
      <c r="H441" s="52" t="n">
        <v>0.219</v>
      </c>
      <c r="I441" s="52" t="n">
        <v>0.05</v>
      </c>
      <c r="J441" s="52" t="n">
        <v>0.056</v>
      </c>
      <c r="K441" s="52" t="n">
        <v>0.021</v>
      </c>
      <c r="L441" s="52" t="n">
        <v>0.366</v>
      </c>
    </row>
    <row r="442" hidden="1" s="57">
      <c r="A442" s="38" t="n"/>
      <c r="B442" s="49" t="inlineStr">
        <is>
          <t>JWN</t>
        </is>
      </c>
      <c r="C442" s="49" t="inlineStr">
        <is>
          <t>Nordstrom</t>
        </is>
      </c>
      <c r="D442" s="50" t="inlineStr">
        <is>
          <t>Department Stores</t>
        </is>
      </c>
      <c r="E442" s="51" t="n">
        <v>4.9</v>
      </c>
      <c r="F442" s="51" t="n">
        <v>0.9</v>
      </c>
      <c r="G442" s="51" t="n">
        <v>0.4</v>
      </c>
      <c r="H442" s="52" t="n">
        <v>0.36</v>
      </c>
      <c r="I442" s="52" t="n">
        <v>0.051</v>
      </c>
      <c r="J442" s="52" t="n">
        <v>0.032</v>
      </c>
      <c r="K442" s="52" t="n">
        <v>0.02</v>
      </c>
      <c r="L442" s="52" t="n">
        <v>0.627</v>
      </c>
    </row>
    <row r="443" hidden="1" s="57">
      <c r="A443" s="38" t="n"/>
      <c r="B443" s="49" t="inlineStr">
        <is>
          <t>DVN</t>
        </is>
      </c>
      <c r="C443" s="49" t="inlineStr">
        <is>
          <t>Devon Energy</t>
        </is>
      </c>
      <c r="D443" s="50" t="inlineStr">
        <is>
          <t>Oil &amp; Gas E&amp;P</t>
        </is>
      </c>
      <c r="E443" s="51" t="n">
        <v>0.8</v>
      </c>
      <c r="F443" s="51" t="n">
        <v>2</v>
      </c>
      <c r="G443" s="51" t="n">
        <v>2</v>
      </c>
      <c r="H443" s="52" t="n">
        <v>0.553</v>
      </c>
      <c r="I443" s="52" t="n">
        <v>0.031</v>
      </c>
      <c r="J443" s="52" t="n">
        <v>-0.053</v>
      </c>
      <c r="K443" s="52" t="n">
        <v>0.014</v>
      </c>
      <c r="L443" s="51" t="inlineStr">
        <is>
          <t xml:space="preserve">- </t>
        </is>
      </c>
    </row>
    <row r="444" hidden="1" s="57">
      <c r="A444" s="38" t="n"/>
      <c r="B444" s="49" t="inlineStr">
        <is>
          <t>PXD</t>
        </is>
      </c>
      <c r="C444" s="49" t="inlineStr">
        <is>
          <t>Pioneer Natural Resources</t>
        </is>
      </c>
      <c r="D444" s="50" t="inlineStr">
        <is>
          <t>Oil &amp; Gas E&amp;P</t>
        </is>
      </c>
      <c r="E444" s="51" t="n">
        <v>0.2</v>
      </c>
      <c r="F444" s="51" t="n">
        <v>0.9</v>
      </c>
      <c r="G444" s="51" t="n">
        <v>0.8</v>
      </c>
      <c r="H444" s="52" t="n">
        <v>0.239</v>
      </c>
      <c r="I444" s="52" t="n">
        <v>0.188</v>
      </c>
      <c r="J444" s="52" t="n">
        <v>0.077</v>
      </c>
      <c r="K444" s="52" t="n">
        <v>0.014</v>
      </c>
      <c r="L444" s="52" t="n">
        <v>0.18</v>
      </c>
    </row>
    <row r="445" hidden="1" s="57">
      <c r="A445" s="38" t="n"/>
      <c r="B445" s="49" t="inlineStr">
        <is>
          <t>D</t>
        </is>
      </c>
      <c r="C445" s="49" t="inlineStr">
        <is>
          <t>Dominion Energy</t>
        </is>
      </c>
      <c r="D445" s="50" t="inlineStr">
        <is>
          <t>Utilities - Diversified</t>
        </is>
      </c>
      <c r="E445" s="51" t="n">
        <v>1.2</v>
      </c>
      <c r="F445" s="51" t="n">
        <v>0.6</v>
      </c>
      <c r="G445" s="51" t="n">
        <v>0.4</v>
      </c>
      <c r="H445" s="52" t="n">
        <v>0.459</v>
      </c>
      <c r="I445" s="52" t="n">
        <v>0.236</v>
      </c>
      <c r="J445" s="52" t="n">
        <v>0.08500000000000001</v>
      </c>
      <c r="K445" s="52" t="n">
        <v>0.013</v>
      </c>
      <c r="L445" s="52" t="n">
        <v>0.156</v>
      </c>
    </row>
    <row r="446" hidden="1" s="57">
      <c r="A446" s="38" t="n"/>
      <c r="B446" s="49" t="inlineStr">
        <is>
          <t>MCK</t>
        </is>
      </c>
      <c r="C446" s="49" t="inlineStr">
        <is>
          <t>McKesson</t>
        </is>
      </c>
      <c r="D446" s="50" t="inlineStr">
        <is>
          <t>Medical Distribution</t>
        </is>
      </c>
      <c r="E446" s="51" t="n">
        <v>1.9</v>
      </c>
      <c r="F446" s="51" t="n">
        <v>1</v>
      </c>
      <c r="G446" s="51" t="n">
        <v>0.6</v>
      </c>
      <c r="H446" s="52" t="n">
        <v>0.053</v>
      </c>
      <c r="I446" s="52" t="n">
        <v>0.012</v>
      </c>
      <c r="J446" s="52" t="n">
        <v>-0.004</v>
      </c>
      <c r="K446" s="52" t="n">
        <v>0.013</v>
      </c>
      <c r="L446" s="51" t="inlineStr">
        <is>
          <t xml:space="preserve">- </t>
        </is>
      </c>
    </row>
    <row r="447" hidden="1" s="57">
      <c r="A447" s="38" t="n"/>
      <c r="B447" s="49" t="inlineStr">
        <is>
          <t>WDC</t>
        </is>
      </c>
      <c r="C447" s="49" t="inlineStr">
        <is>
          <t>Western Digital</t>
        </is>
      </c>
      <c r="D447" s="50" t="inlineStr">
        <is>
          <t>Computer Hardware</t>
        </is>
      </c>
      <c r="E447" s="51" t="n">
        <v>1.1</v>
      </c>
      <c r="F447" s="51" t="n">
        <v>1.9</v>
      </c>
      <c r="G447" s="51" t="n">
        <v>1.2</v>
      </c>
      <c r="H447" s="52" t="n">
        <v>0.176</v>
      </c>
      <c r="I447" s="52" t="n">
        <v>-0.047</v>
      </c>
      <c r="J447" s="52" t="n">
        <v>-0.076</v>
      </c>
      <c r="K447" s="52" t="n">
        <v>0.013</v>
      </c>
      <c r="L447" s="51" t="inlineStr">
        <is>
          <t xml:space="preserve">- </t>
        </is>
      </c>
    </row>
    <row r="448" hidden="1" s="57">
      <c r="A448" s="38" t="n"/>
      <c r="B448" s="49" t="inlineStr">
        <is>
          <t>KR</t>
        </is>
      </c>
      <c r="C448" s="49" t="inlineStr">
        <is>
          <t>Kroger</t>
        </is>
      </c>
      <c r="D448" s="50" t="inlineStr">
        <is>
          <t>Grocery Stores</t>
        </is>
      </c>
      <c r="E448" s="51" t="n">
        <v>2.5</v>
      </c>
      <c r="F448" s="51" t="n">
        <v>0.8</v>
      </c>
      <c r="G448" s="51" t="n">
        <v>0.3</v>
      </c>
      <c r="H448" s="52" t="n">
        <v>0.221</v>
      </c>
      <c r="I448" s="52" t="n">
        <v>0.018</v>
      </c>
      <c r="J448" s="52" t="n">
        <v>0.014</v>
      </c>
      <c r="K448" s="52" t="n">
        <v>0.012</v>
      </c>
      <c r="L448" s="52" t="n">
        <v>0.913</v>
      </c>
    </row>
    <row r="449" hidden="1" s="57">
      <c r="A449" s="38" t="n"/>
      <c r="B449" s="49" t="inlineStr">
        <is>
          <t>CAH</t>
        </is>
      </c>
      <c r="C449" s="49" t="inlineStr">
        <is>
          <t>Cardinal Health</t>
        </is>
      </c>
      <c r="D449" s="50" t="inlineStr">
        <is>
          <t>Medical Distribution</t>
        </is>
      </c>
      <c r="E449" s="51" t="n">
        <v>7.9</v>
      </c>
      <c r="F449" s="51" t="n">
        <v>1</v>
      </c>
      <c r="G449" s="51" t="n">
        <v>0.5</v>
      </c>
      <c r="H449" s="52" t="n">
        <v>0.046</v>
      </c>
      <c r="I449" s="52" t="n">
        <v>0.012</v>
      </c>
      <c r="J449" s="52" t="n">
        <v>-0.028</v>
      </c>
      <c r="K449" s="52" t="n">
        <v>0.011</v>
      </c>
      <c r="L449" s="51" t="inlineStr">
        <is>
          <t xml:space="preserve">- </t>
        </is>
      </c>
    </row>
    <row r="450" hidden="1" s="57">
      <c r="A450" s="38" t="n"/>
      <c r="B450" s="49" t="inlineStr">
        <is>
          <t>CNC</t>
        </is>
      </c>
      <c r="C450" s="49" t="inlineStr">
        <is>
          <t>Centene</t>
        </is>
      </c>
      <c r="D450" s="50" t="inlineStr">
        <is>
          <t>Healthcare Plans</t>
        </is>
      </c>
      <c r="E450" s="51" t="n">
        <v>1.1</v>
      </c>
      <c r="F450" s="51" t="n">
        <v>1.6</v>
      </c>
      <c r="G450" s="51" t="n">
        <v>1.6</v>
      </c>
      <c r="H450" s="52" t="n">
        <v>0.118</v>
      </c>
      <c r="I450" s="52" t="n">
        <v>0.027</v>
      </c>
      <c r="J450" s="52" t="n">
        <v>0.018</v>
      </c>
      <c r="K450" s="52" t="n">
        <v>0.01</v>
      </c>
      <c r="L450" s="52" t="n">
        <v>0.542</v>
      </c>
    </row>
    <row r="451" hidden="1" s="57">
      <c r="A451" s="38" t="n"/>
      <c r="B451" s="49" t="inlineStr">
        <is>
          <t>PEG</t>
        </is>
      </c>
      <c r="C451" s="49" t="inlineStr">
        <is>
          <t>Public Service Enterprise</t>
        </is>
      </c>
      <c r="D451" s="50" t="inlineStr">
        <is>
          <t>Utilities - Diversified</t>
        </is>
      </c>
      <c r="E451" s="51" t="n">
        <v>1.1</v>
      </c>
      <c r="F451" s="51" t="n">
        <v>0.6</v>
      </c>
      <c r="G451" s="51" t="n">
        <v>0.5</v>
      </c>
      <c r="H451" s="52" t="n">
        <v>0.356</v>
      </c>
      <c r="I451" s="52" t="n">
        <v>0.232</v>
      </c>
      <c r="J451" s="52" t="n">
        <v>0.167</v>
      </c>
      <c r="K451" s="52" t="n">
        <v>0.01</v>
      </c>
      <c r="L451" s="52" t="n">
        <v>0.059</v>
      </c>
    </row>
    <row r="452" hidden="1" s="57">
      <c r="A452" s="38" t="n"/>
      <c r="B452" s="49" t="inlineStr">
        <is>
          <t>ABC</t>
        </is>
      </c>
      <c r="C452" s="49" t="inlineStr">
        <is>
          <t>AmerisourceBergen</t>
        </is>
      </c>
      <c r="D452" s="50" t="inlineStr">
        <is>
          <t>Medical Distribution</t>
        </is>
      </c>
      <c r="E452" s="51" t="n">
        <v>1.4</v>
      </c>
      <c r="F452" s="51" t="n">
        <v>1</v>
      </c>
      <c r="G452" s="51" t="n">
        <v>0.6</v>
      </c>
      <c r="H452" s="52" t="n">
        <v>0.028</v>
      </c>
      <c r="I452" s="52" t="n">
        <v>0.011</v>
      </c>
      <c r="J452" s="52" t="n">
        <v>0.004</v>
      </c>
      <c r="K452" s="52" t="n">
        <v>0.008999999999999999</v>
      </c>
      <c r="L452" s="52" t="n">
        <v>2.601</v>
      </c>
    </row>
    <row r="453" hidden="1" s="57">
      <c r="A453" s="38" t="n"/>
      <c r="B453" s="49" t="inlineStr">
        <is>
          <t>PSX</t>
        </is>
      </c>
      <c r="C453" s="49" t="inlineStr">
        <is>
          <t>Phillips 66</t>
        </is>
      </c>
      <c r="D453" s="50" t="inlineStr">
        <is>
          <t>Oil &amp; Gas Refining &amp; Marketing</t>
        </is>
      </c>
      <c r="E453" s="51" t="n">
        <v>0.5</v>
      </c>
      <c r="F453" s="51" t="n">
        <v>1.2</v>
      </c>
      <c r="G453" s="51" t="n">
        <v>0.9</v>
      </c>
      <c r="H453" s="52" t="n">
        <v>0.11</v>
      </c>
      <c r="I453" s="52" t="n">
        <v>0.031</v>
      </c>
      <c r="J453" s="52" t="n">
        <v>0.029</v>
      </c>
      <c r="K453" s="52" t="n">
        <v>0.008999999999999999</v>
      </c>
      <c r="L453" s="52" t="n">
        <v>0.327</v>
      </c>
    </row>
    <row r="454" hidden="1" s="57">
      <c r="A454" s="38" t="n"/>
      <c r="B454" s="49" t="inlineStr">
        <is>
          <t>WEC</t>
        </is>
      </c>
      <c r="C454" s="49" t="inlineStr">
        <is>
          <t>WEC Energy Gr</t>
        </is>
      </c>
      <c r="D454" s="50" t="inlineStr">
        <is>
          <t>Utilities - Regulated Electric</t>
        </is>
      </c>
      <c r="E454" s="51" t="n">
        <v>1.3</v>
      </c>
      <c r="F454" s="51" t="n">
        <v>0.7</v>
      </c>
      <c r="G454" s="51" t="n">
        <v>0.5</v>
      </c>
      <c r="H454" s="52" t="n">
        <v>0.354</v>
      </c>
      <c r="I454" s="52" t="n">
        <v>0.203</v>
      </c>
      <c r="J454" s="52" t="n">
        <v>0.151</v>
      </c>
      <c r="K454" s="52" t="n">
        <v>0.008999999999999999</v>
      </c>
      <c r="L454" s="52" t="n">
        <v>0.061</v>
      </c>
    </row>
    <row r="455" hidden="1" s="57">
      <c r="A455" s="38" t="n"/>
      <c r="B455" s="49" t="inlineStr">
        <is>
          <t>LYV</t>
        </is>
      </c>
      <c r="C455" s="49" t="inlineStr">
        <is>
          <t>Live Nation Entertainment</t>
        </is>
      </c>
      <c r="D455" s="50" t="inlineStr">
        <is>
          <t>Entertainment</t>
        </is>
      </c>
      <c r="E455" s="51" t="n">
        <v>4.2</v>
      </c>
      <c r="F455" s="51" t="n">
        <v>1</v>
      </c>
      <c r="G455" s="51" t="n">
        <v>1</v>
      </c>
      <c r="H455" s="52" t="n">
        <v>0.266</v>
      </c>
      <c r="I455" s="52" t="n">
        <v>0.028</v>
      </c>
      <c r="J455" s="52" t="n">
        <v>0.008999999999999999</v>
      </c>
      <c r="K455" s="52" t="n">
        <v>0.008</v>
      </c>
      <c r="L455" s="52" t="n">
        <v>0.88</v>
      </c>
    </row>
    <row r="456" hidden="1" s="57">
      <c r="A456" s="38" t="n"/>
      <c r="B456" s="49" t="inlineStr">
        <is>
          <t>GLW</t>
        </is>
      </c>
      <c r="C456" s="49" t="inlineStr">
        <is>
          <t>Corning</t>
        </is>
      </c>
      <c r="D456" s="50" t="inlineStr">
        <is>
          <t>Electronic Components</t>
        </is>
      </c>
      <c r="E456" s="51" t="n">
        <v>0.6</v>
      </c>
      <c r="F456" s="51" t="n">
        <v>2.1</v>
      </c>
      <c r="G456" s="51" t="n">
        <v>1.5</v>
      </c>
      <c r="H456" s="52" t="n">
        <v>0.35</v>
      </c>
      <c r="I456" s="52" t="n">
        <v>0.113</v>
      </c>
      <c r="J456" s="52" t="n">
        <v>0.082</v>
      </c>
      <c r="K456" s="52" t="n">
        <v>0.006</v>
      </c>
      <c r="L456" s="52" t="n">
        <v>0.073</v>
      </c>
    </row>
    <row r="457" hidden="1" s="57">
      <c r="A457" s="38" t="n"/>
      <c r="B457" s="49" t="inlineStr">
        <is>
          <t>AES</t>
        </is>
      </c>
      <c r="C457" s="49" t="inlineStr">
        <is>
          <t>AES</t>
        </is>
      </c>
      <c r="D457" s="50" t="inlineStr">
        <is>
          <t>Utilities - Diversified</t>
        </is>
      </c>
      <c r="E457" s="51" t="n">
        <v>6.7</v>
      </c>
      <c r="F457" s="51" t="n">
        <v>1</v>
      </c>
      <c r="G457" s="51" t="n">
        <v>0.9</v>
      </c>
      <c r="H457" s="52" t="n">
        <v>0.231</v>
      </c>
      <c r="I457" s="52" t="n">
        <v>0.211</v>
      </c>
      <c r="J457" s="52" t="n">
        <v>0.029</v>
      </c>
      <c r="K457" s="52" t="n">
        <v>0.005</v>
      </c>
      <c r="L457" s="52" t="n">
        <v>0.178</v>
      </c>
    </row>
    <row r="458" hidden="1" s="57">
      <c r="A458" s="38" t="n"/>
      <c r="B458" s="49" t="inlineStr">
        <is>
          <t>DIS</t>
        </is>
      </c>
      <c r="C458" s="49" t="inlineStr">
        <is>
          <t>Walt Disney</t>
        </is>
      </c>
      <c r="D458" s="50" t="inlineStr">
        <is>
          <t>Entertainment</t>
        </is>
      </c>
      <c r="E458" s="51" t="n">
        <v>0.5</v>
      </c>
      <c r="F458" s="51" t="n">
        <v>0.8</v>
      </c>
      <c r="G458" s="51" t="n">
        <v>0.7</v>
      </c>
      <c r="H458" s="52" t="n">
        <v>0.387</v>
      </c>
      <c r="I458" s="52" t="n">
        <v>0.149</v>
      </c>
      <c r="J458" s="52" t="n">
        <v>0.136</v>
      </c>
      <c r="K458" s="52" t="n">
        <v>0.005</v>
      </c>
      <c r="L458" s="52" t="n">
        <v>0.037</v>
      </c>
    </row>
    <row r="459" hidden="1" s="57">
      <c r="A459" s="38" t="n"/>
      <c r="B459" s="49" t="inlineStr">
        <is>
          <t>CTVA</t>
        </is>
      </c>
      <c r="C459" s="49" t="inlineStr">
        <is>
          <t>Corteva</t>
        </is>
      </c>
      <c r="D459" s="50" t="inlineStr">
        <is>
          <t>Agricultural Inputs</t>
        </is>
      </c>
      <c r="E459" s="51" t="n">
        <v>0</v>
      </c>
      <c r="F459" s="51" t="n">
        <v>1.6</v>
      </c>
      <c r="G459" s="51" t="n">
        <v>1</v>
      </c>
      <c r="H459" s="52" t="n">
        <v>0.367</v>
      </c>
      <c r="I459" s="52" t="n">
        <v>0.065</v>
      </c>
      <c r="J459" s="52" t="n">
        <v>-0.063</v>
      </c>
      <c r="K459" s="52" t="n">
        <v>0</v>
      </c>
      <c r="L459" s="51" t="inlineStr">
        <is>
          <t xml:space="preserve">- </t>
        </is>
      </c>
    </row>
    <row r="460" hidden="1" s="57">
      <c r="A460" s="38" t="n"/>
      <c r="B460" s="49" t="inlineStr">
        <is>
          <t>AAL</t>
        </is>
      </c>
      <c r="C460" s="49" t="inlineStr">
        <is>
          <t>American Airlines Group</t>
        </is>
      </c>
      <c r="D460" s="50" t="inlineStr">
        <is>
          <t>Airlines</t>
        </is>
      </c>
      <c r="E460" s="51" t="inlineStr">
        <is>
          <t xml:space="preserve">- </t>
        </is>
      </c>
      <c r="F460" s="51" t="n">
        <v>0.5</v>
      </c>
      <c r="G460" s="51" t="n">
        <v>0.4</v>
      </c>
      <c r="H460" s="52" t="n">
        <v>0.236</v>
      </c>
      <c r="I460" s="52" t="n">
        <v>0.081</v>
      </c>
      <c r="J460" s="52" t="n">
        <v>0.037</v>
      </c>
      <c r="K460" s="52" t="n">
        <v>-0.01</v>
      </c>
      <c r="L460" s="52" t="n">
        <v>-0.279</v>
      </c>
    </row>
    <row r="461" hidden="1" s="57">
      <c r="A461" s="38" t="n"/>
      <c r="B461" s="49" t="inlineStr">
        <is>
          <t>HWM</t>
        </is>
      </c>
      <c r="C461" s="49" t="inlineStr">
        <is>
          <t>Howmet Aerospace</t>
        </is>
      </c>
      <c r="D461" s="50" t="inlineStr">
        <is>
          <t>Specialty Industrial Machinery</t>
        </is>
      </c>
      <c r="E461" s="51" t="n">
        <v>1.4</v>
      </c>
      <c r="F461" s="51" t="n">
        <v>1.4</v>
      </c>
      <c r="G461" s="51" t="n">
        <v>0.8</v>
      </c>
      <c r="H461" s="52" t="n">
        <v>0.209</v>
      </c>
      <c r="I461" s="52" t="n">
        <v>0.117</v>
      </c>
      <c r="J461" s="52" t="n">
        <v>0.033</v>
      </c>
      <c r="K461" s="52" t="n">
        <v>-0.011</v>
      </c>
      <c r="L461" s="52" t="n">
        <v>-0.349</v>
      </c>
    </row>
    <row r="462" hidden="1" s="57">
      <c r="A462" s="38" t="n"/>
      <c r="B462" s="49" t="inlineStr">
        <is>
          <t>TMUS</t>
        </is>
      </c>
      <c r="C462" s="49" t="inlineStr">
        <is>
          <t>T-Mobile US</t>
        </is>
      </c>
      <c r="D462" s="50" t="inlineStr">
        <is>
          <t>Telecom Services</t>
        </is>
      </c>
      <c r="E462" s="51" t="n">
        <v>0.9</v>
      </c>
      <c r="F462" s="51" t="n">
        <v>0.7</v>
      </c>
      <c r="G462" s="51" t="n">
        <v>0.7</v>
      </c>
      <c r="H462" s="52" t="n">
        <v>0.588</v>
      </c>
      <c r="I462" s="52" t="n">
        <v>0.127</v>
      </c>
      <c r="J462" s="52" t="n">
        <v>0.077</v>
      </c>
      <c r="K462" s="52" t="n">
        <v>-0.011</v>
      </c>
      <c r="L462" s="52" t="n">
        <v>-0.146</v>
      </c>
    </row>
    <row r="463" hidden="1" s="57">
      <c r="A463" s="38" t="n"/>
      <c r="B463" s="49" t="inlineStr">
        <is>
          <t>FDX</t>
        </is>
      </c>
      <c r="C463" s="49" t="inlineStr">
        <is>
          <t>FedEx</t>
        </is>
      </c>
      <c r="D463" s="50" t="inlineStr">
        <is>
          <t>Integrated Freight &amp; Logistics</t>
        </is>
      </c>
      <c r="E463" s="51" t="n">
        <v>1.8</v>
      </c>
      <c r="F463" s="51" t="n">
        <v>1.2</v>
      </c>
      <c r="G463" s="51" t="n">
        <v>1.1</v>
      </c>
      <c r="H463" s="52" t="n">
        <v>0.202</v>
      </c>
      <c r="I463" s="52" t="n">
        <v>0.052</v>
      </c>
      <c r="J463" s="52" t="n">
        <v>-0.005</v>
      </c>
      <c r="K463" s="52" t="n">
        <v>-0.012</v>
      </c>
      <c r="L463" s="51" t="inlineStr">
        <is>
          <t xml:space="preserve">- </t>
        </is>
      </c>
    </row>
    <row r="464" hidden="1" s="57">
      <c r="A464" s="38" t="n"/>
      <c r="B464" s="49" t="inlineStr">
        <is>
          <t>APA</t>
        </is>
      </c>
      <c r="C464" s="49" t="inlineStr">
        <is>
          <t>Apache</t>
        </is>
      </c>
      <c r="D464" s="50" t="inlineStr">
        <is>
          <t>Oil &amp; Gas E&amp;P</t>
        </is>
      </c>
      <c r="E464" s="51" t="n">
        <v>2.7</v>
      </c>
      <c r="F464" s="51" t="n">
        <v>1.1</v>
      </c>
      <c r="G464" s="51" t="n">
        <v>0.8</v>
      </c>
      <c r="H464" s="52" t="n">
        <v>0.298</v>
      </c>
      <c r="I464" s="52" t="n">
        <v>0.064</v>
      </c>
      <c r="J464" s="52" t="n">
        <v>-0.5629999999999999</v>
      </c>
      <c r="K464" s="52" t="n">
        <v>-0.013</v>
      </c>
      <c r="L464" s="51" t="inlineStr">
        <is>
          <t xml:space="preserve">- </t>
        </is>
      </c>
    </row>
    <row r="465" hidden="1" s="57">
      <c r="A465" s="38" t="n"/>
      <c r="B465" s="49" t="inlineStr">
        <is>
          <t>FE</t>
        </is>
      </c>
      <c r="C465" s="49" t="inlineStr">
        <is>
          <t>FirstEnergy</t>
        </is>
      </c>
      <c r="D465" s="50" t="inlineStr">
        <is>
          <t>Utilities - Diversified</t>
        </is>
      </c>
      <c r="E465" s="51" t="n">
        <v>3</v>
      </c>
      <c r="F465" s="51" t="n">
        <v>0.5</v>
      </c>
      <c r="G465" s="51" t="n">
        <v>0.4</v>
      </c>
      <c r="H465" s="52" t="n">
        <v>0.6899999999999999</v>
      </c>
      <c r="I465" s="52" t="n">
        <v>0.166</v>
      </c>
      <c r="J465" s="52" t="n">
        <v>0.082</v>
      </c>
      <c r="K465" s="52" t="n">
        <v>-0.015</v>
      </c>
      <c r="L465" s="52" t="n">
        <v>-0.184</v>
      </c>
    </row>
    <row r="466" hidden="1" s="57">
      <c r="A466" s="38" t="n"/>
      <c r="B466" s="49" t="inlineStr">
        <is>
          <t>EQIX</t>
        </is>
      </c>
      <c r="C466" s="49" t="inlineStr">
        <is>
          <t>Equinix</t>
        </is>
      </c>
      <c r="D466" s="50" t="inlineStr">
        <is>
          <t>REIT - Specialty</t>
        </is>
      </c>
      <c r="E466" s="51" t="n">
        <v>1.5</v>
      </c>
      <c r="F466" s="51" t="n">
        <v>1.3</v>
      </c>
      <c r="G466" s="51" t="n">
        <v>1.3</v>
      </c>
      <c r="H466" s="52" t="n">
        <v>0.495</v>
      </c>
      <c r="I466" s="52" t="n">
        <v>0.21</v>
      </c>
      <c r="J466" s="52" t="n">
        <v>0.091</v>
      </c>
      <c r="K466" s="52" t="n">
        <v>-0.016</v>
      </c>
      <c r="L466" s="52" t="n">
        <v>-0.178</v>
      </c>
    </row>
    <row r="467" hidden="1" s="57">
      <c r="A467" s="38" t="n"/>
      <c r="B467" s="49" t="inlineStr">
        <is>
          <t>EXC</t>
        </is>
      </c>
      <c r="C467" s="49" t="inlineStr">
        <is>
          <t>Exelon</t>
        </is>
      </c>
      <c r="D467" s="50" t="inlineStr">
        <is>
          <t>Utilities - Diversified</t>
        </is>
      </c>
      <c r="E467" s="51" t="n">
        <v>1.2</v>
      </c>
      <c r="F467" s="51" t="n">
        <v>0.9</v>
      </c>
      <c r="G467" s="51" t="n">
        <v>0.7</v>
      </c>
      <c r="H467" s="52" t="n">
        <v>0.3</v>
      </c>
      <c r="I467" s="52" t="n">
        <v>0.126</v>
      </c>
      <c r="J467" s="52" t="n">
        <v>0.08500000000000001</v>
      </c>
      <c r="K467" s="52" t="n">
        <v>-0.016</v>
      </c>
      <c r="L467" s="52" t="n">
        <v>-0.191</v>
      </c>
    </row>
    <row r="468" hidden="1" s="57">
      <c r="A468" s="38" t="n"/>
      <c r="B468" s="49" t="inlineStr">
        <is>
          <t>AIG</t>
        </is>
      </c>
      <c r="C468" s="49" t="inlineStr">
        <is>
          <t>American Intl Gr</t>
        </is>
      </c>
      <c r="D468" s="50" t="inlineStr">
        <is>
          <t>Insurance - Diversified</t>
        </is>
      </c>
      <c r="E468" s="51" t="n">
        <v>0.5</v>
      </c>
      <c r="F468" s="51" t="inlineStr">
        <is>
          <t xml:space="preserve">- </t>
        </is>
      </c>
      <c r="G468" s="51" t="inlineStr">
        <is>
          <t xml:space="preserve">- </t>
        </is>
      </c>
      <c r="H468" s="52" t="n">
        <v>0</v>
      </c>
      <c r="I468" s="52" t="n">
        <v>0</v>
      </c>
      <c r="J468" s="52" t="n">
        <v>0.067</v>
      </c>
      <c r="K468" s="52" t="n">
        <v>-0.018</v>
      </c>
      <c r="L468" s="52" t="n">
        <v>-0.267</v>
      </c>
    </row>
    <row r="469" hidden="1" s="57">
      <c r="A469" s="38" t="n"/>
      <c r="B469" s="49" t="inlineStr">
        <is>
          <t>MOS</t>
        </is>
      </c>
      <c r="C469" s="49" t="inlineStr">
        <is>
          <t>Mosaic</t>
        </is>
      </c>
      <c r="D469" s="50" t="inlineStr">
        <is>
          <t>Agricultural Inputs</t>
        </is>
      </c>
      <c r="E469" s="51" t="n">
        <v>0.5</v>
      </c>
      <c r="F469" s="51" t="n">
        <v>1.4</v>
      </c>
      <c r="G469" s="51" t="n">
        <v>0.6</v>
      </c>
      <c r="H469" s="52" t="n">
        <v>0.1</v>
      </c>
      <c r="I469" s="52" t="n">
        <v>0.041</v>
      </c>
      <c r="J469" s="52" t="n">
        <v>-0.122</v>
      </c>
      <c r="K469" s="52" t="n">
        <v>-0.018</v>
      </c>
      <c r="L469" s="51" t="inlineStr">
        <is>
          <t xml:space="preserve">- </t>
        </is>
      </c>
    </row>
    <row r="470" hidden="1" s="57">
      <c r="A470" s="38" t="n"/>
      <c r="B470" s="49" t="inlineStr">
        <is>
          <t>KMX</t>
        </is>
      </c>
      <c r="C470" s="49" t="inlineStr">
        <is>
          <t>CarMax</t>
        </is>
      </c>
      <c r="D470" s="50" t="inlineStr">
        <is>
          <t>Auto &amp; Truck Dealerships</t>
        </is>
      </c>
      <c r="E470" s="51" t="n">
        <v>4.2</v>
      </c>
      <c r="F470" s="51" t="n">
        <v>2.4</v>
      </c>
      <c r="G470" s="51" t="n">
        <v>0.5</v>
      </c>
      <c r="H470" s="52" t="n">
        <v>0.135</v>
      </c>
      <c r="I470" s="52" t="n">
        <v>0.039</v>
      </c>
      <c r="J470" s="52" t="n">
        <v>0.044</v>
      </c>
      <c r="K470" s="52" t="n">
        <v>-0.019</v>
      </c>
      <c r="L470" s="52" t="n">
        <v>-0.441</v>
      </c>
    </row>
    <row r="471" hidden="1" s="57">
      <c r="A471" s="38" t="n"/>
      <c r="B471" s="49" t="inlineStr">
        <is>
          <t>AIV</t>
        </is>
      </c>
      <c r="C471" s="49" t="inlineStr">
        <is>
          <t>Apartment Inv &amp; Mgmt</t>
        </is>
      </c>
      <c r="D471" s="50" t="inlineStr">
        <is>
          <t>REIT - Residential</t>
        </is>
      </c>
      <c r="E471" s="51" t="n">
        <v>2.5</v>
      </c>
      <c r="F471" s="51" t="n">
        <v>0.7</v>
      </c>
      <c r="G471" s="51" t="n">
        <v>0.7</v>
      </c>
      <c r="H471" s="52" t="n">
        <v>0.66</v>
      </c>
      <c r="I471" s="52" t="n">
        <v>0.171</v>
      </c>
      <c r="J471" s="52" t="n">
        <v>0.511</v>
      </c>
      <c r="K471" s="52" t="n">
        <v>-0.021</v>
      </c>
      <c r="L471" s="52" t="n">
        <v>-0.041</v>
      </c>
    </row>
    <row r="472" hidden="1" s="57">
      <c r="A472" s="38" t="n"/>
      <c r="B472" s="49" t="inlineStr">
        <is>
          <t>EFX</t>
        </is>
      </c>
      <c r="C472" s="49" t="inlineStr">
        <is>
          <t>Equifax</t>
        </is>
      </c>
      <c r="D472" s="50" t="inlineStr">
        <is>
          <t>Consulting Services</t>
        </is>
      </c>
      <c r="E472" s="51" t="n">
        <v>1.3</v>
      </c>
      <c r="F472" s="51" t="n">
        <v>0.9</v>
      </c>
      <c r="G472" s="51" t="n">
        <v>0.9</v>
      </c>
      <c r="H472" s="52" t="n">
        <v>0.5659999999999999</v>
      </c>
      <c r="I472" s="52" t="n">
        <v>-0.089</v>
      </c>
      <c r="J472" s="52" t="n">
        <v>-0.108</v>
      </c>
      <c r="K472" s="52" t="n">
        <v>-0.024</v>
      </c>
      <c r="L472" s="51" t="inlineStr">
        <is>
          <t xml:space="preserve">- </t>
        </is>
      </c>
    </row>
    <row r="473" hidden="1" s="57">
      <c r="A473" s="38" t="n"/>
      <c r="B473" s="49" t="inlineStr">
        <is>
          <t>WYNN</t>
        </is>
      </c>
      <c r="C473" s="49" t="inlineStr">
        <is>
          <t>Wynn Resorts</t>
        </is>
      </c>
      <c r="D473" s="50" t="inlineStr">
        <is>
          <t>Resorts &amp; Casinos</t>
        </is>
      </c>
      <c r="E473" s="51" t="n">
        <v>6.1</v>
      </c>
      <c r="F473" s="51" t="n">
        <v>1.4</v>
      </c>
      <c r="G473" s="51" t="n">
        <v>1.3</v>
      </c>
      <c r="H473" s="52" t="n">
        <v>0.385</v>
      </c>
      <c r="I473" s="52" t="n">
        <v>0.136</v>
      </c>
      <c r="J473" s="52" t="n">
        <v>0.018</v>
      </c>
      <c r="K473" s="52" t="n">
        <v>-0.025</v>
      </c>
      <c r="L473" s="52" t="n">
        <v>-1.403</v>
      </c>
    </row>
    <row r="474" hidden="1" s="57">
      <c r="A474" s="38" t="n"/>
      <c r="B474" s="49" t="inlineStr">
        <is>
          <t>ED</t>
        </is>
      </c>
      <c r="C474" s="49" t="inlineStr">
        <is>
          <t>Consolidated Edison</t>
        </is>
      </c>
      <c r="D474" s="50" t="inlineStr">
        <is>
          <t>Utilities - Regulated Electric</t>
        </is>
      </c>
      <c r="E474" s="51" t="n">
        <v>1.3</v>
      </c>
      <c r="F474" s="51" t="n">
        <v>0.7</v>
      </c>
      <c r="G474" s="51" t="n">
        <v>0.6</v>
      </c>
      <c r="H474" s="52" t="n">
        <v>0.532</v>
      </c>
      <c r="I474" s="52" t="n">
        <v>0.21</v>
      </c>
      <c r="J474" s="52" t="n">
        <v>0.104</v>
      </c>
      <c r="K474" s="52" t="n">
        <v>-0.026</v>
      </c>
      <c r="L474" s="52" t="n">
        <v>-0.251</v>
      </c>
    </row>
    <row r="475" hidden="1" s="57">
      <c r="A475" s="38" t="n"/>
      <c r="B475" s="49" t="inlineStr">
        <is>
          <t>DTE</t>
        </is>
      </c>
      <c r="C475" s="49" t="inlineStr">
        <is>
          <t>DTE Energy</t>
        </is>
      </c>
      <c r="D475" s="50" t="inlineStr">
        <is>
          <t>Utilities - Regulated Electric</t>
        </is>
      </c>
      <c r="E475" s="51" t="n">
        <v>1.5</v>
      </c>
      <c r="F475" s="51" t="n">
        <v>0.8</v>
      </c>
      <c r="G475" s="51" t="n">
        <v>0.6</v>
      </c>
      <c r="H475" s="52" t="n">
        <v>0.268</v>
      </c>
      <c r="I475" s="52" t="n">
        <v>0.136</v>
      </c>
      <c r="J475" s="52" t="n">
        <v>0.092</v>
      </c>
      <c r="K475" s="52" t="n">
        <v>-0.028</v>
      </c>
      <c r="L475" s="52" t="n">
        <v>-0.305</v>
      </c>
    </row>
    <row r="476" hidden="1" s="57">
      <c r="A476" s="38" t="n"/>
      <c r="B476" s="49" t="inlineStr">
        <is>
          <t>J</t>
        </is>
      </c>
      <c r="C476" s="49" t="inlineStr">
        <is>
          <t>Jacobs Engineering Group</t>
        </is>
      </c>
      <c r="D476" s="50" t="inlineStr">
        <is>
          <t>Engineering &amp; Construction</t>
        </is>
      </c>
      <c r="E476" s="51" t="n">
        <v>0.3</v>
      </c>
      <c r="F476" s="51" t="n">
        <v>1.6</v>
      </c>
      <c r="G476" s="51" t="n">
        <v>1.5</v>
      </c>
      <c r="H476" s="52" t="n">
        <v>0.196</v>
      </c>
      <c r="I476" s="52" t="n">
        <v>0.034</v>
      </c>
      <c r="J476" s="52" t="n">
        <v>0.076</v>
      </c>
      <c r="K476" s="52" t="n">
        <v>-0.033</v>
      </c>
      <c r="L476" s="52" t="n">
        <v>-0.431</v>
      </c>
    </row>
    <row r="477" hidden="1" s="57">
      <c r="A477" s="38" t="n"/>
      <c r="B477" s="49" t="inlineStr">
        <is>
          <t>ALB</t>
        </is>
      </c>
      <c r="C477" s="49" t="inlineStr">
        <is>
          <t>Albemarle</t>
        </is>
      </c>
      <c r="D477" s="50" t="inlineStr">
        <is>
          <t>Specialty Chemicals</t>
        </is>
      </c>
      <c r="E477" s="51" t="n">
        <v>0.8</v>
      </c>
      <c r="F477" s="51" t="n">
        <v>1.6</v>
      </c>
      <c r="G477" s="51" t="n">
        <v>1</v>
      </c>
      <c r="H477" s="52" t="n">
        <v>0.351</v>
      </c>
      <c r="I477" s="52" t="n">
        <v>0.186</v>
      </c>
      <c r="J477" s="52" t="n">
        <v>0.148</v>
      </c>
      <c r="K477" s="52" t="n">
        <v>-0.035</v>
      </c>
      <c r="L477" s="52" t="n">
        <v>-0.238</v>
      </c>
    </row>
    <row r="478" hidden="1" s="57">
      <c r="A478" s="38" t="n"/>
      <c r="B478" s="49" t="inlineStr">
        <is>
          <t>DD</t>
        </is>
      </c>
      <c r="C478" s="49" t="inlineStr">
        <is>
          <t>DuPont de Nemours</t>
        </is>
      </c>
      <c r="D478" s="50" t="inlineStr">
        <is>
          <t>Chemicals</t>
        </is>
      </c>
      <c r="E478" s="51" t="n">
        <v>0.4</v>
      </c>
      <c r="F478" s="51" t="n">
        <v>1.2</v>
      </c>
      <c r="G478" s="51" t="n">
        <v>0.7</v>
      </c>
      <c r="H478" s="52" t="n">
        <v>0.297</v>
      </c>
      <c r="I478" s="52" t="n">
        <v>0.121</v>
      </c>
      <c r="J478" s="52" t="n">
        <v>0.014</v>
      </c>
      <c r="K478" s="52" t="n">
        <v>-0.035</v>
      </c>
      <c r="L478" s="52" t="n">
        <v>-2.569</v>
      </c>
    </row>
    <row r="479" hidden="1" s="57">
      <c r="A479" s="38" t="n"/>
      <c r="B479" s="49" t="inlineStr">
        <is>
          <t>NI</t>
        </is>
      </c>
      <c r="C479" s="49" t="inlineStr">
        <is>
          <t>NiSource</t>
        </is>
      </c>
      <c r="D479" s="50" t="inlineStr">
        <is>
          <t>Utilities - Regulated Gas</t>
        </is>
      </c>
      <c r="E479" s="51" t="n">
        <v>1.6</v>
      </c>
      <c r="F479" s="51" t="n">
        <v>0.5</v>
      </c>
      <c r="G479" s="51" t="n">
        <v>0.4</v>
      </c>
      <c r="H479" s="52" t="n">
        <v>0.447</v>
      </c>
      <c r="I479" s="52" t="n">
        <v>0.251</v>
      </c>
      <c r="J479" s="52" t="n">
        <v>0.073</v>
      </c>
      <c r="K479" s="52" t="n">
        <v>-0.043</v>
      </c>
      <c r="L479" s="52" t="n">
        <v>-0.592</v>
      </c>
    </row>
    <row r="480" hidden="1" s="57">
      <c r="A480" s="38" t="n"/>
      <c r="B480" s="49" t="inlineStr">
        <is>
          <t>AEE</t>
        </is>
      </c>
      <c r="C480" s="49" t="inlineStr">
        <is>
          <t>Ameren</t>
        </is>
      </c>
      <c r="D480" s="50" t="inlineStr">
        <is>
          <t>Utilities - Regulated Electric</t>
        </is>
      </c>
      <c r="E480" s="51" t="n">
        <v>1.2</v>
      </c>
      <c r="F480" s="51" t="n">
        <v>0.6</v>
      </c>
      <c r="G480" s="51" t="n">
        <v>0.4</v>
      </c>
      <c r="H480" s="52" t="n">
        <v>0.465</v>
      </c>
      <c r="I480" s="52" t="n">
        <v>0.215</v>
      </c>
      <c r="J480" s="52" t="n">
        <v>0.14</v>
      </c>
      <c r="K480" s="52" t="n">
        <v>-0.045</v>
      </c>
      <c r="L480" s="52" t="n">
        <v>-0.322</v>
      </c>
    </row>
    <row r="481" hidden="1" s="57">
      <c r="A481" s="38" t="n"/>
      <c r="B481" s="49" t="inlineStr">
        <is>
          <t>BEN</t>
        </is>
      </c>
      <c r="C481" s="49" t="inlineStr">
        <is>
          <t>Franklin Resources</t>
        </is>
      </c>
      <c r="D481" s="50" t="inlineStr">
        <is>
          <t>Asset Management</t>
        </is>
      </c>
      <c r="E481" s="51" t="n">
        <v>0.1</v>
      </c>
      <c r="F481" s="51" t="n">
        <v>5.3</v>
      </c>
      <c r="G481" s="51" t="n">
        <v>5.3</v>
      </c>
      <c r="H481" s="52" t="n">
        <v>0.405</v>
      </c>
      <c r="I481" s="52" t="n">
        <v>0.266</v>
      </c>
      <c r="J481" s="52" t="n">
        <v>0.22</v>
      </c>
      <c r="K481" s="52" t="n">
        <v>-0.046</v>
      </c>
      <c r="L481" s="52" t="n">
        <v>-0.208</v>
      </c>
    </row>
    <row r="482" hidden="1" s="57">
      <c r="A482" s="38" t="n"/>
      <c r="B482" s="49" t="inlineStr">
        <is>
          <t>SRE</t>
        </is>
      </c>
      <c r="C482" s="49" t="inlineStr">
        <is>
          <t>Sempra Energy</t>
        </is>
      </c>
      <c r="D482" s="50" t="inlineStr">
        <is>
          <t>Utilities - Diversified</t>
        </is>
      </c>
      <c r="E482" s="51" t="n">
        <v>1.3</v>
      </c>
      <c r="F482" s="51" t="n">
        <v>0.4</v>
      </c>
      <c r="G482" s="51" t="n">
        <v>0.3</v>
      </c>
      <c r="H482" s="52" t="n">
        <v>0.434</v>
      </c>
      <c r="I482" s="52" t="n">
        <v>0.243</v>
      </c>
      <c r="J482" s="52" t="n">
        <v>0.203</v>
      </c>
      <c r="K482" s="52" t="n">
        <v>-0.059</v>
      </c>
      <c r="L482" s="52" t="n">
        <v>-0.288</v>
      </c>
    </row>
    <row r="483" hidden="1" s="57">
      <c r="A483" s="38" t="n"/>
      <c r="B483" s="49" t="inlineStr">
        <is>
          <t>BA</t>
        </is>
      </c>
      <c r="C483" s="49" t="inlineStr">
        <is>
          <t>Boeing</t>
        </is>
      </c>
      <c r="D483" s="50" t="inlineStr">
        <is>
          <t>Aerospace &amp; Defense</t>
        </is>
      </c>
      <c r="E483" s="51" t="inlineStr">
        <is>
          <t xml:space="preserve">- </t>
        </is>
      </c>
      <c r="F483" s="51" t="n">
        <v>1.1</v>
      </c>
      <c r="G483" s="51" t="n">
        <v>0.3</v>
      </c>
      <c r="H483" s="52" t="n">
        <v>0.057</v>
      </c>
      <c r="I483" s="52" t="n">
        <v>-0.036</v>
      </c>
      <c r="J483" s="52" t="n">
        <v>-0.01</v>
      </c>
      <c r="K483" s="52" t="n">
        <v>-0.06</v>
      </c>
      <c r="L483" s="51" t="inlineStr">
        <is>
          <t xml:space="preserve">- </t>
        </is>
      </c>
    </row>
    <row r="484" hidden="1" s="57">
      <c r="A484" s="38" t="n"/>
      <c r="B484" s="49" t="inlineStr">
        <is>
          <t>GM</t>
        </is>
      </c>
      <c r="C484" s="49" t="inlineStr">
        <is>
          <t>General Motors</t>
        </is>
      </c>
      <c r="D484" s="50" t="inlineStr">
        <is>
          <t>Auto Manufacturers</t>
        </is>
      </c>
      <c r="E484" s="51" t="n">
        <v>2.5</v>
      </c>
      <c r="F484" s="51" t="n">
        <v>0.9</v>
      </c>
      <c r="G484" s="51" t="n">
        <v>0.8</v>
      </c>
      <c r="H484" s="52" t="n">
        <v>0.102</v>
      </c>
      <c r="I484" s="52" t="n">
        <v>0.04</v>
      </c>
      <c r="J484" s="52" t="n">
        <v>0.049</v>
      </c>
      <c r="K484" s="52" t="n">
        <v>-0.064</v>
      </c>
      <c r="L484" s="52" t="n">
        <v>-1.313</v>
      </c>
    </row>
    <row r="485" hidden="1" s="57">
      <c r="A485" s="38" t="n"/>
      <c r="B485" s="49" t="inlineStr">
        <is>
          <t>BK</t>
        </is>
      </c>
      <c r="C485" s="49" t="inlineStr">
        <is>
          <t>Bank of New York Mellon</t>
        </is>
      </c>
      <c r="D485" s="50" t="inlineStr">
        <is>
          <t>Asset Management</t>
        </is>
      </c>
      <c r="E485" s="51" t="n">
        <v>0.8</v>
      </c>
      <c r="F485" s="51" t="inlineStr">
        <is>
          <t xml:space="preserve">- </t>
        </is>
      </c>
      <c r="G485" s="51" t="inlineStr">
        <is>
          <t xml:space="preserve">- </t>
        </is>
      </c>
      <c r="H485" s="52" t="n">
        <v>0</v>
      </c>
      <c r="I485" s="52" t="n">
        <v>0.344</v>
      </c>
      <c r="J485" s="52" t="n">
        <v>0.277</v>
      </c>
      <c r="K485" s="52" t="n">
        <v>-0.067</v>
      </c>
      <c r="L485" s="52" t="n">
        <v>-0.241</v>
      </c>
    </row>
    <row r="486" hidden="1" s="57">
      <c r="A486" s="38" t="n"/>
      <c r="B486" s="49" t="inlineStr">
        <is>
          <t>CMS</t>
        </is>
      </c>
      <c r="C486" s="49" t="inlineStr">
        <is>
          <t>CMS Energy</t>
        </is>
      </c>
      <c r="D486" s="50" t="inlineStr">
        <is>
          <t>Utilities - Regulated Electric</t>
        </is>
      </c>
      <c r="E486" s="51" t="n">
        <v>2.6</v>
      </c>
      <c r="F486" s="51" t="n">
        <v>0.9</v>
      </c>
      <c r="G486" s="51" t="n">
        <v>0.6</v>
      </c>
      <c r="H486" s="52" t="n">
        <v>0.375</v>
      </c>
      <c r="I486" s="52" t="n">
        <v>0.181</v>
      </c>
      <c r="J486" s="52" t="n">
        <v>0.099</v>
      </c>
      <c r="K486" s="52" t="n">
        <v>-0.067</v>
      </c>
      <c r="L486" s="52" t="n">
        <v>-0.672</v>
      </c>
    </row>
    <row r="487" hidden="1" s="57">
      <c r="A487" s="38" t="n"/>
      <c r="B487" s="49" t="inlineStr">
        <is>
          <t>PNW</t>
        </is>
      </c>
      <c r="C487" s="49" t="inlineStr">
        <is>
          <t>Pinnacle West Capital</t>
        </is>
      </c>
      <c r="D487" s="50" t="inlineStr">
        <is>
          <t>Utilities - Regulated Electric</t>
        </is>
      </c>
      <c r="E487" s="51" t="n">
        <v>1.1</v>
      </c>
      <c r="F487" s="51" t="n">
        <v>0.5</v>
      </c>
      <c r="G487" s="51" t="n">
        <v>0.3</v>
      </c>
      <c r="H487" s="52" t="n">
        <v>0.429</v>
      </c>
      <c r="I487" s="52" t="n">
        <v>0.195</v>
      </c>
      <c r="J487" s="52" t="n">
        <v>0.156</v>
      </c>
      <c r="K487" s="52" t="n">
        <v>-0.067</v>
      </c>
      <c r="L487" s="52" t="n">
        <v>-0.43</v>
      </c>
    </row>
    <row r="488" hidden="1" s="57">
      <c r="A488" s="38" t="n"/>
      <c r="B488" s="49" t="inlineStr">
        <is>
          <t>CNP</t>
        </is>
      </c>
      <c r="C488" s="49" t="inlineStr">
        <is>
          <t>CenterPoint Energy</t>
        </is>
      </c>
      <c r="D488" s="50" t="inlineStr">
        <is>
          <t>Utilities - Regulated Gas</t>
        </is>
      </c>
      <c r="E488" s="51" t="n">
        <v>1.8</v>
      </c>
      <c r="F488" s="51" t="n">
        <v>1</v>
      </c>
      <c r="G488" s="51" t="n">
        <v>0.8</v>
      </c>
      <c r="H488" s="52" t="n">
        <v>0.248</v>
      </c>
      <c r="I488" s="52" t="n">
        <v>0.104</v>
      </c>
      <c r="J488" s="52" t="n">
        <v>0.065</v>
      </c>
      <c r="K488" s="52" t="n">
        <v>-0.07000000000000001</v>
      </c>
      <c r="L488" s="52" t="n">
        <v>-1.093</v>
      </c>
    </row>
    <row r="489" hidden="1" s="57">
      <c r="A489" s="38" t="n"/>
      <c r="B489" s="49" t="inlineStr">
        <is>
          <t>FCX</t>
        </is>
      </c>
      <c r="C489" s="49" t="inlineStr">
        <is>
          <t>Freeport-McMoRan</t>
        </is>
      </c>
      <c r="D489" s="50" t="inlineStr">
        <is>
          <t>Copper</t>
        </is>
      </c>
      <c r="E489" s="51" t="n">
        <v>1.1</v>
      </c>
      <c r="F489" s="51" t="n">
        <v>2.5</v>
      </c>
      <c r="G489" s="51" t="n">
        <v>1.2</v>
      </c>
      <c r="H489" s="52" t="n">
        <v>0.09</v>
      </c>
      <c r="I489" s="52" t="n">
        <v>0.047</v>
      </c>
      <c r="J489" s="52" t="n">
        <v>-0.017</v>
      </c>
      <c r="K489" s="52" t="n">
        <v>-0.082</v>
      </c>
      <c r="L489" s="51" t="inlineStr">
        <is>
          <t xml:space="preserve">- </t>
        </is>
      </c>
    </row>
    <row r="490" hidden="1" s="57">
      <c r="A490" s="38" t="n"/>
      <c r="B490" s="49" t="inlineStr">
        <is>
          <t>SO</t>
        </is>
      </c>
      <c r="C490" s="49" t="inlineStr">
        <is>
          <t>Southern</t>
        </is>
      </c>
      <c r="D490" s="50" t="inlineStr">
        <is>
          <t>Utilities - Regulated Electric</t>
        </is>
      </c>
      <c r="E490" s="51" t="n">
        <v>1.8</v>
      </c>
      <c r="F490" s="51" t="n">
        <v>0.8</v>
      </c>
      <c r="G490" s="51" t="n">
        <v>0.6</v>
      </c>
      <c r="H490" s="52" t="n">
        <v>0.448</v>
      </c>
      <c r="I490" s="52" t="n">
        <v>0.248</v>
      </c>
      <c r="J490" s="52" t="n">
        <v>0.22</v>
      </c>
      <c r="K490" s="52" t="n">
        <v>-0.082</v>
      </c>
      <c r="L490" s="52" t="n">
        <v>-0.372</v>
      </c>
    </row>
    <row r="491" hidden="1" s="57">
      <c r="A491" s="38" t="n"/>
      <c r="B491" s="49" t="inlineStr">
        <is>
          <t>PPL</t>
        </is>
      </c>
      <c r="C491" s="49" t="inlineStr">
        <is>
          <t>PPL</t>
        </is>
      </c>
      <c r="D491" s="50" t="inlineStr">
        <is>
          <t>Utilities - Regulated Electric</t>
        </is>
      </c>
      <c r="E491" s="51" t="n">
        <v>1.8</v>
      </c>
      <c r="F491" s="51" t="n">
        <v>0.6</v>
      </c>
      <c r="G491" s="51" t="n">
        <v>0.5</v>
      </c>
      <c r="H491" s="52" t="n">
        <v>0.5600000000000001</v>
      </c>
      <c r="I491" s="52" t="n">
        <v>0.365</v>
      </c>
      <c r="J491" s="52" t="n">
        <v>0.225</v>
      </c>
      <c r="K491" s="52" t="n">
        <v>-0.08400000000000001</v>
      </c>
      <c r="L491" s="52" t="n">
        <v>-0.374</v>
      </c>
    </row>
    <row r="492" hidden="1" s="57">
      <c r="A492" s="38" t="n"/>
      <c r="B492" s="49" t="inlineStr">
        <is>
          <t>XEL</t>
        </is>
      </c>
      <c r="C492" s="49" t="inlineStr">
        <is>
          <t>Xcel Energy</t>
        </is>
      </c>
      <c r="D492" s="50" t="inlineStr">
        <is>
          <t>Utilities - Regulated Electric</t>
        </is>
      </c>
      <c r="E492" s="51" t="n">
        <v>1.5</v>
      </c>
      <c r="F492" s="51" t="n">
        <v>0.7</v>
      </c>
      <c r="G492" s="51" t="n">
        <v>0.6</v>
      </c>
      <c r="H492" s="52" t="n">
        <v>0.41</v>
      </c>
      <c r="I492" s="52" t="n">
        <v>0.183</v>
      </c>
      <c r="J492" s="52" t="n">
        <v>0.119</v>
      </c>
      <c r="K492" s="52" t="n">
        <v>-0.08400000000000001</v>
      </c>
      <c r="L492" s="52" t="n">
        <v>-0.707</v>
      </c>
    </row>
    <row r="493" hidden="1" s="57">
      <c r="A493" s="38" t="n"/>
      <c r="B493" s="49" t="inlineStr">
        <is>
          <t>CXO</t>
        </is>
      </c>
      <c r="C493" s="49" t="inlineStr">
        <is>
          <t>Concho Resources</t>
        </is>
      </c>
      <c r="D493" s="50" t="inlineStr">
        <is>
          <t>Oil &amp; Gas E&amp;P</t>
        </is>
      </c>
      <c r="E493" s="51" t="n">
        <v>0.2</v>
      </c>
      <c r="F493" s="51" t="n">
        <v>0.9</v>
      </c>
      <c r="G493" s="51" t="n">
        <v>0.9</v>
      </c>
      <c r="H493" s="52" t="n">
        <v>0.34</v>
      </c>
      <c r="I493" s="52" t="n">
        <v>0.199</v>
      </c>
      <c r="J493" s="52" t="n">
        <v>-0.148</v>
      </c>
      <c r="K493" s="52" t="n">
        <v>-0.08599999999999999</v>
      </c>
      <c r="L493" s="51" t="inlineStr">
        <is>
          <t xml:space="preserve">- </t>
        </is>
      </c>
    </row>
    <row r="494" hidden="1" s="57">
      <c r="A494" s="38" t="n"/>
      <c r="B494" s="49" t="inlineStr">
        <is>
          <t>ADM</t>
        </is>
      </c>
      <c r="C494" s="49" t="inlineStr">
        <is>
          <t>Archer-Daniels Midland</t>
        </is>
      </c>
      <c r="D494" s="50" t="inlineStr">
        <is>
          <t>Farm Products</t>
        </is>
      </c>
      <c r="E494" s="51" t="n">
        <v>0.5</v>
      </c>
      <c r="F494" s="51" t="n">
        <v>1.6</v>
      </c>
      <c r="G494" s="51" t="n">
        <v>0.9</v>
      </c>
      <c r="H494" s="52" t="n">
        <v>0.064</v>
      </c>
      <c r="I494" s="52" t="n">
        <v>0.026</v>
      </c>
      <c r="J494" s="52" t="n">
        <v>0.021</v>
      </c>
      <c r="K494" s="52" t="n">
        <v>-0.097</v>
      </c>
      <c r="L494" s="52" t="n">
        <v>-4.516</v>
      </c>
    </row>
    <row r="495" hidden="1" s="57">
      <c r="A495" s="38" t="n"/>
      <c r="B495" s="49" t="inlineStr">
        <is>
          <t>AWK</t>
        </is>
      </c>
      <c r="C495" s="49" t="inlineStr">
        <is>
          <t>American Water Works Co</t>
        </is>
      </c>
      <c r="D495" s="50" t="inlineStr">
        <is>
          <t>Utilities - Regulated Water</t>
        </is>
      </c>
      <c r="E495" s="51" t="n">
        <v>1.6</v>
      </c>
      <c r="F495" s="51" t="n">
        <v>0.6</v>
      </c>
      <c r="G495" s="51" t="n">
        <v>0.6</v>
      </c>
      <c r="H495" s="52" t="n">
        <v>0.573</v>
      </c>
      <c r="I495" s="52" t="n">
        <v>0.334</v>
      </c>
      <c r="J495" s="52" t="n">
        <v>0.172</v>
      </c>
      <c r="K495" s="52" t="n">
        <v>-0.103</v>
      </c>
      <c r="L495" s="52" t="n">
        <v>-0.596</v>
      </c>
    </row>
    <row r="496" hidden="1" s="57">
      <c r="A496" s="38" t="n"/>
      <c r="B496" s="49" t="inlineStr">
        <is>
          <t>ES</t>
        </is>
      </c>
      <c r="C496" s="49" t="inlineStr">
        <is>
          <t>Eversource Energy</t>
        </is>
      </c>
      <c r="D496" s="50" t="inlineStr">
        <is>
          <t>Utilities - Regulated Electric</t>
        </is>
      </c>
      <c r="E496" s="51" t="n">
        <v>1.2</v>
      </c>
      <c r="F496" s="51" t="n">
        <v>0.7</v>
      </c>
      <c r="G496" s="51" t="n">
        <v>0.6</v>
      </c>
      <c r="H496" s="52" t="n">
        <v>0.484</v>
      </c>
      <c r="I496" s="52" t="n">
        <v>0.215</v>
      </c>
      <c r="J496" s="52" t="n">
        <v>0.106</v>
      </c>
      <c r="K496" s="52" t="n">
        <v>-0.106</v>
      </c>
      <c r="L496" s="52" t="n">
        <v>-0.995</v>
      </c>
    </row>
    <row r="497" hidden="1" s="57">
      <c r="A497" s="38" t="n"/>
      <c r="B497" s="49" t="inlineStr">
        <is>
          <t>DUK</t>
        </is>
      </c>
      <c r="C497" s="49" t="inlineStr">
        <is>
          <t>Duke Energy</t>
        </is>
      </c>
      <c r="D497" s="50" t="inlineStr">
        <is>
          <t>Utilities - Regulated Electric</t>
        </is>
      </c>
      <c r="E497" s="51" t="n">
        <v>1.3</v>
      </c>
      <c r="F497" s="51" t="n">
        <v>0.6</v>
      </c>
      <c r="G497" s="51" t="n">
        <v>0.4</v>
      </c>
      <c r="H497" s="52" t="n">
        <v>0.461</v>
      </c>
      <c r="I497" s="52" t="n">
        <v>0.228</v>
      </c>
      <c r="J497" s="52" t="n">
        <v>0.15</v>
      </c>
      <c r="K497" s="52" t="n">
        <v>-0.115</v>
      </c>
      <c r="L497" s="52" t="n">
        <v>-0.77</v>
      </c>
    </row>
    <row r="498" hidden="1" s="57">
      <c r="A498" s="38" t="n"/>
      <c r="B498" s="49" t="inlineStr">
        <is>
          <t>NBL</t>
        </is>
      </c>
      <c r="C498" s="49" t="inlineStr">
        <is>
          <t>Noble Energy</t>
        </is>
      </c>
      <c r="D498" s="50" t="inlineStr">
        <is>
          <t>Oil &amp; Gas E&amp;P</t>
        </is>
      </c>
      <c r="E498" s="51" t="n">
        <v>0.9</v>
      </c>
      <c r="F498" s="51" t="n">
        <v>0.7</v>
      </c>
      <c r="G498" s="51" t="n">
        <v>0.7</v>
      </c>
      <c r="H498" s="52" t="n">
        <v>0.149</v>
      </c>
      <c r="I498" s="52" t="n">
        <v>-0.02</v>
      </c>
      <c r="J498" s="52" t="n">
        <v>-0.342</v>
      </c>
      <c r="K498" s="52" t="n">
        <v>-0.118</v>
      </c>
      <c r="L498" s="51" t="inlineStr">
        <is>
          <t xml:space="preserve">- </t>
        </is>
      </c>
    </row>
    <row r="499" hidden="1" s="57">
      <c r="A499" s="38" t="n"/>
      <c r="B499" s="49" t="inlineStr">
        <is>
          <t>AEP</t>
        </is>
      </c>
      <c r="C499" s="49" t="inlineStr">
        <is>
          <t>American Electric Power</t>
        </is>
      </c>
      <c r="D499" s="50" t="inlineStr">
        <is>
          <t>Utilities - Regulated Electric</t>
        </is>
      </c>
      <c r="E499" s="51" t="n">
        <v>1.6</v>
      </c>
      <c r="F499" s="51" t="n">
        <v>0.4</v>
      </c>
      <c r="G499" s="51" t="n">
        <v>0.3</v>
      </c>
      <c r="H499" s="52" t="n">
        <v>0.418</v>
      </c>
      <c r="I499" s="52" t="n">
        <v>0.176</v>
      </c>
      <c r="J499" s="52" t="n">
        <v>0.123</v>
      </c>
      <c r="K499" s="52" t="n">
        <v>-0.119</v>
      </c>
      <c r="L499" s="52" t="n">
        <v>-0.97</v>
      </c>
    </row>
    <row r="500" hidden="1" s="57">
      <c r="A500" s="38" t="n"/>
      <c r="B500" s="49" t="inlineStr">
        <is>
          <t>NEE</t>
        </is>
      </c>
      <c r="C500" s="49" t="inlineStr">
        <is>
          <t>NextEra Energy</t>
        </is>
      </c>
      <c r="D500" s="50" t="inlineStr">
        <is>
          <t>Utilities - Regulated Electric</t>
        </is>
      </c>
      <c r="E500" s="51" t="n">
        <v>1.2</v>
      </c>
      <c r="F500" s="51" t="n">
        <v>0.5</v>
      </c>
      <c r="G500" s="51" t="n">
        <v>0.4</v>
      </c>
      <c r="H500" s="52" t="n">
        <v>0.583</v>
      </c>
      <c r="I500" s="52" t="n">
        <v>0.264</v>
      </c>
      <c r="J500" s="52" t="n">
        <v>0.197</v>
      </c>
      <c r="K500" s="52" t="n">
        <v>-0.144</v>
      </c>
      <c r="L500" s="52" t="n">
        <v>-0.731</v>
      </c>
    </row>
    <row r="501" hidden="1" s="57">
      <c r="A501" s="38" t="n"/>
      <c r="B501" s="49" t="inlineStr">
        <is>
          <t>LNC</t>
        </is>
      </c>
      <c r="C501" s="49" t="inlineStr">
        <is>
          <t>Lincoln National</t>
        </is>
      </c>
      <c r="D501" s="50" t="inlineStr">
        <is>
          <t>Insurance - Life</t>
        </is>
      </c>
      <c r="E501" s="51" t="n">
        <v>0.3</v>
      </c>
      <c r="F501" s="51" t="inlineStr">
        <is>
          <t xml:space="preserve">- </t>
        </is>
      </c>
      <c r="G501" s="51" t="inlineStr">
        <is>
          <t xml:space="preserve">- </t>
        </is>
      </c>
      <c r="H501" s="52" t="n">
        <v>0</v>
      </c>
      <c r="I501" s="52" t="n">
        <v>0</v>
      </c>
      <c r="J501" s="52" t="n">
        <v>0.051</v>
      </c>
      <c r="K501" s="52" t="n">
        <v>-0.154</v>
      </c>
      <c r="L501" s="52" t="n">
        <v>-3.003</v>
      </c>
    </row>
    <row r="502" hidden="1" s="57">
      <c r="A502" s="38" t="n"/>
      <c r="B502" s="49" t="inlineStr">
        <is>
          <t>NFLX</t>
        </is>
      </c>
      <c r="C502" s="49" t="inlineStr">
        <is>
          <t>Netflix</t>
        </is>
      </c>
      <c r="D502" s="50" t="inlineStr">
        <is>
          <t>Entertainment</t>
        </is>
      </c>
      <c r="E502" s="51" t="n">
        <v>2</v>
      </c>
      <c r="F502" s="51" t="n">
        <v>0.9</v>
      </c>
      <c r="G502" s="51" t="n">
        <v>0.9</v>
      </c>
      <c r="H502" s="52" t="n">
        <v>0.383</v>
      </c>
      <c r="I502" s="52" t="n">
        <v>0.13</v>
      </c>
      <c r="J502" s="52" t="n">
        <v>0.093</v>
      </c>
      <c r="K502" s="52" t="n">
        <v>-0.156</v>
      </c>
      <c r="L502" s="52" t="n">
        <v>-1.685</v>
      </c>
    </row>
    <row r="503" hidden="1" s="57">
      <c r="A503" s="38" t="n"/>
      <c r="B503" s="49" t="inlineStr">
        <is>
          <t>ETR</t>
        </is>
      </c>
      <c r="C503" s="49" t="inlineStr">
        <is>
          <t>Entergy</t>
        </is>
      </c>
      <c r="D503" s="50" t="inlineStr">
        <is>
          <t>Utilities - Diversified</t>
        </is>
      </c>
      <c r="E503" s="51" t="n">
        <v>1.9</v>
      </c>
      <c r="F503" s="51" t="n">
        <v>0.5</v>
      </c>
      <c r="G503" s="51" t="n">
        <v>0.4</v>
      </c>
      <c r="H503" s="52" t="n">
        <v>0.384</v>
      </c>
      <c r="I503" s="52" t="n">
        <v>0.155</v>
      </c>
      <c r="J503" s="52" t="n">
        <v>0.116</v>
      </c>
      <c r="K503" s="52" t="n">
        <v>-0.167</v>
      </c>
      <c r="L503" s="52" t="n">
        <v>-1.438</v>
      </c>
    </row>
    <row r="504" hidden="1" s="57">
      <c r="A504" s="38" t="n"/>
      <c r="B504" s="49" t="inlineStr">
        <is>
          <t>HES</t>
        </is>
      </c>
      <c r="C504" s="49" t="inlineStr">
        <is>
          <t>Hess</t>
        </is>
      </c>
      <c r="D504" s="50" t="inlineStr">
        <is>
          <t>Oil &amp; Gas E&amp;P</t>
        </is>
      </c>
      <c r="E504" s="51" t="n">
        <v>0.9</v>
      </c>
      <c r="F504" s="51" t="n">
        <v>1.3</v>
      </c>
      <c r="G504" s="51" t="n">
        <v>1.1</v>
      </c>
      <c r="H504" s="52" t="n">
        <v>0.187</v>
      </c>
      <c r="I504" s="52" t="n">
        <v>0.09</v>
      </c>
      <c r="J504" s="52" t="n">
        <v>-0.064</v>
      </c>
      <c r="K504" s="52" t="n">
        <v>-0.182</v>
      </c>
      <c r="L504" s="51" t="inlineStr">
        <is>
          <t xml:space="preserve">- </t>
        </is>
      </c>
    </row>
    <row r="505" hidden="1" s="57">
      <c r="A505" s="38" t="n"/>
      <c r="B505" s="49" t="inlineStr">
        <is>
          <t>OKE</t>
        </is>
      </c>
      <c r="C505" s="49" t="inlineStr">
        <is>
          <t>ONEOK</t>
        </is>
      </c>
      <c r="D505" s="50" t="inlineStr">
        <is>
          <t>Oil &amp; Gas Midstream</t>
        </is>
      </c>
      <c r="E505" s="51" t="n">
        <v>2.1</v>
      </c>
      <c r="F505" s="51" t="n">
        <v>0.7</v>
      </c>
      <c r="G505" s="51" t="n">
        <v>0.4</v>
      </c>
      <c r="H505" s="52" t="n">
        <v>0.286</v>
      </c>
      <c r="I505" s="52" t="n">
        <v>0.189</v>
      </c>
      <c r="J505" s="52" t="n">
        <v>0.126</v>
      </c>
      <c r="K505" s="52" t="n">
        <v>-0.187</v>
      </c>
      <c r="L505" s="52" t="n">
        <v>-1.486</v>
      </c>
    </row>
    <row r="506" hidden="1" s="57">
      <c r="A506" s="38" t="n"/>
      <c r="B506" s="49" t="inlineStr">
        <is>
          <t>C</t>
        </is>
      </c>
      <c r="C506" s="49" t="inlineStr">
        <is>
          <t>Citigroup</t>
        </is>
      </c>
      <c r="D506" s="50" t="inlineStr">
        <is>
          <t>Banks - Diversified</t>
        </is>
      </c>
      <c r="E506" s="51" t="n">
        <v>1.5</v>
      </c>
      <c r="F506" s="51" t="inlineStr">
        <is>
          <t xml:space="preserve">- </t>
        </is>
      </c>
      <c r="G506" s="51" t="inlineStr">
        <is>
          <t xml:space="preserve">- </t>
        </is>
      </c>
      <c r="H506" s="52" t="n">
        <v>0</v>
      </c>
      <c r="I506" s="52" t="n">
        <v>0.435</v>
      </c>
      <c r="J506" s="52" t="n">
        <v>0.261</v>
      </c>
      <c r="K506" s="52" t="n">
        <v>-0.224</v>
      </c>
      <c r="L506" s="52" t="n">
        <v>-0.859</v>
      </c>
    </row>
    <row r="507" hidden="1" s="57">
      <c r="A507" s="38" t="n"/>
      <c r="B507" s="49" t="inlineStr">
        <is>
          <t>FANG</t>
        </is>
      </c>
      <c r="C507" s="49" t="inlineStr">
        <is>
          <t>Diamondback Energy</t>
        </is>
      </c>
      <c r="D507" s="50" t="inlineStr">
        <is>
          <t>Oil &amp; Gas E&amp;P</t>
        </is>
      </c>
      <c r="E507" s="51" t="n">
        <v>0.4</v>
      </c>
      <c r="F507" s="51" t="n">
        <v>0.7</v>
      </c>
      <c r="G507" s="51" t="n">
        <v>0.7</v>
      </c>
      <c r="H507" s="52" t="n">
        <v>0.426</v>
      </c>
      <c r="I507" s="52" t="n">
        <v>0.375</v>
      </c>
      <c r="J507" s="52" t="n">
        <v>0.061</v>
      </c>
      <c r="K507" s="52" t="n">
        <v>-0.242</v>
      </c>
      <c r="L507" s="52" t="n">
        <v>-3.965</v>
      </c>
    </row>
    <row r="508" hidden="1" s="57">
      <c r="A508" s="38" t="n"/>
      <c r="B508" s="49" t="inlineStr">
        <is>
          <t>ATO</t>
        </is>
      </c>
      <c r="C508" s="49" t="inlineStr">
        <is>
          <t>Atmos Energy</t>
        </is>
      </c>
      <c r="D508" s="50" t="inlineStr">
        <is>
          <t>Utilities - Regulated Gas</t>
        </is>
      </c>
      <c r="E508" s="51" t="n">
        <v>0.7</v>
      </c>
      <c r="F508" s="51" t="n">
        <v>1</v>
      </c>
      <c r="G508" s="51" t="n">
        <v>0.8</v>
      </c>
      <c r="H508" s="52" t="n">
        <v>0.722</v>
      </c>
      <c r="I508" s="52" t="n">
        <v>0.263</v>
      </c>
      <c r="J508" s="52" t="n">
        <v>0.183</v>
      </c>
      <c r="K508" s="52" t="n">
        <v>-0.291</v>
      </c>
      <c r="L508" s="52" t="n">
        <v>-1.589</v>
      </c>
    </row>
    <row r="509" hidden="1" s="57">
      <c r="A509" s="38" t="n"/>
      <c r="B509" s="53" t="inlineStr">
        <is>
          <t>EIX</t>
        </is>
      </c>
      <c r="C509" s="53" t="inlineStr">
        <is>
          <t>Edison Intl</t>
        </is>
      </c>
      <c r="D509" s="54" t="inlineStr">
        <is>
          <t>Utilities - Regulated Electric</t>
        </is>
      </c>
      <c r="E509" s="55" t="n">
        <v>1.5</v>
      </c>
      <c r="F509" s="55" t="n">
        <v>0.6</v>
      </c>
      <c r="G509" s="55" t="n">
        <v>0.6</v>
      </c>
      <c r="H509" s="56" t="n">
        <v>0.364</v>
      </c>
      <c r="I509" s="56" t="n">
        <v>0.192</v>
      </c>
      <c r="J509" s="56" t="n">
        <v>0.114</v>
      </c>
      <c r="K509" s="56" t="n">
        <v>-0.421</v>
      </c>
      <c r="L509" s="56" t="n">
        <v>-3.698</v>
      </c>
    </row>
    <row r="510">
      <c r="B510" s="45" t="n"/>
      <c r="C510" s="45" t="n"/>
      <c r="D510" s="40" t="n"/>
      <c r="E510" s="41" t="n"/>
      <c r="F510" s="41" t="n"/>
      <c r="G510" s="41" t="n"/>
      <c r="H510" s="41" t="n"/>
      <c r="I510" s="41" t="n"/>
      <c r="J510" s="41" t="n"/>
      <c r="K510" s="41" t="n"/>
      <c r="L510" s="41" t="n"/>
    </row>
    <row r="511">
      <c r="B511" s="45" t="n"/>
      <c r="C511" s="45" t="n"/>
      <c r="D511" s="40" t="n"/>
      <c r="E511" s="41" t="n"/>
      <c r="F511" s="41" t="n"/>
      <c r="G511" s="41" t="n"/>
      <c r="H511" s="41" t="n"/>
      <c r="I511" s="41" t="n"/>
      <c r="J511" s="41" t="n"/>
      <c r="K511" s="41" t="n"/>
      <c r="L511" s="41" t="n"/>
    </row>
    <row r="512">
      <c r="B512" s="45" t="n"/>
      <c r="C512" s="45" t="n"/>
      <c r="D512" s="40" t="n"/>
      <c r="E512" s="41" t="n"/>
      <c r="F512" s="41" t="n"/>
      <c r="G512" s="41" t="n"/>
      <c r="H512" s="41" t="n"/>
      <c r="I512" s="41" t="n"/>
      <c r="J512" s="41" t="n"/>
      <c r="K512" s="41" t="n"/>
      <c r="L512" s="41" t="n"/>
    </row>
    <row r="513">
      <c r="B513" s="45" t="n"/>
      <c r="C513" s="45" t="n"/>
      <c r="D513" s="40" t="n"/>
      <c r="E513" s="41" t="n"/>
      <c r="F513" s="41" t="n"/>
      <c r="G513" s="41" t="n"/>
      <c r="H513" s="41" t="n"/>
      <c r="I513" s="41" t="n"/>
      <c r="J513" s="41" t="n"/>
      <c r="K513" s="41" t="n"/>
      <c r="L513" s="41" t="n"/>
    </row>
    <row r="514">
      <c r="B514" s="45" t="n"/>
      <c r="C514" s="45" t="n"/>
      <c r="D514" s="40" t="n"/>
      <c r="E514" s="41" t="n"/>
      <c r="F514" s="41" t="n"/>
      <c r="G514" s="41" t="n"/>
      <c r="H514" s="41" t="n"/>
      <c r="I514" s="41" t="n"/>
      <c r="J514" s="41" t="n"/>
      <c r="K514" s="41" t="n"/>
      <c r="L514" s="41" t="n"/>
    </row>
    <row r="515">
      <c r="B515" s="45" t="n"/>
      <c r="C515" s="45" t="n"/>
      <c r="D515" s="40" t="n"/>
      <c r="E515" s="41" t="n"/>
      <c r="F515" s="41" t="n"/>
      <c r="G515" s="41" t="n"/>
      <c r="H515" s="41" t="n"/>
      <c r="I515" s="41" t="n"/>
      <c r="J515" s="41" t="n"/>
      <c r="K515" s="41" t="n"/>
      <c r="L515" s="41" t="n"/>
    </row>
    <row r="516">
      <c r="B516" s="45" t="n"/>
      <c r="C516" s="45" t="n"/>
      <c r="D516" s="40" t="n"/>
      <c r="E516" s="41" t="n"/>
      <c r="F516" s="41" t="n"/>
      <c r="G516" s="41" t="n"/>
      <c r="H516" s="41" t="n"/>
      <c r="I516" s="41" t="n"/>
      <c r="J516" s="41" t="n"/>
      <c r="K516" s="41" t="n"/>
      <c r="L516" s="41" t="n"/>
    </row>
    <row r="517">
      <c r="B517" s="45" t="n"/>
      <c r="C517" s="45" t="n"/>
      <c r="D517" s="40" t="n"/>
      <c r="E517" s="41" t="n"/>
      <c r="F517" s="41" t="n"/>
      <c r="G517" s="41" t="n"/>
      <c r="H517" s="41" t="n"/>
      <c r="I517" s="41" t="n"/>
      <c r="J517" s="41" t="n"/>
      <c r="K517" s="41" t="n"/>
      <c r="L517" s="41" t="n"/>
    </row>
    <row r="518">
      <c r="B518" s="45" t="n"/>
      <c r="C518" s="45" t="n"/>
      <c r="D518" s="40" t="n"/>
      <c r="E518" s="41" t="n"/>
      <c r="F518" s="41" t="n"/>
      <c r="G518" s="41" t="n"/>
      <c r="H518" s="41" t="n"/>
      <c r="I518" s="41" t="n"/>
      <c r="J518" s="41" t="n"/>
      <c r="K518" s="41" t="n"/>
      <c r="L518" s="41" t="n"/>
    </row>
    <row r="519">
      <c r="B519" s="45" t="n"/>
      <c r="C519" s="45" t="n"/>
      <c r="D519" s="40" t="n"/>
      <c r="E519" s="41" t="n"/>
      <c r="F519" s="41" t="n"/>
      <c r="G519" s="41" t="n"/>
      <c r="H519" s="41" t="n"/>
      <c r="I519" s="41" t="n"/>
      <c r="J519" s="41" t="n"/>
      <c r="K519" s="41" t="n"/>
      <c r="L519" s="41" t="n"/>
    </row>
    <row r="520">
      <c r="B520" s="45" t="n"/>
      <c r="C520" s="45" t="n"/>
      <c r="D520" s="40" t="n"/>
      <c r="E520" s="41" t="n"/>
      <c r="F520" s="41" t="n"/>
      <c r="G520" s="41" t="n"/>
      <c r="H520" s="41" t="n"/>
      <c r="I520" s="41" t="n"/>
      <c r="J520" s="41" t="n"/>
      <c r="K520" s="41" t="n"/>
      <c r="L520" s="41" t="n"/>
    </row>
    <row r="521">
      <c r="B521" s="45" t="n"/>
      <c r="C521" s="45" t="n"/>
      <c r="D521" s="40" t="n"/>
      <c r="E521" s="41" t="n"/>
      <c r="F521" s="41" t="n"/>
      <c r="G521" s="41" t="n"/>
      <c r="H521" s="41" t="n"/>
      <c r="I521" s="41" t="n"/>
      <c r="J521" s="41" t="n"/>
      <c r="K521" s="41" t="n"/>
      <c r="L521" s="41" t="n"/>
    </row>
    <row r="522">
      <c r="B522" s="45" t="n"/>
      <c r="C522" s="45" t="n"/>
      <c r="D522" s="40" t="n"/>
      <c r="E522" s="41" t="n"/>
      <c r="F522" s="41" t="n"/>
      <c r="G522" s="41" t="n"/>
      <c r="H522" s="41" t="n"/>
      <c r="I522" s="41" t="n"/>
      <c r="J522" s="41" t="n"/>
      <c r="K522" s="41" t="n"/>
      <c r="L522" s="41" t="n"/>
    </row>
    <row r="523">
      <c r="B523" s="45" t="n"/>
      <c r="C523" s="45" t="n"/>
      <c r="D523" s="40" t="n"/>
      <c r="E523" s="41" t="n"/>
      <c r="F523" s="41" t="n"/>
      <c r="G523" s="41" t="n"/>
      <c r="H523" s="41" t="n"/>
      <c r="I523" s="41" t="n"/>
      <c r="J523" s="41" t="n"/>
      <c r="K523" s="41" t="n"/>
      <c r="L523" s="41" t="n"/>
    </row>
    <row r="524">
      <c r="B524" s="45" t="n"/>
      <c r="C524" s="45" t="n"/>
      <c r="D524" s="40" t="n"/>
      <c r="E524" s="41" t="n"/>
      <c r="F524" s="41" t="n"/>
      <c r="G524" s="41" t="n"/>
      <c r="H524" s="41" t="n"/>
      <c r="I524" s="41" t="n"/>
      <c r="J524" s="41" t="n"/>
      <c r="K524" s="41" t="n"/>
      <c r="L524" s="41" t="n"/>
    </row>
    <row r="525">
      <c r="B525" s="45" t="n"/>
      <c r="C525" s="45" t="n"/>
      <c r="D525" s="40" t="n"/>
      <c r="E525" s="41" t="n"/>
      <c r="F525" s="41" t="n"/>
      <c r="G525" s="41" t="n"/>
      <c r="H525" s="41" t="n"/>
      <c r="I525" s="41" t="n"/>
      <c r="J525" s="41" t="n"/>
      <c r="K525" s="41" t="n"/>
      <c r="L525" s="41" t="n"/>
    </row>
    <row r="526">
      <c r="B526" s="45" t="n"/>
      <c r="C526" s="45" t="n"/>
      <c r="D526" s="40" t="n"/>
      <c r="E526" s="41" t="n"/>
      <c r="F526" s="41" t="n"/>
      <c r="G526" s="41" t="n"/>
      <c r="H526" s="41" t="n"/>
      <c r="I526" s="41" t="n"/>
      <c r="J526" s="41" t="n"/>
      <c r="K526" s="41" t="n"/>
      <c r="L526" s="41" t="n"/>
    </row>
    <row r="527">
      <c r="B527" s="45" t="n"/>
      <c r="C527" s="45" t="n"/>
      <c r="D527" s="40" t="n"/>
      <c r="E527" s="41" t="n"/>
      <c r="F527" s="41" t="n"/>
      <c r="G527" s="41" t="n"/>
      <c r="H527" s="41" t="n"/>
      <c r="I527" s="41" t="n"/>
      <c r="J527" s="41" t="n"/>
      <c r="K527" s="41" t="n"/>
      <c r="L527" s="41" t="n"/>
    </row>
    <row r="528">
      <c r="B528" s="45" t="n"/>
      <c r="C528" s="45" t="n"/>
      <c r="D528" s="40" t="n"/>
      <c r="E528" s="41" t="n"/>
      <c r="F528" s="41" t="n"/>
      <c r="G528" s="41" t="n"/>
      <c r="H528" s="41" t="n"/>
      <c r="I528" s="41" t="n"/>
      <c r="J528" s="41" t="n"/>
      <c r="K528" s="41" t="n"/>
      <c r="L528" s="41" t="n"/>
    </row>
    <row r="529">
      <c r="B529" s="45" t="n"/>
      <c r="C529" s="45" t="n"/>
      <c r="D529" s="40" t="n"/>
      <c r="E529" s="41" t="n"/>
      <c r="F529" s="41" t="n"/>
      <c r="G529" s="41" t="n"/>
      <c r="H529" s="41" t="n"/>
      <c r="I529" s="41" t="n"/>
      <c r="J529" s="41" t="n"/>
      <c r="K529" s="41" t="n"/>
      <c r="L529" s="41" t="n"/>
    </row>
    <row r="530">
      <c r="B530" s="45" t="n"/>
      <c r="C530" s="45" t="n"/>
      <c r="D530" s="40" t="n"/>
      <c r="E530" s="41" t="n"/>
      <c r="F530" s="41" t="n"/>
      <c r="G530" s="41" t="n"/>
      <c r="H530" s="41" t="n"/>
      <c r="I530" s="41" t="n"/>
      <c r="J530" s="41" t="n"/>
      <c r="K530" s="41" t="n"/>
      <c r="L530" s="41" t="n"/>
    </row>
    <row r="531">
      <c r="B531" s="45" t="n"/>
      <c r="C531" s="45" t="n"/>
      <c r="D531" s="40" t="n"/>
      <c r="E531" s="41" t="n"/>
      <c r="F531" s="41" t="n"/>
      <c r="G531" s="41" t="n"/>
      <c r="H531" s="41" t="n"/>
      <c r="I531" s="41" t="n"/>
      <c r="J531" s="41" t="n"/>
      <c r="K531" s="41" t="n"/>
      <c r="L531" s="41" t="n"/>
    </row>
    <row r="532">
      <c r="B532" s="45" t="n"/>
      <c r="C532" s="45" t="n"/>
      <c r="D532" s="40" t="n"/>
      <c r="E532" s="41" t="n"/>
      <c r="F532" s="41" t="n"/>
      <c r="G532" s="41" t="n"/>
      <c r="H532" s="41" t="n"/>
      <c r="I532" s="41" t="n"/>
      <c r="J532" s="41" t="n"/>
      <c r="K532" s="41" t="n"/>
      <c r="L532" s="41" t="n"/>
    </row>
    <row r="533">
      <c r="B533" s="45" t="n"/>
      <c r="C533" s="45" t="n"/>
      <c r="D533" s="40" t="n"/>
      <c r="E533" s="41" t="n"/>
      <c r="F533" s="41" t="n"/>
      <c r="G533" s="41" t="n"/>
      <c r="H533" s="41" t="n"/>
      <c r="I533" s="41" t="n"/>
      <c r="J533" s="41" t="n"/>
      <c r="K533" s="41" t="n"/>
      <c r="L533" s="41" t="n"/>
    </row>
    <row r="534">
      <c r="B534" s="45" t="n"/>
      <c r="C534" s="45" t="n"/>
      <c r="D534" s="40" t="n"/>
      <c r="E534" s="41" t="n"/>
      <c r="F534" s="41" t="n"/>
      <c r="G534" s="41" t="n"/>
      <c r="H534" s="41" t="n"/>
      <c r="I534" s="41" t="n"/>
      <c r="J534" s="41" t="n"/>
      <c r="K534" s="41" t="n"/>
      <c r="L534" s="41" t="n"/>
    </row>
    <row r="535">
      <c r="B535" s="45" t="n"/>
      <c r="C535" s="45" t="n"/>
      <c r="D535" s="40" t="n"/>
      <c r="E535" s="41" t="n"/>
      <c r="F535" s="41" t="n"/>
      <c r="G535" s="41" t="n"/>
      <c r="H535" s="41" t="n"/>
      <c r="I535" s="41" t="n"/>
      <c r="J535" s="41" t="n"/>
      <c r="K535" s="41" t="n"/>
      <c r="L535" s="41" t="n"/>
    </row>
    <row r="536">
      <c r="B536" s="45" t="n"/>
      <c r="C536" s="45" t="n"/>
      <c r="D536" s="40" t="n"/>
      <c r="E536" s="41" t="n"/>
      <c r="F536" s="41" t="n"/>
      <c r="G536" s="41" t="n"/>
      <c r="H536" s="41" t="n"/>
      <c r="I536" s="41" t="n"/>
      <c r="J536" s="41" t="n"/>
      <c r="K536" s="41" t="n"/>
      <c r="L536" s="41" t="n"/>
    </row>
    <row r="537">
      <c r="B537" s="45" t="n"/>
      <c r="C537" s="45" t="n"/>
      <c r="D537" s="40" t="n"/>
      <c r="E537" s="41" t="n"/>
      <c r="F537" s="41" t="n"/>
      <c r="G537" s="41" t="n"/>
      <c r="H537" s="41" t="n"/>
      <c r="I537" s="41" t="n"/>
      <c r="J537" s="41" t="n"/>
      <c r="K537" s="41" t="n"/>
      <c r="L537" s="41" t="n"/>
    </row>
    <row r="538">
      <c r="B538" s="45" t="n"/>
      <c r="C538" s="45" t="n"/>
      <c r="D538" s="40" t="n"/>
      <c r="E538" s="41" t="n"/>
      <c r="F538" s="41" t="n"/>
      <c r="G538" s="41" t="n"/>
      <c r="H538" s="41" t="n"/>
      <c r="I538" s="41" t="n"/>
      <c r="J538" s="41" t="n"/>
      <c r="K538" s="41" t="n"/>
      <c r="L538" s="41" t="n"/>
    </row>
    <row r="539">
      <c r="B539" s="45" t="n"/>
      <c r="C539" s="45" t="n"/>
      <c r="D539" s="40" t="n"/>
      <c r="E539" s="41" t="n"/>
      <c r="F539" s="41" t="n"/>
      <c r="G539" s="41" t="n"/>
      <c r="H539" s="41" t="n"/>
      <c r="I539" s="41" t="n"/>
      <c r="J539" s="41" t="n"/>
      <c r="K539" s="41" t="n"/>
      <c r="L539" s="41" t="n"/>
    </row>
    <row r="540">
      <c r="B540" s="45" t="n"/>
      <c r="C540" s="45" t="n"/>
      <c r="D540" s="40" t="n"/>
      <c r="E540" s="41" t="n"/>
      <c r="F540" s="41" t="n"/>
      <c r="G540" s="41" t="n"/>
      <c r="H540" s="41" t="n"/>
      <c r="I540" s="41" t="n"/>
      <c r="J540" s="41" t="n"/>
      <c r="K540" s="41" t="n"/>
      <c r="L540" s="41" t="n"/>
    </row>
    <row r="541">
      <c r="B541" s="45" t="n"/>
      <c r="C541" s="45" t="n"/>
      <c r="D541" s="40" t="n"/>
      <c r="E541" s="41" t="n"/>
      <c r="F541" s="41" t="n"/>
      <c r="G541" s="41" t="n"/>
      <c r="H541" s="41" t="n"/>
      <c r="I541" s="41" t="n"/>
      <c r="J541" s="41" t="n"/>
      <c r="K541" s="41" t="n"/>
      <c r="L541" s="41" t="n"/>
    </row>
    <row r="542">
      <c r="B542" s="45" t="n"/>
      <c r="C542" s="45" t="n"/>
      <c r="D542" s="40" t="n"/>
      <c r="E542" s="41" t="n"/>
      <c r="F542" s="41" t="n"/>
      <c r="G542" s="41" t="n"/>
      <c r="H542" s="41" t="n"/>
      <c r="I542" s="41" t="n"/>
      <c r="J542" s="41" t="n"/>
      <c r="K542" s="41" t="n"/>
      <c r="L542" s="41" t="n"/>
    </row>
    <row r="543">
      <c r="B543" s="45" t="n"/>
      <c r="C543" s="45" t="n"/>
      <c r="D543" s="40" t="n"/>
      <c r="E543" s="41" t="n"/>
      <c r="F543" s="41" t="n"/>
      <c r="G543" s="41" t="n"/>
      <c r="H543" s="41" t="n"/>
      <c r="I543" s="41" t="n"/>
      <c r="J543" s="41" t="n"/>
      <c r="K543" s="41" t="n"/>
      <c r="L543" s="41" t="n"/>
    </row>
    <row r="544">
      <c r="B544" s="45" t="n"/>
      <c r="C544" s="45" t="n"/>
      <c r="D544" s="40" t="n"/>
      <c r="E544" s="41" t="n"/>
      <c r="F544" s="41" t="n"/>
      <c r="G544" s="41" t="n"/>
      <c r="H544" s="41" t="n"/>
      <c r="I544" s="41" t="n"/>
      <c r="J544" s="41" t="n"/>
      <c r="K544" s="41" t="n"/>
      <c r="L544" s="41" t="n"/>
    </row>
    <row r="545">
      <c r="B545" s="45" t="n"/>
      <c r="C545" s="45" t="n"/>
      <c r="D545" s="40" t="n"/>
      <c r="E545" s="41" t="n"/>
      <c r="F545" s="41" t="n"/>
      <c r="G545" s="41" t="n"/>
      <c r="H545" s="41" t="n"/>
      <c r="I545" s="41" t="n"/>
      <c r="J545" s="41" t="n"/>
      <c r="K545" s="41" t="n"/>
      <c r="L545" s="41" t="n"/>
    </row>
    <row r="546">
      <c r="B546" s="45" t="n"/>
      <c r="C546" s="45" t="n"/>
      <c r="D546" s="40" t="n"/>
      <c r="E546" s="41" t="n"/>
      <c r="F546" s="41" t="n"/>
      <c r="G546" s="41" t="n"/>
      <c r="H546" s="41" t="n"/>
      <c r="I546" s="41" t="n"/>
      <c r="J546" s="41" t="n"/>
      <c r="K546" s="41" t="n"/>
      <c r="L546" s="41" t="n"/>
    </row>
    <row r="547">
      <c r="B547" s="45" t="n"/>
      <c r="C547" s="45" t="n"/>
      <c r="D547" s="40" t="n"/>
      <c r="E547" s="41" t="n"/>
      <c r="F547" s="41" t="n"/>
      <c r="G547" s="41" t="n"/>
      <c r="H547" s="41" t="n"/>
      <c r="I547" s="41" t="n"/>
      <c r="J547" s="41" t="n"/>
      <c r="K547" s="41" t="n"/>
      <c r="L547" s="41" t="n"/>
    </row>
    <row r="548">
      <c r="B548" s="45" t="n"/>
      <c r="C548" s="45" t="n"/>
      <c r="D548" s="40" t="n"/>
      <c r="E548" s="41" t="n"/>
      <c r="F548" s="41" t="n"/>
      <c r="G548" s="41" t="n"/>
      <c r="H548" s="41" t="n"/>
      <c r="I548" s="41" t="n"/>
      <c r="J548" s="41" t="n"/>
      <c r="K548" s="41" t="n"/>
      <c r="L548" s="41" t="n"/>
    </row>
    <row r="549">
      <c r="B549" s="45" t="n"/>
      <c r="C549" s="45" t="n"/>
      <c r="D549" s="40" t="n"/>
      <c r="E549" s="41" t="n"/>
      <c r="F549" s="41" t="n"/>
      <c r="G549" s="41" t="n"/>
      <c r="H549" s="41" t="n"/>
      <c r="I549" s="41" t="n"/>
      <c r="J549" s="41" t="n"/>
      <c r="K549" s="41" t="n"/>
      <c r="L549" s="41" t="n"/>
    </row>
    <row r="550">
      <c r="B550" s="45" t="n"/>
      <c r="C550" s="45" t="n"/>
      <c r="D550" s="40" t="n"/>
      <c r="E550" s="41" t="n"/>
      <c r="F550" s="41" t="n"/>
      <c r="G550" s="41" t="n"/>
      <c r="H550" s="41" t="n"/>
      <c r="I550" s="41" t="n"/>
      <c r="J550" s="41" t="n"/>
      <c r="K550" s="41" t="n"/>
      <c r="L550" s="41" t="n"/>
    </row>
    <row r="551">
      <c r="B551" s="45" t="n"/>
      <c r="C551" s="45" t="n"/>
      <c r="D551" s="40" t="n"/>
      <c r="E551" s="41" t="n"/>
      <c r="F551" s="41" t="n"/>
      <c r="G551" s="41" t="n"/>
      <c r="H551" s="41" t="n"/>
      <c r="I551" s="41" t="n"/>
      <c r="J551" s="41" t="n"/>
      <c r="K551" s="41" t="n"/>
      <c r="L551" s="41" t="n"/>
    </row>
    <row r="552">
      <c r="B552" s="45" t="n"/>
      <c r="C552" s="45" t="n"/>
      <c r="D552" s="40" t="n"/>
      <c r="E552" s="41" t="n"/>
      <c r="F552" s="41" t="n"/>
      <c r="G552" s="41" t="n"/>
      <c r="H552" s="41" t="n"/>
      <c r="I552" s="41" t="n"/>
      <c r="J552" s="41" t="n"/>
      <c r="K552" s="41" t="n"/>
      <c r="L552" s="41" t="n"/>
    </row>
    <row r="553">
      <c r="B553" s="45" t="n"/>
      <c r="C553" s="45" t="n"/>
      <c r="D553" s="40" t="n"/>
      <c r="E553" s="41" t="n"/>
      <c r="F553" s="41" t="n"/>
      <c r="G553" s="41" t="n"/>
      <c r="H553" s="41" t="n"/>
      <c r="I553" s="41" t="n"/>
      <c r="J553" s="41" t="n"/>
      <c r="K553" s="41" t="n"/>
      <c r="L553" s="41" t="n"/>
    </row>
    <row r="554">
      <c r="B554" s="45" t="n"/>
      <c r="C554" s="45" t="n"/>
      <c r="D554" s="40" t="n"/>
      <c r="E554" s="41" t="n"/>
      <c r="F554" s="41" t="n"/>
      <c r="G554" s="41" t="n"/>
      <c r="H554" s="41" t="n"/>
      <c r="I554" s="41" t="n"/>
      <c r="J554" s="41" t="n"/>
      <c r="K554" s="41" t="n"/>
      <c r="L554" s="41" t="n"/>
    </row>
    <row r="555">
      <c r="B555" s="45" t="n"/>
      <c r="C555" s="45" t="n"/>
      <c r="D555" s="40" t="n"/>
      <c r="E555" s="41" t="n"/>
      <c r="F555" s="41" t="n"/>
      <c r="G555" s="41" t="n"/>
      <c r="H555" s="41" t="n"/>
      <c r="I555" s="41" t="n"/>
      <c r="J555" s="41" t="n"/>
      <c r="K555" s="41" t="n"/>
      <c r="L555" s="41" t="n"/>
    </row>
    <row r="556">
      <c r="B556" s="45" t="n"/>
      <c r="C556" s="45" t="n"/>
      <c r="D556" s="40" t="n"/>
      <c r="E556" s="41" t="n"/>
      <c r="F556" s="41" t="n"/>
      <c r="G556" s="41" t="n"/>
      <c r="H556" s="41" t="n"/>
      <c r="I556" s="41" t="n"/>
      <c r="J556" s="41" t="n"/>
      <c r="K556" s="41" t="n"/>
      <c r="L556" s="41" t="n"/>
    </row>
    <row r="557">
      <c r="B557" s="45" t="n"/>
      <c r="C557" s="45" t="n"/>
      <c r="D557" s="40" t="n"/>
      <c r="E557" s="41" t="n"/>
      <c r="F557" s="41" t="n"/>
      <c r="G557" s="41" t="n"/>
      <c r="H557" s="41" t="n"/>
      <c r="I557" s="41" t="n"/>
      <c r="J557" s="41" t="n"/>
      <c r="K557" s="41" t="n"/>
      <c r="L557" s="41" t="n"/>
    </row>
    <row r="558">
      <c r="B558" s="45" t="n"/>
      <c r="C558" s="45" t="n"/>
      <c r="D558" s="40" t="n"/>
      <c r="E558" s="41" t="n"/>
      <c r="F558" s="41" t="n"/>
      <c r="G558" s="41" t="n"/>
      <c r="H558" s="41" t="n"/>
      <c r="I558" s="41" t="n"/>
      <c r="J558" s="41" t="n"/>
      <c r="K558" s="41" t="n"/>
      <c r="L558" s="41" t="n"/>
    </row>
    <row r="559">
      <c r="B559" s="45" t="n"/>
      <c r="C559" s="45" t="n"/>
      <c r="D559" s="40" t="n"/>
      <c r="E559" s="41" t="n"/>
      <c r="F559" s="41" t="n"/>
      <c r="G559" s="41" t="n"/>
      <c r="H559" s="41" t="n"/>
      <c r="I559" s="41" t="n"/>
      <c r="J559" s="41" t="n"/>
      <c r="K559" s="41" t="n"/>
      <c r="L559" s="41" t="n"/>
    </row>
    <row r="560">
      <c r="B560" s="45" t="n"/>
      <c r="C560" s="45" t="n"/>
      <c r="D560" s="40" t="n"/>
      <c r="E560" s="41" t="n"/>
      <c r="F560" s="41" t="n"/>
      <c r="G560" s="41" t="n"/>
      <c r="H560" s="41" t="n"/>
      <c r="I560" s="41" t="n"/>
      <c r="J560" s="41" t="n"/>
      <c r="K560" s="41" t="n"/>
      <c r="L560" s="41" t="n"/>
    </row>
    <row r="561">
      <c r="B561" s="45" t="n"/>
      <c r="C561" s="45" t="n"/>
      <c r="D561" s="40" t="n"/>
      <c r="E561" s="41" t="n"/>
      <c r="F561" s="41" t="n"/>
      <c r="G561" s="41" t="n"/>
      <c r="H561" s="41" t="n"/>
      <c r="I561" s="41" t="n"/>
      <c r="J561" s="41" t="n"/>
      <c r="K561" s="41" t="n"/>
      <c r="L561" s="41" t="n"/>
    </row>
    <row r="562">
      <c r="B562" s="45" t="n"/>
      <c r="C562" s="45" t="n"/>
      <c r="D562" s="40" t="n"/>
      <c r="E562" s="41" t="n"/>
      <c r="F562" s="41" t="n"/>
      <c r="G562" s="41" t="n"/>
      <c r="H562" s="41" t="n"/>
      <c r="I562" s="41" t="n"/>
      <c r="J562" s="41" t="n"/>
      <c r="K562" s="41" t="n"/>
      <c r="L562" s="41" t="n"/>
    </row>
    <row r="563">
      <c r="B563" s="45" t="n"/>
      <c r="C563" s="45" t="n"/>
      <c r="D563" s="40" t="n"/>
      <c r="E563" s="41" t="n"/>
      <c r="F563" s="41" t="n"/>
      <c r="G563" s="41" t="n"/>
      <c r="H563" s="41" t="n"/>
      <c r="I563" s="41" t="n"/>
      <c r="J563" s="41" t="n"/>
      <c r="K563" s="41" t="n"/>
      <c r="L563" s="41" t="n"/>
    </row>
    <row r="564">
      <c r="B564" s="45" t="n"/>
      <c r="C564" s="45" t="n"/>
      <c r="D564" s="40" t="n"/>
      <c r="E564" s="41" t="n"/>
      <c r="F564" s="41" t="n"/>
      <c r="G564" s="41" t="n"/>
      <c r="H564" s="41" t="n"/>
      <c r="I564" s="41" t="n"/>
      <c r="J564" s="41" t="n"/>
      <c r="K564" s="41" t="n"/>
      <c r="L564" s="41" t="n"/>
    </row>
    <row r="565">
      <c r="B565" s="45" t="n"/>
      <c r="C565" s="45" t="n"/>
      <c r="D565" s="40" t="n"/>
      <c r="E565" s="41" t="n"/>
      <c r="F565" s="41" t="n"/>
      <c r="G565" s="41" t="n"/>
      <c r="H565" s="41" t="n"/>
      <c r="I565" s="41" t="n"/>
      <c r="J565" s="41" t="n"/>
      <c r="K565" s="41" t="n"/>
      <c r="L565" s="41" t="n"/>
    </row>
    <row r="566">
      <c r="B566" s="45" t="n"/>
      <c r="C566" s="45" t="n"/>
      <c r="D566" s="40" t="n"/>
      <c r="E566" s="41" t="n"/>
      <c r="F566" s="41" t="n"/>
      <c r="G566" s="41" t="n"/>
      <c r="H566" s="41" t="n"/>
      <c r="I566" s="41" t="n"/>
      <c r="J566" s="41" t="n"/>
      <c r="K566" s="41" t="n"/>
      <c r="L566" s="41" t="n"/>
    </row>
    <row r="567">
      <c r="B567" s="45" t="n"/>
      <c r="C567" s="45" t="n"/>
      <c r="D567" s="40" t="n"/>
      <c r="E567" s="41" t="n"/>
      <c r="F567" s="41" t="n"/>
      <c r="G567" s="41" t="n"/>
      <c r="H567" s="41" t="n"/>
      <c r="I567" s="41" t="n"/>
      <c r="J567" s="41" t="n"/>
      <c r="K567" s="41" t="n"/>
      <c r="L567" s="41" t="n"/>
    </row>
    <row r="568">
      <c r="B568" s="45" t="n"/>
      <c r="C568" s="45" t="n"/>
      <c r="D568" s="40" t="n"/>
      <c r="E568" s="41" t="n"/>
      <c r="F568" s="41" t="n"/>
      <c r="G568" s="41" t="n"/>
      <c r="H568" s="41" t="n"/>
      <c r="I568" s="41" t="n"/>
      <c r="J568" s="41" t="n"/>
      <c r="K568" s="41" t="n"/>
      <c r="L568" s="41" t="n"/>
    </row>
    <row r="569">
      <c r="B569" s="45" t="n"/>
      <c r="C569" s="45" t="n"/>
      <c r="D569" s="40" t="n"/>
      <c r="E569" s="41" t="n"/>
      <c r="F569" s="41" t="n"/>
      <c r="G569" s="41" t="n"/>
      <c r="H569" s="41" t="n"/>
      <c r="I569" s="41" t="n"/>
      <c r="J569" s="41" t="n"/>
      <c r="K569" s="41" t="n"/>
      <c r="L569" s="41" t="n"/>
    </row>
    <row r="570">
      <c r="B570" s="45" t="n"/>
      <c r="C570" s="45" t="n"/>
      <c r="D570" s="40" t="n"/>
      <c r="E570" s="41" t="n"/>
      <c r="F570" s="41" t="n"/>
      <c r="G570" s="41" t="n"/>
      <c r="H570" s="41" t="n"/>
      <c r="I570" s="41" t="n"/>
      <c r="J570" s="41" t="n"/>
      <c r="K570" s="41" t="n"/>
      <c r="L570" s="41" t="n"/>
    </row>
    <row r="571">
      <c r="B571" s="45" t="n"/>
      <c r="C571" s="45" t="n"/>
      <c r="D571" s="40" t="n"/>
      <c r="E571" s="41" t="n"/>
      <c r="F571" s="41" t="n"/>
      <c r="G571" s="41" t="n"/>
      <c r="H571" s="41" t="n"/>
      <c r="I571" s="41" t="n"/>
      <c r="J571" s="41" t="n"/>
      <c r="K571" s="41" t="n"/>
      <c r="L571" s="41" t="n"/>
    </row>
    <row r="572">
      <c r="B572" s="45" t="n"/>
      <c r="C572" s="45" t="n"/>
      <c r="D572" s="40" t="n"/>
      <c r="E572" s="41" t="n"/>
      <c r="F572" s="41" t="n"/>
      <c r="G572" s="41" t="n"/>
      <c r="H572" s="41" t="n"/>
      <c r="I572" s="41" t="n"/>
      <c r="J572" s="41" t="n"/>
      <c r="K572" s="41" t="n"/>
      <c r="L572" s="41" t="n"/>
    </row>
    <row r="573">
      <c r="B573" s="45" t="n"/>
      <c r="C573" s="45" t="n"/>
      <c r="D573" s="40" t="n"/>
      <c r="E573" s="41" t="n"/>
      <c r="F573" s="41" t="n"/>
      <c r="G573" s="41" t="n"/>
      <c r="H573" s="41" t="n"/>
      <c r="I573" s="41" t="n"/>
      <c r="J573" s="41" t="n"/>
      <c r="K573" s="41" t="n"/>
      <c r="L573" s="41" t="n"/>
    </row>
    <row r="574">
      <c r="B574" s="45" t="n"/>
      <c r="C574" s="45" t="n"/>
      <c r="D574" s="40" t="n"/>
      <c r="E574" s="41" t="n"/>
      <c r="F574" s="41" t="n"/>
      <c r="G574" s="41" t="n"/>
      <c r="H574" s="41" t="n"/>
      <c r="I574" s="41" t="n"/>
      <c r="J574" s="41" t="n"/>
      <c r="K574" s="41" t="n"/>
      <c r="L574" s="41" t="n"/>
    </row>
    <row r="575">
      <c r="B575" s="45" t="n"/>
      <c r="C575" s="45" t="n"/>
      <c r="D575" s="40" t="n"/>
      <c r="E575" s="41" t="n"/>
      <c r="F575" s="41" t="n"/>
      <c r="G575" s="41" t="n"/>
      <c r="H575" s="41" t="n"/>
      <c r="I575" s="41" t="n"/>
      <c r="J575" s="41" t="n"/>
      <c r="K575" s="41" t="n"/>
      <c r="L575" s="41" t="n"/>
    </row>
    <row r="576">
      <c r="B576" s="45" t="n"/>
      <c r="C576" s="45" t="n"/>
      <c r="D576" s="40" t="n"/>
      <c r="E576" s="41" t="n"/>
      <c r="F576" s="41" t="n"/>
      <c r="G576" s="41" t="n"/>
      <c r="H576" s="41" t="n"/>
      <c r="I576" s="41" t="n"/>
      <c r="J576" s="41" t="n"/>
      <c r="K576" s="41" t="n"/>
      <c r="L576" s="41" t="n"/>
    </row>
    <row r="577">
      <c r="B577" s="45" t="n"/>
      <c r="C577" s="45" t="n"/>
      <c r="D577" s="40" t="n"/>
      <c r="E577" s="41" t="n"/>
      <c r="F577" s="41" t="n"/>
      <c r="G577" s="41" t="n"/>
      <c r="H577" s="41" t="n"/>
      <c r="I577" s="41" t="n"/>
      <c r="J577" s="41" t="n"/>
      <c r="K577" s="41" t="n"/>
      <c r="L577" s="41" t="n"/>
    </row>
    <row r="578">
      <c r="B578" s="45" t="n"/>
      <c r="C578" s="45" t="n"/>
      <c r="D578" s="40" t="n"/>
      <c r="E578" s="41" t="n"/>
      <c r="F578" s="41" t="n"/>
      <c r="G578" s="41" t="n"/>
      <c r="H578" s="41" t="n"/>
      <c r="I578" s="41" t="n"/>
      <c r="J578" s="41" t="n"/>
      <c r="K578" s="41" t="n"/>
      <c r="L578" s="41" t="n"/>
    </row>
    <row r="579">
      <c r="B579" s="45" t="n"/>
      <c r="C579" s="45" t="n"/>
      <c r="D579" s="40" t="n"/>
      <c r="E579" s="41" t="n"/>
      <c r="F579" s="41" t="n"/>
      <c r="G579" s="41" t="n"/>
      <c r="H579" s="41" t="n"/>
      <c r="I579" s="41" t="n"/>
      <c r="J579" s="41" t="n"/>
      <c r="K579" s="41" t="n"/>
      <c r="L579" s="41" t="n"/>
    </row>
    <row r="580">
      <c r="B580" s="45" t="n"/>
      <c r="C580" s="45" t="n"/>
      <c r="D580" s="40" t="n"/>
      <c r="E580" s="41" t="n"/>
      <c r="F580" s="41" t="n"/>
      <c r="G580" s="41" t="n"/>
      <c r="H580" s="41" t="n"/>
      <c r="I580" s="41" t="n"/>
      <c r="J580" s="41" t="n"/>
      <c r="K580" s="41" t="n"/>
      <c r="L580" s="41" t="n"/>
    </row>
    <row r="581">
      <c r="B581" s="45" t="n"/>
      <c r="C581" s="45" t="n"/>
      <c r="D581" s="40" t="n"/>
      <c r="E581" s="41" t="n"/>
      <c r="F581" s="41" t="n"/>
      <c r="G581" s="41" t="n"/>
      <c r="H581" s="41" t="n"/>
      <c r="I581" s="41" t="n"/>
      <c r="J581" s="41" t="n"/>
      <c r="K581" s="41" t="n"/>
      <c r="L581" s="41" t="n"/>
    </row>
    <row r="582">
      <c r="B582" s="45" t="n"/>
      <c r="C582" s="45" t="n"/>
      <c r="D582" s="40" t="n"/>
      <c r="E582" s="41" t="n"/>
      <c r="F582" s="41" t="n"/>
      <c r="G582" s="41" t="n"/>
      <c r="H582" s="41" t="n"/>
      <c r="I582" s="41" t="n"/>
      <c r="J582" s="41" t="n"/>
      <c r="K582" s="41" t="n"/>
      <c r="L582" s="41" t="n"/>
    </row>
    <row r="583">
      <c r="B583" s="45" t="n"/>
      <c r="C583" s="45" t="n"/>
      <c r="D583" s="40" t="n"/>
      <c r="E583" s="41" t="n"/>
      <c r="F583" s="41" t="n"/>
      <c r="G583" s="41" t="n"/>
      <c r="H583" s="41" t="n"/>
      <c r="I583" s="41" t="n"/>
      <c r="J583" s="41" t="n"/>
      <c r="K583" s="41" t="n"/>
      <c r="L583" s="41" t="n"/>
    </row>
    <row r="584">
      <c r="B584" s="45" t="n"/>
      <c r="C584" s="45" t="n"/>
      <c r="D584" s="40" t="n"/>
      <c r="E584" s="41" t="n"/>
      <c r="F584" s="41" t="n"/>
      <c r="G584" s="41" t="n"/>
      <c r="H584" s="41" t="n"/>
      <c r="I584" s="41" t="n"/>
      <c r="J584" s="41" t="n"/>
      <c r="K584" s="41" t="n"/>
      <c r="L584" s="41" t="n"/>
    </row>
    <row r="585">
      <c r="B585" s="45" t="n"/>
      <c r="C585" s="45" t="n"/>
      <c r="D585" s="40" t="n"/>
      <c r="E585" s="41" t="n"/>
      <c r="F585" s="41" t="n"/>
      <c r="G585" s="41" t="n"/>
      <c r="H585" s="41" t="n"/>
      <c r="I585" s="41" t="n"/>
      <c r="J585" s="41" t="n"/>
      <c r="K585" s="41" t="n"/>
      <c r="L585" s="41" t="n"/>
    </row>
    <row r="586">
      <c r="B586" s="45" t="n"/>
      <c r="C586" s="45" t="n"/>
      <c r="D586" s="40" t="n"/>
      <c r="E586" s="41" t="n"/>
      <c r="F586" s="41" t="n"/>
      <c r="G586" s="41" t="n"/>
      <c r="H586" s="41" t="n"/>
      <c r="I586" s="41" t="n"/>
      <c r="J586" s="41" t="n"/>
      <c r="K586" s="41" t="n"/>
      <c r="L586" s="41" t="n"/>
    </row>
    <row r="587">
      <c r="B587" s="45" t="n"/>
      <c r="C587" s="45" t="n"/>
      <c r="D587" s="40" t="n"/>
      <c r="E587" s="41" t="n"/>
      <c r="F587" s="41" t="n"/>
      <c r="G587" s="41" t="n"/>
      <c r="H587" s="41" t="n"/>
      <c r="I587" s="41" t="n"/>
      <c r="J587" s="41" t="n"/>
      <c r="K587" s="41" t="n"/>
      <c r="L587" s="41" t="n"/>
    </row>
    <row r="588">
      <c r="B588" s="45" t="n"/>
      <c r="C588" s="45" t="n"/>
      <c r="D588" s="40" t="n"/>
      <c r="E588" s="41" t="n"/>
      <c r="F588" s="41" t="n"/>
      <c r="G588" s="41" t="n"/>
      <c r="H588" s="41" t="n"/>
      <c r="I588" s="41" t="n"/>
      <c r="J588" s="41" t="n"/>
      <c r="K588" s="41" t="n"/>
      <c r="L588" s="41" t="n"/>
    </row>
    <row r="589">
      <c r="B589" s="45" t="n"/>
      <c r="C589" s="45" t="n"/>
      <c r="D589" s="40" t="n"/>
      <c r="E589" s="41" t="n"/>
      <c r="F589" s="41" t="n"/>
      <c r="G589" s="41" t="n"/>
      <c r="H589" s="41" t="n"/>
      <c r="I589" s="41" t="n"/>
      <c r="J589" s="41" t="n"/>
      <c r="K589" s="41" t="n"/>
      <c r="L589" s="41" t="n"/>
    </row>
    <row r="590">
      <c r="B590" s="45" t="n"/>
      <c r="C590" s="45" t="n"/>
      <c r="D590" s="40" t="n"/>
      <c r="E590" s="41" t="n"/>
      <c r="F590" s="41" t="n"/>
      <c r="G590" s="41" t="n"/>
      <c r="H590" s="41" t="n"/>
      <c r="I590" s="41" t="n"/>
      <c r="J590" s="41" t="n"/>
      <c r="K590" s="41" t="n"/>
      <c r="L590" s="41" t="n"/>
    </row>
    <row r="591">
      <c r="B591" s="45" t="n"/>
      <c r="C591" s="45" t="n"/>
      <c r="D591" s="40" t="n"/>
      <c r="E591" s="41" t="n"/>
      <c r="F591" s="41" t="n"/>
      <c r="G591" s="41" t="n"/>
      <c r="H591" s="41" t="n"/>
      <c r="I591" s="41" t="n"/>
      <c r="J591" s="41" t="n"/>
      <c r="K591" s="41" t="n"/>
      <c r="L591" s="41" t="n"/>
    </row>
    <row r="592">
      <c r="B592" s="45" t="n"/>
      <c r="C592" s="45" t="n"/>
      <c r="D592" s="40" t="n"/>
      <c r="E592" s="41" t="n"/>
      <c r="F592" s="41" t="n"/>
      <c r="G592" s="41" t="n"/>
      <c r="H592" s="41" t="n"/>
      <c r="I592" s="41" t="n"/>
      <c r="J592" s="41" t="n"/>
      <c r="K592" s="41" t="n"/>
      <c r="L592" s="41" t="n"/>
    </row>
    <row r="593">
      <c r="B593" s="45" t="n"/>
      <c r="C593" s="45" t="n"/>
      <c r="D593" s="40" t="n"/>
      <c r="E593" s="41" t="n"/>
      <c r="F593" s="41" t="n"/>
      <c r="G593" s="41" t="n"/>
      <c r="H593" s="41" t="n"/>
      <c r="I593" s="41" t="n"/>
      <c r="J593" s="41" t="n"/>
      <c r="K593" s="41" t="n"/>
      <c r="L593" s="41" t="n"/>
    </row>
    <row r="594">
      <c r="B594" s="45" t="n"/>
      <c r="C594" s="45" t="n"/>
      <c r="D594" s="40" t="n"/>
      <c r="E594" s="41" t="n"/>
      <c r="F594" s="41" t="n"/>
      <c r="G594" s="41" t="n"/>
      <c r="H594" s="41" t="n"/>
      <c r="I594" s="41" t="n"/>
      <c r="J594" s="41" t="n"/>
      <c r="K594" s="41" t="n"/>
      <c r="L594" s="41" t="n"/>
    </row>
    <row r="595">
      <c r="B595" s="45" t="n"/>
      <c r="C595" s="45" t="n"/>
      <c r="D595" s="40" t="n"/>
      <c r="E595" s="41" t="n"/>
      <c r="F595" s="41" t="n"/>
      <c r="G595" s="41" t="n"/>
      <c r="H595" s="41" t="n"/>
      <c r="I595" s="41" t="n"/>
      <c r="J595" s="41" t="n"/>
      <c r="K595" s="41" t="n"/>
      <c r="L595" s="41" t="n"/>
    </row>
    <row r="596">
      <c r="B596" s="45" t="n"/>
      <c r="C596" s="45" t="n"/>
      <c r="D596" s="40" t="n"/>
      <c r="E596" s="41" t="n"/>
      <c r="F596" s="41" t="n"/>
      <c r="G596" s="41" t="n"/>
      <c r="H596" s="41" t="n"/>
      <c r="I596" s="41" t="n"/>
      <c r="J596" s="41" t="n"/>
      <c r="K596" s="41" t="n"/>
      <c r="L596" s="41" t="n"/>
    </row>
    <row r="597">
      <c r="B597" s="45" t="n"/>
      <c r="C597" s="45" t="n"/>
      <c r="D597" s="40" t="n"/>
      <c r="E597" s="41" t="n"/>
      <c r="F597" s="41" t="n"/>
      <c r="G597" s="41" t="n"/>
      <c r="H597" s="41" t="n"/>
      <c r="I597" s="41" t="n"/>
      <c r="J597" s="41" t="n"/>
      <c r="K597" s="41" t="n"/>
      <c r="L597" s="41" t="n"/>
    </row>
    <row r="598">
      <c r="B598" s="45" t="n"/>
      <c r="C598" s="45" t="n"/>
      <c r="D598" s="40" t="n"/>
      <c r="E598" s="41" t="n"/>
      <c r="F598" s="41" t="n"/>
      <c r="G598" s="41" t="n"/>
      <c r="H598" s="41" t="n"/>
      <c r="I598" s="41" t="n"/>
      <c r="J598" s="41" t="n"/>
      <c r="K598" s="41" t="n"/>
      <c r="L598" s="41" t="n"/>
    </row>
    <row r="599">
      <c r="B599" s="45" t="n"/>
      <c r="C599" s="45" t="n"/>
      <c r="D599" s="40" t="n"/>
      <c r="E599" s="41" t="n"/>
      <c r="F599" s="41" t="n"/>
      <c r="G599" s="41" t="n"/>
      <c r="H599" s="41" t="n"/>
      <c r="I599" s="41" t="n"/>
      <c r="J599" s="41" t="n"/>
      <c r="K599" s="41" t="n"/>
      <c r="L599" s="41" t="n"/>
    </row>
    <row r="600">
      <c r="B600" s="45" t="n"/>
      <c r="C600" s="45" t="n"/>
      <c r="D600" s="40" t="n"/>
      <c r="E600" s="41" t="n"/>
      <c r="F600" s="41" t="n"/>
      <c r="G600" s="41" t="n"/>
      <c r="H600" s="41" t="n"/>
      <c r="I600" s="41" t="n"/>
      <c r="J600" s="41" t="n"/>
      <c r="K600" s="41" t="n"/>
      <c r="L600" s="41" t="n"/>
    </row>
    <row r="601">
      <c r="B601" s="45" t="n"/>
      <c r="C601" s="45" t="n"/>
      <c r="D601" s="40" t="n"/>
      <c r="E601" s="41" t="n"/>
      <c r="F601" s="41" t="n"/>
      <c r="G601" s="41" t="n"/>
      <c r="H601" s="41" t="n"/>
      <c r="I601" s="41" t="n"/>
      <c r="J601" s="41" t="n"/>
      <c r="K601" s="41" t="n"/>
      <c r="L601" s="41" t="n"/>
    </row>
    <row r="602">
      <c r="B602" s="45" t="n"/>
      <c r="C602" s="45" t="n"/>
      <c r="D602" s="40" t="n"/>
      <c r="E602" s="41" t="n"/>
      <c r="F602" s="41" t="n"/>
      <c r="G602" s="41" t="n"/>
      <c r="H602" s="41" t="n"/>
      <c r="I602" s="41" t="n"/>
      <c r="J602" s="41" t="n"/>
      <c r="K602" s="41" t="n"/>
      <c r="L602" s="41" t="n"/>
    </row>
    <row r="603">
      <c r="B603" s="45" t="n"/>
      <c r="C603" s="45" t="n"/>
      <c r="D603" s="40" t="n"/>
      <c r="E603" s="41" t="n"/>
      <c r="F603" s="41" t="n"/>
      <c r="G603" s="41" t="n"/>
      <c r="H603" s="41" t="n"/>
      <c r="I603" s="41" t="n"/>
      <c r="J603" s="41" t="n"/>
      <c r="K603" s="41" t="n"/>
      <c r="L603" s="41" t="n"/>
    </row>
    <row r="604">
      <c r="B604" s="45" t="n"/>
      <c r="C604" s="45" t="n"/>
      <c r="D604" s="40" t="n"/>
      <c r="E604" s="41" t="n"/>
      <c r="F604" s="41" t="n"/>
      <c r="G604" s="41" t="n"/>
      <c r="H604" s="41" t="n"/>
      <c r="I604" s="41" t="n"/>
      <c r="J604" s="41" t="n"/>
      <c r="K604" s="41" t="n"/>
      <c r="L604" s="41" t="n"/>
    </row>
    <row r="605">
      <c r="B605" s="45" t="n"/>
      <c r="C605" s="45" t="n"/>
      <c r="D605" s="40" t="n"/>
      <c r="E605" s="41" t="n"/>
      <c r="F605" s="41" t="n"/>
      <c r="G605" s="41" t="n"/>
      <c r="H605" s="41" t="n"/>
      <c r="I605" s="41" t="n"/>
      <c r="J605" s="41" t="n"/>
      <c r="K605" s="41" t="n"/>
      <c r="L605" s="41" t="n"/>
    </row>
    <row r="606">
      <c r="B606" s="45" t="n"/>
      <c r="C606" s="45" t="n"/>
      <c r="D606" s="40" t="n"/>
      <c r="E606" s="41" t="n"/>
      <c r="F606" s="41" t="n"/>
      <c r="G606" s="41" t="n"/>
      <c r="H606" s="41" t="n"/>
      <c r="I606" s="41" t="n"/>
      <c r="J606" s="41" t="n"/>
      <c r="K606" s="41" t="n"/>
      <c r="L606" s="41" t="n"/>
    </row>
    <row r="607">
      <c r="B607" s="45" t="n"/>
      <c r="C607" s="45" t="n"/>
      <c r="D607" s="40" t="n"/>
      <c r="E607" s="41" t="n"/>
      <c r="F607" s="41" t="n"/>
      <c r="G607" s="41" t="n"/>
      <c r="H607" s="41" t="n"/>
      <c r="I607" s="41" t="n"/>
      <c r="J607" s="41" t="n"/>
      <c r="K607" s="41" t="n"/>
      <c r="L607" s="41" t="n"/>
    </row>
    <row r="608">
      <c r="B608" s="45" t="n"/>
      <c r="C608" s="45" t="n"/>
      <c r="D608" s="40" t="n"/>
      <c r="E608" s="41" t="n"/>
      <c r="F608" s="41" t="n"/>
      <c r="G608" s="41" t="n"/>
      <c r="H608" s="41" t="n"/>
      <c r="I608" s="41" t="n"/>
      <c r="J608" s="41" t="n"/>
      <c r="K608" s="41" t="n"/>
      <c r="L608" s="41" t="n"/>
    </row>
    <row r="609">
      <c r="B609" s="45" t="n"/>
      <c r="C609" s="45" t="n"/>
      <c r="D609" s="40" t="n"/>
      <c r="E609" s="41" t="n"/>
      <c r="F609" s="41" t="n"/>
      <c r="G609" s="41" t="n"/>
      <c r="H609" s="41" t="n"/>
      <c r="I609" s="41" t="n"/>
      <c r="J609" s="41" t="n"/>
      <c r="K609" s="41" t="n"/>
      <c r="L609" s="41" t="n"/>
    </row>
    <row r="610">
      <c r="B610" s="45" t="n"/>
      <c r="C610" s="45" t="n"/>
      <c r="D610" s="40" t="n"/>
      <c r="E610" s="41" t="n"/>
      <c r="F610" s="41" t="n"/>
      <c r="G610" s="41" t="n"/>
      <c r="H610" s="41" t="n"/>
      <c r="I610" s="41" t="n"/>
      <c r="J610" s="41" t="n"/>
      <c r="K610" s="41" t="n"/>
      <c r="L610" s="41" t="n"/>
    </row>
    <row r="611">
      <c r="B611" s="45" t="n"/>
      <c r="C611" s="45" t="n"/>
      <c r="D611" s="40" t="n"/>
      <c r="E611" s="41" t="n"/>
      <c r="F611" s="41" t="n"/>
      <c r="G611" s="41" t="n"/>
      <c r="H611" s="41" t="n"/>
      <c r="I611" s="41" t="n"/>
      <c r="J611" s="41" t="n"/>
      <c r="K611" s="41" t="n"/>
      <c r="L611" s="41" t="n"/>
    </row>
    <row r="612">
      <c r="B612" s="45" t="n"/>
      <c r="C612" s="45" t="n"/>
      <c r="D612" s="40" t="n"/>
      <c r="E612" s="41" t="n"/>
      <c r="F612" s="41" t="n"/>
      <c r="G612" s="41" t="n"/>
      <c r="H612" s="41" t="n"/>
      <c r="I612" s="41" t="n"/>
      <c r="J612" s="41" t="n"/>
      <c r="K612" s="41" t="n"/>
      <c r="L612" s="41" t="n"/>
    </row>
    <row r="613">
      <c r="B613" s="45" t="n"/>
      <c r="C613" s="45" t="n"/>
      <c r="D613" s="40" t="n"/>
      <c r="E613" s="41" t="n"/>
      <c r="F613" s="41" t="n"/>
      <c r="G613" s="41" t="n"/>
      <c r="H613" s="41" t="n"/>
      <c r="I613" s="41" t="n"/>
      <c r="J613" s="41" t="n"/>
      <c r="K613" s="41" t="n"/>
      <c r="L613" s="41" t="n"/>
    </row>
    <row r="614">
      <c r="B614" s="45" t="n"/>
      <c r="C614" s="45" t="n"/>
      <c r="D614" s="40" t="n"/>
      <c r="E614" s="41" t="n"/>
      <c r="F614" s="41" t="n"/>
      <c r="G614" s="41" t="n"/>
      <c r="H614" s="41" t="n"/>
      <c r="I614" s="41" t="n"/>
      <c r="J614" s="41" t="n"/>
      <c r="K614" s="41" t="n"/>
      <c r="L614" s="41" t="n"/>
    </row>
    <row r="615">
      <c r="B615" s="45" t="n"/>
      <c r="C615" s="45" t="n"/>
      <c r="D615" s="40" t="n"/>
      <c r="E615" s="41" t="n"/>
      <c r="F615" s="41" t="n"/>
      <c r="G615" s="41" t="n"/>
      <c r="H615" s="41" t="n"/>
      <c r="I615" s="41" t="n"/>
      <c r="J615" s="41" t="n"/>
      <c r="K615" s="41" t="n"/>
      <c r="L615" s="41" t="n"/>
    </row>
    <row r="616">
      <c r="B616" s="45" t="n"/>
      <c r="C616" s="45" t="n"/>
      <c r="D616" s="40" t="n"/>
      <c r="E616" s="41" t="n"/>
      <c r="F616" s="41" t="n"/>
      <c r="G616" s="41" t="n"/>
      <c r="H616" s="41" t="n"/>
      <c r="I616" s="41" t="n"/>
      <c r="J616" s="41" t="n"/>
      <c r="K616" s="41" t="n"/>
      <c r="L616" s="41" t="n"/>
    </row>
    <row r="617">
      <c r="B617" s="45" t="n"/>
      <c r="C617" s="45" t="n"/>
      <c r="D617" s="40" t="n"/>
      <c r="E617" s="41" t="n"/>
      <c r="F617" s="41" t="n"/>
      <c r="G617" s="41" t="n"/>
      <c r="H617" s="41" t="n"/>
      <c r="I617" s="41" t="n"/>
      <c r="J617" s="41" t="n"/>
      <c r="K617" s="41" t="n"/>
      <c r="L617" s="41" t="n"/>
    </row>
    <row r="618">
      <c r="B618" s="45" t="n"/>
      <c r="C618" s="45" t="n"/>
      <c r="D618" s="40" t="n"/>
      <c r="E618" s="41" t="n"/>
      <c r="F618" s="41" t="n"/>
      <c r="G618" s="41" t="n"/>
      <c r="H618" s="41" t="n"/>
      <c r="I618" s="41" t="n"/>
      <c r="J618" s="41" t="n"/>
      <c r="K618" s="41" t="n"/>
      <c r="L618" s="41" t="n"/>
    </row>
    <row r="619">
      <c r="B619" s="45" t="n"/>
      <c r="C619" s="45" t="n"/>
      <c r="D619" s="40" t="n"/>
      <c r="E619" s="41" t="n"/>
      <c r="F619" s="41" t="n"/>
      <c r="G619" s="41" t="n"/>
      <c r="H619" s="41" t="n"/>
      <c r="I619" s="41" t="n"/>
      <c r="J619" s="41" t="n"/>
      <c r="K619" s="41" t="n"/>
      <c r="L619" s="41" t="n"/>
    </row>
    <row r="620">
      <c r="B620" s="45" t="n"/>
      <c r="C620" s="45" t="n"/>
      <c r="D620" s="40" t="n"/>
      <c r="E620" s="41" t="n"/>
      <c r="F620" s="41" t="n"/>
      <c r="G620" s="41" t="n"/>
      <c r="H620" s="41" t="n"/>
      <c r="I620" s="41" t="n"/>
      <c r="J620" s="41" t="n"/>
      <c r="K620" s="41" t="n"/>
      <c r="L620" s="41" t="n"/>
    </row>
    <row r="621">
      <c r="B621" s="45" t="n"/>
      <c r="C621" s="45" t="n"/>
      <c r="D621" s="40" t="n"/>
      <c r="E621" s="41" t="n"/>
      <c r="F621" s="41" t="n"/>
      <c r="G621" s="41" t="n"/>
      <c r="H621" s="41" t="n"/>
      <c r="I621" s="41" t="n"/>
      <c r="J621" s="41" t="n"/>
      <c r="K621" s="41" t="n"/>
      <c r="L621" s="41" t="n"/>
    </row>
    <row r="622">
      <c r="B622" s="45" t="n"/>
      <c r="C622" s="45" t="n"/>
      <c r="D622" s="40" t="n"/>
      <c r="E622" s="41" t="n"/>
      <c r="F622" s="41" t="n"/>
      <c r="G622" s="41" t="n"/>
      <c r="H622" s="41" t="n"/>
      <c r="I622" s="41" t="n"/>
      <c r="J622" s="41" t="n"/>
      <c r="K622" s="41" t="n"/>
      <c r="L622" s="41" t="n"/>
    </row>
    <row r="623">
      <c r="B623" s="45" t="n"/>
      <c r="C623" s="45" t="n"/>
      <c r="D623" s="40" t="n"/>
      <c r="E623" s="41" t="n"/>
      <c r="F623" s="41" t="n"/>
      <c r="G623" s="41" t="n"/>
      <c r="H623" s="41" t="n"/>
      <c r="I623" s="41" t="n"/>
      <c r="J623" s="41" t="n"/>
      <c r="K623" s="41" t="n"/>
      <c r="L623" s="41" t="n"/>
    </row>
    <row r="624">
      <c r="B624" s="45" t="n"/>
      <c r="C624" s="45" t="n"/>
      <c r="D624" s="40" t="n"/>
      <c r="E624" s="41" t="n"/>
      <c r="F624" s="41" t="n"/>
      <c r="G624" s="41" t="n"/>
      <c r="H624" s="41" t="n"/>
      <c r="I624" s="41" t="n"/>
      <c r="J624" s="41" t="n"/>
      <c r="K624" s="41" t="n"/>
      <c r="L624" s="41" t="n"/>
    </row>
    <row r="625">
      <c r="B625" s="45" t="n"/>
      <c r="C625" s="45" t="n"/>
      <c r="D625" s="40" t="n"/>
      <c r="E625" s="41" t="n"/>
      <c r="F625" s="41" t="n"/>
      <c r="G625" s="41" t="n"/>
      <c r="H625" s="41" t="n"/>
      <c r="I625" s="41" t="n"/>
      <c r="J625" s="41" t="n"/>
      <c r="K625" s="41" t="n"/>
      <c r="L625" s="41" t="n"/>
    </row>
    <row r="626">
      <c r="B626" s="45" t="n"/>
      <c r="C626" s="45" t="n"/>
      <c r="D626" s="40" t="n"/>
      <c r="E626" s="41" t="n"/>
      <c r="F626" s="41" t="n"/>
      <c r="G626" s="41" t="n"/>
      <c r="H626" s="41" t="n"/>
      <c r="I626" s="41" t="n"/>
      <c r="J626" s="41" t="n"/>
      <c r="K626" s="41" t="n"/>
      <c r="L626" s="41" t="n"/>
    </row>
    <row r="627">
      <c r="B627" s="45" t="n"/>
      <c r="C627" s="45" t="n"/>
      <c r="D627" s="40" t="n"/>
      <c r="E627" s="41" t="n"/>
      <c r="F627" s="41" t="n"/>
      <c r="G627" s="41" t="n"/>
      <c r="H627" s="41" t="n"/>
      <c r="I627" s="41" t="n"/>
      <c r="J627" s="41" t="n"/>
      <c r="K627" s="41" t="n"/>
      <c r="L627" s="41" t="n"/>
    </row>
    <row r="628">
      <c r="B628" s="45" t="n"/>
      <c r="C628" s="45" t="n"/>
      <c r="D628" s="40" t="n"/>
      <c r="E628" s="41" t="n"/>
      <c r="F628" s="41" t="n"/>
      <c r="G628" s="41" t="n"/>
      <c r="H628" s="41" t="n"/>
      <c r="I628" s="41" t="n"/>
      <c r="J628" s="41" t="n"/>
      <c r="K628" s="41" t="n"/>
      <c r="L628" s="41" t="n"/>
    </row>
    <row r="629">
      <c r="B629" s="45" t="n"/>
      <c r="C629" s="45" t="n"/>
      <c r="D629" s="40" t="n"/>
      <c r="E629" s="41" t="n"/>
      <c r="F629" s="41" t="n"/>
      <c r="G629" s="41" t="n"/>
      <c r="H629" s="41" t="n"/>
      <c r="I629" s="41" t="n"/>
      <c r="J629" s="41" t="n"/>
      <c r="K629" s="41" t="n"/>
      <c r="L629" s="41" t="n"/>
    </row>
    <row r="630">
      <c r="B630" s="45" t="n"/>
      <c r="C630" s="45" t="n"/>
      <c r="D630" s="40" t="n"/>
      <c r="E630" s="41" t="n"/>
      <c r="F630" s="41" t="n"/>
      <c r="G630" s="41" t="n"/>
      <c r="H630" s="41" t="n"/>
      <c r="I630" s="41" t="n"/>
      <c r="J630" s="41" t="n"/>
      <c r="K630" s="41" t="n"/>
      <c r="L630" s="41" t="n"/>
    </row>
    <row r="631">
      <c r="B631" s="45" t="n"/>
      <c r="C631" s="45" t="n"/>
      <c r="D631" s="40" t="n"/>
      <c r="E631" s="41" t="n"/>
      <c r="F631" s="41" t="n"/>
      <c r="G631" s="41" t="n"/>
      <c r="H631" s="41" t="n"/>
      <c r="I631" s="41" t="n"/>
      <c r="J631" s="41" t="n"/>
      <c r="K631" s="41" t="n"/>
      <c r="L631" s="41" t="n"/>
    </row>
    <row r="632">
      <c r="B632" s="45" t="n"/>
      <c r="C632" s="45" t="n"/>
      <c r="D632" s="40" t="n"/>
      <c r="E632" s="41" t="n"/>
      <c r="F632" s="41" t="n"/>
      <c r="G632" s="41" t="n"/>
      <c r="H632" s="41" t="n"/>
      <c r="I632" s="41" t="n"/>
      <c r="J632" s="41" t="n"/>
      <c r="K632" s="41" t="n"/>
      <c r="L632" s="41" t="n"/>
    </row>
    <row r="633">
      <c r="B633" s="45" t="n"/>
      <c r="C633" s="45" t="n"/>
      <c r="D633" s="40" t="n"/>
      <c r="E633" s="41" t="n"/>
      <c r="F633" s="41" t="n"/>
      <c r="G633" s="41" t="n"/>
      <c r="H633" s="41" t="n"/>
      <c r="I633" s="41" t="n"/>
      <c r="J633" s="41" t="n"/>
      <c r="K633" s="41" t="n"/>
      <c r="L633" s="41" t="n"/>
    </row>
    <row r="634">
      <c r="B634" s="45" t="n"/>
      <c r="C634" s="45" t="n"/>
      <c r="D634" s="40" t="n"/>
      <c r="E634" s="41" t="n"/>
      <c r="F634" s="41" t="n"/>
      <c r="G634" s="41" t="n"/>
      <c r="H634" s="41" t="n"/>
      <c r="I634" s="41" t="n"/>
      <c r="J634" s="41" t="n"/>
      <c r="K634" s="41" t="n"/>
      <c r="L634" s="41" t="n"/>
    </row>
    <row r="635">
      <c r="B635" s="45" t="n"/>
      <c r="C635" s="45" t="n"/>
      <c r="D635" s="40" t="n"/>
      <c r="E635" s="41" t="n"/>
      <c r="F635" s="41" t="n"/>
      <c r="G635" s="41" t="n"/>
      <c r="H635" s="41" t="n"/>
      <c r="I635" s="41" t="n"/>
      <c r="J635" s="41" t="n"/>
      <c r="K635" s="41" t="n"/>
      <c r="L635" s="41" t="n"/>
    </row>
    <row r="636">
      <c r="B636" s="45" t="n"/>
      <c r="C636" s="45" t="n"/>
      <c r="D636" s="40" t="n"/>
      <c r="E636" s="41" t="n"/>
      <c r="F636" s="41" t="n"/>
      <c r="G636" s="41" t="n"/>
      <c r="H636" s="41" t="n"/>
      <c r="I636" s="41" t="n"/>
      <c r="J636" s="41" t="n"/>
      <c r="K636" s="41" t="n"/>
      <c r="L636" s="41" t="n"/>
    </row>
    <row r="637">
      <c r="B637" s="45" t="n"/>
      <c r="C637" s="45" t="n"/>
      <c r="D637" s="40" t="n"/>
      <c r="E637" s="41" t="n"/>
      <c r="F637" s="41" t="n"/>
      <c r="G637" s="41" t="n"/>
      <c r="H637" s="41" t="n"/>
      <c r="I637" s="41" t="n"/>
      <c r="J637" s="41" t="n"/>
      <c r="K637" s="41" t="n"/>
      <c r="L637" s="41" t="n"/>
    </row>
    <row r="638">
      <c r="B638" s="45" t="n"/>
      <c r="C638" s="45" t="n"/>
      <c r="D638" s="40" t="n"/>
      <c r="E638" s="41" t="n"/>
      <c r="F638" s="41" t="n"/>
      <c r="G638" s="41" t="n"/>
      <c r="H638" s="41" t="n"/>
      <c r="I638" s="41" t="n"/>
      <c r="J638" s="41" t="n"/>
      <c r="K638" s="41" t="n"/>
      <c r="L638" s="41" t="n"/>
    </row>
    <row r="639">
      <c r="B639" s="45" t="n"/>
      <c r="C639" s="45" t="n"/>
      <c r="D639" s="40" t="n"/>
      <c r="E639" s="41" t="n"/>
      <c r="F639" s="41" t="n"/>
      <c r="G639" s="41" t="n"/>
      <c r="H639" s="41" t="n"/>
      <c r="I639" s="41" t="n"/>
      <c r="J639" s="41" t="n"/>
      <c r="K639" s="41" t="n"/>
      <c r="L639" s="41" t="n"/>
    </row>
    <row r="640">
      <c r="B640" s="45" t="n"/>
      <c r="C640" s="45" t="n"/>
      <c r="D640" s="40" t="n"/>
      <c r="E640" s="41" t="n"/>
      <c r="F640" s="41" t="n"/>
      <c r="G640" s="41" t="n"/>
      <c r="H640" s="41" t="n"/>
      <c r="I640" s="41" t="n"/>
      <c r="J640" s="41" t="n"/>
      <c r="K640" s="41" t="n"/>
      <c r="L640" s="41" t="n"/>
    </row>
    <row r="641">
      <c r="B641" s="45" t="n"/>
      <c r="C641" s="45" t="n"/>
      <c r="D641" s="40" t="n"/>
      <c r="E641" s="41" t="n"/>
      <c r="F641" s="41" t="n"/>
      <c r="G641" s="41" t="n"/>
      <c r="H641" s="41" t="n"/>
      <c r="I641" s="41" t="n"/>
      <c r="J641" s="41" t="n"/>
      <c r="K641" s="41" t="n"/>
      <c r="L641" s="41" t="n"/>
    </row>
    <row r="642">
      <c r="B642" s="45" t="n"/>
      <c r="C642" s="45" t="n"/>
      <c r="D642" s="40" t="n"/>
      <c r="E642" s="41" t="n"/>
      <c r="F642" s="41" t="n"/>
      <c r="G642" s="41" t="n"/>
      <c r="H642" s="41" t="n"/>
      <c r="I642" s="41" t="n"/>
      <c r="J642" s="41" t="n"/>
      <c r="K642" s="41" t="n"/>
      <c r="L642" s="41" t="n"/>
    </row>
    <row r="643">
      <c r="B643" s="45" t="n"/>
      <c r="C643" s="45" t="n"/>
      <c r="D643" s="40" t="n"/>
      <c r="E643" s="41" t="n"/>
      <c r="F643" s="41" t="n"/>
      <c r="G643" s="41" t="n"/>
      <c r="H643" s="41" t="n"/>
      <c r="I643" s="41" t="n"/>
      <c r="J643" s="41" t="n"/>
      <c r="K643" s="41" t="n"/>
      <c r="L643" s="41" t="n"/>
    </row>
    <row r="644">
      <c r="B644" s="45" t="n"/>
      <c r="C644" s="45" t="n"/>
      <c r="D644" s="40" t="n"/>
      <c r="E644" s="41" t="n"/>
      <c r="F644" s="41" t="n"/>
      <c r="G644" s="41" t="n"/>
      <c r="H644" s="41" t="n"/>
      <c r="I644" s="41" t="n"/>
      <c r="J644" s="41" t="n"/>
      <c r="K644" s="41" t="n"/>
      <c r="L644" s="41" t="n"/>
    </row>
    <row r="645">
      <c r="B645" s="45" t="n"/>
      <c r="C645" s="45" t="n"/>
      <c r="D645" s="40" t="n"/>
      <c r="E645" s="41" t="n"/>
      <c r="F645" s="41" t="n"/>
      <c r="G645" s="41" t="n"/>
      <c r="H645" s="41" t="n"/>
      <c r="I645" s="41" t="n"/>
      <c r="J645" s="41" t="n"/>
      <c r="K645" s="41" t="n"/>
      <c r="L645" s="41" t="n"/>
    </row>
    <row r="646">
      <c r="B646" s="45" t="n"/>
      <c r="C646" s="45" t="n"/>
      <c r="D646" s="40" t="n"/>
      <c r="E646" s="41" t="n"/>
      <c r="F646" s="41" t="n"/>
      <c r="G646" s="41" t="n"/>
      <c r="H646" s="41" t="n"/>
      <c r="I646" s="41" t="n"/>
      <c r="J646" s="41" t="n"/>
      <c r="K646" s="41" t="n"/>
      <c r="L646" s="41" t="n"/>
    </row>
    <row r="647">
      <c r="B647" s="45" t="n"/>
      <c r="C647" s="45" t="n"/>
      <c r="D647" s="40" t="n"/>
      <c r="E647" s="41" t="n"/>
      <c r="F647" s="41" t="n"/>
      <c r="G647" s="41" t="n"/>
      <c r="H647" s="41" t="n"/>
      <c r="I647" s="41" t="n"/>
      <c r="J647" s="41" t="n"/>
      <c r="K647" s="41" t="n"/>
      <c r="L647" s="41" t="n"/>
    </row>
    <row r="648">
      <c r="B648" s="45" t="n"/>
      <c r="C648" s="45" t="n"/>
      <c r="D648" s="40" t="n"/>
      <c r="E648" s="41" t="n"/>
      <c r="F648" s="41" t="n"/>
      <c r="G648" s="41" t="n"/>
      <c r="H648" s="41" t="n"/>
      <c r="I648" s="41" t="n"/>
      <c r="J648" s="41" t="n"/>
      <c r="K648" s="41" t="n"/>
      <c r="L648" s="41" t="n"/>
    </row>
    <row r="649">
      <c r="B649" s="45" t="n"/>
      <c r="C649" s="45" t="n"/>
      <c r="D649" s="40" t="n"/>
      <c r="E649" s="41" t="n"/>
      <c r="F649" s="41" t="n"/>
      <c r="G649" s="41" t="n"/>
      <c r="H649" s="41" t="n"/>
      <c r="I649" s="41" t="n"/>
      <c r="J649" s="41" t="n"/>
      <c r="K649" s="41" t="n"/>
      <c r="L649" s="41" t="n"/>
    </row>
    <row r="650">
      <c r="B650" s="45" t="n"/>
      <c r="C650" s="45" t="n"/>
      <c r="D650" s="40" t="n"/>
      <c r="E650" s="41" t="n"/>
      <c r="F650" s="41" t="n"/>
      <c r="G650" s="41" t="n"/>
      <c r="H650" s="41" t="n"/>
      <c r="I650" s="41" t="n"/>
      <c r="J650" s="41" t="n"/>
      <c r="K650" s="41" t="n"/>
      <c r="L650" s="41" t="n"/>
    </row>
    <row r="651">
      <c r="B651" s="45" t="n"/>
      <c r="C651" s="45" t="n"/>
      <c r="D651" s="40" t="n"/>
      <c r="E651" s="41" t="n"/>
      <c r="F651" s="41" t="n"/>
      <c r="G651" s="41" t="n"/>
      <c r="H651" s="41" t="n"/>
      <c r="I651" s="41" t="n"/>
      <c r="J651" s="41" t="n"/>
      <c r="K651" s="41" t="n"/>
      <c r="L651" s="41" t="n"/>
    </row>
    <row r="652">
      <c r="B652" s="45" t="n"/>
      <c r="C652" s="45" t="n"/>
      <c r="D652" s="40" t="n"/>
      <c r="E652" s="41" t="n"/>
      <c r="F652" s="41" t="n"/>
      <c r="G652" s="41" t="n"/>
      <c r="H652" s="41" t="n"/>
      <c r="I652" s="41" t="n"/>
      <c r="J652" s="41" t="n"/>
      <c r="K652" s="41" t="n"/>
      <c r="L652" s="41" t="n"/>
    </row>
    <row r="653">
      <c r="B653" s="45" t="n"/>
      <c r="C653" s="45" t="n"/>
      <c r="D653" s="40" t="n"/>
      <c r="E653" s="41" t="n"/>
      <c r="F653" s="41" t="n"/>
      <c r="G653" s="41" t="n"/>
      <c r="H653" s="41" t="n"/>
      <c r="I653" s="41" t="n"/>
      <c r="J653" s="41" t="n"/>
      <c r="K653" s="41" t="n"/>
      <c r="L653" s="41" t="n"/>
    </row>
    <row r="654">
      <c r="B654" s="45" t="n"/>
      <c r="C654" s="45" t="n"/>
      <c r="D654" s="40" t="n"/>
      <c r="E654" s="41" t="n"/>
      <c r="F654" s="41" t="n"/>
      <c r="G654" s="41" t="n"/>
      <c r="H654" s="41" t="n"/>
      <c r="I654" s="41" t="n"/>
      <c r="J654" s="41" t="n"/>
      <c r="K654" s="41" t="n"/>
      <c r="L654" s="41" t="n"/>
    </row>
    <row r="655">
      <c r="B655" s="45" t="n"/>
      <c r="C655" s="45" t="n"/>
      <c r="D655" s="40" t="n"/>
      <c r="E655" s="41" t="n"/>
      <c r="F655" s="41" t="n"/>
      <c r="G655" s="41" t="n"/>
      <c r="H655" s="41" t="n"/>
      <c r="I655" s="41" t="n"/>
      <c r="J655" s="41" t="n"/>
      <c r="K655" s="41" t="n"/>
      <c r="L655" s="41" t="n"/>
    </row>
    <row r="656">
      <c r="B656" s="45" t="n"/>
      <c r="C656" s="45" t="n"/>
      <c r="D656" s="40" t="n"/>
      <c r="E656" s="41" t="n"/>
      <c r="F656" s="41" t="n"/>
      <c r="G656" s="41" t="n"/>
      <c r="H656" s="41" t="n"/>
      <c r="I656" s="41" t="n"/>
      <c r="J656" s="41" t="n"/>
      <c r="K656" s="41" t="n"/>
      <c r="L656" s="41" t="n"/>
    </row>
    <row r="657">
      <c r="B657" s="45" t="n"/>
      <c r="C657" s="45" t="n"/>
      <c r="D657" s="40" t="n"/>
      <c r="E657" s="41" t="n"/>
      <c r="F657" s="41" t="n"/>
      <c r="G657" s="41" t="n"/>
      <c r="H657" s="41" t="n"/>
      <c r="I657" s="41" t="n"/>
      <c r="J657" s="41" t="n"/>
      <c r="K657" s="41" t="n"/>
      <c r="L657" s="41" t="n"/>
    </row>
    <row r="658">
      <c r="B658" s="45" t="n"/>
      <c r="C658" s="45" t="n"/>
      <c r="D658" s="40" t="n"/>
      <c r="E658" s="41" t="n"/>
      <c r="F658" s="41" t="n"/>
      <c r="G658" s="41" t="n"/>
      <c r="H658" s="41" t="n"/>
      <c r="I658" s="41" t="n"/>
      <c r="J658" s="41" t="n"/>
      <c r="K658" s="41" t="n"/>
      <c r="L658" s="41" t="n"/>
    </row>
    <row r="659">
      <c r="B659" s="45" t="n"/>
      <c r="C659" s="45" t="n"/>
      <c r="D659" s="40" t="n"/>
      <c r="E659" s="41" t="n"/>
      <c r="F659" s="41" t="n"/>
      <c r="G659" s="41" t="n"/>
      <c r="H659" s="41" t="n"/>
      <c r="I659" s="41" t="n"/>
      <c r="J659" s="41" t="n"/>
      <c r="K659" s="41" t="n"/>
      <c r="L659" s="41" t="n"/>
    </row>
    <row r="660">
      <c r="B660" s="45" t="n"/>
      <c r="C660" s="45" t="n"/>
      <c r="D660" s="40" t="n"/>
      <c r="E660" s="41" t="n"/>
      <c r="F660" s="41" t="n"/>
      <c r="G660" s="41" t="n"/>
      <c r="H660" s="41" t="n"/>
      <c r="I660" s="41" t="n"/>
      <c r="J660" s="41" t="n"/>
      <c r="K660" s="41" t="n"/>
      <c r="L660" s="41" t="n"/>
    </row>
    <row r="661">
      <c r="B661" s="45" t="n"/>
      <c r="C661" s="45" t="n"/>
      <c r="D661" s="40" t="n"/>
      <c r="E661" s="41" t="n"/>
      <c r="F661" s="41" t="n"/>
      <c r="G661" s="41" t="n"/>
      <c r="H661" s="41" t="n"/>
      <c r="I661" s="41" t="n"/>
      <c r="J661" s="41" t="n"/>
      <c r="K661" s="41" t="n"/>
      <c r="L661" s="41" t="n"/>
    </row>
    <row r="662">
      <c r="B662" s="45" t="n"/>
      <c r="C662" s="45" t="n"/>
      <c r="D662" s="40" t="n"/>
      <c r="E662" s="41" t="n"/>
      <c r="F662" s="41" t="n"/>
      <c r="G662" s="41" t="n"/>
      <c r="H662" s="41" t="n"/>
      <c r="I662" s="41" t="n"/>
      <c r="J662" s="41" t="n"/>
      <c r="K662" s="41" t="n"/>
      <c r="L662" s="41" t="n"/>
    </row>
    <row r="663">
      <c r="B663" s="45" t="n"/>
      <c r="C663" s="45" t="n"/>
      <c r="D663" s="40" t="n"/>
      <c r="E663" s="41" t="n"/>
      <c r="F663" s="41" t="n"/>
      <c r="G663" s="41" t="n"/>
      <c r="H663" s="41" t="n"/>
      <c r="I663" s="41" t="n"/>
      <c r="J663" s="41" t="n"/>
      <c r="K663" s="41" t="n"/>
      <c r="L663" s="41" t="n"/>
    </row>
    <row r="664">
      <c r="B664" s="45" t="n"/>
      <c r="C664" s="45" t="n"/>
      <c r="D664" s="40" t="n"/>
      <c r="E664" s="41" t="n"/>
      <c r="F664" s="41" t="n"/>
      <c r="G664" s="41" t="n"/>
      <c r="H664" s="41" t="n"/>
      <c r="I664" s="41" t="n"/>
      <c r="J664" s="41" t="n"/>
      <c r="K664" s="41" t="n"/>
      <c r="L664" s="41" t="n"/>
    </row>
    <row r="665">
      <c r="B665" s="45" t="n"/>
      <c r="C665" s="45" t="n"/>
      <c r="D665" s="40" t="n"/>
      <c r="E665" s="41" t="n"/>
      <c r="F665" s="41" t="n"/>
      <c r="G665" s="41" t="n"/>
      <c r="H665" s="41" t="n"/>
      <c r="I665" s="41" t="n"/>
      <c r="J665" s="41" t="n"/>
      <c r="K665" s="41" t="n"/>
      <c r="L665" s="41" t="n"/>
    </row>
    <row r="666">
      <c r="B666" s="45" t="n"/>
      <c r="C666" s="45" t="n"/>
      <c r="D666" s="40" t="n"/>
      <c r="E666" s="41" t="n"/>
      <c r="F666" s="41" t="n"/>
      <c r="G666" s="41" t="n"/>
      <c r="H666" s="41" t="n"/>
      <c r="I666" s="41" t="n"/>
      <c r="J666" s="41" t="n"/>
      <c r="K666" s="41" t="n"/>
      <c r="L666" s="41" t="n"/>
    </row>
    <row r="667">
      <c r="B667" s="45" t="n"/>
      <c r="C667" s="45" t="n"/>
      <c r="D667" s="40" t="n"/>
      <c r="E667" s="41" t="n"/>
      <c r="F667" s="41" t="n"/>
      <c r="G667" s="41" t="n"/>
      <c r="H667" s="41" t="n"/>
      <c r="I667" s="41" t="n"/>
      <c r="J667" s="41" t="n"/>
      <c r="K667" s="41" t="n"/>
      <c r="L667" s="41" t="n"/>
    </row>
    <row r="668">
      <c r="B668" s="45" t="n"/>
      <c r="C668" s="45" t="n"/>
      <c r="D668" s="40" t="n"/>
      <c r="E668" s="41" t="n"/>
      <c r="F668" s="41" t="n"/>
      <c r="G668" s="41" t="n"/>
      <c r="H668" s="41" t="n"/>
      <c r="I668" s="41" t="n"/>
      <c r="J668" s="41" t="n"/>
      <c r="K668" s="41" t="n"/>
      <c r="L668" s="41" t="n"/>
    </row>
    <row r="669">
      <c r="B669" s="45" t="n"/>
      <c r="C669" s="45" t="n"/>
      <c r="D669" s="40" t="n"/>
      <c r="E669" s="41" t="n"/>
      <c r="F669" s="41" t="n"/>
      <c r="G669" s="41" t="n"/>
      <c r="H669" s="41" t="n"/>
      <c r="I669" s="41" t="n"/>
      <c r="J669" s="41" t="n"/>
      <c r="K669" s="41" t="n"/>
      <c r="L669" s="41" t="n"/>
    </row>
    <row r="670">
      <c r="B670" s="45" t="n"/>
      <c r="C670" s="45" t="n"/>
      <c r="D670" s="40" t="n"/>
      <c r="E670" s="41" t="n"/>
      <c r="F670" s="41" t="n"/>
      <c r="G670" s="41" t="n"/>
      <c r="H670" s="41" t="n"/>
      <c r="I670" s="41" t="n"/>
      <c r="J670" s="41" t="n"/>
      <c r="K670" s="41" t="n"/>
      <c r="L670" s="41" t="n"/>
    </row>
    <row r="671">
      <c r="B671" s="45" t="n"/>
      <c r="C671" s="45" t="n"/>
      <c r="D671" s="40" t="n"/>
      <c r="E671" s="41" t="n"/>
      <c r="F671" s="41" t="n"/>
      <c r="G671" s="41" t="n"/>
      <c r="H671" s="41" t="n"/>
      <c r="I671" s="41" t="n"/>
      <c r="J671" s="41" t="n"/>
      <c r="K671" s="41" t="n"/>
      <c r="L671" s="41" t="n"/>
    </row>
    <row r="672">
      <c r="B672" s="45" t="n"/>
      <c r="C672" s="45" t="n"/>
      <c r="D672" s="40" t="n"/>
      <c r="E672" s="41" t="n"/>
      <c r="F672" s="41" t="n"/>
      <c r="G672" s="41" t="n"/>
      <c r="H672" s="41" t="n"/>
      <c r="I672" s="41" t="n"/>
      <c r="J672" s="41" t="n"/>
      <c r="K672" s="41" t="n"/>
      <c r="L672" s="41" t="n"/>
    </row>
    <row r="673">
      <c r="B673" s="45" t="n"/>
      <c r="C673" s="45" t="n"/>
      <c r="D673" s="40" t="n"/>
      <c r="E673" s="41" t="n"/>
      <c r="F673" s="41" t="n"/>
      <c r="G673" s="41" t="n"/>
      <c r="H673" s="41" t="n"/>
      <c r="I673" s="41" t="n"/>
      <c r="J673" s="41" t="n"/>
      <c r="K673" s="41" t="n"/>
      <c r="L673" s="41" t="n"/>
    </row>
    <row r="674">
      <c r="B674" s="45" t="n"/>
      <c r="C674" s="45" t="n"/>
      <c r="D674" s="40" t="n"/>
      <c r="E674" s="41" t="n"/>
      <c r="F674" s="41" t="n"/>
      <c r="G674" s="41" t="n"/>
      <c r="H674" s="41" t="n"/>
      <c r="I674" s="41" t="n"/>
      <c r="J674" s="41" t="n"/>
      <c r="K674" s="41" t="n"/>
      <c r="L674" s="41" t="n"/>
    </row>
    <row r="675">
      <c r="B675" s="45" t="n"/>
      <c r="C675" s="45" t="n"/>
      <c r="D675" s="40" t="n"/>
      <c r="E675" s="41" t="n"/>
      <c r="F675" s="41" t="n"/>
      <c r="G675" s="41" t="n"/>
      <c r="H675" s="41" t="n"/>
      <c r="I675" s="41" t="n"/>
      <c r="J675" s="41" t="n"/>
      <c r="K675" s="41" t="n"/>
      <c r="L675" s="41" t="n"/>
    </row>
    <row r="676">
      <c r="B676" s="45" t="n"/>
      <c r="C676" s="45" t="n"/>
      <c r="D676" s="40" t="n"/>
      <c r="E676" s="41" t="n"/>
      <c r="F676" s="41" t="n"/>
      <c r="G676" s="41" t="n"/>
      <c r="H676" s="41" t="n"/>
      <c r="I676" s="41" t="n"/>
      <c r="J676" s="41" t="n"/>
      <c r="K676" s="41" t="n"/>
      <c r="L676" s="41" t="n"/>
    </row>
    <row r="677">
      <c r="B677" s="45" t="n"/>
      <c r="C677" s="45" t="n"/>
      <c r="D677" s="40" t="n"/>
      <c r="E677" s="41" t="n"/>
      <c r="F677" s="41" t="n"/>
      <c r="G677" s="41" t="n"/>
      <c r="H677" s="41" t="n"/>
      <c r="I677" s="41" t="n"/>
      <c r="J677" s="41" t="n"/>
      <c r="K677" s="41" t="n"/>
      <c r="L677" s="41" t="n"/>
    </row>
    <row r="678">
      <c r="B678" s="45" t="n"/>
      <c r="C678" s="45" t="n"/>
      <c r="D678" s="40" t="n"/>
      <c r="E678" s="41" t="n"/>
      <c r="F678" s="41" t="n"/>
      <c r="G678" s="41" t="n"/>
      <c r="H678" s="41" t="n"/>
      <c r="I678" s="41" t="n"/>
      <c r="J678" s="41" t="n"/>
      <c r="K678" s="41" t="n"/>
      <c r="L678" s="41" t="n"/>
    </row>
    <row r="679">
      <c r="B679" s="45" t="n"/>
      <c r="C679" s="45" t="n"/>
      <c r="D679" s="40" t="n"/>
      <c r="E679" s="41" t="n"/>
      <c r="F679" s="41" t="n"/>
      <c r="G679" s="41" t="n"/>
      <c r="H679" s="41" t="n"/>
      <c r="I679" s="41" t="n"/>
      <c r="J679" s="41" t="n"/>
      <c r="K679" s="41" t="n"/>
      <c r="L679" s="41" t="n"/>
    </row>
    <row r="680">
      <c r="B680" s="45" t="n"/>
      <c r="C680" s="45" t="n"/>
      <c r="D680" s="40" t="n"/>
      <c r="E680" s="41" t="n"/>
      <c r="F680" s="41" t="n"/>
      <c r="G680" s="41" t="n"/>
      <c r="H680" s="41" t="n"/>
      <c r="I680" s="41" t="n"/>
      <c r="J680" s="41" t="n"/>
      <c r="K680" s="41" t="n"/>
      <c r="L680" s="41" t="n"/>
    </row>
    <row r="681">
      <c r="B681" s="45" t="n"/>
      <c r="C681" s="45" t="n"/>
      <c r="D681" s="40" t="n"/>
      <c r="E681" s="41" t="n"/>
      <c r="F681" s="41" t="n"/>
      <c r="G681" s="41" t="n"/>
      <c r="H681" s="41" t="n"/>
      <c r="I681" s="41" t="n"/>
      <c r="J681" s="41" t="n"/>
      <c r="K681" s="41" t="n"/>
      <c r="L681" s="41" t="n"/>
    </row>
    <row r="682">
      <c r="B682" s="45" t="n"/>
      <c r="C682" s="45" t="n"/>
      <c r="D682" s="40" t="n"/>
      <c r="E682" s="41" t="n"/>
      <c r="F682" s="41" t="n"/>
      <c r="G682" s="41" t="n"/>
      <c r="H682" s="41" t="n"/>
      <c r="I682" s="41" t="n"/>
      <c r="J682" s="41" t="n"/>
      <c r="K682" s="41" t="n"/>
      <c r="L682" s="41" t="n"/>
    </row>
    <row r="683">
      <c r="B683" s="45" t="n"/>
      <c r="C683" s="45" t="n"/>
      <c r="D683" s="40" t="n"/>
      <c r="E683" s="41" t="n"/>
      <c r="F683" s="41" t="n"/>
      <c r="G683" s="41" t="n"/>
      <c r="H683" s="41" t="n"/>
      <c r="I683" s="41" t="n"/>
      <c r="J683" s="41" t="n"/>
      <c r="K683" s="41" t="n"/>
      <c r="L683" s="41" t="n"/>
    </row>
    <row r="684">
      <c r="B684" s="45" t="n"/>
      <c r="C684" s="45" t="n"/>
      <c r="D684" s="40" t="n"/>
      <c r="E684" s="41" t="n"/>
      <c r="F684" s="41" t="n"/>
      <c r="G684" s="41" t="n"/>
      <c r="H684" s="41" t="n"/>
      <c r="I684" s="41" t="n"/>
      <c r="J684" s="41" t="n"/>
      <c r="K684" s="41" t="n"/>
      <c r="L684" s="41" t="n"/>
    </row>
    <row r="685">
      <c r="B685" s="45" t="n"/>
      <c r="C685" s="45" t="n"/>
      <c r="D685" s="40" t="n"/>
      <c r="E685" s="41" t="n"/>
      <c r="F685" s="41" t="n"/>
      <c r="G685" s="41" t="n"/>
      <c r="H685" s="41" t="n"/>
      <c r="I685" s="41" t="n"/>
      <c r="J685" s="41" t="n"/>
      <c r="K685" s="41" t="n"/>
      <c r="L685" s="41" t="n"/>
    </row>
    <row r="686">
      <c r="B686" s="45" t="n"/>
      <c r="C686" s="45" t="n"/>
      <c r="D686" s="40" t="n"/>
      <c r="E686" s="41" t="n"/>
      <c r="F686" s="41" t="n"/>
      <c r="G686" s="41" t="n"/>
      <c r="H686" s="41" t="n"/>
      <c r="I686" s="41" t="n"/>
      <c r="J686" s="41" t="n"/>
      <c r="K686" s="41" t="n"/>
      <c r="L686" s="41" t="n"/>
    </row>
    <row r="687">
      <c r="B687" s="45" t="n"/>
      <c r="C687" s="45" t="n"/>
      <c r="D687" s="40" t="n"/>
      <c r="E687" s="41" t="n"/>
      <c r="F687" s="41" t="n"/>
      <c r="G687" s="41" t="n"/>
      <c r="H687" s="41" t="n"/>
      <c r="I687" s="41" t="n"/>
      <c r="J687" s="41" t="n"/>
      <c r="K687" s="41" t="n"/>
      <c r="L687" s="41" t="n"/>
    </row>
    <row r="688">
      <c r="B688" s="45" t="n"/>
      <c r="C688" s="45" t="n"/>
      <c r="D688" s="40" t="n"/>
      <c r="E688" s="41" t="n"/>
      <c r="F688" s="41" t="n"/>
      <c r="G688" s="41" t="n"/>
      <c r="H688" s="41" t="n"/>
      <c r="I688" s="41" t="n"/>
      <c r="J688" s="41" t="n"/>
      <c r="K688" s="41" t="n"/>
      <c r="L688" s="41" t="n"/>
    </row>
    <row r="689">
      <c r="B689" s="45" t="n"/>
      <c r="C689" s="45" t="n"/>
      <c r="D689" s="40" t="n"/>
      <c r="E689" s="41" t="n"/>
      <c r="F689" s="41" t="n"/>
      <c r="G689" s="41" t="n"/>
      <c r="H689" s="41" t="n"/>
      <c r="I689" s="41" t="n"/>
      <c r="J689" s="41" t="n"/>
      <c r="K689" s="41" t="n"/>
      <c r="L689" s="41" t="n"/>
    </row>
    <row r="690">
      <c r="B690" s="45" t="n"/>
      <c r="C690" s="45" t="n"/>
      <c r="D690" s="40" t="n"/>
      <c r="E690" s="41" t="n"/>
      <c r="F690" s="41" t="n"/>
      <c r="G690" s="41" t="n"/>
      <c r="H690" s="41" t="n"/>
      <c r="I690" s="41" t="n"/>
      <c r="J690" s="41" t="n"/>
      <c r="K690" s="41" t="n"/>
      <c r="L690" s="41" t="n"/>
    </row>
    <row r="691">
      <c r="B691" s="45" t="n"/>
      <c r="C691" s="45" t="n"/>
      <c r="D691" s="40" t="n"/>
      <c r="E691" s="41" t="n"/>
      <c r="F691" s="41" t="n"/>
      <c r="G691" s="41" t="n"/>
      <c r="H691" s="41" t="n"/>
      <c r="I691" s="41" t="n"/>
      <c r="J691" s="41" t="n"/>
      <c r="K691" s="41" t="n"/>
      <c r="L691" s="41" t="n"/>
    </row>
    <row r="692">
      <c r="B692" s="45" t="n"/>
      <c r="C692" s="45" t="n"/>
      <c r="D692" s="40" t="n"/>
      <c r="E692" s="41" t="n"/>
      <c r="F692" s="41" t="n"/>
      <c r="G692" s="41" t="n"/>
      <c r="H692" s="41" t="n"/>
      <c r="I692" s="41" t="n"/>
      <c r="J692" s="41" t="n"/>
      <c r="K692" s="41" t="n"/>
      <c r="L692" s="41" t="n"/>
    </row>
    <row r="693">
      <c r="B693" s="45" t="n"/>
      <c r="C693" s="45" t="n"/>
      <c r="D693" s="40" t="n"/>
      <c r="E693" s="41" t="n"/>
      <c r="F693" s="41" t="n"/>
      <c r="G693" s="41" t="n"/>
      <c r="H693" s="41" t="n"/>
      <c r="I693" s="41" t="n"/>
      <c r="J693" s="41" t="n"/>
      <c r="K693" s="41" t="n"/>
      <c r="L693" s="41" t="n"/>
    </row>
    <row r="694">
      <c r="B694" s="45" t="n"/>
      <c r="C694" s="45" t="n"/>
      <c r="D694" s="40" t="n"/>
      <c r="E694" s="41" t="n"/>
      <c r="F694" s="41" t="n"/>
      <c r="G694" s="41" t="n"/>
      <c r="H694" s="41" t="n"/>
      <c r="I694" s="41" t="n"/>
      <c r="J694" s="41" t="n"/>
      <c r="K694" s="41" t="n"/>
      <c r="L694" s="41" t="n"/>
    </row>
    <row r="695">
      <c r="B695" s="45" t="n"/>
      <c r="C695" s="45" t="n"/>
      <c r="D695" s="40" t="n"/>
      <c r="E695" s="41" t="n"/>
      <c r="F695" s="41" t="n"/>
      <c r="G695" s="41" t="n"/>
      <c r="H695" s="41" t="n"/>
      <c r="I695" s="41" t="n"/>
      <c r="J695" s="41" t="n"/>
      <c r="K695" s="41" t="n"/>
      <c r="L695" s="41" t="n"/>
    </row>
    <row r="696">
      <c r="B696" s="45" t="n"/>
      <c r="C696" s="45" t="n"/>
      <c r="D696" s="40" t="n"/>
      <c r="E696" s="41" t="n"/>
      <c r="F696" s="41" t="n"/>
      <c r="G696" s="41" t="n"/>
      <c r="H696" s="41" t="n"/>
      <c r="I696" s="41" t="n"/>
      <c r="J696" s="41" t="n"/>
      <c r="K696" s="41" t="n"/>
      <c r="L696" s="41" t="n"/>
    </row>
    <row r="697">
      <c r="B697" s="45" t="n"/>
      <c r="C697" s="45" t="n"/>
      <c r="D697" s="40" t="n"/>
      <c r="E697" s="41" t="n"/>
      <c r="F697" s="41" t="n"/>
      <c r="G697" s="41" t="n"/>
      <c r="H697" s="41" t="n"/>
      <c r="I697" s="41" t="n"/>
      <c r="J697" s="41" t="n"/>
      <c r="K697" s="41" t="n"/>
      <c r="L697" s="41" t="n"/>
    </row>
    <row r="698">
      <c r="B698" s="45" t="n"/>
      <c r="C698" s="45" t="n"/>
      <c r="D698" s="40" t="n"/>
      <c r="E698" s="41" t="n"/>
      <c r="F698" s="41" t="n"/>
      <c r="G698" s="41" t="n"/>
      <c r="H698" s="41" t="n"/>
      <c r="I698" s="41" t="n"/>
      <c r="J698" s="41" t="n"/>
      <c r="K698" s="41" t="n"/>
      <c r="L698" s="41" t="n"/>
    </row>
    <row r="699">
      <c r="B699" s="45" t="n"/>
      <c r="C699" s="45" t="n"/>
      <c r="D699" s="40" t="n"/>
      <c r="E699" s="41" t="n"/>
      <c r="F699" s="41" t="n"/>
      <c r="G699" s="41" t="n"/>
      <c r="H699" s="41" t="n"/>
      <c r="I699" s="41" t="n"/>
      <c r="J699" s="41" t="n"/>
      <c r="K699" s="41" t="n"/>
      <c r="L699" s="41" t="n"/>
    </row>
    <row r="700">
      <c r="B700" s="45" t="n"/>
      <c r="C700" s="45" t="n"/>
      <c r="D700" s="40" t="n"/>
      <c r="E700" s="41" t="n"/>
      <c r="F700" s="41" t="n"/>
      <c r="G700" s="41" t="n"/>
      <c r="H700" s="41" t="n"/>
      <c r="I700" s="41" t="n"/>
      <c r="J700" s="41" t="n"/>
      <c r="K700" s="41" t="n"/>
      <c r="L700" s="41" t="n"/>
    </row>
    <row r="701">
      <c r="B701" s="45" t="n"/>
      <c r="C701" s="45" t="n"/>
      <c r="D701" s="40" t="n"/>
      <c r="E701" s="41" t="n"/>
      <c r="F701" s="41" t="n"/>
      <c r="G701" s="41" t="n"/>
      <c r="H701" s="41" t="n"/>
      <c r="I701" s="41" t="n"/>
      <c r="J701" s="41" t="n"/>
      <c r="K701" s="41" t="n"/>
      <c r="L701" s="41" t="n"/>
    </row>
    <row r="702">
      <c r="B702" s="45" t="n"/>
      <c r="C702" s="45" t="n"/>
      <c r="D702" s="40" t="n"/>
      <c r="E702" s="41" t="n"/>
      <c r="F702" s="41" t="n"/>
      <c r="G702" s="41" t="n"/>
      <c r="H702" s="41" t="n"/>
      <c r="I702" s="41" t="n"/>
      <c r="J702" s="41" t="n"/>
      <c r="K702" s="41" t="n"/>
      <c r="L702" s="41" t="n"/>
    </row>
    <row r="703">
      <c r="B703" s="45" t="n"/>
      <c r="C703" s="45" t="n"/>
      <c r="D703" s="40" t="n"/>
      <c r="E703" s="41" t="n"/>
      <c r="F703" s="41" t="n"/>
      <c r="G703" s="41" t="n"/>
      <c r="H703" s="41" t="n"/>
      <c r="I703" s="41" t="n"/>
      <c r="J703" s="41" t="n"/>
      <c r="K703" s="41" t="n"/>
      <c r="L703" s="41" t="n"/>
    </row>
    <row r="704">
      <c r="B704" s="45" t="n"/>
      <c r="C704" s="45" t="n"/>
      <c r="D704" s="40" t="n"/>
      <c r="E704" s="41" t="n"/>
      <c r="F704" s="41" t="n"/>
      <c r="G704" s="41" t="n"/>
      <c r="H704" s="41" t="n"/>
      <c r="I704" s="41" t="n"/>
      <c r="J704" s="41" t="n"/>
      <c r="K704" s="41" t="n"/>
      <c r="L704" s="41" t="n"/>
    </row>
    <row r="705">
      <c r="B705" s="45" t="n"/>
      <c r="C705" s="45" t="n"/>
      <c r="D705" s="40" t="n"/>
      <c r="E705" s="41" t="n"/>
      <c r="F705" s="41" t="n"/>
      <c r="G705" s="41" t="n"/>
      <c r="H705" s="41" t="n"/>
      <c r="I705" s="41" t="n"/>
      <c r="J705" s="41" t="n"/>
      <c r="K705" s="41" t="n"/>
      <c r="L705" s="41" t="n"/>
    </row>
    <row r="706">
      <c r="B706" s="45" t="n"/>
      <c r="C706" s="45" t="n"/>
      <c r="D706" s="40" t="n"/>
      <c r="E706" s="41" t="n"/>
      <c r="F706" s="41" t="n"/>
      <c r="G706" s="41" t="n"/>
      <c r="H706" s="41" t="n"/>
      <c r="I706" s="41" t="n"/>
      <c r="J706" s="41" t="n"/>
      <c r="K706" s="41" t="n"/>
      <c r="L706" s="41" t="n"/>
    </row>
    <row r="707">
      <c r="B707" s="45" t="n"/>
      <c r="C707" s="45" t="n"/>
      <c r="D707" s="40" t="n"/>
      <c r="E707" s="41" t="n"/>
      <c r="F707" s="41" t="n"/>
      <c r="G707" s="41" t="n"/>
      <c r="H707" s="41" t="n"/>
      <c r="I707" s="41" t="n"/>
      <c r="J707" s="41" t="n"/>
      <c r="K707" s="41" t="n"/>
      <c r="L707" s="41" t="n"/>
    </row>
    <row r="708">
      <c r="B708" s="45" t="n"/>
      <c r="C708" s="45" t="n"/>
      <c r="D708" s="40" t="n"/>
      <c r="E708" s="41" t="n"/>
      <c r="F708" s="41" t="n"/>
      <c r="G708" s="41" t="n"/>
      <c r="H708" s="41" t="n"/>
      <c r="I708" s="41" t="n"/>
      <c r="J708" s="41" t="n"/>
      <c r="K708" s="41" t="n"/>
      <c r="L708" s="41" t="n"/>
    </row>
    <row r="709">
      <c r="B709" s="45" t="n"/>
      <c r="C709" s="45" t="n"/>
      <c r="D709" s="40" t="n"/>
      <c r="E709" s="41" t="n"/>
      <c r="F709" s="41" t="n"/>
      <c r="G709" s="41" t="n"/>
      <c r="H709" s="41" t="n"/>
      <c r="I709" s="41" t="n"/>
      <c r="J709" s="41" t="n"/>
      <c r="K709" s="41" t="n"/>
      <c r="L709" s="41" t="n"/>
    </row>
    <row r="710">
      <c r="B710" s="45" t="n"/>
      <c r="C710" s="45" t="n"/>
      <c r="D710" s="40" t="n"/>
      <c r="E710" s="41" t="n"/>
      <c r="F710" s="41" t="n"/>
      <c r="G710" s="41" t="n"/>
      <c r="H710" s="41" t="n"/>
      <c r="I710" s="41" t="n"/>
      <c r="J710" s="41" t="n"/>
      <c r="K710" s="41" t="n"/>
      <c r="L710" s="41" t="n"/>
    </row>
    <row r="711">
      <c r="B711" s="45" t="n"/>
      <c r="C711" s="45" t="n"/>
      <c r="D711" s="40" t="n"/>
      <c r="E711" s="41" t="n"/>
      <c r="F711" s="41" t="n"/>
      <c r="G711" s="41" t="n"/>
      <c r="H711" s="41" t="n"/>
      <c r="I711" s="41" t="n"/>
      <c r="J711" s="41" t="n"/>
      <c r="K711" s="41" t="n"/>
      <c r="L711" s="41" t="n"/>
    </row>
    <row r="712">
      <c r="B712" s="45" t="n"/>
      <c r="C712" s="45" t="n"/>
      <c r="D712" s="40" t="n"/>
      <c r="E712" s="41" t="n"/>
      <c r="F712" s="41" t="n"/>
      <c r="G712" s="41" t="n"/>
      <c r="H712" s="41" t="n"/>
      <c r="I712" s="41" t="n"/>
      <c r="J712" s="41" t="n"/>
      <c r="K712" s="41" t="n"/>
      <c r="L712" s="41" t="n"/>
    </row>
    <row r="713">
      <c r="B713" s="45" t="n"/>
      <c r="C713" s="45" t="n"/>
      <c r="D713" s="40" t="n"/>
      <c r="E713" s="41" t="n"/>
      <c r="F713" s="41" t="n"/>
      <c r="G713" s="41" t="n"/>
      <c r="H713" s="41" t="n"/>
      <c r="I713" s="41" t="n"/>
      <c r="J713" s="41" t="n"/>
      <c r="K713" s="41" t="n"/>
      <c r="L713" s="41" t="n"/>
    </row>
    <row r="714">
      <c r="B714" s="45" t="n"/>
      <c r="C714" s="45" t="n"/>
      <c r="D714" s="40" t="n"/>
      <c r="E714" s="41" t="n"/>
      <c r="F714" s="41" t="n"/>
      <c r="G714" s="41" t="n"/>
      <c r="H714" s="41" t="n"/>
      <c r="I714" s="41" t="n"/>
      <c r="J714" s="41" t="n"/>
      <c r="K714" s="41" t="n"/>
      <c r="L714" s="41" t="n"/>
    </row>
    <row r="715">
      <c r="B715" s="45" t="n"/>
      <c r="C715" s="45" t="n"/>
      <c r="D715" s="40" t="n"/>
      <c r="E715" s="41" t="n"/>
      <c r="F715" s="41" t="n"/>
      <c r="G715" s="41" t="n"/>
      <c r="H715" s="41" t="n"/>
      <c r="I715" s="41" t="n"/>
      <c r="J715" s="41" t="n"/>
      <c r="K715" s="41" t="n"/>
      <c r="L715" s="41" t="n"/>
    </row>
    <row r="716">
      <c r="B716" s="45" t="n"/>
      <c r="C716" s="45" t="n"/>
      <c r="D716" s="40" t="n"/>
      <c r="E716" s="41" t="n"/>
      <c r="F716" s="41" t="n"/>
      <c r="G716" s="41" t="n"/>
      <c r="H716" s="41" t="n"/>
      <c r="I716" s="41" t="n"/>
      <c r="J716" s="41" t="n"/>
      <c r="K716" s="41" t="n"/>
      <c r="L716" s="41" t="n"/>
    </row>
    <row r="717">
      <c r="B717" s="45" t="n"/>
      <c r="C717" s="45" t="n"/>
      <c r="D717" s="40" t="n"/>
      <c r="E717" s="41" t="n"/>
      <c r="F717" s="41" t="n"/>
      <c r="G717" s="41" t="n"/>
      <c r="H717" s="41" t="n"/>
      <c r="I717" s="41" t="n"/>
      <c r="J717" s="41" t="n"/>
      <c r="K717" s="41" t="n"/>
      <c r="L717" s="41" t="n"/>
    </row>
    <row r="718">
      <c r="B718" s="45" t="n"/>
      <c r="C718" s="45" t="n"/>
      <c r="D718" s="40" t="n"/>
      <c r="E718" s="41" t="n"/>
      <c r="F718" s="41" t="n"/>
      <c r="G718" s="41" t="n"/>
      <c r="H718" s="41" t="n"/>
      <c r="I718" s="41" t="n"/>
      <c r="J718" s="41" t="n"/>
      <c r="K718" s="41" t="n"/>
      <c r="L718" s="41" t="n"/>
    </row>
    <row r="719">
      <c r="B719" s="45" t="n"/>
      <c r="C719" s="45" t="n"/>
      <c r="D719" s="40" t="n"/>
      <c r="E719" s="41" t="n"/>
      <c r="F719" s="41" t="n"/>
      <c r="G719" s="41" t="n"/>
      <c r="H719" s="41" t="n"/>
      <c r="I719" s="41" t="n"/>
      <c r="J719" s="41" t="n"/>
      <c r="K719" s="41" t="n"/>
      <c r="L719" s="41" t="n"/>
    </row>
    <row r="720">
      <c r="B720" s="45" t="n"/>
      <c r="C720" s="45" t="n"/>
      <c r="D720" s="40" t="n"/>
      <c r="E720" s="41" t="n"/>
      <c r="F720" s="41" t="n"/>
      <c r="G720" s="41" t="n"/>
      <c r="H720" s="41" t="n"/>
      <c r="I720" s="41" t="n"/>
      <c r="J720" s="41" t="n"/>
      <c r="K720" s="41" t="n"/>
      <c r="L720" s="41" t="n"/>
    </row>
    <row r="721">
      <c r="B721" s="45" t="n"/>
      <c r="C721" s="45" t="n"/>
      <c r="D721" s="40" t="n"/>
      <c r="E721" s="41" t="n"/>
      <c r="F721" s="41" t="n"/>
      <c r="G721" s="41" t="n"/>
      <c r="H721" s="41" t="n"/>
      <c r="I721" s="41" t="n"/>
      <c r="J721" s="41" t="n"/>
      <c r="K721" s="41" t="n"/>
      <c r="L721" s="41" t="n"/>
    </row>
    <row r="722">
      <c r="B722" s="45" t="n"/>
      <c r="C722" s="45" t="n"/>
      <c r="D722" s="40" t="n"/>
      <c r="E722" s="41" t="n"/>
      <c r="F722" s="41" t="n"/>
      <c r="G722" s="41" t="n"/>
      <c r="H722" s="41" t="n"/>
      <c r="I722" s="41" t="n"/>
      <c r="J722" s="41" t="n"/>
      <c r="K722" s="41" t="n"/>
      <c r="L722" s="41" t="n"/>
    </row>
    <row r="723">
      <c r="B723" s="45" t="n"/>
      <c r="C723" s="45" t="n"/>
      <c r="D723" s="40" t="n"/>
      <c r="E723" s="41" t="n"/>
      <c r="F723" s="41" t="n"/>
      <c r="G723" s="41" t="n"/>
      <c r="H723" s="41" t="n"/>
      <c r="I723" s="41" t="n"/>
      <c r="J723" s="41" t="n"/>
      <c r="K723" s="41" t="n"/>
      <c r="L723" s="41" t="n"/>
    </row>
    <row r="724">
      <c r="B724" s="45" t="n"/>
      <c r="C724" s="45" t="n"/>
      <c r="D724" s="40" t="n"/>
      <c r="E724" s="41" t="n"/>
      <c r="F724" s="41" t="n"/>
      <c r="G724" s="41" t="n"/>
      <c r="H724" s="41" t="n"/>
      <c r="I724" s="41" t="n"/>
      <c r="J724" s="41" t="n"/>
      <c r="K724" s="41" t="n"/>
      <c r="L724" s="41" t="n"/>
    </row>
    <row r="725">
      <c r="B725" s="45" t="n"/>
      <c r="C725" s="45" t="n"/>
      <c r="D725" s="40" t="n"/>
      <c r="E725" s="41" t="n"/>
      <c r="F725" s="41" t="n"/>
      <c r="G725" s="41" t="n"/>
      <c r="H725" s="41" t="n"/>
      <c r="I725" s="41" t="n"/>
      <c r="J725" s="41" t="n"/>
      <c r="K725" s="41" t="n"/>
      <c r="L725" s="41" t="n"/>
    </row>
    <row r="726">
      <c r="B726" s="45" t="n"/>
      <c r="C726" s="45" t="n"/>
      <c r="D726" s="40" t="n"/>
      <c r="E726" s="41" t="n"/>
      <c r="F726" s="41" t="n"/>
      <c r="G726" s="41" t="n"/>
      <c r="H726" s="41" t="n"/>
      <c r="I726" s="41" t="n"/>
      <c r="J726" s="41" t="n"/>
      <c r="K726" s="41" t="n"/>
      <c r="L726" s="41" t="n"/>
    </row>
    <row r="727">
      <c r="B727" s="45" t="n"/>
      <c r="C727" s="45" t="n"/>
      <c r="D727" s="40" t="n"/>
      <c r="E727" s="41" t="n"/>
      <c r="F727" s="41" t="n"/>
      <c r="G727" s="41" t="n"/>
      <c r="H727" s="41" t="n"/>
      <c r="I727" s="41" t="n"/>
      <c r="J727" s="41" t="n"/>
      <c r="K727" s="41" t="n"/>
      <c r="L727" s="41" t="n"/>
    </row>
    <row r="728">
      <c r="B728" s="45" t="n"/>
      <c r="C728" s="45" t="n"/>
      <c r="D728" s="40" t="n"/>
      <c r="E728" s="41" t="n"/>
      <c r="F728" s="41" t="n"/>
      <c r="G728" s="41" t="n"/>
      <c r="H728" s="41" t="n"/>
      <c r="I728" s="41" t="n"/>
      <c r="J728" s="41" t="n"/>
      <c r="K728" s="41" t="n"/>
      <c r="L728" s="41" t="n"/>
    </row>
    <row r="729">
      <c r="B729" s="45" t="n"/>
      <c r="C729" s="45" t="n"/>
      <c r="D729" s="40" t="n"/>
      <c r="E729" s="41" t="n"/>
      <c r="F729" s="41" t="n"/>
      <c r="G729" s="41" t="n"/>
      <c r="H729" s="41" t="n"/>
      <c r="I729" s="41" t="n"/>
      <c r="J729" s="41" t="n"/>
      <c r="K729" s="41" t="n"/>
      <c r="L729" s="41" t="n"/>
    </row>
    <row r="730">
      <c r="B730" s="45" t="n"/>
      <c r="C730" s="45" t="n"/>
      <c r="D730" s="40" t="n"/>
      <c r="E730" s="41" t="n"/>
      <c r="F730" s="41" t="n"/>
      <c r="G730" s="41" t="n"/>
      <c r="H730" s="41" t="n"/>
      <c r="I730" s="41" t="n"/>
      <c r="J730" s="41" t="n"/>
      <c r="K730" s="41" t="n"/>
      <c r="L730" s="41" t="n"/>
    </row>
    <row r="731">
      <c r="B731" s="45" t="n"/>
      <c r="C731" s="45" t="n"/>
      <c r="D731" s="40" t="n"/>
      <c r="E731" s="41" t="n"/>
      <c r="F731" s="41" t="n"/>
      <c r="G731" s="41" t="n"/>
      <c r="H731" s="41" t="n"/>
      <c r="I731" s="41" t="n"/>
      <c r="J731" s="41" t="n"/>
      <c r="K731" s="41" t="n"/>
      <c r="L731" s="41" t="n"/>
    </row>
    <row r="732">
      <c r="B732" s="45" t="n"/>
      <c r="C732" s="45" t="n"/>
      <c r="D732" s="40" t="n"/>
      <c r="E732" s="41" t="n"/>
      <c r="F732" s="41" t="n"/>
      <c r="G732" s="41" t="n"/>
      <c r="H732" s="41" t="n"/>
      <c r="I732" s="41" t="n"/>
      <c r="J732" s="41" t="n"/>
      <c r="K732" s="41" t="n"/>
      <c r="L732" s="41" t="n"/>
    </row>
    <row r="733">
      <c r="B733" s="45" t="n"/>
      <c r="C733" s="45" t="n"/>
      <c r="D733" s="40" t="n"/>
      <c r="E733" s="41" t="n"/>
      <c r="F733" s="41" t="n"/>
      <c r="G733" s="41" t="n"/>
      <c r="H733" s="41" t="n"/>
      <c r="I733" s="41" t="n"/>
      <c r="J733" s="41" t="n"/>
      <c r="K733" s="41" t="n"/>
      <c r="L733" s="41" t="n"/>
    </row>
    <row r="734">
      <c r="B734" s="45" t="n"/>
      <c r="C734" s="45" t="n"/>
      <c r="D734" s="40" t="n"/>
      <c r="E734" s="41" t="n"/>
      <c r="F734" s="41" t="n"/>
      <c r="G734" s="41" t="n"/>
      <c r="H734" s="41" t="n"/>
      <c r="I734" s="41" t="n"/>
      <c r="J734" s="41" t="n"/>
      <c r="K734" s="41" t="n"/>
      <c r="L734" s="41" t="n"/>
    </row>
    <row r="735">
      <c r="B735" s="45" t="n"/>
      <c r="C735" s="45" t="n"/>
      <c r="D735" s="40" t="n"/>
      <c r="E735" s="41" t="n"/>
      <c r="F735" s="41" t="n"/>
      <c r="G735" s="41" t="n"/>
      <c r="H735" s="41" t="n"/>
      <c r="I735" s="41" t="n"/>
      <c r="J735" s="41" t="n"/>
      <c r="K735" s="41" t="n"/>
      <c r="L735" s="41" t="n"/>
    </row>
    <row r="736">
      <c r="B736" s="45" t="n"/>
      <c r="C736" s="45" t="n"/>
      <c r="D736" s="40" t="n"/>
      <c r="E736" s="41" t="n"/>
      <c r="F736" s="41" t="n"/>
      <c r="G736" s="41" t="n"/>
      <c r="H736" s="41" t="n"/>
      <c r="I736" s="41" t="n"/>
      <c r="J736" s="41" t="n"/>
      <c r="K736" s="41" t="n"/>
      <c r="L736" s="41" t="n"/>
    </row>
    <row r="737">
      <c r="B737" s="45" t="n"/>
      <c r="C737" s="45" t="n"/>
      <c r="D737" s="40" t="n"/>
      <c r="E737" s="41" t="n"/>
      <c r="F737" s="41" t="n"/>
      <c r="G737" s="41" t="n"/>
      <c r="H737" s="41" t="n"/>
      <c r="I737" s="41" t="n"/>
      <c r="J737" s="41" t="n"/>
      <c r="K737" s="41" t="n"/>
      <c r="L737" s="41" t="n"/>
    </row>
    <row r="738">
      <c r="B738" s="45" t="n"/>
      <c r="C738" s="45" t="n"/>
      <c r="D738" s="40" t="n"/>
      <c r="E738" s="41" t="n"/>
      <c r="F738" s="41" t="n"/>
      <c r="G738" s="41" t="n"/>
      <c r="H738" s="41" t="n"/>
      <c r="I738" s="41" t="n"/>
      <c r="J738" s="41" t="n"/>
      <c r="K738" s="41" t="n"/>
      <c r="L738" s="41" t="n"/>
    </row>
    <row r="739">
      <c r="B739" s="45" t="n"/>
      <c r="C739" s="45" t="n"/>
      <c r="D739" s="40" t="n"/>
      <c r="E739" s="41" t="n"/>
      <c r="F739" s="41" t="n"/>
      <c r="G739" s="41" t="n"/>
      <c r="H739" s="41" t="n"/>
      <c r="I739" s="41" t="n"/>
      <c r="J739" s="41" t="n"/>
      <c r="K739" s="41" t="n"/>
      <c r="L739" s="41" t="n"/>
    </row>
    <row r="740">
      <c r="B740" s="45" t="n"/>
      <c r="C740" s="45" t="n"/>
      <c r="D740" s="40" t="n"/>
      <c r="E740" s="41" t="n"/>
      <c r="F740" s="41" t="n"/>
      <c r="G740" s="41" t="n"/>
      <c r="H740" s="41" t="n"/>
      <c r="I740" s="41" t="n"/>
      <c r="J740" s="41" t="n"/>
      <c r="K740" s="41" t="n"/>
      <c r="L740" s="41" t="n"/>
    </row>
    <row r="741">
      <c r="B741" s="45" t="n"/>
      <c r="C741" s="45" t="n"/>
      <c r="D741" s="40" t="n"/>
      <c r="E741" s="41" t="n"/>
      <c r="F741" s="41" t="n"/>
      <c r="G741" s="41" t="n"/>
      <c r="H741" s="41" t="n"/>
      <c r="I741" s="41" t="n"/>
      <c r="J741" s="41" t="n"/>
      <c r="K741" s="41" t="n"/>
      <c r="L741" s="41" t="n"/>
    </row>
    <row r="742">
      <c r="B742" s="45" t="n"/>
      <c r="C742" s="45" t="n"/>
      <c r="D742" s="40" t="n"/>
      <c r="E742" s="41" t="n"/>
      <c r="F742" s="41" t="n"/>
      <c r="G742" s="41" t="n"/>
      <c r="H742" s="41" t="n"/>
      <c r="I742" s="41" t="n"/>
      <c r="J742" s="41" t="n"/>
      <c r="K742" s="41" t="n"/>
      <c r="L742" s="41" t="n"/>
    </row>
    <row r="743">
      <c r="B743" s="45" t="n"/>
      <c r="C743" s="45" t="n"/>
      <c r="D743" s="40" t="n"/>
      <c r="E743" s="41" t="n"/>
      <c r="F743" s="41" t="n"/>
      <c r="G743" s="41" t="n"/>
      <c r="H743" s="41" t="n"/>
      <c r="I743" s="41" t="n"/>
      <c r="J743" s="41" t="n"/>
      <c r="K743" s="41" t="n"/>
      <c r="L743" s="41" t="n"/>
    </row>
    <row r="744">
      <c r="B744" s="45" t="n"/>
      <c r="C744" s="45" t="n"/>
      <c r="D744" s="40" t="n"/>
      <c r="E744" s="41" t="n"/>
      <c r="F744" s="41" t="n"/>
      <c r="G744" s="41" t="n"/>
      <c r="H744" s="41" t="n"/>
      <c r="I744" s="41" t="n"/>
      <c r="J744" s="41" t="n"/>
      <c r="K744" s="41" t="n"/>
      <c r="L744" s="41" t="n"/>
    </row>
    <row r="745">
      <c r="B745" s="45" t="n"/>
      <c r="C745" s="45" t="n"/>
      <c r="D745" s="40" t="n"/>
      <c r="E745" s="41" t="n"/>
      <c r="F745" s="41" t="n"/>
      <c r="G745" s="41" t="n"/>
      <c r="H745" s="41" t="n"/>
      <c r="I745" s="41" t="n"/>
      <c r="J745" s="41" t="n"/>
      <c r="K745" s="41" t="n"/>
      <c r="L745" s="41" t="n"/>
    </row>
    <row r="746">
      <c r="B746" s="45" t="n"/>
      <c r="C746" s="45" t="n"/>
      <c r="D746" s="40" t="n"/>
      <c r="E746" s="41" t="n"/>
      <c r="F746" s="41" t="n"/>
      <c r="G746" s="41" t="n"/>
      <c r="H746" s="41" t="n"/>
      <c r="I746" s="41" t="n"/>
      <c r="J746" s="41" t="n"/>
      <c r="K746" s="41" t="n"/>
      <c r="L746" s="41" t="n"/>
    </row>
    <row r="747">
      <c r="B747" s="45" t="n"/>
      <c r="C747" s="45" t="n"/>
      <c r="D747" s="40" t="n"/>
      <c r="E747" s="41" t="n"/>
      <c r="F747" s="41" t="n"/>
      <c r="G747" s="41" t="n"/>
      <c r="H747" s="41" t="n"/>
      <c r="I747" s="41" t="n"/>
      <c r="J747" s="41" t="n"/>
      <c r="K747" s="41" t="n"/>
      <c r="L747" s="41" t="n"/>
    </row>
    <row r="748">
      <c r="B748" s="45" t="n"/>
      <c r="C748" s="45" t="n"/>
      <c r="D748" s="40" t="n"/>
      <c r="E748" s="41" t="n"/>
      <c r="F748" s="41" t="n"/>
      <c r="G748" s="41" t="n"/>
      <c r="H748" s="41" t="n"/>
      <c r="I748" s="41" t="n"/>
      <c r="J748" s="41" t="n"/>
      <c r="K748" s="41" t="n"/>
      <c r="L748" s="41" t="n"/>
    </row>
    <row r="749">
      <c r="B749" s="45" t="n"/>
      <c r="C749" s="45" t="n"/>
      <c r="D749" s="40" t="n"/>
      <c r="E749" s="41" t="n"/>
      <c r="F749" s="41" t="n"/>
      <c r="G749" s="41" t="n"/>
      <c r="H749" s="41" t="n"/>
      <c r="I749" s="41" t="n"/>
      <c r="J749" s="41" t="n"/>
      <c r="K749" s="41" t="n"/>
      <c r="L749" s="41" t="n"/>
    </row>
    <row r="750">
      <c r="B750" s="45" t="n"/>
      <c r="C750" s="45" t="n"/>
      <c r="D750" s="40" t="n"/>
      <c r="E750" s="41" t="n"/>
      <c r="F750" s="41" t="n"/>
      <c r="G750" s="41" t="n"/>
      <c r="H750" s="41" t="n"/>
      <c r="I750" s="41" t="n"/>
      <c r="J750" s="41" t="n"/>
      <c r="K750" s="41" t="n"/>
      <c r="L750" s="41" t="n"/>
    </row>
    <row r="751">
      <c r="B751" s="45" t="n"/>
      <c r="C751" s="45" t="n"/>
      <c r="D751" s="40" t="n"/>
      <c r="E751" s="41" t="n"/>
      <c r="F751" s="41" t="n"/>
      <c r="G751" s="41" t="n"/>
      <c r="H751" s="41" t="n"/>
      <c r="I751" s="41" t="n"/>
      <c r="J751" s="41" t="n"/>
      <c r="K751" s="41" t="n"/>
      <c r="L751" s="41" t="n"/>
    </row>
    <row r="752">
      <c r="B752" s="45" t="n"/>
      <c r="C752" s="45" t="n"/>
      <c r="D752" s="40" t="n"/>
      <c r="E752" s="41" t="n"/>
      <c r="F752" s="41" t="n"/>
      <c r="G752" s="41" t="n"/>
      <c r="H752" s="41" t="n"/>
      <c r="I752" s="41" t="n"/>
      <c r="J752" s="41" t="n"/>
      <c r="K752" s="41" t="n"/>
      <c r="L752" s="41" t="n"/>
    </row>
    <row r="753">
      <c r="B753" s="45" t="n"/>
      <c r="C753" s="45" t="n"/>
      <c r="D753" s="40" t="n"/>
      <c r="E753" s="41" t="n"/>
      <c r="F753" s="41" t="n"/>
      <c r="G753" s="41" t="n"/>
      <c r="H753" s="41" t="n"/>
      <c r="I753" s="41" t="n"/>
      <c r="J753" s="41" t="n"/>
      <c r="K753" s="41" t="n"/>
      <c r="L753" s="41" t="n"/>
    </row>
    <row r="754">
      <c r="B754" s="45" t="n"/>
      <c r="C754" s="45" t="n"/>
      <c r="D754" s="40" t="n"/>
      <c r="E754" s="41" t="n"/>
      <c r="F754" s="41" t="n"/>
      <c r="G754" s="41" t="n"/>
      <c r="H754" s="41" t="n"/>
      <c r="I754" s="41" t="n"/>
      <c r="J754" s="41" t="n"/>
      <c r="K754" s="41" t="n"/>
      <c r="L754" s="41" t="n"/>
    </row>
    <row r="755">
      <c r="B755" s="45" t="n"/>
      <c r="C755" s="45" t="n"/>
      <c r="D755" s="40" t="n"/>
      <c r="E755" s="41" t="n"/>
      <c r="F755" s="41" t="n"/>
      <c r="G755" s="41" t="n"/>
      <c r="H755" s="41" t="n"/>
      <c r="I755" s="41" t="n"/>
      <c r="J755" s="41" t="n"/>
      <c r="K755" s="41" t="n"/>
      <c r="L755" s="41" t="n"/>
    </row>
    <row r="756">
      <c r="B756" s="45" t="n"/>
      <c r="C756" s="45" t="n"/>
      <c r="D756" s="40" t="n"/>
      <c r="E756" s="41" t="n"/>
      <c r="F756" s="41" t="n"/>
      <c r="G756" s="41" t="n"/>
      <c r="H756" s="41" t="n"/>
      <c r="I756" s="41" t="n"/>
      <c r="J756" s="41" t="n"/>
      <c r="K756" s="41" t="n"/>
      <c r="L756" s="41" t="n"/>
    </row>
    <row r="757">
      <c r="B757" s="45" t="n"/>
      <c r="C757" s="45" t="n"/>
      <c r="D757" s="40" t="n"/>
      <c r="E757" s="41" t="n"/>
      <c r="F757" s="41" t="n"/>
      <c r="G757" s="41" t="n"/>
      <c r="H757" s="41" t="n"/>
      <c r="I757" s="41" t="n"/>
      <c r="J757" s="41" t="n"/>
      <c r="K757" s="41" t="n"/>
      <c r="L757" s="41" t="n"/>
    </row>
    <row r="758">
      <c r="B758" s="45" t="n"/>
      <c r="C758" s="45" t="n"/>
      <c r="D758" s="40" t="n"/>
      <c r="E758" s="41" t="n"/>
      <c r="F758" s="41" t="n"/>
      <c r="G758" s="41" t="n"/>
      <c r="H758" s="41" t="n"/>
      <c r="I758" s="41" t="n"/>
      <c r="J758" s="41" t="n"/>
      <c r="K758" s="41" t="n"/>
      <c r="L758" s="41" t="n"/>
    </row>
    <row r="759">
      <c r="B759" s="45" t="n"/>
      <c r="C759" s="45" t="n"/>
      <c r="D759" s="40" t="n"/>
      <c r="E759" s="41" t="n"/>
      <c r="F759" s="41" t="n"/>
      <c r="G759" s="41" t="n"/>
      <c r="H759" s="41" t="n"/>
      <c r="I759" s="41" t="n"/>
      <c r="J759" s="41" t="n"/>
      <c r="K759" s="41" t="n"/>
      <c r="L759" s="41" t="n"/>
    </row>
    <row r="760">
      <c r="B760" s="45" t="n"/>
      <c r="C760" s="45" t="n"/>
      <c r="D760" s="40" t="n"/>
      <c r="E760" s="41" t="n"/>
      <c r="F760" s="41" t="n"/>
      <c r="G760" s="41" t="n"/>
      <c r="H760" s="41" t="n"/>
      <c r="I760" s="41" t="n"/>
      <c r="J760" s="41" t="n"/>
      <c r="K760" s="41" t="n"/>
      <c r="L760" s="41" t="n"/>
    </row>
    <row r="761">
      <c r="B761" s="45" t="n"/>
      <c r="C761" s="45" t="n"/>
      <c r="D761" s="40" t="n"/>
      <c r="E761" s="41" t="n"/>
      <c r="F761" s="41" t="n"/>
      <c r="G761" s="41" t="n"/>
      <c r="H761" s="41" t="n"/>
      <c r="I761" s="41" t="n"/>
      <c r="J761" s="41" t="n"/>
      <c r="K761" s="41" t="n"/>
      <c r="L761" s="41" t="n"/>
    </row>
    <row r="762">
      <c r="B762" s="45" t="n"/>
      <c r="C762" s="45" t="n"/>
      <c r="D762" s="40" t="n"/>
      <c r="E762" s="41" t="n"/>
      <c r="F762" s="41" t="n"/>
      <c r="G762" s="41" t="n"/>
      <c r="H762" s="41" t="n"/>
      <c r="I762" s="41" t="n"/>
      <c r="J762" s="41" t="n"/>
      <c r="K762" s="41" t="n"/>
      <c r="L762" s="41" t="n"/>
    </row>
    <row r="763">
      <c r="B763" s="45" t="n"/>
      <c r="C763" s="45" t="n"/>
      <c r="D763" s="40" t="n"/>
      <c r="E763" s="41" t="n"/>
      <c r="F763" s="41" t="n"/>
      <c r="G763" s="41" t="n"/>
      <c r="H763" s="41" t="n"/>
      <c r="I763" s="41" t="n"/>
      <c r="J763" s="41" t="n"/>
      <c r="K763" s="41" t="n"/>
      <c r="L763" s="41" t="n"/>
    </row>
    <row r="764">
      <c r="B764" s="45" t="n"/>
      <c r="C764" s="45" t="n"/>
      <c r="D764" s="40" t="n"/>
      <c r="E764" s="41" t="n"/>
      <c r="F764" s="41" t="n"/>
      <c r="G764" s="41" t="n"/>
      <c r="H764" s="41" t="n"/>
      <c r="I764" s="41" t="n"/>
      <c r="J764" s="41" t="n"/>
      <c r="K764" s="41" t="n"/>
      <c r="L764" s="41" t="n"/>
    </row>
    <row r="765">
      <c r="B765" s="45" t="n"/>
      <c r="C765" s="45" t="n"/>
      <c r="D765" s="40" t="n"/>
      <c r="E765" s="41" t="n"/>
      <c r="F765" s="41" t="n"/>
      <c r="G765" s="41" t="n"/>
      <c r="H765" s="41" t="n"/>
      <c r="I765" s="41" t="n"/>
      <c r="J765" s="41" t="n"/>
      <c r="K765" s="41" t="n"/>
      <c r="L765" s="41" t="n"/>
    </row>
    <row r="766">
      <c r="B766" s="45" t="n"/>
      <c r="C766" s="45" t="n"/>
      <c r="D766" s="40" t="n"/>
      <c r="E766" s="41" t="n"/>
      <c r="F766" s="41" t="n"/>
      <c r="G766" s="41" t="n"/>
      <c r="H766" s="41" t="n"/>
      <c r="I766" s="41" t="n"/>
      <c r="J766" s="41" t="n"/>
      <c r="K766" s="41" t="n"/>
      <c r="L766" s="41" t="n"/>
    </row>
    <row r="767">
      <c r="B767" s="45" t="n"/>
      <c r="C767" s="45" t="n"/>
      <c r="D767" s="40" t="n"/>
      <c r="E767" s="41" t="n"/>
      <c r="F767" s="41" t="n"/>
      <c r="G767" s="41" t="n"/>
      <c r="H767" s="41" t="n"/>
      <c r="I767" s="41" t="n"/>
      <c r="J767" s="41" t="n"/>
      <c r="K767" s="41" t="n"/>
      <c r="L767" s="41" t="n"/>
    </row>
    <row r="768">
      <c r="B768" s="45" t="n"/>
      <c r="C768" s="45" t="n"/>
      <c r="D768" s="40" t="n"/>
      <c r="E768" s="41" t="n"/>
      <c r="F768" s="41" t="n"/>
      <c r="G768" s="41" t="n"/>
      <c r="H768" s="41" t="n"/>
      <c r="I768" s="41" t="n"/>
      <c r="J768" s="41" t="n"/>
      <c r="K768" s="41" t="n"/>
      <c r="L768" s="41" t="n"/>
    </row>
    <row r="769">
      <c r="B769" s="45" t="n"/>
      <c r="C769" s="45" t="n"/>
      <c r="D769" s="40" t="n"/>
      <c r="E769" s="41" t="n"/>
      <c r="F769" s="41" t="n"/>
      <c r="G769" s="41" t="n"/>
      <c r="H769" s="41" t="n"/>
      <c r="I769" s="41" t="n"/>
      <c r="J769" s="41" t="n"/>
      <c r="K769" s="41" t="n"/>
      <c r="L769" s="41" t="n"/>
    </row>
    <row r="770">
      <c r="B770" s="45" t="n"/>
      <c r="C770" s="45" t="n"/>
      <c r="D770" s="40" t="n"/>
      <c r="E770" s="41" t="n"/>
      <c r="F770" s="41" t="n"/>
      <c r="G770" s="41" t="n"/>
      <c r="H770" s="41" t="n"/>
      <c r="I770" s="41" t="n"/>
      <c r="J770" s="41" t="n"/>
      <c r="K770" s="41" t="n"/>
      <c r="L770" s="41" t="n"/>
    </row>
    <row r="771">
      <c r="B771" s="45" t="n"/>
      <c r="C771" s="45" t="n"/>
      <c r="D771" s="40" t="n"/>
      <c r="E771" s="41" t="n"/>
      <c r="F771" s="41" t="n"/>
      <c r="G771" s="41" t="n"/>
      <c r="H771" s="41" t="n"/>
      <c r="I771" s="41" t="n"/>
      <c r="J771" s="41" t="n"/>
      <c r="K771" s="41" t="n"/>
      <c r="L771" s="41" t="n"/>
    </row>
    <row r="772">
      <c r="B772" s="45" t="n"/>
      <c r="C772" s="45" t="n"/>
      <c r="D772" s="40" t="n"/>
      <c r="E772" s="41" t="n"/>
      <c r="F772" s="41" t="n"/>
      <c r="G772" s="41" t="n"/>
      <c r="H772" s="41" t="n"/>
      <c r="I772" s="41" t="n"/>
      <c r="J772" s="41" t="n"/>
      <c r="K772" s="41" t="n"/>
      <c r="L772" s="41" t="n"/>
    </row>
    <row r="773">
      <c r="B773" s="45" t="n"/>
      <c r="C773" s="45" t="n"/>
      <c r="D773" s="40" t="n"/>
      <c r="E773" s="41" t="n"/>
      <c r="F773" s="41" t="n"/>
      <c r="G773" s="41" t="n"/>
      <c r="H773" s="41" t="n"/>
      <c r="I773" s="41" t="n"/>
      <c r="J773" s="41" t="n"/>
      <c r="K773" s="41" t="n"/>
      <c r="L773" s="41" t="n"/>
    </row>
    <row r="774">
      <c r="B774" s="45" t="n"/>
      <c r="C774" s="45" t="n"/>
      <c r="D774" s="40" t="n"/>
      <c r="E774" s="41" t="n"/>
      <c r="F774" s="41" t="n"/>
      <c r="G774" s="41" t="n"/>
      <c r="H774" s="41" t="n"/>
      <c r="I774" s="41" t="n"/>
      <c r="J774" s="41" t="n"/>
      <c r="K774" s="41" t="n"/>
      <c r="L774" s="41" t="n"/>
    </row>
    <row r="775">
      <c r="B775" s="45" t="n"/>
      <c r="C775" s="45" t="n"/>
      <c r="D775" s="40" t="n"/>
      <c r="E775" s="41" t="n"/>
      <c r="F775" s="41" t="n"/>
      <c r="G775" s="41" t="n"/>
      <c r="H775" s="41" t="n"/>
      <c r="I775" s="41" t="n"/>
      <c r="J775" s="41" t="n"/>
      <c r="K775" s="41" t="n"/>
      <c r="L775" s="41" t="n"/>
    </row>
    <row r="776">
      <c r="B776" s="45" t="n"/>
      <c r="C776" s="45" t="n"/>
      <c r="D776" s="40" t="n"/>
      <c r="E776" s="41" t="n"/>
      <c r="F776" s="41" t="n"/>
      <c r="G776" s="41" t="n"/>
      <c r="H776" s="41" t="n"/>
      <c r="I776" s="41" t="n"/>
      <c r="J776" s="41" t="n"/>
      <c r="K776" s="41" t="n"/>
      <c r="L776" s="41" t="n"/>
    </row>
    <row r="777">
      <c r="B777" s="45" t="n"/>
      <c r="C777" s="45" t="n"/>
      <c r="D777" s="40" t="n"/>
      <c r="E777" s="41" t="n"/>
      <c r="F777" s="41" t="n"/>
      <c r="G777" s="41" t="n"/>
      <c r="H777" s="41" t="n"/>
      <c r="I777" s="41" t="n"/>
      <c r="J777" s="41" t="n"/>
      <c r="K777" s="41" t="n"/>
      <c r="L777" s="41" t="n"/>
    </row>
    <row r="778">
      <c r="B778" s="45" t="n"/>
      <c r="C778" s="45" t="n"/>
      <c r="D778" s="40" t="n"/>
      <c r="E778" s="41" t="n"/>
      <c r="F778" s="41" t="n"/>
      <c r="G778" s="41" t="n"/>
      <c r="H778" s="41" t="n"/>
      <c r="I778" s="41" t="n"/>
      <c r="J778" s="41" t="n"/>
      <c r="K778" s="41" t="n"/>
      <c r="L778" s="41" t="n"/>
    </row>
    <row r="779">
      <c r="B779" s="45" t="n"/>
      <c r="C779" s="45" t="n"/>
      <c r="D779" s="40" t="n"/>
      <c r="E779" s="41" t="n"/>
      <c r="F779" s="41" t="n"/>
      <c r="G779" s="41" t="n"/>
      <c r="H779" s="41" t="n"/>
      <c r="I779" s="41" t="n"/>
      <c r="J779" s="41" t="n"/>
      <c r="K779" s="41" t="n"/>
      <c r="L779" s="41" t="n"/>
    </row>
    <row r="780">
      <c r="B780" s="45" t="n"/>
      <c r="C780" s="45" t="n"/>
      <c r="D780" s="40" t="n"/>
      <c r="E780" s="41" t="n"/>
      <c r="F780" s="41" t="n"/>
      <c r="G780" s="41" t="n"/>
      <c r="H780" s="41" t="n"/>
      <c r="I780" s="41" t="n"/>
      <c r="J780" s="41" t="n"/>
      <c r="K780" s="41" t="n"/>
      <c r="L780" s="41" t="n"/>
    </row>
    <row r="781">
      <c r="B781" s="45" t="n"/>
      <c r="C781" s="45" t="n"/>
      <c r="D781" s="40" t="n"/>
      <c r="E781" s="41" t="n"/>
      <c r="F781" s="41" t="n"/>
      <c r="G781" s="41" t="n"/>
      <c r="H781" s="41" t="n"/>
      <c r="I781" s="41" t="n"/>
      <c r="J781" s="41" t="n"/>
      <c r="K781" s="41" t="n"/>
      <c r="L781" s="41" t="n"/>
    </row>
    <row r="782">
      <c r="B782" s="45" t="n"/>
      <c r="C782" s="45" t="n"/>
      <c r="D782" s="40" t="n"/>
      <c r="E782" s="41" t="n"/>
      <c r="F782" s="41" t="n"/>
      <c r="G782" s="41" t="n"/>
      <c r="H782" s="41" t="n"/>
      <c r="I782" s="41" t="n"/>
      <c r="J782" s="41" t="n"/>
      <c r="K782" s="41" t="n"/>
      <c r="L782" s="41" t="n"/>
    </row>
    <row r="783">
      <c r="B783" s="45" t="n"/>
      <c r="C783" s="45" t="n"/>
      <c r="D783" s="40" t="n"/>
      <c r="E783" s="41" t="n"/>
      <c r="F783" s="41" t="n"/>
      <c r="G783" s="41" t="n"/>
      <c r="H783" s="41" t="n"/>
      <c r="I783" s="41" t="n"/>
      <c r="J783" s="41" t="n"/>
      <c r="K783" s="41" t="n"/>
      <c r="L783" s="41" t="n"/>
    </row>
    <row r="784">
      <c r="B784" s="45" t="n"/>
      <c r="C784" s="45" t="n"/>
      <c r="D784" s="40" t="n"/>
      <c r="E784" s="41" t="n"/>
      <c r="F784" s="41" t="n"/>
      <c r="G784" s="41" t="n"/>
      <c r="H784" s="41" t="n"/>
      <c r="I784" s="41" t="n"/>
      <c r="J784" s="41" t="n"/>
      <c r="K784" s="41" t="n"/>
      <c r="L784" s="41" t="n"/>
    </row>
    <row r="785">
      <c r="B785" s="45" t="n"/>
      <c r="C785" s="45" t="n"/>
      <c r="D785" s="40" t="n"/>
      <c r="E785" s="41" t="n"/>
      <c r="F785" s="41" t="n"/>
      <c r="G785" s="41" t="n"/>
      <c r="H785" s="41" t="n"/>
      <c r="I785" s="41" t="n"/>
      <c r="J785" s="41" t="n"/>
      <c r="K785" s="41" t="n"/>
      <c r="L785" s="41" t="n"/>
    </row>
    <row r="786">
      <c r="B786" s="45" t="n"/>
      <c r="C786" s="45" t="n"/>
      <c r="D786" s="40" t="n"/>
      <c r="E786" s="41" t="n"/>
      <c r="F786" s="41" t="n"/>
      <c r="G786" s="41" t="n"/>
      <c r="H786" s="41" t="n"/>
      <c r="I786" s="41" t="n"/>
      <c r="J786" s="41" t="n"/>
      <c r="K786" s="41" t="n"/>
      <c r="L786" s="41" t="n"/>
    </row>
    <row r="787">
      <c r="B787" s="45" t="n"/>
      <c r="C787" s="45" t="n"/>
      <c r="D787" s="40" t="n"/>
      <c r="E787" s="41" t="n"/>
      <c r="F787" s="41" t="n"/>
      <c r="G787" s="41" t="n"/>
      <c r="H787" s="41" t="n"/>
      <c r="I787" s="41" t="n"/>
      <c r="J787" s="41" t="n"/>
      <c r="K787" s="41" t="n"/>
      <c r="L787" s="41" t="n"/>
    </row>
    <row r="788">
      <c r="B788" s="45" t="n"/>
      <c r="C788" s="45" t="n"/>
      <c r="D788" s="40" t="n"/>
      <c r="E788" s="41" t="n"/>
      <c r="F788" s="41" t="n"/>
      <c r="G788" s="41" t="n"/>
      <c r="H788" s="41" t="n"/>
      <c r="I788" s="41" t="n"/>
      <c r="J788" s="41" t="n"/>
      <c r="K788" s="41" t="n"/>
      <c r="L788" s="41" t="n"/>
    </row>
    <row r="789">
      <c r="B789" s="45" t="n"/>
      <c r="C789" s="45" t="n"/>
      <c r="D789" s="40" t="n"/>
      <c r="E789" s="41" t="n"/>
      <c r="F789" s="41" t="n"/>
      <c r="G789" s="41" t="n"/>
      <c r="H789" s="41" t="n"/>
      <c r="I789" s="41" t="n"/>
      <c r="J789" s="41" t="n"/>
      <c r="K789" s="41" t="n"/>
      <c r="L789" s="41" t="n"/>
    </row>
    <row r="790">
      <c r="B790" s="45" t="n"/>
      <c r="C790" s="45" t="n"/>
      <c r="D790" s="40" t="n"/>
      <c r="E790" s="41" t="n"/>
      <c r="F790" s="41" t="n"/>
      <c r="G790" s="41" t="n"/>
      <c r="H790" s="41" t="n"/>
      <c r="I790" s="41" t="n"/>
      <c r="J790" s="41" t="n"/>
      <c r="K790" s="41" t="n"/>
      <c r="L790" s="41" t="n"/>
    </row>
    <row r="791">
      <c r="B791" s="45" t="n"/>
      <c r="C791" s="45" t="n"/>
      <c r="D791" s="40" t="n"/>
      <c r="E791" s="41" t="n"/>
      <c r="F791" s="41" t="n"/>
      <c r="G791" s="41" t="n"/>
      <c r="H791" s="41" t="n"/>
      <c r="I791" s="41" t="n"/>
      <c r="J791" s="41" t="n"/>
      <c r="K791" s="41" t="n"/>
      <c r="L791" s="41" t="n"/>
    </row>
    <row r="792">
      <c r="B792" s="45" t="n"/>
      <c r="C792" s="45" t="n"/>
      <c r="D792" s="40" t="n"/>
      <c r="E792" s="41" t="n"/>
      <c r="F792" s="41" t="n"/>
      <c r="G792" s="41" t="n"/>
      <c r="H792" s="41" t="n"/>
      <c r="I792" s="41" t="n"/>
      <c r="J792" s="41" t="n"/>
      <c r="K792" s="41" t="n"/>
      <c r="L792" s="41" t="n"/>
    </row>
    <row r="793">
      <c r="B793" s="45" t="n"/>
      <c r="C793" s="45" t="n"/>
      <c r="D793" s="40" t="n"/>
      <c r="E793" s="41" t="n"/>
      <c r="F793" s="41" t="n"/>
      <c r="G793" s="41" t="n"/>
      <c r="H793" s="41" t="n"/>
      <c r="I793" s="41" t="n"/>
      <c r="J793" s="41" t="n"/>
      <c r="K793" s="41" t="n"/>
      <c r="L793" s="41" t="n"/>
    </row>
    <row r="794">
      <c r="B794" s="45" t="n"/>
      <c r="C794" s="45" t="n"/>
      <c r="D794" s="40" t="n"/>
      <c r="E794" s="41" t="n"/>
      <c r="F794" s="41" t="n"/>
      <c r="G794" s="41" t="n"/>
      <c r="H794" s="41" t="n"/>
      <c r="I794" s="41" t="n"/>
      <c r="J794" s="41" t="n"/>
      <c r="K794" s="41" t="n"/>
      <c r="L794" s="41" t="n"/>
    </row>
    <row r="795">
      <c r="B795" s="45" t="n"/>
      <c r="C795" s="45" t="n"/>
      <c r="D795" s="40" t="n"/>
      <c r="E795" s="41" t="n"/>
      <c r="F795" s="41" t="n"/>
      <c r="G795" s="41" t="n"/>
      <c r="H795" s="41" t="n"/>
      <c r="I795" s="41" t="n"/>
      <c r="J795" s="41" t="n"/>
      <c r="K795" s="41" t="n"/>
      <c r="L795" s="41" t="n"/>
    </row>
    <row r="796">
      <c r="B796" s="45" t="n"/>
      <c r="C796" s="45" t="n"/>
      <c r="D796" s="40" t="n"/>
      <c r="E796" s="41" t="n"/>
      <c r="F796" s="41" t="n"/>
      <c r="G796" s="41" t="n"/>
      <c r="H796" s="41" t="n"/>
      <c r="I796" s="41" t="n"/>
      <c r="J796" s="41" t="n"/>
      <c r="K796" s="41" t="n"/>
      <c r="L796" s="41" t="n"/>
    </row>
    <row r="797">
      <c r="B797" s="45" t="n"/>
      <c r="C797" s="45" t="n"/>
      <c r="D797" s="40" t="n"/>
      <c r="E797" s="41" t="n"/>
      <c r="F797" s="41" t="n"/>
      <c r="G797" s="41" t="n"/>
      <c r="H797" s="41" t="n"/>
      <c r="I797" s="41" t="n"/>
      <c r="J797" s="41" t="n"/>
      <c r="K797" s="41" t="n"/>
      <c r="L797" s="41" t="n"/>
    </row>
    <row r="798">
      <c r="B798" s="45" t="n"/>
      <c r="C798" s="45" t="n"/>
      <c r="D798" s="40" t="n"/>
      <c r="E798" s="41" t="n"/>
      <c r="F798" s="41" t="n"/>
      <c r="G798" s="41" t="n"/>
      <c r="H798" s="41" t="n"/>
      <c r="I798" s="41" t="n"/>
      <c r="J798" s="41" t="n"/>
      <c r="K798" s="41" t="n"/>
      <c r="L798" s="41" t="n"/>
    </row>
    <row r="799">
      <c r="B799" s="45" t="n"/>
      <c r="C799" s="45" t="n"/>
      <c r="D799" s="40" t="n"/>
      <c r="E799" s="41" t="n"/>
      <c r="F799" s="41" t="n"/>
      <c r="G799" s="41" t="n"/>
      <c r="H799" s="41" t="n"/>
      <c r="I799" s="41" t="n"/>
      <c r="J799" s="41" t="n"/>
      <c r="K799" s="41" t="n"/>
      <c r="L799" s="41" t="n"/>
    </row>
    <row r="800">
      <c r="B800" s="45" t="n"/>
      <c r="C800" s="45" t="n"/>
      <c r="D800" s="40" t="n"/>
      <c r="E800" s="41" t="n"/>
      <c r="F800" s="41" t="n"/>
      <c r="G800" s="41" t="n"/>
      <c r="H800" s="41" t="n"/>
      <c r="I800" s="41" t="n"/>
      <c r="J800" s="41" t="n"/>
      <c r="K800" s="41" t="n"/>
      <c r="L800" s="41" t="n"/>
    </row>
    <row r="801">
      <c r="B801" s="45" t="n"/>
      <c r="C801" s="45" t="n"/>
      <c r="D801" s="40" t="n"/>
      <c r="E801" s="41" t="n"/>
      <c r="F801" s="41" t="n"/>
      <c r="G801" s="41" t="n"/>
      <c r="H801" s="41" t="n"/>
      <c r="I801" s="41" t="n"/>
      <c r="J801" s="41" t="n"/>
      <c r="K801" s="41" t="n"/>
      <c r="L801" s="41" t="n"/>
    </row>
    <row r="802">
      <c r="B802" s="45" t="n"/>
      <c r="C802" s="45" t="n"/>
      <c r="D802" s="40" t="n"/>
      <c r="E802" s="41" t="n"/>
      <c r="F802" s="41" t="n"/>
      <c r="G802" s="41" t="n"/>
      <c r="H802" s="41" t="n"/>
      <c r="I802" s="41" t="n"/>
      <c r="J802" s="41" t="n"/>
      <c r="K802" s="41" t="n"/>
      <c r="L802" s="41" t="n"/>
    </row>
    <row r="803">
      <c r="B803" s="45" t="n"/>
      <c r="C803" s="45" t="n"/>
      <c r="D803" s="40" t="n"/>
      <c r="E803" s="41" t="n"/>
      <c r="F803" s="41" t="n"/>
      <c r="G803" s="41" t="n"/>
      <c r="H803" s="41" t="n"/>
      <c r="I803" s="41" t="n"/>
      <c r="J803" s="41" t="n"/>
      <c r="K803" s="41" t="n"/>
      <c r="L803" s="41" t="n"/>
    </row>
    <row r="804">
      <c r="B804" s="45" t="n"/>
      <c r="C804" s="45" t="n"/>
      <c r="D804" s="40" t="n"/>
      <c r="E804" s="41" t="n"/>
      <c r="F804" s="41" t="n"/>
      <c r="G804" s="41" t="n"/>
      <c r="H804" s="41" t="n"/>
      <c r="I804" s="41" t="n"/>
      <c r="J804" s="41" t="n"/>
      <c r="K804" s="41" t="n"/>
      <c r="L804" s="41" t="n"/>
    </row>
    <row r="805">
      <c r="B805" s="45" t="n"/>
      <c r="C805" s="45" t="n"/>
      <c r="D805" s="40" t="n"/>
      <c r="E805" s="41" t="n"/>
      <c r="F805" s="41" t="n"/>
      <c r="G805" s="41" t="n"/>
      <c r="H805" s="41" t="n"/>
      <c r="I805" s="41" t="n"/>
      <c r="J805" s="41" t="n"/>
      <c r="K805" s="41" t="n"/>
      <c r="L805" s="41" t="n"/>
    </row>
    <row r="806">
      <c r="B806" s="45" t="n"/>
      <c r="C806" s="45" t="n"/>
      <c r="D806" s="40" t="n"/>
      <c r="E806" s="41" t="n"/>
      <c r="F806" s="41" t="n"/>
      <c r="G806" s="41" t="n"/>
      <c r="H806" s="41" t="n"/>
      <c r="I806" s="41" t="n"/>
      <c r="J806" s="41" t="n"/>
      <c r="K806" s="41" t="n"/>
      <c r="L806" s="41" t="n"/>
    </row>
    <row r="807">
      <c r="B807" s="45" t="n"/>
      <c r="C807" s="45" t="n"/>
      <c r="D807" s="40" t="n"/>
      <c r="E807" s="41" t="n"/>
      <c r="F807" s="41" t="n"/>
      <c r="G807" s="41" t="n"/>
      <c r="H807" s="41" t="n"/>
      <c r="I807" s="41" t="n"/>
      <c r="J807" s="41" t="n"/>
      <c r="K807" s="41" t="n"/>
      <c r="L807" s="41" t="n"/>
    </row>
    <row r="808">
      <c r="B808" s="45" t="n"/>
      <c r="C808" s="45" t="n"/>
      <c r="D808" s="40" t="n"/>
      <c r="E808" s="41" t="n"/>
      <c r="F808" s="41" t="n"/>
      <c r="G808" s="41" t="n"/>
      <c r="H808" s="41" t="n"/>
      <c r="I808" s="41" t="n"/>
      <c r="J808" s="41" t="n"/>
      <c r="K808" s="41" t="n"/>
      <c r="L808" s="41" t="n"/>
    </row>
    <row r="809">
      <c r="B809" s="45" t="n"/>
      <c r="C809" s="45" t="n"/>
      <c r="D809" s="40" t="n"/>
      <c r="E809" s="41" t="n"/>
      <c r="F809" s="41" t="n"/>
      <c r="G809" s="41" t="n"/>
      <c r="H809" s="41" t="n"/>
      <c r="I809" s="41" t="n"/>
      <c r="J809" s="41" t="n"/>
      <c r="K809" s="41" t="n"/>
      <c r="L809" s="41" t="n"/>
    </row>
    <row r="810">
      <c r="B810" s="45" t="n"/>
      <c r="C810" s="45" t="n"/>
      <c r="D810" s="40" t="n"/>
      <c r="E810" s="41" t="n"/>
      <c r="F810" s="41" t="n"/>
      <c r="G810" s="41" t="n"/>
      <c r="H810" s="41" t="n"/>
      <c r="I810" s="41" t="n"/>
      <c r="J810" s="41" t="n"/>
      <c r="K810" s="41" t="n"/>
      <c r="L810" s="41" t="n"/>
    </row>
    <row r="811">
      <c r="B811" s="45" t="n"/>
      <c r="C811" s="45" t="n"/>
      <c r="D811" s="40" t="n"/>
      <c r="E811" s="41" t="n"/>
      <c r="F811" s="41" t="n"/>
      <c r="G811" s="41" t="n"/>
      <c r="H811" s="41" t="n"/>
      <c r="I811" s="41" t="n"/>
      <c r="J811" s="41" t="n"/>
      <c r="K811" s="41" t="n"/>
      <c r="L811" s="41" t="n"/>
    </row>
    <row r="812">
      <c r="B812" s="45" t="n"/>
      <c r="C812" s="45" t="n"/>
      <c r="D812" s="40" t="n"/>
      <c r="E812" s="41" t="n"/>
      <c r="F812" s="41" t="n"/>
      <c r="G812" s="41" t="n"/>
      <c r="H812" s="41" t="n"/>
      <c r="I812" s="41" t="n"/>
      <c r="J812" s="41" t="n"/>
      <c r="K812" s="41" t="n"/>
      <c r="L812" s="41" t="n"/>
    </row>
    <row r="813">
      <c r="B813" s="45" t="n"/>
      <c r="C813" s="45" t="n"/>
      <c r="D813" s="40" t="n"/>
      <c r="E813" s="41" t="n"/>
      <c r="F813" s="41" t="n"/>
      <c r="G813" s="41" t="n"/>
      <c r="H813" s="41" t="n"/>
      <c r="I813" s="41" t="n"/>
      <c r="J813" s="41" t="n"/>
      <c r="K813" s="41" t="n"/>
      <c r="L813" s="41" t="n"/>
    </row>
    <row r="814">
      <c r="B814" s="45" t="n"/>
      <c r="C814" s="45" t="n"/>
      <c r="D814" s="40" t="n"/>
      <c r="E814" s="41" t="n"/>
      <c r="F814" s="41" t="n"/>
      <c r="G814" s="41" t="n"/>
      <c r="H814" s="41" t="n"/>
      <c r="I814" s="41" t="n"/>
      <c r="J814" s="41" t="n"/>
      <c r="K814" s="41" t="n"/>
      <c r="L814" s="41" t="n"/>
    </row>
    <row r="815">
      <c r="B815" s="45" t="n"/>
      <c r="C815" s="45" t="n"/>
      <c r="D815" s="40" t="n"/>
      <c r="E815" s="41" t="n"/>
      <c r="F815" s="41" t="n"/>
      <c r="G815" s="41" t="n"/>
      <c r="H815" s="41" t="n"/>
      <c r="I815" s="41" t="n"/>
      <c r="J815" s="41" t="n"/>
      <c r="K815" s="41" t="n"/>
      <c r="L815" s="41" t="n"/>
    </row>
    <row r="816">
      <c r="B816" s="45" t="n"/>
      <c r="C816" s="45" t="n"/>
      <c r="D816" s="40" t="n"/>
      <c r="E816" s="41" t="n"/>
      <c r="F816" s="41" t="n"/>
      <c r="G816" s="41" t="n"/>
      <c r="H816" s="41" t="n"/>
      <c r="I816" s="41" t="n"/>
      <c r="J816" s="41" t="n"/>
      <c r="K816" s="41" t="n"/>
      <c r="L816" s="41" t="n"/>
    </row>
    <row r="817">
      <c r="B817" s="45" t="n"/>
      <c r="C817" s="45" t="n"/>
      <c r="D817" s="40" t="n"/>
      <c r="E817" s="41" t="n"/>
      <c r="F817" s="41" t="n"/>
      <c r="G817" s="41" t="n"/>
      <c r="H817" s="41" t="n"/>
      <c r="I817" s="41" t="n"/>
      <c r="J817" s="41" t="n"/>
      <c r="K817" s="41" t="n"/>
      <c r="L817" s="41" t="n"/>
    </row>
    <row r="818">
      <c r="B818" s="45" t="n"/>
      <c r="C818" s="45" t="n"/>
      <c r="D818" s="40" t="n"/>
      <c r="E818" s="41" t="n"/>
      <c r="F818" s="41" t="n"/>
      <c r="G818" s="41" t="n"/>
      <c r="H818" s="41" t="n"/>
      <c r="I818" s="41" t="n"/>
      <c r="J818" s="41" t="n"/>
      <c r="K818" s="41" t="n"/>
      <c r="L818" s="41" t="n"/>
    </row>
    <row r="819">
      <c r="B819" s="45" t="n"/>
      <c r="C819" s="45" t="n"/>
      <c r="D819" s="40" t="n"/>
      <c r="E819" s="41" t="n"/>
      <c r="F819" s="41" t="n"/>
      <c r="G819" s="41" t="n"/>
      <c r="H819" s="41" t="n"/>
      <c r="I819" s="41" t="n"/>
      <c r="J819" s="41" t="n"/>
      <c r="K819" s="41" t="n"/>
      <c r="L819" s="41" t="n"/>
    </row>
    <row r="820">
      <c r="B820" s="45" t="n"/>
      <c r="C820" s="45" t="n"/>
      <c r="D820" s="40" t="n"/>
      <c r="E820" s="41" t="n"/>
      <c r="F820" s="41" t="n"/>
      <c r="G820" s="41" t="n"/>
      <c r="H820" s="41" t="n"/>
      <c r="I820" s="41" t="n"/>
      <c r="J820" s="41" t="n"/>
      <c r="K820" s="41" t="n"/>
      <c r="L820" s="41" t="n"/>
    </row>
    <row r="821">
      <c r="B821" s="45" t="n"/>
      <c r="C821" s="45" t="n"/>
      <c r="D821" s="40" t="n"/>
      <c r="E821" s="41" t="n"/>
      <c r="F821" s="41" t="n"/>
      <c r="G821" s="41" t="n"/>
      <c r="H821" s="41" t="n"/>
      <c r="I821" s="41" t="n"/>
      <c r="J821" s="41" t="n"/>
      <c r="K821" s="41" t="n"/>
      <c r="L821" s="41" t="n"/>
    </row>
    <row r="822">
      <c r="B822" s="45" t="n"/>
      <c r="C822" s="45" t="n"/>
      <c r="D822" s="40" t="n"/>
      <c r="E822" s="41" t="n"/>
      <c r="F822" s="41" t="n"/>
      <c r="G822" s="41" t="n"/>
      <c r="H822" s="41" t="n"/>
      <c r="I822" s="41" t="n"/>
      <c r="J822" s="41" t="n"/>
      <c r="K822" s="41" t="n"/>
      <c r="L822" s="41" t="n"/>
    </row>
    <row r="823">
      <c r="B823" s="45" t="n"/>
      <c r="C823" s="45" t="n"/>
      <c r="D823" s="40" t="n"/>
      <c r="E823" s="41" t="n"/>
      <c r="F823" s="41" t="n"/>
      <c r="G823" s="41" t="n"/>
      <c r="H823" s="41" t="n"/>
      <c r="I823" s="41" t="n"/>
      <c r="J823" s="41" t="n"/>
      <c r="K823" s="41" t="n"/>
      <c r="L823" s="41" t="n"/>
    </row>
    <row r="824">
      <c r="B824" s="45" t="n"/>
      <c r="C824" s="45" t="n"/>
      <c r="D824" s="40" t="n"/>
      <c r="E824" s="41" t="n"/>
      <c r="F824" s="41" t="n"/>
      <c r="G824" s="41" t="n"/>
      <c r="H824" s="41" t="n"/>
      <c r="I824" s="41" t="n"/>
      <c r="J824" s="41" t="n"/>
      <c r="K824" s="41" t="n"/>
      <c r="L824" s="41" t="n"/>
    </row>
    <row r="825">
      <c r="B825" s="45" t="n"/>
      <c r="C825" s="45" t="n"/>
      <c r="D825" s="40" t="n"/>
      <c r="E825" s="41" t="n"/>
      <c r="F825" s="41" t="n"/>
      <c r="G825" s="41" t="n"/>
      <c r="H825" s="41" t="n"/>
      <c r="I825" s="41" t="n"/>
      <c r="J825" s="41" t="n"/>
      <c r="K825" s="41" t="n"/>
      <c r="L825" s="41" t="n"/>
    </row>
    <row r="826">
      <c r="B826" s="45" t="n"/>
      <c r="C826" s="45" t="n"/>
      <c r="D826" s="40" t="n"/>
      <c r="E826" s="41" t="n"/>
      <c r="F826" s="41" t="n"/>
      <c r="G826" s="41" t="n"/>
      <c r="H826" s="41" t="n"/>
      <c r="I826" s="41" t="n"/>
      <c r="J826" s="41" t="n"/>
      <c r="K826" s="41" t="n"/>
      <c r="L826" s="41" t="n"/>
    </row>
    <row r="827">
      <c r="B827" s="45" t="n"/>
      <c r="C827" s="45" t="n"/>
      <c r="D827" s="40" t="n"/>
      <c r="E827" s="41" t="n"/>
      <c r="F827" s="41" t="n"/>
      <c r="G827" s="41" t="n"/>
      <c r="H827" s="41" t="n"/>
      <c r="I827" s="41" t="n"/>
      <c r="J827" s="41" t="n"/>
      <c r="K827" s="41" t="n"/>
      <c r="L827" s="41" t="n"/>
    </row>
    <row r="828">
      <c r="B828" s="45" t="n"/>
      <c r="C828" s="45" t="n"/>
      <c r="D828" s="40" t="n"/>
      <c r="E828" s="41" t="n"/>
      <c r="F828" s="41" t="n"/>
      <c r="G828" s="41" t="n"/>
      <c r="H828" s="41" t="n"/>
      <c r="I828" s="41" t="n"/>
      <c r="J828" s="41" t="n"/>
      <c r="K828" s="41" t="n"/>
      <c r="L828" s="41" t="n"/>
    </row>
    <row r="829">
      <c r="B829" s="45" t="n"/>
      <c r="C829" s="45" t="n"/>
      <c r="D829" s="40" t="n"/>
      <c r="E829" s="41" t="n"/>
      <c r="F829" s="41" t="n"/>
      <c r="G829" s="41" t="n"/>
      <c r="H829" s="41" t="n"/>
      <c r="I829" s="41" t="n"/>
      <c r="J829" s="41" t="n"/>
      <c r="K829" s="41" t="n"/>
      <c r="L829" s="41" t="n"/>
    </row>
    <row r="830">
      <c r="B830" s="45" t="n"/>
      <c r="C830" s="45" t="n"/>
      <c r="D830" s="40" t="n"/>
      <c r="E830" s="41" t="n"/>
      <c r="F830" s="41" t="n"/>
      <c r="G830" s="41" t="n"/>
      <c r="H830" s="41" t="n"/>
      <c r="I830" s="41" t="n"/>
      <c r="J830" s="41" t="n"/>
      <c r="K830" s="41" t="n"/>
      <c r="L830" s="41" t="n"/>
    </row>
    <row r="831">
      <c r="B831" s="45" t="n"/>
      <c r="C831" s="45" t="n"/>
      <c r="D831" s="40" t="n"/>
      <c r="E831" s="41" t="n"/>
      <c r="F831" s="41" t="n"/>
      <c r="G831" s="41" t="n"/>
      <c r="H831" s="41" t="n"/>
      <c r="I831" s="41" t="n"/>
      <c r="J831" s="41" t="n"/>
      <c r="K831" s="41" t="n"/>
      <c r="L831" s="41" t="n"/>
    </row>
    <row r="832">
      <c r="B832" s="45" t="n"/>
      <c r="C832" s="45" t="n"/>
      <c r="D832" s="40" t="n"/>
      <c r="E832" s="41" t="n"/>
      <c r="F832" s="41" t="n"/>
      <c r="G832" s="41" t="n"/>
      <c r="H832" s="41" t="n"/>
      <c r="I832" s="41" t="n"/>
      <c r="J832" s="41" t="n"/>
      <c r="K832" s="41" t="n"/>
      <c r="L832" s="41" t="n"/>
    </row>
    <row r="833">
      <c r="B833" s="45" t="n"/>
      <c r="C833" s="45" t="n"/>
      <c r="D833" s="40" t="n"/>
      <c r="E833" s="41" t="n"/>
      <c r="F833" s="41" t="n"/>
      <c r="G833" s="41" t="n"/>
      <c r="H833" s="41" t="n"/>
      <c r="I833" s="41" t="n"/>
      <c r="J833" s="41" t="n"/>
      <c r="K833" s="41" t="n"/>
      <c r="L833" s="41" t="n"/>
    </row>
    <row r="834">
      <c r="B834" s="45" t="n"/>
      <c r="C834" s="45" t="n"/>
      <c r="D834" s="40" t="n"/>
      <c r="E834" s="41" t="n"/>
      <c r="F834" s="41" t="n"/>
      <c r="G834" s="41" t="n"/>
      <c r="H834" s="41" t="n"/>
      <c r="I834" s="41" t="n"/>
      <c r="J834" s="41" t="n"/>
      <c r="K834" s="41" t="n"/>
      <c r="L834" s="41" t="n"/>
    </row>
    <row r="835">
      <c r="B835" s="45" t="n"/>
      <c r="C835" s="45" t="n"/>
      <c r="D835" s="40" t="n"/>
      <c r="E835" s="41" t="n"/>
      <c r="F835" s="41" t="n"/>
      <c r="G835" s="41" t="n"/>
      <c r="H835" s="41" t="n"/>
      <c r="I835" s="41" t="n"/>
      <c r="J835" s="41" t="n"/>
      <c r="K835" s="41" t="n"/>
      <c r="L835" s="41" t="n"/>
    </row>
    <row r="836">
      <c r="B836" s="45" t="n"/>
      <c r="C836" s="45" t="n"/>
      <c r="D836" s="40" t="n"/>
      <c r="E836" s="41" t="n"/>
      <c r="F836" s="41" t="n"/>
      <c r="G836" s="41" t="n"/>
      <c r="H836" s="41" t="n"/>
      <c r="I836" s="41" t="n"/>
      <c r="J836" s="41" t="n"/>
      <c r="K836" s="41" t="n"/>
      <c r="L836" s="41" t="n"/>
    </row>
    <row r="837">
      <c r="B837" s="45" t="n"/>
      <c r="C837" s="45" t="n"/>
      <c r="D837" s="40" t="n"/>
      <c r="E837" s="41" t="n"/>
      <c r="F837" s="41" t="n"/>
      <c r="G837" s="41" t="n"/>
      <c r="H837" s="41" t="n"/>
      <c r="I837" s="41" t="n"/>
      <c r="J837" s="41" t="n"/>
      <c r="K837" s="41" t="n"/>
      <c r="L837" s="41" t="n"/>
    </row>
    <row r="838">
      <c r="B838" s="45" t="n"/>
      <c r="C838" s="45" t="n"/>
      <c r="D838" s="40" t="n"/>
      <c r="E838" s="41" t="n"/>
      <c r="F838" s="41" t="n"/>
      <c r="G838" s="41" t="n"/>
      <c r="H838" s="41" t="n"/>
      <c r="I838" s="41" t="n"/>
      <c r="J838" s="41" t="n"/>
      <c r="K838" s="41" t="n"/>
      <c r="L838" s="41" t="n"/>
    </row>
    <row r="839">
      <c r="B839" s="45" t="n"/>
      <c r="C839" s="45" t="n"/>
      <c r="D839" s="40" t="n"/>
      <c r="E839" s="41" t="n"/>
      <c r="F839" s="41" t="n"/>
      <c r="G839" s="41" t="n"/>
      <c r="H839" s="41" t="n"/>
      <c r="I839" s="41" t="n"/>
      <c r="J839" s="41" t="n"/>
      <c r="K839" s="41" t="n"/>
      <c r="L839" s="41" t="n"/>
    </row>
    <row r="840">
      <c r="B840" s="45" t="n"/>
      <c r="C840" s="45" t="n"/>
      <c r="D840" s="40" t="n"/>
      <c r="E840" s="41" t="n"/>
      <c r="F840" s="41" t="n"/>
      <c r="G840" s="41" t="n"/>
      <c r="H840" s="41" t="n"/>
      <c r="I840" s="41" t="n"/>
      <c r="J840" s="41" t="n"/>
      <c r="K840" s="41" t="n"/>
      <c r="L840" s="41" t="n"/>
    </row>
    <row r="841">
      <c r="B841" s="45" t="n"/>
      <c r="C841" s="45" t="n"/>
      <c r="D841" s="40" t="n"/>
      <c r="E841" s="41" t="n"/>
      <c r="F841" s="41" t="n"/>
      <c r="G841" s="41" t="n"/>
      <c r="H841" s="41" t="n"/>
      <c r="I841" s="41" t="n"/>
      <c r="J841" s="41" t="n"/>
      <c r="K841" s="41" t="n"/>
      <c r="L841" s="41" t="n"/>
    </row>
    <row r="842">
      <c r="B842" s="45" t="n"/>
      <c r="C842" s="45" t="n"/>
      <c r="D842" s="40" t="n"/>
      <c r="E842" s="41" t="n"/>
      <c r="F842" s="41" t="n"/>
      <c r="G842" s="41" t="n"/>
      <c r="H842" s="41" t="n"/>
      <c r="I842" s="41" t="n"/>
      <c r="J842" s="41" t="n"/>
      <c r="K842" s="41" t="n"/>
      <c r="L842" s="41" t="n"/>
    </row>
    <row r="843">
      <c r="B843" s="45" t="n"/>
      <c r="C843" s="45" t="n"/>
      <c r="D843" s="40" t="n"/>
      <c r="E843" s="41" t="n"/>
      <c r="F843" s="41" t="n"/>
      <c r="G843" s="41" t="n"/>
      <c r="H843" s="41" t="n"/>
      <c r="I843" s="41" t="n"/>
      <c r="J843" s="41" t="n"/>
      <c r="K843" s="41" t="n"/>
      <c r="L843" s="41" t="n"/>
    </row>
    <row r="844">
      <c r="B844" s="45" t="n"/>
      <c r="C844" s="45" t="n"/>
      <c r="D844" s="40" t="n"/>
      <c r="E844" s="41" t="n"/>
      <c r="F844" s="41" t="n"/>
      <c r="G844" s="41" t="n"/>
      <c r="H844" s="41" t="n"/>
      <c r="I844" s="41" t="n"/>
      <c r="J844" s="41" t="n"/>
      <c r="K844" s="41" t="n"/>
      <c r="L844" s="41" t="n"/>
    </row>
    <row r="845">
      <c r="B845" s="45" t="n"/>
      <c r="C845" s="45" t="n"/>
      <c r="D845" s="40" t="n"/>
      <c r="E845" s="41" t="n"/>
      <c r="F845" s="41" t="n"/>
      <c r="G845" s="41" t="n"/>
      <c r="H845" s="41" t="n"/>
      <c r="I845" s="41" t="n"/>
      <c r="J845" s="41" t="n"/>
      <c r="K845" s="41" t="n"/>
      <c r="L845" s="41" t="n"/>
    </row>
    <row r="846">
      <c r="B846" s="45" t="n"/>
      <c r="C846" s="45" t="n"/>
      <c r="D846" s="40" t="n"/>
      <c r="E846" s="41" t="n"/>
      <c r="F846" s="41" t="n"/>
      <c r="G846" s="41" t="n"/>
      <c r="H846" s="41" t="n"/>
      <c r="I846" s="41" t="n"/>
      <c r="J846" s="41" t="n"/>
      <c r="K846" s="41" t="n"/>
      <c r="L846" s="41" t="n"/>
    </row>
    <row r="847">
      <c r="B847" s="45" t="n"/>
      <c r="C847" s="45" t="n"/>
      <c r="D847" s="40" t="n"/>
      <c r="E847" s="41" t="n"/>
      <c r="F847" s="41" t="n"/>
      <c r="G847" s="41" t="n"/>
      <c r="H847" s="41" t="n"/>
      <c r="I847" s="41" t="n"/>
      <c r="J847" s="41" t="n"/>
      <c r="K847" s="41" t="n"/>
      <c r="L847" s="41" t="n"/>
    </row>
    <row r="848">
      <c r="B848" s="45" t="n"/>
      <c r="C848" s="45" t="n"/>
      <c r="D848" s="40" t="n"/>
      <c r="E848" s="41" t="n"/>
      <c r="F848" s="41" t="n"/>
      <c r="G848" s="41" t="n"/>
      <c r="H848" s="41" t="n"/>
      <c r="I848" s="41" t="n"/>
      <c r="J848" s="41" t="n"/>
      <c r="K848" s="41" t="n"/>
      <c r="L848" s="41" t="n"/>
    </row>
    <row r="849">
      <c r="B849" s="45" t="n"/>
      <c r="C849" s="45" t="n"/>
      <c r="D849" s="40" t="n"/>
      <c r="E849" s="41" t="n"/>
      <c r="F849" s="41" t="n"/>
      <c r="G849" s="41" t="n"/>
      <c r="H849" s="41" t="n"/>
      <c r="I849" s="41" t="n"/>
      <c r="J849" s="41" t="n"/>
      <c r="K849" s="41" t="n"/>
      <c r="L849" s="41" t="n"/>
    </row>
    <row r="850">
      <c r="B850" s="45" t="n"/>
      <c r="C850" s="45" t="n"/>
      <c r="D850" s="40" t="n"/>
      <c r="E850" s="41" t="n"/>
      <c r="F850" s="41" t="n"/>
      <c r="G850" s="41" t="n"/>
      <c r="H850" s="41" t="n"/>
      <c r="I850" s="41" t="n"/>
      <c r="J850" s="41" t="n"/>
      <c r="K850" s="41" t="n"/>
      <c r="L850" s="41" t="n"/>
    </row>
    <row r="851">
      <c r="B851" s="45" t="n"/>
      <c r="C851" s="45" t="n"/>
      <c r="D851" s="40" t="n"/>
      <c r="E851" s="41" t="n"/>
      <c r="F851" s="41" t="n"/>
      <c r="G851" s="41" t="n"/>
      <c r="H851" s="41" t="n"/>
      <c r="I851" s="41" t="n"/>
      <c r="J851" s="41" t="n"/>
      <c r="K851" s="41" t="n"/>
      <c r="L851" s="41" t="n"/>
    </row>
    <row r="852">
      <c r="B852" s="45" t="n"/>
      <c r="C852" s="45" t="n"/>
      <c r="D852" s="40" t="n"/>
      <c r="E852" s="41" t="n"/>
      <c r="F852" s="41" t="n"/>
      <c r="G852" s="41" t="n"/>
      <c r="H852" s="41" t="n"/>
      <c r="I852" s="41" t="n"/>
      <c r="J852" s="41" t="n"/>
      <c r="K852" s="41" t="n"/>
      <c r="L852" s="41" t="n"/>
    </row>
    <row r="853">
      <c r="B853" s="45" t="n"/>
      <c r="C853" s="45" t="n"/>
      <c r="D853" s="40" t="n"/>
      <c r="E853" s="41" t="n"/>
      <c r="F853" s="41" t="n"/>
      <c r="G853" s="41" t="n"/>
      <c r="H853" s="41" t="n"/>
      <c r="I853" s="41" t="n"/>
      <c r="J853" s="41" t="n"/>
      <c r="K853" s="41" t="n"/>
      <c r="L853" s="41" t="n"/>
    </row>
    <row r="854">
      <c r="B854" s="45" t="n"/>
      <c r="C854" s="45" t="n"/>
      <c r="D854" s="40" t="n"/>
      <c r="E854" s="41" t="n"/>
      <c r="F854" s="41" t="n"/>
      <c r="G854" s="41" t="n"/>
      <c r="H854" s="41" t="n"/>
      <c r="I854" s="41" t="n"/>
      <c r="J854" s="41" t="n"/>
      <c r="K854" s="41" t="n"/>
      <c r="L854" s="41" t="n"/>
    </row>
    <row r="855">
      <c r="B855" s="45" t="n"/>
      <c r="C855" s="45" t="n"/>
      <c r="D855" s="40" t="n"/>
      <c r="E855" s="41" t="n"/>
      <c r="F855" s="41" t="n"/>
      <c r="G855" s="41" t="n"/>
      <c r="H855" s="41" t="n"/>
      <c r="I855" s="41" t="n"/>
      <c r="J855" s="41" t="n"/>
      <c r="K855" s="41" t="n"/>
      <c r="L855" s="41" t="n"/>
    </row>
    <row r="856">
      <c r="B856" s="45" t="n"/>
      <c r="C856" s="45" t="n"/>
      <c r="D856" s="40" t="n"/>
      <c r="E856" s="41" t="n"/>
      <c r="F856" s="41" t="n"/>
      <c r="G856" s="41" t="n"/>
      <c r="H856" s="41" t="n"/>
      <c r="I856" s="41" t="n"/>
      <c r="J856" s="41" t="n"/>
      <c r="K856" s="41" t="n"/>
      <c r="L856" s="41" t="n"/>
    </row>
    <row r="857">
      <c r="B857" s="45" t="n"/>
      <c r="C857" s="45" t="n"/>
      <c r="D857" s="40" t="n"/>
      <c r="E857" s="41" t="n"/>
      <c r="F857" s="41" t="n"/>
      <c r="G857" s="41" t="n"/>
      <c r="H857" s="41" t="n"/>
      <c r="I857" s="41" t="n"/>
      <c r="J857" s="41" t="n"/>
      <c r="K857" s="41" t="n"/>
      <c r="L857" s="41" t="n"/>
    </row>
    <row r="858">
      <c r="B858" s="45" t="n"/>
      <c r="C858" s="45" t="n"/>
      <c r="D858" s="40" t="n"/>
      <c r="E858" s="41" t="n"/>
      <c r="F858" s="41" t="n"/>
      <c r="G858" s="41" t="n"/>
      <c r="H858" s="41" t="n"/>
      <c r="I858" s="41" t="n"/>
      <c r="J858" s="41" t="n"/>
      <c r="K858" s="41" t="n"/>
      <c r="L858" s="41" t="n"/>
    </row>
    <row r="859">
      <c r="B859" s="45" t="n"/>
      <c r="C859" s="45" t="n"/>
      <c r="D859" s="40" t="n"/>
      <c r="E859" s="41" t="n"/>
      <c r="F859" s="41" t="n"/>
      <c r="G859" s="41" t="n"/>
      <c r="H859" s="41" t="n"/>
      <c r="I859" s="41" t="n"/>
      <c r="J859" s="41" t="n"/>
      <c r="K859" s="41" t="n"/>
      <c r="L859" s="41" t="n"/>
    </row>
    <row r="860">
      <c r="B860" s="45" t="n"/>
      <c r="C860" s="45" t="n"/>
      <c r="D860" s="40" t="n"/>
      <c r="E860" s="41" t="n"/>
      <c r="F860" s="41" t="n"/>
      <c r="G860" s="41" t="n"/>
      <c r="H860" s="41" t="n"/>
      <c r="I860" s="41" t="n"/>
      <c r="J860" s="41" t="n"/>
      <c r="K860" s="41" t="n"/>
      <c r="L860" s="41" t="n"/>
    </row>
    <row r="861">
      <c r="B861" s="45" t="n"/>
      <c r="C861" s="45" t="n"/>
      <c r="D861" s="40" t="n"/>
      <c r="E861" s="41" t="n"/>
      <c r="F861" s="41" t="n"/>
      <c r="G861" s="41" t="n"/>
      <c r="H861" s="41" t="n"/>
      <c r="I861" s="41" t="n"/>
      <c r="J861" s="41" t="n"/>
      <c r="K861" s="41" t="n"/>
      <c r="L861" s="41" t="n"/>
    </row>
    <row r="862">
      <c r="B862" s="45" t="n"/>
      <c r="C862" s="45" t="n"/>
      <c r="D862" s="40" t="n"/>
      <c r="E862" s="41" t="n"/>
      <c r="F862" s="41" t="n"/>
      <c r="G862" s="41" t="n"/>
      <c r="H862" s="41" t="n"/>
      <c r="I862" s="41" t="n"/>
      <c r="J862" s="41" t="n"/>
      <c r="K862" s="41" t="n"/>
      <c r="L862" s="41" t="n"/>
    </row>
    <row r="863">
      <c r="B863" s="45" t="n"/>
      <c r="C863" s="45" t="n"/>
      <c r="D863" s="40" t="n"/>
      <c r="E863" s="41" t="n"/>
      <c r="F863" s="41" t="n"/>
      <c r="G863" s="41" t="n"/>
      <c r="H863" s="41" t="n"/>
      <c r="I863" s="41" t="n"/>
      <c r="J863" s="41" t="n"/>
      <c r="K863" s="41" t="n"/>
      <c r="L863" s="41" t="n"/>
    </row>
    <row r="864">
      <c r="B864" s="45" t="n"/>
      <c r="C864" s="45" t="n"/>
      <c r="D864" s="40" t="n"/>
      <c r="E864" s="41" t="n"/>
      <c r="F864" s="41" t="n"/>
      <c r="G864" s="41" t="n"/>
      <c r="H864" s="41" t="n"/>
      <c r="I864" s="41" t="n"/>
      <c r="J864" s="41" t="n"/>
      <c r="K864" s="41" t="n"/>
      <c r="L864" s="41" t="n"/>
    </row>
    <row r="865">
      <c r="B865" s="45" t="n"/>
      <c r="C865" s="45" t="n"/>
      <c r="D865" s="40" t="n"/>
      <c r="E865" s="41" t="n"/>
      <c r="F865" s="41" t="n"/>
      <c r="G865" s="41" t="n"/>
      <c r="H865" s="41" t="n"/>
      <c r="I865" s="41" t="n"/>
      <c r="J865" s="41" t="n"/>
      <c r="K865" s="41" t="n"/>
      <c r="L865" s="41" t="n"/>
    </row>
    <row r="866">
      <c r="B866" s="45" t="n"/>
      <c r="C866" s="45" t="n"/>
      <c r="D866" s="40" t="n"/>
      <c r="E866" s="41" t="n"/>
      <c r="F866" s="41" t="n"/>
      <c r="G866" s="41" t="n"/>
      <c r="H866" s="41" t="n"/>
      <c r="I866" s="41" t="n"/>
      <c r="J866" s="41" t="n"/>
      <c r="K866" s="41" t="n"/>
      <c r="L866" s="41" t="n"/>
    </row>
    <row r="867">
      <c r="B867" s="45" t="n"/>
      <c r="C867" s="45" t="n"/>
      <c r="D867" s="40" t="n"/>
      <c r="E867" s="41" t="n"/>
      <c r="F867" s="41" t="n"/>
      <c r="G867" s="41" t="n"/>
      <c r="H867" s="41" t="n"/>
      <c r="I867" s="41" t="n"/>
      <c r="J867" s="41" t="n"/>
      <c r="K867" s="41" t="n"/>
      <c r="L867" s="41" t="n"/>
    </row>
    <row r="868">
      <c r="B868" s="45" t="n"/>
      <c r="C868" s="45" t="n"/>
      <c r="D868" s="40" t="n"/>
      <c r="E868" s="41" t="n"/>
      <c r="F868" s="41" t="n"/>
      <c r="G868" s="41" t="n"/>
      <c r="H868" s="41" t="n"/>
      <c r="I868" s="41" t="n"/>
      <c r="J868" s="41" t="n"/>
      <c r="K868" s="41" t="n"/>
      <c r="L868" s="41" t="n"/>
    </row>
    <row r="869">
      <c r="B869" s="45" t="n"/>
      <c r="C869" s="45" t="n"/>
      <c r="D869" s="40" t="n"/>
      <c r="E869" s="41" t="n"/>
      <c r="F869" s="41" t="n"/>
      <c r="G869" s="41" t="n"/>
      <c r="H869" s="41" t="n"/>
      <c r="I869" s="41" t="n"/>
      <c r="J869" s="41" t="n"/>
      <c r="K869" s="41" t="n"/>
      <c r="L869" s="41" t="n"/>
    </row>
    <row r="870">
      <c r="B870" s="45" t="n"/>
      <c r="C870" s="45" t="n"/>
      <c r="D870" s="40" t="n"/>
      <c r="E870" s="41" t="n"/>
      <c r="F870" s="41" t="n"/>
      <c r="G870" s="41" t="n"/>
      <c r="H870" s="41" t="n"/>
      <c r="I870" s="41" t="n"/>
      <c r="J870" s="41" t="n"/>
      <c r="K870" s="41" t="n"/>
      <c r="L870" s="41" t="n"/>
    </row>
    <row r="871">
      <c r="B871" s="45" t="n"/>
      <c r="C871" s="45" t="n"/>
      <c r="D871" s="40" t="n"/>
      <c r="E871" s="41" t="n"/>
      <c r="F871" s="41" t="n"/>
      <c r="G871" s="41" t="n"/>
      <c r="H871" s="41" t="n"/>
      <c r="I871" s="41" t="n"/>
      <c r="J871" s="41" t="n"/>
      <c r="K871" s="41" t="n"/>
      <c r="L871" s="41" t="n"/>
    </row>
    <row r="872">
      <c r="B872" s="45" t="n"/>
      <c r="C872" s="45" t="n"/>
      <c r="D872" s="40" t="n"/>
      <c r="E872" s="41" t="n"/>
      <c r="F872" s="41" t="n"/>
      <c r="G872" s="41" t="n"/>
      <c r="H872" s="41" t="n"/>
      <c r="I872" s="41" t="n"/>
      <c r="J872" s="41" t="n"/>
      <c r="K872" s="41" t="n"/>
      <c r="L872" s="41" t="n"/>
    </row>
    <row r="873">
      <c r="B873" s="45" t="n"/>
      <c r="C873" s="45" t="n"/>
      <c r="D873" s="40" t="n"/>
      <c r="E873" s="41" t="n"/>
      <c r="F873" s="41" t="n"/>
      <c r="G873" s="41" t="n"/>
      <c r="H873" s="41" t="n"/>
      <c r="I873" s="41" t="n"/>
      <c r="J873" s="41" t="n"/>
      <c r="K873" s="41" t="n"/>
      <c r="L873" s="41" t="n"/>
    </row>
    <row r="874">
      <c r="B874" s="45" t="n"/>
      <c r="C874" s="45" t="n"/>
      <c r="D874" s="40" t="n"/>
      <c r="E874" s="41" t="n"/>
      <c r="F874" s="41" t="n"/>
      <c r="G874" s="41" t="n"/>
      <c r="H874" s="41" t="n"/>
      <c r="I874" s="41" t="n"/>
      <c r="J874" s="41" t="n"/>
      <c r="K874" s="41" t="n"/>
      <c r="L874" s="41" t="n"/>
    </row>
    <row r="875">
      <c r="B875" s="45" t="n"/>
      <c r="C875" s="45" t="n"/>
      <c r="D875" s="40" t="n"/>
      <c r="E875" s="41" t="n"/>
      <c r="F875" s="41" t="n"/>
      <c r="G875" s="41" t="n"/>
      <c r="H875" s="41" t="n"/>
      <c r="I875" s="41" t="n"/>
      <c r="J875" s="41" t="n"/>
      <c r="K875" s="41" t="n"/>
      <c r="L875" s="41" t="n"/>
    </row>
    <row r="876">
      <c r="B876" s="45" t="n"/>
      <c r="C876" s="45" t="n"/>
      <c r="D876" s="40" t="n"/>
      <c r="E876" s="41" t="n"/>
      <c r="F876" s="41" t="n"/>
      <c r="G876" s="41" t="n"/>
      <c r="H876" s="41" t="n"/>
      <c r="I876" s="41" t="n"/>
      <c r="J876" s="41" t="n"/>
      <c r="K876" s="41" t="n"/>
      <c r="L876" s="41" t="n"/>
    </row>
    <row r="877">
      <c r="B877" s="45" t="n"/>
      <c r="C877" s="45" t="n"/>
      <c r="D877" s="40" t="n"/>
      <c r="E877" s="41" t="n"/>
      <c r="F877" s="41" t="n"/>
      <c r="G877" s="41" t="n"/>
      <c r="H877" s="41" t="n"/>
      <c r="I877" s="41" t="n"/>
      <c r="J877" s="41" t="n"/>
      <c r="K877" s="41" t="n"/>
      <c r="L877" s="41" t="n"/>
    </row>
    <row r="878">
      <c r="B878" s="45" t="n"/>
      <c r="C878" s="45" t="n"/>
      <c r="D878" s="40" t="n"/>
      <c r="E878" s="41" t="n"/>
      <c r="F878" s="41" t="n"/>
      <c r="G878" s="41" t="n"/>
      <c r="H878" s="41" t="n"/>
      <c r="I878" s="41" t="n"/>
      <c r="J878" s="41" t="n"/>
      <c r="K878" s="41" t="n"/>
      <c r="L878" s="41" t="n"/>
    </row>
    <row r="879">
      <c r="B879" s="45" t="n"/>
      <c r="C879" s="45" t="n"/>
      <c r="D879" s="40" t="n"/>
      <c r="E879" s="41" t="n"/>
      <c r="F879" s="41" t="n"/>
      <c r="G879" s="41" t="n"/>
      <c r="H879" s="41" t="n"/>
      <c r="I879" s="41" t="n"/>
      <c r="J879" s="41" t="n"/>
      <c r="K879" s="41" t="n"/>
      <c r="L879" s="41" t="n"/>
    </row>
    <row r="880">
      <c r="B880" s="45" t="n"/>
      <c r="C880" s="45" t="n"/>
      <c r="D880" s="40" t="n"/>
      <c r="E880" s="41" t="n"/>
      <c r="F880" s="41" t="n"/>
      <c r="G880" s="41" t="n"/>
      <c r="H880" s="41" t="n"/>
      <c r="I880" s="41" t="n"/>
      <c r="J880" s="41" t="n"/>
      <c r="K880" s="41" t="n"/>
      <c r="L880" s="41" t="n"/>
    </row>
    <row r="881">
      <c r="B881" s="45" t="n"/>
      <c r="C881" s="45" t="n"/>
      <c r="D881" s="40" t="n"/>
      <c r="E881" s="41" t="n"/>
      <c r="F881" s="41" t="n"/>
      <c r="G881" s="41" t="n"/>
      <c r="H881" s="41" t="n"/>
      <c r="I881" s="41" t="n"/>
      <c r="J881" s="41" t="n"/>
      <c r="K881" s="41" t="n"/>
      <c r="L881" s="41" t="n"/>
    </row>
    <row r="882">
      <c r="B882" s="45" t="n"/>
      <c r="C882" s="45" t="n"/>
      <c r="D882" s="40" t="n"/>
      <c r="E882" s="41" t="n"/>
      <c r="F882" s="41" t="n"/>
      <c r="G882" s="41" t="n"/>
      <c r="H882" s="41" t="n"/>
      <c r="I882" s="41" t="n"/>
      <c r="J882" s="41" t="n"/>
      <c r="K882" s="41" t="n"/>
      <c r="L882" s="41" t="n"/>
    </row>
    <row r="883">
      <c r="B883" s="45" t="n"/>
      <c r="C883" s="45" t="n"/>
      <c r="D883" s="40" t="n"/>
      <c r="E883" s="41" t="n"/>
      <c r="F883" s="41" t="n"/>
      <c r="G883" s="41" t="n"/>
      <c r="H883" s="41" t="n"/>
      <c r="I883" s="41" t="n"/>
      <c r="J883" s="41" t="n"/>
      <c r="K883" s="41" t="n"/>
      <c r="L883" s="41" t="n"/>
    </row>
    <row r="884">
      <c r="B884" s="45" t="n"/>
      <c r="C884" s="45" t="n"/>
      <c r="D884" s="40" t="n"/>
      <c r="E884" s="41" t="n"/>
      <c r="F884" s="41" t="n"/>
      <c r="G884" s="41" t="n"/>
      <c r="H884" s="41" t="n"/>
      <c r="I884" s="41" t="n"/>
      <c r="J884" s="41" t="n"/>
      <c r="K884" s="41" t="n"/>
      <c r="L884" s="41" t="n"/>
    </row>
    <row r="885">
      <c r="B885" s="45" t="n"/>
      <c r="C885" s="45" t="n"/>
      <c r="D885" s="40" t="n"/>
      <c r="E885" s="41" t="n"/>
      <c r="F885" s="41" t="n"/>
      <c r="G885" s="41" t="n"/>
      <c r="H885" s="41" t="n"/>
      <c r="I885" s="41" t="n"/>
      <c r="J885" s="41" t="n"/>
      <c r="K885" s="41" t="n"/>
      <c r="L885" s="41" t="n"/>
    </row>
    <row r="886">
      <c r="B886" s="45" t="n"/>
      <c r="C886" s="45" t="n"/>
      <c r="D886" s="40" t="n"/>
      <c r="E886" s="41" t="n"/>
      <c r="F886" s="41" t="n"/>
      <c r="G886" s="41" t="n"/>
      <c r="H886" s="41" t="n"/>
      <c r="I886" s="41" t="n"/>
      <c r="J886" s="41" t="n"/>
      <c r="K886" s="41" t="n"/>
      <c r="L886" s="41" t="n"/>
    </row>
    <row r="887">
      <c r="B887" s="45" t="n"/>
      <c r="C887" s="45" t="n"/>
      <c r="D887" s="40" t="n"/>
      <c r="E887" s="41" t="n"/>
      <c r="F887" s="41" t="n"/>
      <c r="G887" s="41" t="n"/>
      <c r="H887" s="41" t="n"/>
      <c r="I887" s="41" t="n"/>
      <c r="J887" s="41" t="n"/>
      <c r="K887" s="41" t="n"/>
      <c r="L887" s="41" t="n"/>
    </row>
    <row r="888">
      <c r="B888" s="45" t="n"/>
      <c r="C888" s="45" t="n"/>
      <c r="D888" s="40" t="n"/>
      <c r="E888" s="41" t="n"/>
      <c r="F888" s="41" t="n"/>
      <c r="G888" s="41" t="n"/>
      <c r="H888" s="41" t="n"/>
      <c r="I888" s="41" t="n"/>
      <c r="J888" s="41" t="n"/>
      <c r="K888" s="41" t="n"/>
      <c r="L888" s="41" t="n"/>
    </row>
    <row r="889">
      <c r="B889" s="45" t="n"/>
      <c r="C889" s="45" t="n"/>
      <c r="D889" s="40" t="n"/>
      <c r="E889" s="41" t="n"/>
      <c r="F889" s="41" t="n"/>
      <c r="G889" s="41" t="n"/>
      <c r="H889" s="41" t="n"/>
      <c r="I889" s="41" t="n"/>
      <c r="J889" s="41" t="n"/>
      <c r="K889" s="41" t="n"/>
      <c r="L889" s="41" t="n"/>
    </row>
    <row r="890">
      <c r="B890" s="45" t="n"/>
      <c r="C890" s="45" t="n"/>
      <c r="D890" s="40" t="n"/>
      <c r="E890" s="41" t="n"/>
      <c r="F890" s="41" t="n"/>
      <c r="G890" s="41" t="n"/>
      <c r="H890" s="41" t="n"/>
      <c r="I890" s="41" t="n"/>
      <c r="J890" s="41" t="n"/>
      <c r="K890" s="41" t="n"/>
      <c r="L890" s="41" t="n"/>
    </row>
    <row r="891">
      <c r="B891" s="45" t="n"/>
      <c r="C891" s="45" t="n"/>
      <c r="D891" s="40" t="n"/>
      <c r="E891" s="41" t="n"/>
      <c r="F891" s="41" t="n"/>
      <c r="G891" s="41" t="n"/>
      <c r="H891" s="41" t="n"/>
      <c r="I891" s="41" t="n"/>
      <c r="J891" s="41" t="n"/>
      <c r="K891" s="41" t="n"/>
      <c r="L891" s="41" t="n"/>
    </row>
    <row r="892">
      <c r="B892" s="45" t="n"/>
      <c r="C892" s="45" t="n"/>
      <c r="D892" s="40" t="n"/>
      <c r="E892" s="41" t="n"/>
      <c r="F892" s="41" t="n"/>
      <c r="G892" s="41" t="n"/>
      <c r="H892" s="41" t="n"/>
      <c r="I892" s="41" t="n"/>
      <c r="J892" s="41" t="n"/>
      <c r="K892" s="41" t="n"/>
      <c r="L892" s="41" t="n"/>
    </row>
    <row r="893">
      <c r="B893" s="45" t="n"/>
      <c r="C893" s="45" t="n"/>
      <c r="D893" s="40" t="n"/>
      <c r="E893" s="41" t="n"/>
      <c r="F893" s="41" t="n"/>
      <c r="G893" s="41" t="n"/>
      <c r="H893" s="41" t="n"/>
      <c r="I893" s="41" t="n"/>
      <c r="J893" s="41" t="n"/>
      <c r="K893" s="41" t="n"/>
      <c r="L893" s="41" t="n"/>
    </row>
    <row r="894">
      <c r="B894" s="45" t="n"/>
      <c r="C894" s="45" t="n"/>
      <c r="D894" s="40" t="n"/>
      <c r="E894" s="41" t="n"/>
      <c r="F894" s="41" t="n"/>
      <c r="G894" s="41" t="n"/>
      <c r="H894" s="41" t="n"/>
      <c r="I894" s="41" t="n"/>
      <c r="J894" s="41" t="n"/>
      <c r="K894" s="41" t="n"/>
      <c r="L894" s="41" t="n"/>
    </row>
    <row r="895">
      <c r="B895" s="45" t="n"/>
      <c r="C895" s="45" t="n"/>
      <c r="D895" s="40" t="n"/>
      <c r="E895" s="41" t="n"/>
      <c r="F895" s="41" t="n"/>
      <c r="G895" s="41" t="n"/>
      <c r="H895" s="41" t="n"/>
      <c r="I895" s="41" t="n"/>
      <c r="J895" s="41" t="n"/>
      <c r="K895" s="41" t="n"/>
      <c r="L895" s="41" t="n"/>
    </row>
    <row r="896">
      <c r="B896" s="45" t="n"/>
      <c r="C896" s="45" t="n"/>
      <c r="D896" s="40" t="n"/>
      <c r="E896" s="41" t="n"/>
      <c r="F896" s="41" t="n"/>
      <c r="G896" s="41" t="n"/>
      <c r="H896" s="41" t="n"/>
      <c r="I896" s="41" t="n"/>
      <c r="J896" s="41" t="n"/>
      <c r="K896" s="41" t="n"/>
      <c r="L896" s="41" t="n"/>
    </row>
    <row r="897">
      <c r="B897" s="45" t="n"/>
      <c r="C897" s="45" t="n"/>
      <c r="D897" s="40" t="n"/>
      <c r="E897" s="41" t="n"/>
      <c r="F897" s="41" t="n"/>
      <c r="G897" s="41" t="n"/>
      <c r="H897" s="41" t="n"/>
      <c r="I897" s="41" t="n"/>
      <c r="J897" s="41" t="n"/>
      <c r="K897" s="41" t="n"/>
      <c r="L897" s="41" t="n"/>
    </row>
    <row r="898">
      <c r="B898" s="45" t="n"/>
      <c r="C898" s="45" t="n"/>
      <c r="D898" s="40" t="n"/>
      <c r="E898" s="41" t="n"/>
      <c r="F898" s="41" t="n"/>
      <c r="G898" s="41" t="n"/>
      <c r="H898" s="41" t="n"/>
      <c r="I898" s="41" t="n"/>
      <c r="J898" s="41" t="n"/>
      <c r="K898" s="41" t="n"/>
      <c r="L898" s="41" t="n"/>
    </row>
    <row r="899">
      <c r="B899" s="45" t="n"/>
      <c r="C899" s="45" t="n"/>
      <c r="D899" s="40" t="n"/>
      <c r="E899" s="41" t="n"/>
      <c r="F899" s="41" t="n"/>
      <c r="G899" s="41" t="n"/>
      <c r="H899" s="41" t="n"/>
      <c r="I899" s="41" t="n"/>
      <c r="J899" s="41" t="n"/>
      <c r="K899" s="41" t="n"/>
      <c r="L899" s="41" t="n"/>
    </row>
    <row r="900">
      <c r="B900" s="45" t="n"/>
      <c r="C900" s="45" t="n"/>
      <c r="D900" s="40" t="n"/>
      <c r="E900" s="41" t="n"/>
      <c r="F900" s="41" t="n"/>
      <c r="G900" s="41" t="n"/>
      <c r="H900" s="41" t="n"/>
      <c r="I900" s="41" t="n"/>
      <c r="J900" s="41" t="n"/>
      <c r="K900" s="41" t="n"/>
      <c r="L900" s="41" t="n"/>
    </row>
    <row r="901">
      <c r="B901" s="45" t="n"/>
      <c r="C901" s="45" t="n"/>
      <c r="D901" s="40" t="n"/>
      <c r="E901" s="41" t="n"/>
      <c r="F901" s="41" t="n"/>
      <c r="G901" s="41" t="n"/>
      <c r="H901" s="41" t="n"/>
      <c r="I901" s="41" t="n"/>
      <c r="J901" s="41" t="n"/>
      <c r="K901" s="41" t="n"/>
      <c r="L901" s="41" t="n"/>
    </row>
    <row r="902">
      <c r="B902" s="45" t="n"/>
      <c r="C902" s="45" t="n"/>
      <c r="D902" s="40" t="n"/>
      <c r="E902" s="41" t="n"/>
      <c r="F902" s="41" t="n"/>
      <c r="G902" s="41" t="n"/>
      <c r="H902" s="41" t="n"/>
      <c r="I902" s="41" t="n"/>
      <c r="J902" s="41" t="n"/>
      <c r="K902" s="41" t="n"/>
      <c r="L902" s="41" t="n"/>
    </row>
    <row r="903">
      <c r="B903" s="45" t="n"/>
      <c r="C903" s="45" t="n"/>
      <c r="D903" s="40" t="n"/>
      <c r="E903" s="41" t="n"/>
      <c r="F903" s="41" t="n"/>
      <c r="G903" s="41" t="n"/>
      <c r="H903" s="41" t="n"/>
      <c r="I903" s="41" t="n"/>
      <c r="J903" s="41" t="n"/>
      <c r="K903" s="41" t="n"/>
      <c r="L903" s="41" t="n"/>
    </row>
    <row r="904">
      <c r="B904" s="45" t="n"/>
      <c r="C904" s="45" t="n"/>
      <c r="D904" s="40" t="n"/>
      <c r="E904" s="41" t="n"/>
      <c r="F904" s="41" t="n"/>
      <c r="G904" s="41" t="n"/>
      <c r="H904" s="41" t="n"/>
      <c r="I904" s="41" t="n"/>
      <c r="J904" s="41" t="n"/>
      <c r="K904" s="41" t="n"/>
      <c r="L904" s="41" t="n"/>
    </row>
    <row r="905">
      <c r="B905" s="45" t="n"/>
      <c r="C905" s="45" t="n"/>
      <c r="D905" s="40" t="n"/>
      <c r="E905" s="41" t="n"/>
      <c r="F905" s="41" t="n"/>
      <c r="G905" s="41" t="n"/>
      <c r="H905" s="41" t="n"/>
      <c r="I905" s="41" t="n"/>
      <c r="J905" s="41" t="n"/>
      <c r="K905" s="41" t="n"/>
      <c r="L905" s="41" t="n"/>
    </row>
    <row r="906">
      <c r="B906" s="45" t="n"/>
      <c r="C906" s="45" t="n"/>
      <c r="D906" s="40" t="n"/>
      <c r="E906" s="41" t="n"/>
      <c r="F906" s="41" t="n"/>
      <c r="G906" s="41" t="n"/>
      <c r="H906" s="41" t="n"/>
      <c r="I906" s="41" t="n"/>
      <c r="J906" s="41" t="n"/>
      <c r="K906" s="41" t="n"/>
      <c r="L906" s="41" t="n"/>
    </row>
    <row r="907">
      <c r="B907" s="45" t="n"/>
      <c r="C907" s="45" t="n"/>
      <c r="D907" s="40" t="n"/>
      <c r="E907" s="41" t="n"/>
      <c r="F907" s="41" t="n"/>
      <c r="G907" s="41" t="n"/>
      <c r="H907" s="41" t="n"/>
      <c r="I907" s="41" t="n"/>
      <c r="J907" s="41" t="n"/>
      <c r="K907" s="41" t="n"/>
      <c r="L907" s="41" t="n"/>
    </row>
    <row r="908">
      <c r="B908" s="45" t="n"/>
      <c r="C908" s="45" t="n"/>
      <c r="D908" s="40" t="n"/>
      <c r="E908" s="41" t="n"/>
      <c r="F908" s="41" t="n"/>
      <c r="G908" s="41" t="n"/>
      <c r="H908" s="41" t="n"/>
      <c r="I908" s="41" t="n"/>
      <c r="J908" s="41" t="n"/>
      <c r="K908" s="41" t="n"/>
      <c r="L908" s="41" t="n"/>
    </row>
    <row r="909">
      <c r="B909" s="45" t="n"/>
      <c r="C909" s="45" t="n"/>
      <c r="D909" s="40" t="n"/>
      <c r="E909" s="41" t="n"/>
      <c r="F909" s="41" t="n"/>
      <c r="G909" s="41" t="n"/>
      <c r="H909" s="41" t="n"/>
      <c r="I909" s="41" t="n"/>
      <c r="J909" s="41" t="n"/>
      <c r="K909" s="41" t="n"/>
      <c r="L909" s="41" t="n"/>
    </row>
    <row r="910">
      <c r="B910" s="45" t="n"/>
      <c r="C910" s="45" t="n"/>
      <c r="D910" s="40" t="n"/>
      <c r="E910" s="41" t="n"/>
      <c r="F910" s="41" t="n"/>
      <c r="G910" s="41" t="n"/>
      <c r="H910" s="41" t="n"/>
      <c r="I910" s="41" t="n"/>
      <c r="J910" s="41" t="n"/>
      <c r="K910" s="41" t="n"/>
      <c r="L910" s="41" t="n"/>
    </row>
    <row r="911">
      <c r="B911" s="45" t="n"/>
      <c r="C911" s="45" t="n"/>
      <c r="D911" s="40" t="n"/>
      <c r="E911" s="41" t="n"/>
      <c r="F911" s="41" t="n"/>
      <c r="G911" s="41" t="n"/>
      <c r="H911" s="41" t="n"/>
      <c r="I911" s="41" t="n"/>
      <c r="J911" s="41" t="n"/>
      <c r="K911" s="41" t="n"/>
      <c r="L911" s="41" t="n"/>
    </row>
    <row r="912">
      <c r="B912" s="45" t="n"/>
      <c r="C912" s="45" t="n"/>
      <c r="D912" s="40" t="n"/>
      <c r="E912" s="41" t="n"/>
      <c r="F912" s="41" t="n"/>
      <c r="G912" s="41" t="n"/>
      <c r="H912" s="41" t="n"/>
      <c r="I912" s="41" t="n"/>
      <c r="J912" s="41" t="n"/>
      <c r="K912" s="41" t="n"/>
      <c r="L912" s="41" t="n"/>
    </row>
    <row r="913">
      <c r="B913" s="45" t="n"/>
      <c r="C913" s="45" t="n"/>
      <c r="D913" s="40" t="n"/>
      <c r="E913" s="41" t="n"/>
      <c r="F913" s="41" t="n"/>
      <c r="G913" s="41" t="n"/>
      <c r="H913" s="41" t="n"/>
      <c r="I913" s="41" t="n"/>
      <c r="J913" s="41" t="n"/>
      <c r="K913" s="41" t="n"/>
      <c r="L913" s="41" t="n"/>
    </row>
    <row r="914">
      <c r="B914" s="45" t="n"/>
      <c r="C914" s="45" t="n"/>
      <c r="D914" s="40" t="n"/>
      <c r="E914" s="41" t="n"/>
      <c r="F914" s="41" t="n"/>
      <c r="G914" s="41" t="n"/>
      <c r="H914" s="41" t="n"/>
      <c r="I914" s="41" t="n"/>
      <c r="J914" s="41" t="n"/>
      <c r="K914" s="41" t="n"/>
      <c r="L914" s="41" t="n"/>
    </row>
    <row r="915">
      <c r="B915" s="45" t="n"/>
      <c r="C915" s="45" t="n"/>
      <c r="D915" s="40" t="n"/>
      <c r="E915" s="41" t="n"/>
      <c r="F915" s="41" t="n"/>
      <c r="G915" s="41" t="n"/>
      <c r="H915" s="41" t="n"/>
      <c r="I915" s="41" t="n"/>
      <c r="J915" s="41" t="n"/>
      <c r="K915" s="41" t="n"/>
      <c r="L915" s="41" t="n"/>
    </row>
    <row r="916">
      <c r="B916" s="45" t="n"/>
      <c r="C916" s="45" t="n"/>
      <c r="D916" s="40" t="n"/>
      <c r="E916" s="41" t="n"/>
      <c r="F916" s="41" t="n"/>
      <c r="G916" s="41" t="n"/>
      <c r="H916" s="41" t="n"/>
      <c r="I916" s="41" t="n"/>
      <c r="J916" s="41" t="n"/>
      <c r="K916" s="41" t="n"/>
      <c r="L916" s="41" t="n"/>
    </row>
    <row r="917">
      <c r="B917" s="45" t="n"/>
      <c r="C917" s="45" t="n"/>
      <c r="D917" s="40" t="n"/>
      <c r="E917" s="41" t="n"/>
      <c r="F917" s="41" t="n"/>
      <c r="G917" s="41" t="n"/>
      <c r="H917" s="41" t="n"/>
      <c r="I917" s="41" t="n"/>
      <c r="J917" s="41" t="n"/>
      <c r="K917" s="41" t="n"/>
      <c r="L917" s="41" t="n"/>
    </row>
    <row r="918">
      <c r="B918" s="45" t="n"/>
      <c r="C918" s="45" t="n"/>
      <c r="D918" s="40" t="n"/>
      <c r="E918" s="41" t="n"/>
      <c r="F918" s="41" t="n"/>
      <c r="G918" s="41" t="n"/>
      <c r="H918" s="41" t="n"/>
      <c r="I918" s="41" t="n"/>
      <c r="J918" s="41" t="n"/>
      <c r="K918" s="41" t="n"/>
      <c r="L918" s="41" t="n"/>
    </row>
    <row r="919">
      <c r="B919" s="45" t="n"/>
      <c r="C919" s="45" t="n"/>
      <c r="D919" s="40" t="n"/>
      <c r="E919" s="41" t="n"/>
      <c r="F919" s="41" t="n"/>
      <c r="G919" s="41" t="n"/>
      <c r="H919" s="41" t="n"/>
      <c r="I919" s="41" t="n"/>
      <c r="J919" s="41" t="n"/>
      <c r="K919" s="41" t="n"/>
      <c r="L919" s="41" t="n"/>
    </row>
    <row r="920">
      <c r="B920" s="45" t="n"/>
      <c r="C920" s="45" t="n"/>
      <c r="D920" s="40" t="n"/>
      <c r="E920" s="41" t="n"/>
      <c r="F920" s="41" t="n"/>
      <c r="G920" s="41" t="n"/>
      <c r="H920" s="41" t="n"/>
      <c r="I920" s="41" t="n"/>
      <c r="J920" s="41" t="n"/>
      <c r="K920" s="41" t="n"/>
      <c r="L920" s="41" t="n"/>
    </row>
    <row r="921">
      <c r="B921" s="45" t="n"/>
      <c r="C921" s="45" t="n"/>
      <c r="D921" s="40" t="n"/>
      <c r="E921" s="41" t="n"/>
      <c r="F921" s="41" t="n"/>
      <c r="G921" s="41" t="n"/>
      <c r="H921" s="41" t="n"/>
      <c r="I921" s="41" t="n"/>
      <c r="J921" s="41" t="n"/>
      <c r="K921" s="41" t="n"/>
      <c r="L921" s="41" t="n"/>
    </row>
    <row r="922">
      <c r="B922" s="45" t="n"/>
      <c r="C922" s="45" t="n"/>
      <c r="D922" s="40" t="n"/>
      <c r="E922" s="41" t="n"/>
      <c r="F922" s="41" t="n"/>
      <c r="G922" s="41" t="n"/>
      <c r="H922" s="41" t="n"/>
      <c r="I922" s="41" t="n"/>
      <c r="J922" s="41" t="n"/>
      <c r="K922" s="41" t="n"/>
      <c r="L922" s="41" t="n"/>
    </row>
    <row r="923">
      <c r="B923" s="45" t="n"/>
      <c r="C923" s="45" t="n"/>
      <c r="D923" s="40" t="n"/>
      <c r="E923" s="41" t="n"/>
      <c r="F923" s="41" t="n"/>
      <c r="G923" s="41" t="n"/>
      <c r="H923" s="41" t="n"/>
      <c r="I923" s="41" t="n"/>
      <c r="J923" s="41" t="n"/>
      <c r="K923" s="41" t="n"/>
      <c r="L923" s="41" t="n"/>
    </row>
    <row r="924">
      <c r="B924" s="45" t="n"/>
      <c r="C924" s="45" t="n"/>
      <c r="D924" s="40" t="n"/>
      <c r="E924" s="41" t="n"/>
      <c r="F924" s="41" t="n"/>
      <c r="G924" s="41" t="n"/>
      <c r="H924" s="41" t="n"/>
      <c r="I924" s="41" t="n"/>
      <c r="J924" s="41" t="n"/>
      <c r="K924" s="41" t="n"/>
      <c r="L924" s="41" t="n"/>
    </row>
    <row r="925">
      <c r="B925" s="45" t="n"/>
      <c r="C925" s="45" t="n"/>
      <c r="D925" s="40" t="n"/>
      <c r="E925" s="41" t="n"/>
      <c r="F925" s="41" t="n"/>
      <c r="G925" s="41" t="n"/>
      <c r="H925" s="41" t="n"/>
      <c r="I925" s="41" t="n"/>
      <c r="J925" s="41" t="n"/>
      <c r="K925" s="41" t="n"/>
      <c r="L925" s="41" t="n"/>
    </row>
    <row r="926">
      <c r="B926" s="45" t="n"/>
      <c r="C926" s="45" t="n"/>
      <c r="D926" s="40" t="n"/>
      <c r="E926" s="41" t="n"/>
      <c r="F926" s="41" t="n"/>
      <c r="G926" s="41" t="n"/>
      <c r="H926" s="41" t="n"/>
      <c r="I926" s="41" t="n"/>
      <c r="J926" s="41" t="n"/>
      <c r="K926" s="41" t="n"/>
      <c r="L926" s="41" t="n"/>
    </row>
    <row r="927">
      <c r="B927" s="45" t="n"/>
      <c r="C927" s="45" t="n"/>
      <c r="D927" s="40" t="n"/>
      <c r="E927" s="41" t="n"/>
      <c r="F927" s="41" t="n"/>
      <c r="G927" s="41" t="n"/>
      <c r="H927" s="41" t="n"/>
      <c r="I927" s="41" t="n"/>
      <c r="J927" s="41" t="n"/>
      <c r="K927" s="41" t="n"/>
      <c r="L927" s="41" t="n"/>
    </row>
    <row r="928">
      <c r="B928" s="45" t="n"/>
      <c r="C928" s="45" t="n"/>
      <c r="D928" s="40" t="n"/>
      <c r="E928" s="41" t="n"/>
      <c r="F928" s="41" t="n"/>
      <c r="G928" s="41" t="n"/>
      <c r="H928" s="41" t="n"/>
      <c r="I928" s="41" t="n"/>
      <c r="J928" s="41" t="n"/>
      <c r="K928" s="41" t="n"/>
      <c r="L928" s="41" t="n"/>
    </row>
    <row r="929">
      <c r="B929" s="45" t="n"/>
      <c r="C929" s="45" t="n"/>
      <c r="D929" s="40" t="n"/>
      <c r="E929" s="41" t="n"/>
      <c r="F929" s="41" t="n"/>
      <c r="G929" s="41" t="n"/>
      <c r="H929" s="41" t="n"/>
      <c r="I929" s="41" t="n"/>
      <c r="J929" s="41" t="n"/>
      <c r="K929" s="41" t="n"/>
      <c r="L929" s="41" t="n"/>
    </row>
    <row r="930">
      <c r="B930" s="45" t="n"/>
      <c r="C930" s="45" t="n"/>
      <c r="D930" s="40" t="n"/>
      <c r="E930" s="41" t="n"/>
      <c r="F930" s="41" t="n"/>
      <c r="G930" s="41" t="n"/>
      <c r="H930" s="41" t="n"/>
      <c r="I930" s="41" t="n"/>
      <c r="J930" s="41" t="n"/>
      <c r="K930" s="41" t="n"/>
      <c r="L930" s="41" t="n"/>
    </row>
    <row r="931">
      <c r="B931" s="45" t="n"/>
      <c r="C931" s="45" t="n"/>
      <c r="D931" s="40" t="n"/>
      <c r="E931" s="41" t="n"/>
      <c r="F931" s="41" t="n"/>
      <c r="G931" s="41" t="n"/>
      <c r="H931" s="41" t="n"/>
      <c r="I931" s="41" t="n"/>
      <c r="J931" s="41" t="n"/>
      <c r="K931" s="41" t="n"/>
      <c r="L931" s="41" t="n"/>
    </row>
    <row r="932">
      <c r="B932" s="45" t="n"/>
      <c r="C932" s="45" t="n"/>
      <c r="D932" s="40" t="n"/>
      <c r="E932" s="41" t="n"/>
      <c r="F932" s="41" t="n"/>
      <c r="G932" s="41" t="n"/>
      <c r="H932" s="41" t="n"/>
      <c r="I932" s="41" t="n"/>
      <c r="J932" s="41" t="n"/>
      <c r="K932" s="41" t="n"/>
      <c r="L932" s="41" t="n"/>
    </row>
    <row r="933">
      <c r="B933" s="45" t="n"/>
      <c r="C933" s="45" t="n"/>
      <c r="D933" s="40" t="n"/>
      <c r="E933" s="41" t="n"/>
      <c r="F933" s="41" t="n"/>
      <c r="G933" s="41" t="n"/>
      <c r="H933" s="41" t="n"/>
      <c r="I933" s="41" t="n"/>
      <c r="J933" s="41" t="n"/>
      <c r="K933" s="41" t="n"/>
      <c r="L933" s="41" t="n"/>
    </row>
    <row r="934">
      <c r="B934" s="45" t="n"/>
      <c r="C934" s="45" t="n"/>
      <c r="D934" s="40" t="n"/>
      <c r="E934" s="41" t="n"/>
      <c r="F934" s="41" t="n"/>
      <c r="G934" s="41" t="n"/>
      <c r="H934" s="41" t="n"/>
      <c r="I934" s="41" t="n"/>
      <c r="J934" s="41" t="n"/>
      <c r="K934" s="41" t="n"/>
      <c r="L934" s="41" t="n"/>
    </row>
    <row r="935">
      <c r="B935" s="45" t="n"/>
      <c r="C935" s="45" t="n"/>
      <c r="D935" s="40" t="n"/>
      <c r="E935" s="41" t="n"/>
      <c r="F935" s="41" t="n"/>
      <c r="G935" s="41" t="n"/>
      <c r="H935" s="41" t="n"/>
      <c r="I935" s="41" t="n"/>
      <c r="J935" s="41" t="n"/>
      <c r="K935" s="41" t="n"/>
      <c r="L935" s="41" t="n"/>
    </row>
    <row r="936">
      <c r="B936" s="45" t="n"/>
      <c r="C936" s="45" t="n"/>
      <c r="D936" s="40" t="n"/>
      <c r="E936" s="41" t="n"/>
      <c r="F936" s="41" t="n"/>
      <c r="G936" s="41" t="n"/>
      <c r="H936" s="41" t="n"/>
      <c r="I936" s="41" t="n"/>
      <c r="J936" s="41" t="n"/>
      <c r="K936" s="41" t="n"/>
      <c r="L936" s="41" t="n"/>
    </row>
    <row r="937">
      <c r="B937" s="45" t="n"/>
      <c r="C937" s="45" t="n"/>
      <c r="D937" s="40" t="n"/>
      <c r="E937" s="41" t="n"/>
      <c r="F937" s="41" t="n"/>
      <c r="G937" s="41" t="n"/>
      <c r="H937" s="41" t="n"/>
      <c r="I937" s="41" t="n"/>
      <c r="J937" s="41" t="n"/>
      <c r="K937" s="41" t="n"/>
      <c r="L937" s="41" t="n"/>
    </row>
    <row r="938">
      <c r="B938" s="45" t="n"/>
      <c r="C938" s="45" t="n"/>
      <c r="D938" s="40" t="n"/>
      <c r="E938" s="41" t="n"/>
      <c r="F938" s="41" t="n"/>
      <c r="G938" s="41" t="n"/>
      <c r="H938" s="41" t="n"/>
      <c r="I938" s="41" t="n"/>
      <c r="J938" s="41" t="n"/>
      <c r="K938" s="41" t="n"/>
      <c r="L938" s="41" t="n"/>
    </row>
    <row r="939">
      <c r="B939" s="45" t="n"/>
      <c r="C939" s="45" t="n"/>
      <c r="D939" s="40" t="n"/>
      <c r="E939" s="41" t="n"/>
      <c r="F939" s="41" t="n"/>
      <c r="G939" s="41" t="n"/>
      <c r="H939" s="41" t="n"/>
      <c r="I939" s="41" t="n"/>
      <c r="J939" s="41" t="n"/>
      <c r="K939" s="41" t="n"/>
      <c r="L939" s="41" t="n"/>
    </row>
    <row r="940">
      <c r="B940" s="45" t="n"/>
      <c r="C940" s="45" t="n"/>
      <c r="D940" s="40" t="n"/>
      <c r="E940" s="41" t="n"/>
      <c r="F940" s="41" t="n"/>
      <c r="G940" s="41" t="n"/>
      <c r="H940" s="41" t="n"/>
      <c r="I940" s="41" t="n"/>
      <c r="J940" s="41" t="n"/>
      <c r="K940" s="41" t="n"/>
      <c r="L940" s="41" t="n"/>
    </row>
    <row r="941">
      <c r="B941" s="45" t="n"/>
      <c r="C941" s="45" t="n"/>
      <c r="D941" s="40" t="n"/>
      <c r="E941" s="41" t="n"/>
      <c r="F941" s="41" t="n"/>
      <c r="G941" s="41" t="n"/>
      <c r="H941" s="41" t="n"/>
      <c r="I941" s="41" t="n"/>
      <c r="J941" s="41" t="n"/>
      <c r="K941" s="41" t="n"/>
      <c r="L941" s="41" t="n"/>
    </row>
    <row r="942">
      <c r="B942" s="45" t="n"/>
      <c r="C942" s="45" t="n"/>
      <c r="D942" s="40" t="n"/>
      <c r="E942" s="41" t="n"/>
      <c r="F942" s="41" t="n"/>
      <c r="G942" s="41" t="n"/>
      <c r="H942" s="41" t="n"/>
      <c r="I942" s="41" t="n"/>
      <c r="J942" s="41" t="n"/>
      <c r="K942" s="41" t="n"/>
      <c r="L942" s="41" t="n"/>
    </row>
    <row r="943">
      <c r="B943" s="45" t="n"/>
      <c r="C943" s="45" t="n"/>
      <c r="D943" s="40" t="n"/>
      <c r="E943" s="41" t="n"/>
      <c r="F943" s="41" t="n"/>
      <c r="G943" s="41" t="n"/>
      <c r="H943" s="41" t="n"/>
      <c r="I943" s="41" t="n"/>
      <c r="J943" s="41" t="n"/>
      <c r="K943" s="41" t="n"/>
      <c r="L943" s="41" t="n"/>
    </row>
    <row r="944">
      <c r="B944" s="45" t="n"/>
      <c r="C944" s="45" t="n"/>
      <c r="D944" s="40" t="n"/>
      <c r="E944" s="41" t="n"/>
      <c r="F944" s="41" t="n"/>
      <c r="G944" s="41" t="n"/>
      <c r="H944" s="41" t="n"/>
      <c r="I944" s="41" t="n"/>
      <c r="J944" s="41" t="n"/>
      <c r="K944" s="41" t="n"/>
      <c r="L944" s="41" t="n"/>
    </row>
    <row r="945">
      <c r="B945" s="45" t="n"/>
      <c r="C945" s="45" t="n"/>
      <c r="D945" s="40" t="n"/>
      <c r="E945" s="41" t="n"/>
      <c r="F945" s="41" t="n"/>
      <c r="G945" s="41" t="n"/>
      <c r="H945" s="41" t="n"/>
      <c r="I945" s="41" t="n"/>
      <c r="J945" s="41" t="n"/>
      <c r="K945" s="41" t="n"/>
      <c r="L945" s="41" t="n"/>
    </row>
    <row r="946">
      <c r="B946" s="45" t="n"/>
      <c r="C946" s="45" t="n"/>
      <c r="D946" s="40" t="n"/>
      <c r="E946" s="41" t="n"/>
      <c r="F946" s="41" t="n"/>
      <c r="G946" s="41" t="n"/>
      <c r="H946" s="41" t="n"/>
      <c r="I946" s="41" t="n"/>
      <c r="J946" s="41" t="n"/>
      <c r="K946" s="41" t="n"/>
      <c r="L946" s="41" t="n"/>
    </row>
    <row r="947">
      <c r="B947" s="45" t="n"/>
      <c r="C947" s="45" t="n"/>
      <c r="D947" s="40" t="n"/>
      <c r="E947" s="41" t="n"/>
      <c r="F947" s="41" t="n"/>
      <c r="G947" s="41" t="n"/>
      <c r="H947" s="41" t="n"/>
      <c r="I947" s="41" t="n"/>
      <c r="J947" s="41" t="n"/>
      <c r="K947" s="41" t="n"/>
      <c r="L947" s="41" t="n"/>
    </row>
    <row r="948">
      <c r="B948" s="45" t="n"/>
      <c r="C948" s="45" t="n"/>
      <c r="D948" s="40" t="n"/>
      <c r="E948" s="41" t="n"/>
      <c r="F948" s="41" t="n"/>
      <c r="G948" s="41" t="n"/>
      <c r="H948" s="41" t="n"/>
      <c r="I948" s="41" t="n"/>
      <c r="J948" s="41" t="n"/>
      <c r="K948" s="41" t="n"/>
      <c r="L948" s="41" t="n"/>
    </row>
    <row r="949">
      <c r="B949" s="45" t="n"/>
      <c r="C949" s="45" t="n"/>
      <c r="D949" s="40" t="n"/>
      <c r="E949" s="41" t="n"/>
      <c r="F949" s="41" t="n"/>
      <c r="G949" s="41" t="n"/>
      <c r="H949" s="41" t="n"/>
      <c r="I949" s="41" t="n"/>
      <c r="J949" s="41" t="n"/>
      <c r="K949" s="41" t="n"/>
      <c r="L949" s="41" t="n"/>
    </row>
    <row r="950">
      <c r="B950" s="45" t="n"/>
      <c r="C950" s="45" t="n"/>
      <c r="D950" s="40" t="n"/>
      <c r="E950" s="41" t="n"/>
      <c r="F950" s="41" t="n"/>
      <c r="G950" s="41" t="n"/>
      <c r="H950" s="41" t="n"/>
      <c r="I950" s="41" t="n"/>
      <c r="J950" s="41" t="n"/>
      <c r="K950" s="41" t="n"/>
      <c r="L950" s="41" t="n"/>
    </row>
    <row r="951">
      <c r="B951" s="45" t="n"/>
      <c r="C951" s="45" t="n"/>
      <c r="D951" s="40" t="n"/>
      <c r="E951" s="41" t="n"/>
      <c r="F951" s="41" t="n"/>
      <c r="G951" s="41" t="n"/>
      <c r="H951" s="41" t="n"/>
      <c r="I951" s="41" t="n"/>
      <c r="J951" s="41" t="n"/>
      <c r="K951" s="41" t="n"/>
      <c r="L951" s="41" t="n"/>
    </row>
    <row r="952">
      <c r="B952" s="45" t="n"/>
      <c r="C952" s="45" t="n"/>
      <c r="D952" s="40" t="n"/>
      <c r="E952" s="41" t="n"/>
      <c r="F952" s="41" t="n"/>
      <c r="G952" s="41" t="n"/>
      <c r="H952" s="41" t="n"/>
      <c r="I952" s="41" t="n"/>
      <c r="J952" s="41" t="n"/>
      <c r="K952" s="41" t="n"/>
      <c r="L952" s="41" t="n"/>
    </row>
    <row r="953">
      <c r="B953" s="45" t="n"/>
      <c r="C953" s="45" t="n"/>
      <c r="D953" s="40" t="n"/>
      <c r="E953" s="41" t="n"/>
      <c r="F953" s="41" t="n"/>
      <c r="G953" s="41" t="n"/>
      <c r="H953" s="41" t="n"/>
      <c r="I953" s="41" t="n"/>
      <c r="J953" s="41" t="n"/>
      <c r="K953" s="41" t="n"/>
      <c r="L953" s="41" t="n"/>
    </row>
    <row r="954">
      <c r="B954" s="45" t="n"/>
      <c r="C954" s="45" t="n"/>
      <c r="D954" s="40" t="n"/>
      <c r="E954" s="41" t="n"/>
      <c r="F954" s="41" t="n"/>
      <c r="G954" s="41" t="n"/>
      <c r="H954" s="41" t="n"/>
      <c r="I954" s="41" t="n"/>
      <c r="J954" s="41" t="n"/>
      <c r="K954" s="41" t="n"/>
      <c r="L954" s="41" t="n"/>
    </row>
    <row r="955">
      <c r="B955" s="45" t="n"/>
      <c r="C955" s="45" t="n"/>
      <c r="D955" s="40" t="n"/>
      <c r="E955" s="41" t="n"/>
      <c r="F955" s="41" t="n"/>
      <c r="G955" s="41" t="n"/>
      <c r="H955" s="41" t="n"/>
      <c r="I955" s="41" t="n"/>
      <c r="J955" s="41" t="n"/>
      <c r="K955" s="41" t="n"/>
      <c r="L955" s="41" t="n"/>
    </row>
    <row r="956">
      <c r="B956" s="45" t="n"/>
      <c r="C956" s="45" t="n"/>
      <c r="D956" s="40" t="n"/>
      <c r="E956" s="41" t="n"/>
      <c r="F956" s="41" t="n"/>
      <c r="G956" s="41" t="n"/>
      <c r="H956" s="41" t="n"/>
      <c r="I956" s="41" t="n"/>
      <c r="J956" s="41" t="n"/>
      <c r="K956" s="41" t="n"/>
      <c r="L956" s="41" t="n"/>
    </row>
    <row r="957">
      <c r="B957" s="45" t="n"/>
      <c r="C957" s="45" t="n"/>
      <c r="D957" s="40" t="n"/>
      <c r="E957" s="41" t="n"/>
      <c r="F957" s="41" t="n"/>
      <c r="G957" s="41" t="n"/>
      <c r="H957" s="41" t="n"/>
      <c r="I957" s="41" t="n"/>
      <c r="J957" s="41" t="n"/>
      <c r="K957" s="41" t="n"/>
      <c r="L957" s="41" t="n"/>
    </row>
    <row r="958">
      <c r="B958" s="45" t="n"/>
      <c r="C958" s="45" t="n"/>
      <c r="D958" s="40" t="n"/>
      <c r="E958" s="41" t="n"/>
      <c r="F958" s="41" t="n"/>
      <c r="G958" s="41" t="n"/>
      <c r="H958" s="41" t="n"/>
      <c r="I958" s="41" t="n"/>
      <c r="J958" s="41" t="n"/>
      <c r="K958" s="41" t="n"/>
      <c r="L958" s="41" t="n"/>
    </row>
    <row r="959">
      <c r="B959" s="45" t="n"/>
      <c r="C959" s="45" t="n"/>
      <c r="D959" s="40" t="n"/>
      <c r="E959" s="41" t="n"/>
      <c r="F959" s="41" t="n"/>
      <c r="G959" s="41" t="n"/>
      <c r="H959" s="41" t="n"/>
      <c r="I959" s="41" t="n"/>
      <c r="J959" s="41" t="n"/>
      <c r="K959" s="41" t="n"/>
      <c r="L959" s="41" t="n"/>
    </row>
    <row r="960">
      <c r="B960" s="45" t="n"/>
      <c r="C960" s="45" t="n"/>
      <c r="D960" s="40" t="n"/>
      <c r="E960" s="41" t="n"/>
      <c r="F960" s="41" t="n"/>
      <c r="G960" s="41" t="n"/>
      <c r="H960" s="41" t="n"/>
      <c r="I960" s="41" t="n"/>
      <c r="J960" s="41" t="n"/>
      <c r="K960" s="41" t="n"/>
      <c r="L960" s="41" t="n"/>
    </row>
    <row r="961">
      <c r="B961" s="45" t="n"/>
      <c r="C961" s="45" t="n"/>
      <c r="D961" s="40" t="n"/>
      <c r="E961" s="41" t="n"/>
      <c r="F961" s="41" t="n"/>
      <c r="G961" s="41" t="n"/>
      <c r="H961" s="41" t="n"/>
      <c r="I961" s="41" t="n"/>
      <c r="J961" s="41" t="n"/>
      <c r="K961" s="41" t="n"/>
      <c r="L961" s="41" t="n"/>
    </row>
    <row r="962">
      <c r="B962" s="45" t="n"/>
      <c r="C962" s="45" t="n"/>
      <c r="D962" s="40" t="n"/>
      <c r="E962" s="41" t="n"/>
      <c r="F962" s="41" t="n"/>
      <c r="G962" s="41" t="n"/>
      <c r="H962" s="41" t="n"/>
      <c r="I962" s="41" t="n"/>
      <c r="J962" s="41" t="n"/>
      <c r="K962" s="41" t="n"/>
      <c r="L962" s="41" t="n"/>
    </row>
    <row r="963">
      <c r="B963" s="45" t="n"/>
      <c r="C963" s="45" t="n"/>
      <c r="D963" s="40" t="n"/>
      <c r="E963" s="41" t="n"/>
      <c r="F963" s="41" t="n"/>
      <c r="G963" s="41" t="n"/>
      <c r="H963" s="41" t="n"/>
      <c r="I963" s="41" t="n"/>
      <c r="J963" s="41" t="n"/>
      <c r="K963" s="41" t="n"/>
      <c r="L963" s="41" t="n"/>
    </row>
    <row r="964">
      <c r="B964" s="45" t="n"/>
      <c r="C964" s="45" t="n"/>
      <c r="D964" s="40" t="n"/>
      <c r="E964" s="41" t="n"/>
      <c r="F964" s="41" t="n"/>
      <c r="G964" s="41" t="n"/>
      <c r="H964" s="41" t="n"/>
      <c r="I964" s="41" t="n"/>
      <c r="J964" s="41" t="n"/>
      <c r="K964" s="41" t="n"/>
      <c r="L964" s="41" t="n"/>
    </row>
    <row r="965">
      <c r="B965" s="45" t="n"/>
      <c r="C965" s="45" t="n"/>
      <c r="D965" s="40" t="n"/>
      <c r="E965" s="41" t="n"/>
      <c r="F965" s="41" t="n"/>
      <c r="G965" s="41" t="n"/>
      <c r="H965" s="41" t="n"/>
      <c r="I965" s="41" t="n"/>
      <c r="J965" s="41" t="n"/>
      <c r="K965" s="41" t="n"/>
      <c r="L965" s="41" t="n"/>
    </row>
    <row r="966">
      <c r="B966" s="45" t="n"/>
      <c r="C966" s="45" t="n"/>
      <c r="D966" s="40" t="n"/>
      <c r="E966" s="41" t="n"/>
      <c r="F966" s="41" t="n"/>
      <c r="G966" s="41" t="n"/>
      <c r="H966" s="41" t="n"/>
      <c r="I966" s="41" t="n"/>
      <c r="J966" s="41" t="n"/>
      <c r="K966" s="41" t="n"/>
      <c r="L966" s="41" t="n"/>
    </row>
    <row r="967">
      <c r="B967" s="45" t="n"/>
      <c r="C967" s="45" t="n"/>
      <c r="D967" s="40" t="n"/>
      <c r="E967" s="41" t="n"/>
      <c r="F967" s="41" t="n"/>
      <c r="G967" s="41" t="n"/>
      <c r="H967" s="41" t="n"/>
      <c r="I967" s="41" t="n"/>
      <c r="J967" s="41" t="n"/>
      <c r="K967" s="41" t="n"/>
      <c r="L967" s="41" t="n"/>
    </row>
    <row r="968">
      <c r="B968" s="45" t="n"/>
      <c r="C968" s="45" t="n"/>
      <c r="D968" s="40" t="n"/>
      <c r="E968" s="41" t="n"/>
      <c r="F968" s="41" t="n"/>
      <c r="G968" s="41" t="n"/>
      <c r="H968" s="41" t="n"/>
      <c r="I968" s="41" t="n"/>
      <c r="J968" s="41" t="n"/>
      <c r="K968" s="41" t="n"/>
      <c r="L968" s="41" t="n"/>
    </row>
    <row r="969">
      <c r="B969" s="45" t="n"/>
      <c r="C969" s="45" t="n"/>
      <c r="D969" s="40" t="n"/>
      <c r="E969" s="41" t="n"/>
      <c r="F969" s="41" t="n"/>
      <c r="G969" s="41" t="n"/>
      <c r="H969" s="41" t="n"/>
      <c r="I969" s="41" t="n"/>
      <c r="J969" s="41" t="n"/>
      <c r="K969" s="41" t="n"/>
      <c r="L969" s="41" t="n"/>
    </row>
    <row r="970">
      <c r="B970" s="45" t="n"/>
      <c r="C970" s="45" t="n"/>
      <c r="D970" s="40" t="n"/>
      <c r="E970" s="41" t="n"/>
      <c r="F970" s="41" t="n"/>
      <c r="G970" s="41" t="n"/>
      <c r="H970" s="41" t="n"/>
      <c r="I970" s="41" t="n"/>
      <c r="J970" s="41" t="n"/>
      <c r="K970" s="41" t="n"/>
      <c r="L970" s="41" t="n"/>
    </row>
    <row r="971">
      <c r="B971" s="45" t="n"/>
      <c r="C971" s="45" t="n"/>
      <c r="D971" s="40" t="n"/>
      <c r="E971" s="41" t="n"/>
      <c r="F971" s="41" t="n"/>
      <c r="G971" s="41" t="n"/>
      <c r="H971" s="41" t="n"/>
      <c r="I971" s="41" t="n"/>
      <c r="J971" s="41" t="n"/>
      <c r="K971" s="41" t="n"/>
      <c r="L971" s="41" t="n"/>
    </row>
    <row r="972">
      <c r="B972" s="45" t="n"/>
      <c r="C972" s="45" t="n"/>
      <c r="D972" s="40" t="n"/>
      <c r="E972" s="41" t="n"/>
      <c r="F972" s="41" t="n"/>
      <c r="G972" s="41" t="n"/>
      <c r="H972" s="41" t="n"/>
      <c r="I972" s="41" t="n"/>
      <c r="J972" s="41" t="n"/>
      <c r="K972" s="41" t="n"/>
      <c r="L972" s="41" t="n"/>
    </row>
    <row r="973">
      <c r="B973" s="45" t="n"/>
      <c r="C973" s="45" t="n"/>
      <c r="D973" s="40" t="n"/>
      <c r="E973" s="41" t="n"/>
      <c r="F973" s="41" t="n"/>
      <c r="G973" s="41" t="n"/>
      <c r="H973" s="41" t="n"/>
      <c r="I973" s="41" t="n"/>
      <c r="J973" s="41" t="n"/>
      <c r="K973" s="41" t="n"/>
      <c r="L973" s="41" t="n"/>
    </row>
    <row r="974">
      <c r="B974" s="45" t="n"/>
      <c r="C974" s="45" t="n"/>
      <c r="D974" s="40" t="n"/>
      <c r="E974" s="41" t="n"/>
      <c r="F974" s="41" t="n"/>
      <c r="G974" s="41" t="n"/>
      <c r="H974" s="41" t="n"/>
      <c r="I974" s="41" t="n"/>
      <c r="J974" s="41" t="n"/>
      <c r="K974" s="41" t="n"/>
      <c r="L974" s="41" t="n"/>
    </row>
    <row r="975">
      <c r="B975" s="45" t="n"/>
      <c r="C975" s="45" t="n"/>
      <c r="D975" s="40" t="n"/>
      <c r="E975" s="41" t="n"/>
      <c r="F975" s="41" t="n"/>
      <c r="G975" s="41" t="n"/>
      <c r="H975" s="41" t="n"/>
      <c r="I975" s="41" t="n"/>
      <c r="J975" s="41" t="n"/>
      <c r="K975" s="41" t="n"/>
      <c r="L975" s="41" t="n"/>
    </row>
    <row r="976">
      <c r="B976" s="45" t="n"/>
      <c r="C976" s="45" t="n"/>
      <c r="D976" s="40" t="n"/>
      <c r="E976" s="41" t="n"/>
      <c r="F976" s="41" t="n"/>
      <c r="G976" s="41" t="n"/>
      <c r="H976" s="41" t="n"/>
      <c r="I976" s="41" t="n"/>
      <c r="J976" s="41" t="n"/>
      <c r="K976" s="41" t="n"/>
      <c r="L976" s="41" t="n"/>
    </row>
    <row r="977">
      <c r="B977" s="45" t="n"/>
      <c r="C977" s="45" t="n"/>
      <c r="D977" s="40" t="n"/>
      <c r="E977" s="41" t="n"/>
      <c r="F977" s="41" t="n"/>
      <c r="G977" s="41" t="n"/>
      <c r="H977" s="41" t="n"/>
      <c r="I977" s="41" t="n"/>
      <c r="J977" s="41" t="n"/>
      <c r="K977" s="41" t="n"/>
      <c r="L977" s="41" t="n"/>
    </row>
    <row r="978">
      <c r="B978" s="45" t="n"/>
      <c r="C978" s="45" t="n"/>
      <c r="D978" s="40" t="n"/>
      <c r="E978" s="41" t="n"/>
      <c r="F978" s="41" t="n"/>
      <c r="G978" s="41" t="n"/>
      <c r="H978" s="41" t="n"/>
      <c r="I978" s="41" t="n"/>
      <c r="J978" s="41" t="n"/>
      <c r="K978" s="41" t="n"/>
      <c r="L978" s="41" t="n"/>
    </row>
    <row r="979">
      <c r="B979" s="45" t="n"/>
      <c r="C979" s="45" t="n"/>
      <c r="D979" s="40" t="n"/>
      <c r="E979" s="41" t="n"/>
      <c r="F979" s="41" t="n"/>
      <c r="G979" s="41" t="n"/>
      <c r="H979" s="41" t="n"/>
      <c r="I979" s="41" t="n"/>
      <c r="J979" s="41" t="n"/>
      <c r="K979" s="41" t="n"/>
      <c r="L979" s="41" t="n"/>
    </row>
    <row r="980">
      <c r="B980" s="45" t="n"/>
      <c r="C980" s="45" t="n"/>
      <c r="D980" s="40" t="n"/>
      <c r="E980" s="41" t="n"/>
      <c r="F980" s="41" t="n"/>
      <c r="G980" s="41" t="n"/>
      <c r="H980" s="41" t="n"/>
      <c r="I980" s="41" t="n"/>
      <c r="J980" s="41" t="n"/>
      <c r="K980" s="41" t="n"/>
      <c r="L980" s="41" t="n"/>
    </row>
    <row r="981">
      <c r="B981" s="45" t="n"/>
      <c r="C981" s="45" t="n"/>
      <c r="D981" s="40" t="n"/>
      <c r="E981" s="41" t="n"/>
      <c r="F981" s="41" t="n"/>
      <c r="G981" s="41" t="n"/>
      <c r="H981" s="41" t="n"/>
      <c r="I981" s="41" t="n"/>
      <c r="J981" s="41" t="n"/>
      <c r="K981" s="41" t="n"/>
      <c r="L981" s="41" t="n"/>
    </row>
    <row r="982">
      <c r="B982" s="45" t="n"/>
      <c r="C982" s="45" t="n"/>
      <c r="D982" s="40" t="n"/>
      <c r="E982" s="41" t="n"/>
      <c r="F982" s="41" t="n"/>
      <c r="G982" s="41" t="n"/>
      <c r="H982" s="41" t="n"/>
      <c r="I982" s="41" t="n"/>
      <c r="J982" s="41" t="n"/>
      <c r="K982" s="41" t="n"/>
      <c r="L982" s="41" t="n"/>
    </row>
    <row r="983">
      <c r="B983" s="45" t="n"/>
      <c r="C983" s="45" t="n"/>
      <c r="D983" s="40" t="n"/>
      <c r="E983" s="41" t="n"/>
      <c r="F983" s="41" t="n"/>
      <c r="G983" s="41" t="n"/>
      <c r="H983" s="41" t="n"/>
      <c r="I983" s="41" t="n"/>
      <c r="J983" s="41" t="n"/>
      <c r="K983" s="41" t="n"/>
      <c r="L983" s="41" t="n"/>
    </row>
    <row r="984">
      <c r="B984" s="45" t="n"/>
      <c r="C984" s="45" t="n"/>
      <c r="D984" s="40" t="n"/>
      <c r="E984" s="41" t="n"/>
      <c r="F984" s="41" t="n"/>
      <c r="G984" s="41" t="n"/>
      <c r="H984" s="41" t="n"/>
      <c r="I984" s="41" t="n"/>
      <c r="J984" s="41" t="n"/>
      <c r="K984" s="41" t="n"/>
      <c r="L984" s="41" t="n"/>
    </row>
    <row r="985">
      <c r="B985" s="45" t="n"/>
      <c r="C985" s="45" t="n"/>
      <c r="D985" s="40" t="n"/>
      <c r="E985" s="41" t="n"/>
      <c r="F985" s="41" t="n"/>
      <c r="G985" s="41" t="n"/>
      <c r="H985" s="41" t="n"/>
      <c r="I985" s="41" t="n"/>
      <c r="J985" s="41" t="n"/>
      <c r="K985" s="41" t="n"/>
      <c r="L985" s="41" t="n"/>
    </row>
    <row r="986">
      <c r="B986" s="45" t="n"/>
      <c r="C986" s="45" t="n"/>
      <c r="D986" s="40" t="n"/>
      <c r="E986" s="41" t="n"/>
      <c r="F986" s="41" t="n"/>
      <c r="G986" s="41" t="n"/>
      <c r="H986" s="41" t="n"/>
      <c r="I986" s="41" t="n"/>
      <c r="J986" s="41" t="n"/>
      <c r="K986" s="41" t="n"/>
      <c r="L986" s="41" t="n"/>
    </row>
    <row r="987">
      <c r="B987" s="45" t="n"/>
      <c r="C987" s="45" t="n"/>
      <c r="D987" s="40" t="n"/>
      <c r="E987" s="41" t="n"/>
      <c r="F987" s="41" t="n"/>
      <c r="G987" s="41" t="n"/>
      <c r="H987" s="41" t="n"/>
      <c r="I987" s="41" t="n"/>
      <c r="J987" s="41" t="n"/>
      <c r="K987" s="41" t="n"/>
      <c r="L987" s="41" t="n"/>
    </row>
    <row r="988">
      <c r="B988" s="45" t="n"/>
      <c r="C988" s="45" t="n"/>
      <c r="D988" s="40" t="n"/>
      <c r="E988" s="41" t="n"/>
      <c r="F988" s="41" t="n"/>
      <c r="G988" s="41" t="n"/>
      <c r="H988" s="41" t="n"/>
      <c r="I988" s="41" t="n"/>
      <c r="J988" s="41" t="n"/>
      <c r="K988" s="41" t="n"/>
      <c r="L988" s="41" t="n"/>
    </row>
    <row r="989">
      <c r="B989" s="45" t="n"/>
      <c r="C989" s="45" t="n"/>
      <c r="D989" s="40" t="n"/>
      <c r="E989" s="41" t="n"/>
      <c r="F989" s="41" t="n"/>
      <c r="G989" s="41" t="n"/>
      <c r="H989" s="41" t="n"/>
      <c r="I989" s="41" t="n"/>
      <c r="J989" s="41" t="n"/>
      <c r="K989" s="41" t="n"/>
      <c r="L989" s="41" t="n"/>
    </row>
    <row r="990">
      <c r="B990" s="45" t="n"/>
      <c r="C990" s="45" t="n"/>
      <c r="D990" s="40" t="n"/>
      <c r="E990" s="41" t="n"/>
      <c r="F990" s="41" t="n"/>
      <c r="G990" s="41" t="n"/>
      <c r="H990" s="41" t="n"/>
      <c r="I990" s="41" t="n"/>
      <c r="J990" s="41" t="n"/>
      <c r="K990" s="41" t="n"/>
      <c r="L990" s="41" t="n"/>
    </row>
    <row r="991">
      <c r="B991" s="45" t="n"/>
      <c r="C991" s="45" t="n"/>
      <c r="D991" s="40" t="n"/>
      <c r="E991" s="41" t="n"/>
      <c r="F991" s="41" t="n"/>
      <c r="G991" s="41" t="n"/>
      <c r="H991" s="41" t="n"/>
      <c r="I991" s="41" t="n"/>
      <c r="J991" s="41" t="n"/>
      <c r="K991" s="41" t="n"/>
      <c r="L991" s="41" t="n"/>
    </row>
    <row r="992">
      <c r="B992" s="45" t="n"/>
      <c r="C992" s="45" t="n"/>
      <c r="D992" s="40" t="n"/>
      <c r="E992" s="41" t="n"/>
      <c r="F992" s="41" t="n"/>
      <c r="G992" s="41" t="n"/>
      <c r="H992" s="41" t="n"/>
      <c r="I992" s="41" t="n"/>
      <c r="J992" s="41" t="n"/>
      <c r="K992" s="41" t="n"/>
      <c r="L992" s="41" t="n"/>
    </row>
    <row r="993">
      <c r="B993" s="45" t="n"/>
      <c r="C993" s="45" t="n"/>
      <c r="D993" s="40" t="n"/>
      <c r="E993" s="41" t="n"/>
      <c r="F993" s="41" t="n"/>
      <c r="G993" s="41" t="n"/>
      <c r="H993" s="41" t="n"/>
      <c r="I993" s="41" t="n"/>
      <c r="J993" s="41" t="n"/>
      <c r="K993" s="41" t="n"/>
      <c r="L993" s="41" t="n"/>
    </row>
    <row r="994">
      <c r="B994" s="45" t="n"/>
      <c r="C994" s="45" t="n"/>
      <c r="D994" s="40" t="n"/>
      <c r="E994" s="41" t="n"/>
      <c r="F994" s="41" t="n"/>
      <c r="G994" s="41" t="n"/>
      <c r="H994" s="41" t="n"/>
      <c r="I994" s="41" t="n"/>
      <c r="J994" s="41" t="n"/>
      <c r="K994" s="41" t="n"/>
      <c r="L994" s="41" t="n"/>
    </row>
    <row r="995">
      <c r="B995" s="45" t="n"/>
      <c r="C995" s="45" t="n"/>
      <c r="D995" s="40" t="n"/>
      <c r="E995" s="41" t="n"/>
      <c r="F995" s="41" t="n"/>
      <c r="G995" s="41" t="n"/>
      <c r="H995" s="41" t="n"/>
      <c r="I995" s="41" t="n"/>
      <c r="J995" s="41" t="n"/>
      <c r="K995" s="41" t="n"/>
      <c r="L995" s="41" t="n"/>
    </row>
    <row r="996">
      <c r="B996" s="45" t="n"/>
      <c r="C996" s="45" t="n"/>
      <c r="D996" s="40" t="n"/>
      <c r="E996" s="41" t="n"/>
      <c r="F996" s="41" t="n"/>
      <c r="G996" s="41" t="n"/>
      <c r="H996" s="41" t="n"/>
      <c r="I996" s="41" t="n"/>
      <c r="J996" s="41" t="n"/>
      <c r="K996" s="41" t="n"/>
      <c r="L996" s="41" t="n"/>
    </row>
    <row r="997">
      <c r="B997" s="45" t="n"/>
      <c r="C997" s="45" t="n"/>
      <c r="D997" s="40" t="n"/>
      <c r="E997" s="41" t="n"/>
      <c r="F997" s="41" t="n"/>
      <c r="G997" s="41" t="n"/>
      <c r="H997" s="41" t="n"/>
      <c r="I997" s="41" t="n"/>
      <c r="J997" s="41" t="n"/>
      <c r="K997" s="41" t="n"/>
      <c r="L997" s="41" t="n"/>
    </row>
    <row r="998">
      <c r="B998" s="45" t="n"/>
      <c r="C998" s="45" t="n"/>
      <c r="D998" s="40" t="n"/>
      <c r="E998" s="41" t="n"/>
      <c r="F998" s="41" t="n"/>
      <c r="G998" s="41" t="n"/>
      <c r="H998" s="41" t="n"/>
      <c r="I998" s="41" t="n"/>
      <c r="J998" s="41" t="n"/>
      <c r="K998" s="41" t="n"/>
      <c r="L998" s="41" t="n"/>
    </row>
    <row r="999">
      <c r="B999" s="45" t="n"/>
      <c r="C999" s="45" t="n"/>
      <c r="D999" s="40" t="n"/>
      <c r="E999" s="41" t="n"/>
      <c r="F999" s="41" t="n"/>
      <c r="G999" s="41" t="n"/>
      <c r="H999" s="41" t="n"/>
      <c r="I999" s="41" t="n"/>
      <c r="J999" s="41" t="n"/>
      <c r="K999" s="41" t="n"/>
      <c r="L999" s="41" t="n"/>
    </row>
    <row r="1000">
      <c r="B1000" s="45" t="n"/>
      <c r="C1000" s="45" t="n"/>
      <c r="D1000" s="40" t="n"/>
      <c r="E1000" s="41" t="n"/>
      <c r="F1000" s="41" t="n"/>
      <c r="G1000" s="41" t="n"/>
      <c r="H1000" s="41" t="n"/>
      <c r="I1000" s="41" t="n"/>
      <c r="J1000" s="41" t="n"/>
      <c r="K1000" s="41" t="n"/>
      <c r="L1000" s="41" t="n"/>
    </row>
  </sheetData>
  <autoFilter ref="$B$6:$L$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2026-03-01T22:21:25Z</dcterms:created>
  <dcterms:modified xsi:type="dcterms:W3CDTF">2026-03-04T20:29:39Z</dcterms:modified>
</cp:coreProperties>
</file>